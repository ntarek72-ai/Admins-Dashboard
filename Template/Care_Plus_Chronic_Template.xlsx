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Line'!$A$1:$AO$3001</definedName>
    <definedName name="_xlnm._FilterDatabase" localSheetId="3" hidden="1">'Per Invoice'!$A$1:$X$801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CARE PLUS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A-M, O-X, AC-AJ (same order as the system export).</t>
        </is>
      </c>
    </row>
    <row r="6">
      <c r="A6" s="3" t="inlineStr">
        <is>
          <t>3. Green columns (N, Y, Z, AA, AB) and the grey helper columns (AK-AO)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Order Co Payment x 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(15%) if Local is TRUE, otherwise Imported rate (6%).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3,000 lines and 800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CARE PLUS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El-Sallab HQ; EL-Sallab Tanta; El-Sallab Alex; El-Sallab Suhag; EL-Sallab Agamy; عربية للتنمية و التطوير العمراني; Magic Line; Obour land ...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0.15</v>
      </c>
      <c r="D6" t="inlineStr">
        <is>
          <t>Source: Sep sheet (Rebates = 15 on Local lines).</t>
        </is>
      </c>
    </row>
    <row r="7">
      <c r="B7" t="inlineStr">
        <is>
          <t>Imported (IMP) products rebate %</t>
        </is>
      </c>
      <c r="C7" s="5" t="n">
        <v>0.06</v>
      </c>
      <c r="D7" t="inlineStr">
        <is>
          <t>Source: Sep sheet (Rebates = 6 on non-local lines; 0 on Special Rebates = Yes).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Line'!$D$2:$D$3001)</f>
        <v/>
      </c>
    </row>
    <row r="11">
      <c r="B11" t="inlineStr">
        <is>
          <t>Invoices (unique Order #)</t>
        </is>
      </c>
      <c r="C11">
        <f>MAX('Per Line'!$AL$2:$AL$3001)</f>
        <v/>
      </c>
    </row>
    <row r="12">
      <c r="B12" t="inlineStr">
        <is>
          <t>Invoices shown in Per Invoice</t>
        </is>
      </c>
      <c r="C12">
        <f>SUMPRODUCT(--('Per Invoice'!$B$2:$B$801&lt;&gt;""))</f>
        <v/>
      </c>
    </row>
    <row r="13">
      <c r="B13" t="inlineStr">
        <is>
          <t>Grand Total - Per Line (Product Total)</t>
        </is>
      </c>
      <c r="C13" s="7">
        <f>SUM('Per Line'!$V$2:$V$3001)</f>
        <v/>
      </c>
    </row>
    <row r="14">
      <c r="B14" t="inlineStr">
        <is>
          <t>Grand Total - Per Invoice</t>
        </is>
      </c>
      <c r="C14" s="7">
        <f>SUM('Per Invoice'!$V$2:$V$801)</f>
        <v/>
      </c>
    </row>
    <row r="15">
      <c r="B15" t="inlineStr">
        <is>
          <t>Discount - Per Line</t>
        </is>
      </c>
      <c r="C15" s="7">
        <f>SUM('Per Line'!$Z$2:$Z$3001)</f>
        <v/>
      </c>
    </row>
    <row r="16">
      <c r="B16" t="inlineStr">
        <is>
          <t>Discount - Per Invoice</t>
        </is>
      </c>
      <c r="C16" s="7">
        <f>SUM('Per Invoice'!$T$2:$T$801)</f>
        <v/>
      </c>
    </row>
    <row r="17">
      <c r="B17" t="inlineStr">
        <is>
          <t>Co val - Per Line</t>
        </is>
      </c>
      <c r="C17" s="7">
        <f>SUM('Per Line'!$N$2:$N$3001)</f>
        <v/>
      </c>
    </row>
    <row r="18">
      <c r="B18" t="inlineStr">
        <is>
          <t>Co val - Per Invoice</t>
        </is>
      </c>
      <c r="C18" s="7">
        <f>SUM('Per Invoice'!$I$2:$I$801)</f>
        <v/>
      </c>
    </row>
    <row r="19">
      <c r="B19" t="inlineStr">
        <is>
          <t>Net - Per Line</t>
        </is>
      </c>
      <c r="C19" s="7">
        <f>SUM('Per Line'!$AB$2:$AB$3001)</f>
        <v/>
      </c>
    </row>
    <row r="20">
      <c r="B20" t="inlineStr">
        <is>
          <t>Net - Per Invoice</t>
        </is>
      </c>
      <c r="C20" s="7">
        <f>SUM('Per Invoice'!$W$2:$W$801)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Line'!$D:$D)-1&gt;3000,"TOO MANY LINES - extend template",IF(C11&gt;800,"TOO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4" customWidth="1" min="5" max="5"/>
    <col width="17" customWidth="1" min="6" max="6"/>
    <col width="18" customWidth="1" min="7" max="7"/>
    <col width="12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1" customWidth="1" min="14" max="14"/>
    <col width="12" customWidth="1" min="15" max="15"/>
    <col width="12" customWidth="1" min="16" max="16"/>
    <col width="44" customWidth="1" min="17" max="17"/>
    <col width="12" customWidth="1" min="18" max="18"/>
    <col width="20" customWidth="1" min="19" max="19"/>
    <col width="12" customWidth="1" min="20" max="20"/>
    <col width="12" customWidth="1" min="21" max="21"/>
    <col width="12" customWidth="1" min="22" max="22"/>
    <col width="36" customWidth="1" min="23" max="23"/>
    <col width="12" customWidth="1" min="24" max="24"/>
    <col width="11" customWidth="1" min="25" max="25"/>
    <col width="11" customWidth="1" min="26" max="26"/>
    <col width="11" customWidth="1" min="27" max="27"/>
    <col width="11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7" customWidth="1" min="35" max="35"/>
    <col width="12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 ht="32" customHeight="1">
      <c r="A1" s="8" t="inlineStr">
        <is>
          <t>Cycle</t>
        </is>
      </c>
      <c r="B1" s="8" t="inlineStr">
        <is>
          <t>Ticket #</t>
        </is>
      </c>
      <c r="C1" s="8" t="inlineStr">
        <is>
          <t>Stage</t>
        </is>
      </c>
      <c r="D1" s="8" t="inlineStr">
        <is>
          <t>Order #</t>
        </is>
      </c>
      <c r="E1" s="8" t="inlineStr">
        <is>
          <t>Channel</t>
        </is>
      </c>
      <c r="F1" s="8" t="inlineStr">
        <is>
          <t>Create At</t>
        </is>
      </c>
      <c r="G1" s="8" t="inlineStr">
        <is>
          <t>Insurance Company</t>
        </is>
      </c>
      <c r="H1" s="8" t="inlineStr">
        <is>
          <t>Country Portal ID</t>
        </is>
      </c>
      <c r="I1" s="8" t="inlineStr">
        <is>
          <t>Corporate</t>
        </is>
      </c>
      <c r="J1" s="8" t="inlineStr">
        <is>
          <t>Card</t>
        </is>
      </c>
      <c r="K1" s="8" t="inlineStr">
        <is>
          <t>Name</t>
        </is>
      </c>
      <c r="L1" s="8" t="inlineStr">
        <is>
          <t>Status</t>
        </is>
      </c>
      <c r="M1" s="8" t="inlineStr">
        <is>
          <t>Order Co Payment</t>
        </is>
      </c>
      <c r="N1" s="9" t="inlineStr">
        <is>
          <t>Co val</t>
        </is>
      </c>
      <c r="O1" s="8" t="inlineStr">
        <is>
          <t>By Patient</t>
        </is>
      </c>
      <c r="P1" s="8" t="inlineStr">
        <is>
          <t>heisenberg id</t>
        </is>
      </c>
      <c r="Q1" s="8" t="inlineStr">
        <is>
          <t>Product Name</t>
        </is>
      </c>
      <c r="R1" s="8" t="inlineStr">
        <is>
          <t>Local</t>
        </is>
      </c>
      <c r="S1" s="8" t="inlineStr">
        <is>
          <t>Unit</t>
        </is>
      </c>
      <c r="T1" s="8" t="inlineStr">
        <is>
          <t>Quantity</t>
        </is>
      </c>
      <c r="U1" s="8" t="inlineStr">
        <is>
          <t>Unit Price</t>
        </is>
      </c>
      <c r="V1" s="8" t="inlineStr">
        <is>
          <t>Product Total</t>
        </is>
      </c>
      <c r="W1" s="8" t="inlineStr">
        <is>
          <t>ERX ID</t>
        </is>
      </c>
      <c r="X1" s="8" t="inlineStr">
        <is>
          <t>Special Rebates?</t>
        </is>
      </c>
      <c r="Y1" s="9" t="inlineStr">
        <is>
          <t>Rebates</t>
        </is>
      </c>
      <c r="Z1" s="9" t="inlineStr">
        <is>
          <t>Discount</t>
        </is>
      </c>
      <c r="AA1" s="9" t="inlineStr">
        <is>
          <t>Subtotal</t>
        </is>
      </c>
      <c r="AB1" s="9" t="inlineStr">
        <is>
          <t>Net</t>
        </is>
      </c>
      <c r="AC1" s="8" t="inlineStr">
        <is>
          <t>Approval Type</t>
        </is>
      </c>
      <c r="AD1" s="8" t="inlineStr">
        <is>
          <t>Max Limit</t>
        </is>
      </c>
      <c r="AE1" s="8" t="inlineStr">
        <is>
          <t>Exceeding Limit</t>
        </is>
      </c>
      <c r="AF1" s="8" t="inlineStr">
        <is>
          <t>Amount collected from customer</t>
        </is>
      </c>
      <c r="AG1" s="8" t="inlineStr">
        <is>
          <t>By Patient (Delivered)</t>
        </is>
      </c>
      <c r="AH1" s="8" t="inlineStr">
        <is>
          <t>Dispense Number</t>
        </is>
      </c>
      <c r="AI1" s="8" t="inlineStr">
        <is>
          <t>Dispense Date</t>
        </is>
      </c>
      <c r="AJ1" s="8" t="inlineStr">
        <is>
          <t>Has OTP?</t>
        </is>
      </c>
      <c r="AK1" s="10" t="inlineStr">
        <is>
          <t>Order 1st Row (helper)</t>
        </is>
      </c>
      <c r="AL1" s="10" t="inlineStr">
        <is>
          <t>Invoice # (helper)</t>
        </is>
      </c>
      <c r="AM1" s="10" t="inlineStr">
        <is>
          <t>Is Local (helper)</t>
        </is>
      </c>
      <c r="AN1" s="10" t="inlineStr">
        <is>
          <t>Is Special (helper)</t>
        </is>
      </c>
      <c r="AO1" s="10" t="inlineStr">
        <is>
          <t>Sort Key (helper)</t>
        </is>
      </c>
    </row>
    <row r="2">
      <c r="F2" s="11" t="n"/>
      <c r="N2" s="7">
        <f>IF($D2="","",M2*V2/100)</f>
        <v/>
      </c>
      <c r="O2" s="7" t="n"/>
      <c r="U2" s="7" t="n"/>
      <c r="V2" s="7" t="n"/>
      <c r="Y2">
        <f>IF($D2="","",IF($AN2=1,0,IF($AM2=1,Settings!$C$6,Settings!$C$7))*100)</f>
        <v/>
      </c>
      <c r="Z2" s="7">
        <f>IF($D2="","",V2*Y2/100)</f>
        <v/>
      </c>
      <c r="AA2" s="7">
        <f>IF($D2="","",V2-Z2)</f>
        <v/>
      </c>
      <c r="AB2" s="7">
        <f>IF($D2="","",AA2-N2)</f>
        <v/>
      </c>
      <c r="AF2" s="7" t="n"/>
      <c r="AI2" s="11" t="n"/>
      <c r="AK2">
        <f>IF($D2="","",IF(COUNTIF($D$2:$D2,$D2)=1,1,0))</f>
        <v/>
      </c>
      <c r="AL2">
        <f>IF($AK2=1,SUMPRODUCT(--($AO$2:$AO$3001&lt;$AO2))+1,"")</f>
        <v/>
      </c>
      <c r="AM2">
        <f>IF($D2="","",IF(OR($R2=TRUE(),$R2="TRUE"),1,0))</f>
        <v/>
      </c>
      <c r="AN2">
        <f>IF($D2="","",IF($X2="Yes",1,0))</f>
        <v/>
      </c>
      <c r="AO2">
        <f>IF($AK2=1,IFERROR(IF(VALUE($D2)&lt;100000000,VALUE($D2),1000000000),IFERROR(IF(VALUE(MID($D2,2,20))&lt;100000000,VALUE(MID($D2,2,20)),1000000000),1000000000))+ROW()/100000,"")</f>
        <v/>
      </c>
    </row>
    <row r="3">
      <c r="F3" s="11" t="n"/>
      <c r="N3" s="7">
        <f>IF($D3="","",M3*V3/100)</f>
        <v/>
      </c>
      <c r="O3" s="7" t="n"/>
      <c r="U3" s="7" t="n"/>
      <c r="V3" s="7" t="n"/>
      <c r="Y3">
        <f>IF($D3="","",IF($AN3=1,0,IF($AM3=1,Settings!$C$6,Settings!$C$7))*100)</f>
        <v/>
      </c>
      <c r="Z3" s="7">
        <f>IF($D3="","",V3*Y3/100)</f>
        <v/>
      </c>
      <c r="AA3" s="7">
        <f>IF($D3="","",V3-Z3)</f>
        <v/>
      </c>
      <c r="AB3" s="7">
        <f>IF($D3="","",AA3-N3)</f>
        <v/>
      </c>
      <c r="AF3" s="7" t="n"/>
      <c r="AI3" s="11" t="n"/>
      <c r="AK3">
        <f>IF($D3="","",IF(COUNTIF($D$2:$D3,$D3)=1,1,0))</f>
        <v/>
      </c>
      <c r="AL3">
        <f>IF($AK3=1,SUMPRODUCT(--($AO$2:$AO$3001&lt;$AO3))+1,"")</f>
        <v/>
      </c>
      <c r="AM3">
        <f>IF($D3="","",IF(OR($R3=TRUE(),$R3="TRUE"),1,0))</f>
        <v/>
      </c>
      <c r="AN3">
        <f>IF($D3="","",IF($X3="Yes",1,0))</f>
        <v/>
      </c>
      <c r="AO3">
        <f>IF($AK3=1,IFERROR(IF(VALUE($D3)&lt;100000000,VALUE($D3),1000000000),IFERROR(IF(VALUE(MID($D3,2,20))&lt;100000000,VALUE(MID($D3,2,20)),1000000000),1000000000))+ROW()/100000,"")</f>
        <v/>
      </c>
    </row>
    <row r="4">
      <c r="F4" s="11" t="n"/>
      <c r="N4" s="7">
        <f>IF($D4="","",M4*V4/100)</f>
        <v/>
      </c>
      <c r="O4" s="7" t="n"/>
      <c r="U4" s="7" t="n"/>
      <c r="V4" s="7" t="n"/>
      <c r="Y4">
        <f>IF($D4="","",IF($AN4=1,0,IF($AM4=1,Settings!$C$6,Settings!$C$7))*100)</f>
        <v/>
      </c>
      <c r="Z4" s="7">
        <f>IF($D4="","",V4*Y4/100)</f>
        <v/>
      </c>
      <c r="AA4" s="7">
        <f>IF($D4="","",V4-Z4)</f>
        <v/>
      </c>
      <c r="AB4" s="7">
        <f>IF($D4="","",AA4-N4)</f>
        <v/>
      </c>
      <c r="AF4" s="7" t="n"/>
      <c r="AI4" s="11" t="n"/>
      <c r="AK4">
        <f>IF($D4="","",IF(COUNTIF($D$2:$D4,$D4)=1,1,0))</f>
        <v/>
      </c>
      <c r="AL4">
        <f>IF($AK4=1,SUMPRODUCT(--($AO$2:$AO$3001&lt;$AO4))+1,"")</f>
        <v/>
      </c>
      <c r="AM4">
        <f>IF($D4="","",IF(OR($R4=TRUE(),$R4="TRUE"),1,0))</f>
        <v/>
      </c>
      <c r="AN4">
        <f>IF($D4="","",IF($X4="Yes",1,0))</f>
        <v/>
      </c>
      <c r="AO4">
        <f>IF($AK4=1,IFERROR(IF(VALUE($D4)&lt;100000000,VALUE($D4),1000000000),IFERROR(IF(VALUE(MID($D4,2,20))&lt;100000000,VALUE(MID($D4,2,20)),1000000000),1000000000))+ROW()/100000,"")</f>
        <v/>
      </c>
    </row>
    <row r="5">
      <c r="F5" s="11" t="n"/>
      <c r="N5" s="7">
        <f>IF($D5="","",M5*V5/100)</f>
        <v/>
      </c>
      <c r="O5" s="7" t="n"/>
      <c r="U5" s="7" t="n"/>
      <c r="V5" s="7" t="n"/>
      <c r="Y5">
        <f>IF($D5="","",IF($AN5=1,0,IF($AM5=1,Settings!$C$6,Settings!$C$7))*100)</f>
        <v/>
      </c>
      <c r="Z5" s="7">
        <f>IF($D5="","",V5*Y5/100)</f>
        <v/>
      </c>
      <c r="AA5" s="7">
        <f>IF($D5="","",V5-Z5)</f>
        <v/>
      </c>
      <c r="AB5" s="7">
        <f>IF($D5="","",AA5-N5)</f>
        <v/>
      </c>
      <c r="AF5" s="7" t="n"/>
      <c r="AI5" s="11" t="n"/>
      <c r="AK5">
        <f>IF($D5="","",IF(COUNTIF($D$2:$D5,$D5)=1,1,0))</f>
        <v/>
      </c>
      <c r="AL5">
        <f>IF($AK5=1,SUMPRODUCT(--($AO$2:$AO$3001&lt;$AO5))+1,"")</f>
        <v/>
      </c>
      <c r="AM5">
        <f>IF($D5="","",IF(OR($R5=TRUE(),$R5="TRUE"),1,0))</f>
        <v/>
      </c>
      <c r="AN5">
        <f>IF($D5="","",IF($X5="Yes",1,0))</f>
        <v/>
      </c>
      <c r="AO5">
        <f>IF($AK5=1,IFERROR(IF(VALUE($D5)&lt;100000000,VALUE($D5),1000000000),IFERROR(IF(VALUE(MID($D5,2,20))&lt;100000000,VALUE(MID($D5,2,20)),1000000000),1000000000))+ROW()/100000,"")</f>
        <v/>
      </c>
    </row>
    <row r="6">
      <c r="F6" s="11" t="n"/>
      <c r="N6" s="7">
        <f>IF($D6="","",M6*V6/100)</f>
        <v/>
      </c>
      <c r="O6" s="7" t="n"/>
      <c r="U6" s="7" t="n"/>
      <c r="V6" s="7" t="n"/>
      <c r="Y6">
        <f>IF($D6="","",IF($AN6=1,0,IF($AM6=1,Settings!$C$6,Settings!$C$7))*100)</f>
        <v/>
      </c>
      <c r="Z6" s="7">
        <f>IF($D6="","",V6*Y6/100)</f>
        <v/>
      </c>
      <c r="AA6" s="7">
        <f>IF($D6="","",V6-Z6)</f>
        <v/>
      </c>
      <c r="AB6" s="7">
        <f>IF($D6="","",AA6-N6)</f>
        <v/>
      </c>
      <c r="AF6" s="7" t="n"/>
      <c r="AI6" s="11" t="n"/>
      <c r="AK6">
        <f>IF($D6="","",IF(COUNTIF($D$2:$D6,$D6)=1,1,0))</f>
        <v/>
      </c>
      <c r="AL6">
        <f>IF($AK6=1,SUMPRODUCT(--($AO$2:$AO$3001&lt;$AO6))+1,"")</f>
        <v/>
      </c>
      <c r="AM6">
        <f>IF($D6="","",IF(OR($R6=TRUE(),$R6="TRUE"),1,0))</f>
        <v/>
      </c>
      <c r="AN6">
        <f>IF($D6="","",IF($X6="Yes",1,0))</f>
        <v/>
      </c>
      <c r="AO6">
        <f>IF($AK6=1,IFERROR(IF(VALUE($D6)&lt;100000000,VALUE($D6),1000000000),IFERROR(IF(VALUE(MID($D6,2,20))&lt;100000000,VALUE(MID($D6,2,20)),1000000000),1000000000))+ROW()/100000,"")</f>
        <v/>
      </c>
    </row>
    <row r="7">
      <c r="F7" s="11" t="n"/>
      <c r="N7" s="7">
        <f>IF($D7="","",M7*V7/100)</f>
        <v/>
      </c>
      <c r="O7" s="7" t="n"/>
      <c r="U7" s="7" t="n"/>
      <c r="V7" s="7" t="n"/>
      <c r="Y7">
        <f>IF($D7="","",IF($AN7=1,0,IF($AM7=1,Settings!$C$6,Settings!$C$7))*100)</f>
        <v/>
      </c>
      <c r="Z7" s="7">
        <f>IF($D7="","",V7*Y7/100)</f>
        <v/>
      </c>
      <c r="AA7" s="7">
        <f>IF($D7="","",V7-Z7)</f>
        <v/>
      </c>
      <c r="AB7" s="7">
        <f>IF($D7="","",AA7-N7)</f>
        <v/>
      </c>
      <c r="AF7" s="7" t="n"/>
      <c r="AI7" s="11" t="n"/>
      <c r="AK7">
        <f>IF($D7="","",IF(COUNTIF($D$2:$D7,$D7)=1,1,0))</f>
        <v/>
      </c>
      <c r="AL7">
        <f>IF($AK7=1,SUMPRODUCT(--($AO$2:$AO$3001&lt;$AO7))+1,"")</f>
        <v/>
      </c>
      <c r="AM7">
        <f>IF($D7="","",IF(OR($R7=TRUE(),$R7="TRUE"),1,0))</f>
        <v/>
      </c>
      <c r="AN7">
        <f>IF($D7="","",IF($X7="Yes",1,0))</f>
        <v/>
      </c>
      <c r="AO7">
        <f>IF($AK7=1,IFERROR(IF(VALUE($D7)&lt;100000000,VALUE($D7),1000000000),IFERROR(IF(VALUE(MID($D7,2,20))&lt;100000000,VALUE(MID($D7,2,20)),1000000000),1000000000))+ROW()/100000,"")</f>
        <v/>
      </c>
    </row>
    <row r="8">
      <c r="F8" s="11" t="n"/>
      <c r="N8" s="7">
        <f>IF($D8="","",M8*V8/100)</f>
        <v/>
      </c>
      <c r="O8" s="7" t="n"/>
      <c r="U8" s="7" t="n"/>
      <c r="V8" s="7" t="n"/>
      <c r="Y8">
        <f>IF($D8="","",IF($AN8=1,0,IF($AM8=1,Settings!$C$6,Settings!$C$7))*100)</f>
        <v/>
      </c>
      <c r="Z8" s="7">
        <f>IF($D8="","",V8*Y8/100)</f>
        <v/>
      </c>
      <c r="AA8" s="7">
        <f>IF($D8="","",V8-Z8)</f>
        <v/>
      </c>
      <c r="AB8" s="7">
        <f>IF($D8="","",AA8-N8)</f>
        <v/>
      </c>
      <c r="AF8" s="7" t="n"/>
      <c r="AI8" s="11" t="n"/>
      <c r="AK8">
        <f>IF($D8="","",IF(COUNTIF($D$2:$D8,$D8)=1,1,0))</f>
        <v/>
      </c>
      <c r="AL8">
        <f>IF($AK8=1,SUMPRODUCT(--($AO$2:$AO$3001&lt;$AO8))+1,"")</f>
        <v/>
      </c>
      <c r="AM8">
        <f>IF($D8="","",IF(OR($R8=TRUE(),$R8="TRUE"),1,0))</f>
        <v/>
      </c>
      <c r="AN8">
        <f>IF($D8="","",IF($X8="Yes",1,0))</f>
        <v/>
      </c>
      <c r="AO8">
        <f>IF($AK8=1,IFERROR(IF(VALUE($D8)&lt;100000000,VALUE($D8),1000000000),IFERROR(IF(VALUE(MID($D8,2,20))&lt;100000000,VALUE(MID($D8,2,20)),1000000000),1000000000))+ROW()/100000,"")</f>
        <v/>
      </c>
    </row>
    <row r="9">
      <c r="F9" s="11" t="n"/>
      <c r="N9" s="7">
        <f>IF($D9="","",M9*V9/100)</f>
        <v/>
      </c>
      <c r="O9" s="7" t="n"/>
      <c r="U9" s="7" t="n"/>
      <c r="V9" s="7" t="n"/>
      <c r="Y9">
        <f>IF($D9="","",IF($AN9=1,0,IF($AM9=1,Settings!$C$6,Settings!$C$7))*100)</f>
        <v/>
      </c>
      <c r="Z9" s="7">
        <f>IF($D9="","",V9*Y9/100)</f>
        <v/>
      </c>
      <c r="AA9" s="7">
        <f>IF($D9="","",V9-Z9)</f>
        <v/>
      </c>
      <c r="AB9" s="7">
        <f>IF($D9="","",AA9-N9)</f>
        <v/>
      </c>
      <c r="AF9" s="7" t="n"/>
      <c r="AI9" s="11" t="n"/>
      <c r="AK9">
        <f>IF($D9="","",IF(COUNTIF($D$2:$D9,$D9)=1,1,0))</f>
        <v/>
      </c>
      <c r="AL9">
        <f>IF($AK9=1,SUMPRODUCT(--($AO$2:$AO$3001&lt;$AO9))+1,"")</f>
        <v/>
      </c>
      <c r="AM9">
        <f>IF($D9="","",IF(OR($R9=TRUE(),$R9="TRUE"),1,0))</f>
        <v/>
      </c>
      <c r="AN9">
        <f>IF($D9="","",IF($X9="Yes",1,0))</f>
        <v/>
      </c>
      <c r="AO9">
        <f>IF($AK9=1,IFERROR(IF(VALUE($D9)&lt;100000000,VALUE($D9),1000000000),IFERROR(IF(VALUE(MID($D9,2,20))&lt;100000000,VALUE(MID($D9,2,20)),1000000000),1000000000))+ROW()/100000,"")</f>
        <v/>
      </c>
    </row>
    <row r="10">
      <c r="F10" s="11" t="n"/>
      <c r="N10" s="7">
        <f>IF($D10="","",M10*V10/100)</f>
        <v/>
      </c>
      <c r="O10" s="7" t="n"/>
      <c r="U10" s="7" t="n"/>
      <c r="V10" s="7" t="n"/>
      <c r="Y10">
        <f>IF($D10="","",IF($AN10=1,0,IF($AM10=1,Settings!$C$6,Settings!$C$7))*100)</f>
        <v/>
      </c>
      <c r="Z10" s="7">
        <f>IF($D10="","",V10*Y10/100)</f>
        <v/>
      </c>
      <c r="AA10" s="7">
        <f>IF($D10="","",V10-Z10)</f>
        <v/>
      </c>
      <c r="AB10" s="7">
        <f>IF($D10="","",AA10-N10)</f>
        <v/>
      </c>
      <c r="AF10" s="7" t="n"/>
      <c r="AI10" s="11" t="n"/>
      <c r="AK10">
        <f>IF($D10="","",IF(COUNTIF($D$2:$D10,$D10)=1,1,0))</f>
        <v/>
      </c>
      <c r="AL10">
        <f>IF($AK10=1,SUMPRODUCT(--($AO$2:$AO$3001&lt;$AO10))+1,"")</f>
        <v/>
      </c>
      <c r="AM10">
        <f>IF($D10="","",IF(OR($R10=TRUE(),$R10="TRUE"),1,0))</f>
        <v/>
      </c>
      <c r="AN10">
        <f>IF($D10="","",IF($X10="Yes",1,0))</f>
        <v/>
      </c>
      <c r="AO10">
        <f>IF($AK10=1,IFERROR(IF(VALUE($D10)&lt;100000000,VALUE($D10),1000000000),IFERROR(IF(VALUE(MID($D10,2,20))&lt;100000000,VALUE(MID($D10,2,20)),1000000000),1000000000))+ROW()/100000,"")</f>
        <v/>
      </c>
    </row>
    <row r="11">
      <c r="F11" s="11" t="n"/>
      <c r="N11" s="7">
        <f>IF($D11="","",M11*V11/100)</f>
        <v/>
      </c>
      <c r="O11" s="7" t="n"/>
      <c r="U11" s="7" t="n"/>
      <c r="V11" s="7" t="n"/>
      <c r="Y11">
        <f>IF($D11="","",IF($AN11=1,0,IF($AM11=1,Settings!$C$6,Settings!$C$7))*100)</f>
        <v/>
      </c>
      <c r="Z11" s="7">
        <f>IF($D11="","",V11*Y11/100)</f>
        <v/>
      </c>
      <c r="AA11" s="7">
        <f>IF($D11="","",V11-Z11)</f>
        <v/>
      </c>
      <c r="AB11" s="7">
        <f>IF($D11="","",AA11-N11)</f>
        <v/>
      </c>
      <c r="AF11" s="7" t="n"/>
      <c r="AI11" s="11" t="n"/>
      <c r="AK11">
        <f>IF($D11="","",IF(COUNTIF($D$2:$D11,$D11)=1,1,0))</f>
        <v/>
      </c>
      <c r="AL11">
        <f>IF($AK11=1,SUMPRODUCT(--($AO$2:$AO$3001&lt;$AO11))+1,"")</f>
        <v/>
      </c>
      <c r="AM11">
        <f>IF($D11="","",IF(OR($R11=TRUE(),$R11="TRUE"),1,0))</f>
        <v/>
      </c>
      <c r="AN11">
        <f>IF($D11="","",IF($X11="Yes",1,0))</f>
        <v/>
      </c>
      <c r="AO11">
        <f>IF($AK11=1,IFERROR(IF(VALUE($D11)&lt;100000000,VALUE($D11),1000000000),IFERROR(IF(VALUE(MID($D11,2,20))&lt;100000000,VALUE(MID($D11,2,20)),1000000000),1000000000))+ROW()/100000,"")</f>
        <v/>
      </c>
    </row>
    <row r="12">
      <c r="F12" s="11" t="n"/>
      <c r="N12" s="7">
        <f>IF($D12="","",M12*V12/100)</f>
        <v/>
      </c>
      <c r="O12" s="7" t="n"/>
      <c r="U12" s="7" t="n"/>
      <c r="V12" s="7" t="n"/>
      <c r="Y12">
        <f>IF($D12="","",IF($AN12=1,0,IF($AM12=1,Settings!$C$6,Settings!$C$7))*100)</f>
        <v/>
      </c>
      <c r="Z12" s="7">
        <f>IF($D12="","",V12*Y12/100)</f>
        <v/>
      </c>
      <c r="AA12" s="7">
        <f>IF($D12="","",V12-Z12)</f>
        <v/>
      </c>
      <c r="AB12" s="7">
        <f>IF($D12="","",AA12-N12)</f>
        <v/>
      </c>
      <c r="AF12" s="7" t="n"/>
      <c r="AI12" s="11" t="n"/>
      <c r="AK12">
        <f>IF($D12="","",IF(COUNTIF($D$2:$D12,$D12)=1,1,0))</f>
        <v/>
      </c>
      <c r="AL12">
        <f>IF($AK12=1,SUMPRODUCT(--($AO$2:$AO$3001&lt;$AO12))+1,"")</f>
        <v/>
      </c>
      <c r="AM12">
        <f>IF($D12="","",IF(OR($R12=TRUE(),$R12="TRUE"),1,0))</f>
        <v/>
      </c>
      <c r="AN12">
        <f>IF($D12="","",IF($X12="Yes",1,0))</f>
        <v/>
      </c>
      <c r="AO12">
        <f>IF($AK12=1,IFERROR(IF(VALUE($D12)&lt;100000000,VALUE($D12),1000000000),IFERROR(IF(VALUE(MID($D12,2,20))&lt;100000000,VALUE(MID($D12,2,20)),1000000000),1000000000))+ROW()/100000,"")</f>
        <v/>
      </c>
    </row>
    <row r="13">
      <c r="F13" s="11" t="n"/>
      <c r="N13" s="7">
        <f>IF($D13="","",M13*V13/100)</f>
        <v/>
      </c>
      <c r="O13" s="7" t="n"/>
      <c r="U13" s="7" t="n"/>
      <c r="V13" s="7" t="n"/>
      <c r="Y13">
        <f>IF($D13="","",IF($AN13=1,0,IF($AM13=1,Settings!$C$6,Settings!$C$7))*100)</f>
        <v/>
      </c>
      <c r="Z13" s="7">
        <f>IF($D13="","",V13*Y13/100)</f>
        <v/>
      </c>
      <c r="AA13" s="7">
        <f>IF($D13="","",V13-Z13)</f>
        <v/>
      </c>
      <c r="AB13" s="7">
        <f>IF($D13="","",AA13-N13)</f>
        <v/>
      </c>
      <c r="AF13" s="7" t="n"/>
      <c r="AI13" s="11" t="n"/>
      <c r="AK13">
        <f>IF($D13="","",IF(COUNTIF($D$2:$D13,$D13)=1,1,0))</f>
        <v/>
      </c>
      <c r="AL13">
        <f>IF($AK13=1,SUMPRODUCT(--($AO$2:$AO$3001&lt;$AO13))+1,"")</f>
        <v/>
      </c>
      <c r="AM13">
        <f>IF($D13="","",IF(OR($R13=TRUE(),$R13="TRUE"),1,0))</f>
        <v/>
      </c>
      <c r="AN13">
        <f>IF($D13="","",IF($X13="Yes",1,0))</f>
        <v/>
      </c>
      <c r="AO13">
        <f>IF($AK13=1,IFERROR(IF(VALUE($D13)&lt;100000000,VALUE($D13),1000000000),IFERROR(IF(VALUE(MID($D13,2,20))&lt;100000000,VALUE(MID($D13,2,20)),1000000000),1000000000))+ROW()/100000,"")</f>
        <v/>
      </c>
    </row>
    <row r="14">
      <c r="F14" s="11" t="n"/>
      <c r="N14" s="7">
        <f>IF($D14="","",M14*V14/100)</f>
        <v/>
      </c>
      <c r="O14" s="7" t="n"/>
      <c r="U14" s="7" t="n"/>
      <c r="V14" s="7" t="n"/>
      <c r="Y14">
        <f>IF($D14="","",IF($AN14=1,0,IF($AM14=1,Settings!$C$6,Settings!$C$7))*100)</f>
        <v/>
      </c>
      <c r="Z14" s="7">
        <f>IF($D14="","",V14*Y14/100)</f>
        <v/>
      </c>
      <c r="AA14" s="7">
        <f>IF($D14="","",V14-Z14)</f>
        <v/>
      </c>
      <c r="AB14" s="7">
        <f>IF($D14="","",AA14-N14)</f>
        <v/>
      </c>
      <c r="AF14" s="7" t="n"/>
      <c r="AI14" s="11" t="n"/>
      <c r="AK14">
        <f>IF($D14="","",IF(COUNTIF($D$2:$D14,$D14)=1,1,0))</f>
        <v/>
      </c>
      <c r="AL14">
        <f>IF($AK14=1,SUMPRODUCT(--($AO$2:$AO$3001&lt;$AO14))+1,"")</f>
        <v/>
      </c>
      <c r="AM14">
        <f>IF($D14="","",IF(OR($R14=TRUE(),$R14="TRUE"),1,0))</f>
        <v/>
      </c>
      <c r="AN14">
        <f>IF($D14="","",IF($X14="Yes",1,0))</f>
        <v/>
      </c>
      <c r="AO14">
        <f>IF($AK14=1,IFERROR(IF(VALUE($D14)&lt;100000000,VALUE($D14),1000000000),IFERROR(IF(VALUE(MID($D14,2,20))&lt;100000000,VALUE(MID($D14,2,20)),1000000000),1000000000))+ROW()/100000,"")</f>
        <v/>
      </c>
    </row>
    <row r="15">
      <c r="F15" s="11" t="n"/>
      <c r="N15" s="7">
        <f>IF($D15="","",M15*V15/100)</f>
        <v/>
      </c>
      <c r="O15" s="7" t="n"/>
      <c r="U15" s="7" t="n"/>
      <c r="V15" s="7" t="n"/>
      <c r="Y15">
        <f>IF($D15="","",IF($AN15=1,0,IF($AM15=1,Settings!$C$6,Settings!$C$7))*100)</f>
        <v/>
      </c>
      <c r="Z15" s="7">
        <f>IF($D15="","",V15*Y15/100)</f>
        <v/>
      </c>
      <c r="AA15" s="7">
        <f>IF($D15="","",V15-Z15)</f>
        <v/>
      </c>
      <c r="AB15" s="7">
        <f>IF($D15="","",AA15-N15)</f>
        <v/>
      </c>
      <c r="AF15" s="7" t="n"/>
      <c r="AI15" s="11" t="n"/>
      <c r="AK15">
        <f>IF($D15="","",IF(COUNTIF($D$2:$D15,$D15)=1,1,0))</f>
        <v/>
      </c>
      <c r="AL15">
        <f>IF($AK15=1,SUMPRODUCT(--($AO$2:$AO$3001&lt;$AO15))+1,"")</f>
        <v/>
      </c>
      <c r="AM15">
        <f>IF($D15="","",IF(OR($R15=TRUE(),$R15="TRUE"),1,0))</f>
        <v/>
      </c>
      <c r="AN15">
        <f>IF($D15="","",IF($X15="Yes",1,0))</f>
        <v/>
      </c>
      <c r="AO15">
        <f>IF($AK15=1,IFERROR(IF(VALUE($D15)&lt;100000000,VALUE($D15),1000000000),IFERROR(IF(VALUE(MID($D15,2,20))&lt;100000000,VALUE(MID($D15,2,20)),1000000000),1000000000))+ROW()/100000,"")</f>
        <v/>
      </c>
    </row>
    <row r="16">
      <c r="F16" s="11" t="n"/>
      <c r="N16" s="7">
        <f>IF($D16="","",M16*V16/100)</f>
        <v/>
      </c>
      <c r="O16" s="7" t="n"/>
      <c r="U16" s="7" t="n"/>
      <c r="V16" s="7" t="n"/>
      <c r="Y16">
        <f>IF($D16="","",IF($AN16=1,0,IF($AM16=1,Settings!$C$6,Settings!$C$7))*100)</f>
        <v/>
      </c>
      <c r="Z16" s="7">
        <f>IF($D16="","",V16*Y16/100)</f>
        <v/>
      </c>
      <c r="AA16" s="7">
        <f>IF($D16="","",V16-Z16)</f>
        <v/>
      </c>
      <c r="AB16" s="7">
        <f>IF($D16="","",AA16-N16)</f>
        <v/>
      </c>
      <c r="AF16" s="7" t="n"/>
      <c r="AI16" s="11" t="n"/>
      <c r="AK16">
        <f>IF($D16="","",IF(COUNTIF($D$2:$D16,$D16)=1,1,0))</f>
        <v/>
      </c>
      <c r="AL16">
        <f>IF($AK16=1,SUMPRODUCT(--($AO$2:$AO$3001&lt;$AO16))+1,"")</f>
        <v/>
      </c>
      <c r="AM16">
        <f>IF($D16="","",IF(OR($R16=TRUE(),$R16="TRUE"),1,0))</f>
        <v/>
      </c>
      <c r="AN16">
        <f>IF($D16="","",IF($X16="Yes",1,0))</f>
        <v/>
      </c>
      <c r="AO16">
        <f>IF($AK16=1,IFERROR(IF(VALUE($D16)&lt;100000000,VALUE($D16),1000000000),IFERROR(IF(VALUE(MID($D16,2,20))&lt;100000000,VALUE(MID($D16,2,20)),1000000000),1000000000))+ROW()/100000,"")</f>
        <v/>
      </c>
    </row>
    <row r="17">
      <c r="F17" s="11" t="n"/>
      <c r="N17" s="7">
        <f>IF($D17="","",M17*V17/100)</f>
        <v/>
      </c>
      <c r="O17" s="7" t="n"/>
      <c r="U17" s="7" t="n"/>
      <c r="V17" s="7" t="n"/>
      <c r="Y17">
        <f>IF($D17="","",IF($AN17=1,0,IF($AM17=1,Settings!$C$6,Settings!$C$7))*100)</f>
        <v/>
      </c>
      <c r="Z17" s="7">
        <f>IF($D17="","",V17*Y17/100)</f>
        <v/>
      </c>
      <c r="AA17" s="7">
        <f>IF($D17="","",V17-Z17)</f>
        <v/>
      </c>
      <c r="AB17" s="7">
        <f>IF($D17="","",AA17-N17)</f>
        <v/>
      </c>
      <c r="AF17" s="7" t="n"/>
      <c r="AI17" s="11" t="n"/>
      <c r="AK17">
        <f>IF($D17="","",IF(COUNTIF($D$2:$D17,$D17)=1,1,0))</f>
        <v/>
      </c>
      <c r="AL17">
        <f>IF($AK17=1,SUMPRODUCT(--($AO$2:$AO$3001&lt;$AO17))+1,"")</f>
        <v/>
      </c>
      <c r="AM17">
        <f>IF($D17="","",IF(OR($R17=TRUE(),$R17="TRUE"),1,0))</f>
        <v/>
      </c>
      <c r="AN17">
        <f>IF($D17="","",IF($X17="Yes",1,0))</f>
        <v/>
      </c>
      <c r="AO17">
        <f>IF($AK17=1,IFERROR(IF(VALUE($D17)&lt;100000000,VALUE($D17),1000000000),IFERROR(IF(VALUE(MID($D17,2,20))&lt;100000000,VALUE(MID($D17,2,20)),1000000000),1000000000))+ROW()/100000,"")</f>
        <v/>
      </c>
    </row>
    <row r="18">
      <c r="F18" s="11" t="n"/>
      <c r="N18" s="7">
        <f>IF($D18="","",M18*V18/100)</f>
        <v/>
      </c>
      <c r="O18" s="7" t="n"/>
      <c r="U18" s="7" t="n"/>
      <c r="V18" s="7" t="n"/>
      <c r="Y18">
        <f>IF($D18="","",IF($AN18=1,0,IF($AM18=1,Settings!$C$6,Settings!$C$7))*100)</f>
        <v/>
      </c>
      <c r="Z18" s="7">
        <f>IF($D18="","",V18*Y18/100)</f>
        <v/>
      </c>
      <c r="AA18" s="7">
        <f>IF($D18="","",V18-Z18)</f>
        <v/>
      </c>
      <c r="AB18" s="7">
        <f>IF($D18="","",AA18-N18)</f>
        <v/>
      </c>
      <c r="AF18" s="7" t="n"/>
      <c r="AI18" s="11" t="n"/>
      <c r="AK18">
        <f>IF($D18="","",IF(COUNTIF($D$2:$D18,$D18)=1,1,0))</f>
        <v/>
      </c>
      <c r="AL18">
        <f>IF($AK18=1,SUMPRODUCT(--($AO$2:$AO$3001&lt;$AO18))+1,"")</f>
        <v/>
      </c>
      <c r="AM18">
        <f>IF($D18="","",IF(OR($R18=TRUE(),$R18="TRUE"),1,0))</f>
        <v/>
      </c>
      <c r="AN18">
        <f>IF($D18="","",IF($X18="Yes",1,0))</f>
        <v/>
      </c>
      <c r="AO18">
        <f>IF($AK18=1,IFERROR(IF(VALUE($D18)&lt;100000000,VALUE($D18),1000000000),IFERROR(IF(VALUE(MID($D18,2,20))&lt;100000000,VALUE(MID($D18,2,20)),1000000000),1000000000))+ROW()/100000,"")</f>
        <v/>
      </c>
    </row>
    <row r="19">
      <c r="F19" s="11" t="n"/>
      <c r="N19" s="7">
        <f>IF($D19="","",M19*V19/100)</f>
        <v/>
      </c>
      <c r="O19" s="7" t="n"/>
      <c r="U19" s="7" t="n"/>
      <c r="V19" s="7" t="n"/>
      <c r="Y19">
        <f>IF($D19="","",IF($AN19=1,0,IF($AM19=1,Settings!$C$6,Settings!$C$7))*100)</f>
        <v/>
      </c>
      <c r="Z19" s="7">
        <f>IF($D19="","",V19*Y19/100)</f>
        <v/>
      </c>
      <c r="AA19" s="7">
        <f>IF($D19="","",V19-Z19)</f>
        <v/>
      </c>
      <c r="AB19" s="7">
        <f>IF($D19="","",AA19-N19)</f>
        <v/>
      </c>
      <c r="AF19" s="7" t="n"/>
      <c r="AI19" s="11" t="n"/>
      <c r="AK19">
        <f>IF($D19="","",IF(COUNTIF($D$2:$D19,$D19)=1,1,0))</f>
        <v/>
      </c>
      <c r="AL19">
        <f>IF($AK19=1,SUMPRODUCT(--($AO$2:$AO$3001&lt;$AO19))+1,"")</f>
        <v/>
      </c>
      <c r="AM19">
        <f>IF($D19="","",IF(OR($R19=TRUE(),$R19="TRUE"),1,0))</f>
        <v/>
      </c>
      <c r="AN19">
        <f>IF($D19="","",IF($X19="Yes",1,0))</f>
        <v/>
      </c>
      <c r="AO19">
        <f>IF($AK19=1,IFERROR(IF(VALUE($D19)&lt;100000000,VALUE($D19),1000000000),IFERROR(IF(VALUE(MID($D19,2,20))&lt;100000000,VALUE(MID($D19,2,20)),1000000000),1000000000))+ROW()/100000,"")</f>
        <v/>
      </c>
    </row>
    <row r="20">
      <c r="F20" s="11" t="n"/>
      <c r="N20" s="7">
        <f>IF($D20="","",M20*V20/100)</f>
        <v/>
      </c>
      <c r="O20" s="7" t="n"/>
      <c r="U20" s="7" t="n"/>
      <c r="V20" s="7" t="n"/>
      <c r="Y20">
        <f>IF($D20="","",IF($AN20=1,0,IF($AM20=1,Settings!$C$6,Settings!$C$7))*100)</f>
        <v/>
      </c>
      <c r="Z20" s="7">
        <f>IF($D20="","",V20*Y20/100)</f>
        <v/>
      </c>
      <c r="AA20" s="7">
        <f>IF($D20="","",V20-Z20)</f>
        <v/>
      </c>
      <c r="AB20" s="7">
        <f>IF($D20="","",AA20-N20)</f>
        <v/>
      </c>
      <c r="AF20" s="7" t="n"/>
      <c r="AI20" s="11" t="n"/>
      <c r="AK20">
        <f>IF($D20="","",IF(COUNTIF($D$2:$D20,$D20)=1,1,0))</f>
        <v/>
      </c>
      <c r="AL20">
        <f>IF($AK20=1,SUMPRODUCT(--($AO$2:$AO$3001&lt;$AO20))+1,"")</f>
        <v/>
      </c>
      <c r="AM20">
        <f>IF($D20="","",IF(OR($R20=TRUE(),$R20="TRUE"),1,0))</f>
        <v/>
      </c>
      <c r="AN20">
        <f>IF($D20="","",IF($X20="Yes",1,0))</f>
        <v/>
      </c>
      <c r="AO20">
        <f>IF($AK20=1,IFERROR(IF(VALUE($D20)&lt;100000000,VALUE($D20),1000000000),IFERROR(IF(VALUE(MID($D20,2,20))&lt;100000000,VALUE(MID($D20,2,20)),1000000000),1000000000))+ROW()/100000,"")</f>
        <v/>
      </c>
    </row>
    <row r="21">
      <c r="F21" s="11" t="n"/>
      <c r="N21" s="7">
        <f>IF($D21="","",M21*V21/100)</f>
        <v/>
      </c>
      <c r="O21" s="7" t="n"/>
      <c r="U21" s="7" t="n"/>
      <c r="V21" s="7" t="n"/>
      <c r="Y21">
        <f>IF($D21="","",IF($AN21=1,0,IF($AM21=1,Settings!$C$6,Settings!$C$7))*100)</f>
        <v/>
      </c>
      <c r="Z21" s="7">
        <f>IF($D21="","",V21*Y21/100)</f>
        <v/>
      </c>
      <c r="AA21" s="7">
        <f>IF($D21="","",V21-Z21)</f>
        <v/>
      </c>
      <c r="AB21" s="7">
        <f>IF($D21="","",AA21-N21)</f>
        <v/>
      </c>
      <c r="AF21" s="7" t="n"/>
      <c r="AI21" s="11" t="n"/>
      <c r="AK21">
        <f>IF($D21="","",IF(COUNTIF($D$2:$D21,$D21)=1,1,0))</f>
        <v/>
      </c>
      <c r="AL21">
        <f>IF($AK21=1,SUMPRODUCT(--($AO$2:$AO$3001&lt;$AO21))+1,"")</f>
        <v/>
      </c>
      <c r="AM21">
        <f>IF($D21="","",IF(OR($R21=TRUE(),$R21="TRUE"),1,0))</f>
        <v/>
      </c>
      <c r="AN21">
        <f>IF($D21="","",IF($X21="Yes",1,0))</f>
        <v/>
      </c>
      <c r="AO21">
        <f>IF($AK21=1,IFERROR(IF(VALUE($D21)&lt;100000000,VALUE($D21),1000000000),IFERROR(IF(VALUE(MID($D21,2,20))&lt;100000000,VALUE(MID($D21,2,20)),1000000000),1000000000))+ROW()/100000,"")</f>
        <v/>
      </c>
    </row>
    <row r="22">
      <c r="F22" s="11" t="n"/>
      <c r="N22" s="7">
        <f>IF($D22="","",M22*V22/100)</f>
        <v/>
      </c>
      <c r="O22" s="7" t="n"/>
      <c r="U22" s="7" t="n"/>
      <c r="V22" s="7" t="n"/>
      <c r="Y22">
        <f>IF($D22="","",IF($AN22=1,0,IF($AM22=1,Settings!$C$6,Settings!$C$7))*100)</f>
        <v/>
      </c>
      <c r="Z22" s="7">
        <f>IF($D22="","",V22*Y22/100)</f>
        <v/>
      </c>
      <c r="AA22" s="7">
        <f>IF($D22="","",V22-Z22)</f>
        <v/>
      </c>
      <c r="AB22" s="7">
        <f>IF($D22="","",AA22-N22)</f>
        <v/>
      </c>
      <c r="AF22" s="7" t="n"/>
      <c r="AI22" s="11" t="n"/>
      <c r="AK22">
        <f>IF($D22="","",IF(COUNTIF($D$2:$D22,$D22)=1,1,0))</f>
        <v/>
      </c>
      <c r="AL22">
        <f>IF($AK22=1,SUMPRODUCT(--($AO$2:$AO$3001&lt;$AO22))+1,"")</f>
        <v/>
      </c>
      <c r="AM22">
        <f>IF($D22="","",IF(OR($R22=TRUE(),$R22="TRUE"),1,0))</f>
        <v/>
      </c>
      <c r="AN22">
        <f>IF($D22="","",IF($X22="Yes",1,0))</f>
        <v/>
      </c>
      <c r="AO22">
        <f>IF($AK22=1,IFERROR(IF(VALUE($D22)&lt;100000000,VALUE($D22),1000000000),IFERROR(IF(VALUE(MID($D22,2,20))&lt;100000000,VALUE(MID($D22,2,20)),1000000000),1000000000))+ROW()/100000,"")</f>
        <v/>
      </c>
    </row>
    <row r="23">
      <c r="F23" s="11" t="n"/>
      <c r="N23" s="7">
        <f>IF($D23="","",M23*V23/100)</f>
        <v/>
      </c>
      <c r="O23" s="7" t="n"/>
      <c r="U23" s="7" t="n"/>
      <c r="V23" s="7" t="n"/>
      <c r="Y23">
        <f>IF($D23="","",IF($AN23=1,0,IF($AM23=1,Settings!$C$6,Settings!$C$7))*100)</f>
        <v/>
      </c>
      <c r="Z23" s="7">
        <f>IF($D23="","",V23*Y23/100)</f>
        <v/>
      </c>
      <c r="AA23" s="7">
        <f>IF($D23="","",V23-Z23)</f>
        <v/>
      </c>
      <c r="AB23" s="7">
        <f>IF($D23="","",AA23-N23)</f>
        <v/>
      </c>
      <c r="AF23" s="7" t="n"/>
      <c r="AI23" s="11" t="n"/>
      <c r="AK23">
        <f>IF($D23="","",IF(COUNTIF($D$2:$D23,$D23)=1,1,0))</f>
        <v/>
      </c>
      <c r="AL23">
        <f>IF($AK23=1,SUMPRODUCT(--($AO$2:$AO$3001&lt;$AO23))+1,"")</f>
        <v/>
      </c>
      <c r="AM23">
        <f>IF($D23="","",IF(OR($R23=TRUE(),$R23="TRUE"),1,0))</f>
        <v/>
      </c>
      <c r="AN23">
        <f>IF($D23="","",IF($X23="Yes",1,0))</f>
        <v/>
      </c>
      <c r="AO23">
        <f>IF($AK23=1,IFERROR(IF(VALUE($D23)&lt;100000000,VALUE($D23),1000000000),IFERROR(IF(VALUE(MID($D23,2,20))&lt;100000000,VALUE(MID($D23,2,20)),1000000000),1000000000))+ROW()/100000,"")</f>
        <v/>
      </c>
    </row>
    <row r="24">
      <c r="F24" s="11" t="n"/>
      <c r="N24" s="7">
        <f>IF($D24="","",M24*V24/100)</f>
        <v/>
      </c>
      <c r="O24" s="7" t="n"/>
      <c r="U24" s="7" t="n"/>
      <c r="V24" s="7" t="n"/>
      <c r="Y24">
        <f>IF($D24="","",IF($AN24=1,0,IF($AM24=1,Settings!$C$6,Settings!$C$7))*100)</f>
        <v/>
      </c>
      <c r="Z24" s="7">
        <f>IF($D24="","",V24*Y24/100)</f>
        <v/>
      </c>
      <c r="AA24" s="7">
        <f>IF($D24="","",V24-Z24)</f>
        <v/>
      </c>
      <c r="AB24" s="7">
        <f>IF($D24="","",AA24-N24)</f>
        <v/>
      </c>
      <c r="AF24" s="7" t="n"/>
      <c r="AI24" s="11" t="n"/>
      <c r="AK24">
        <f>IF($D24="","",IF(COUNTIF($D$2:$D24,$D24)=1,1,0))</f>
        <v/>
      </c>
      <c r="AL24">
        <f>IF($AK24=1,SUMPRODUCT(--($AO$2:$AO$3001&lt;$AO24))+1,"")</f>
        <v/>
      </c>
      <c r="AM24">
        <f>IF($D24="","",IF(OR($R24=TRUE(),$R24="TRUE"),1,0))</f>
        <v/>
      </c>
      <c r="AN24">
        <f>IF($D24="","",IF($X24="Yes",1,0))</f>
        <v/>
      </c>
      <c r="AO24">
        <f>IF($AK24=1,IFERROR(IF(VALUE($D24)&lt;100000000,VALUE($D24),1000000000),IFERROR(IF(VALUE(MID($D24,2,20))&lt;100000000,VALUE(MID($D24,2,20)),1000000000),1000000000))+ROW()/100000,"")</f>
        <v/>
      </c>
    </row>
    <row r="25">
      <c r="F25" s="11" t="n"/>
      <c r="N25" s="7">
        <f>IF($D25="","",M25*V25/100)</f>
        <v/>
      </c>
      <c r="O25" s="7" t="n"/>
      <c r="U25" s="7" t="n"/>
      <c r="V25" s="7" t="n"/>
      <c r="Y25">
        <f>IF($D25="","",IF($AN25=1,0,IF($AM25=1,Settings!$C$6,Settings!$C$7))*100)</f>
        <v/>
      </c>
      <c r="Z25" s="7">
        <f>IF($D25="","",V25*Y25/100)</f>
        <v/>
      </c>
      <c r="AA25" s="7">
        <f>IF($D25="","",V25-Z25)</f>
        <v/>
      </c>
      <c r="AB25" s="7">
        <f>IF($D25="","",AA25-N25)</f>
        <v/>
      </c>
      <c r="AF25" s="7" t="n"/>
      <c r="AI25" s="11" t="n"/>
      <c r="AK25">
        <f>IF($D25="","",IF(COUNTIF($D$2:$D25,$D25)=1,1,0))</f>
        <v/>
      </c>
      <c r="AL25">
        <f>IF($AK25=1,SUMPRODUCT(--($AO$2:$AO$3001&lt;$AO25))+1,"")</f>
        <v/>
      </c>
      <c r="AM25">
        <f>IF($D25="","",IF(OR($R25=TRUE(),$R25="TRUE"),1,0))</f>
        <v/>
      </c>
      <c r="AN25">
        <f>IF($D25="","",IF($X25="Yes",1,0))</f>
        <v/>
      </c>
      <c r="AO25">
        <f>IF($AK25=1,IFERROR(IF(VALUE($D25)&lt;100000000,VALUE($D25),1000000000),IFERROR(IF(VALUE(MID($D25,2,20))&lt;100000000,VALUE(MID($D25,2,20)),1000000000),1000000000))+ROW()/100000,"")</f>
        <v/>
      </c>
    </row>
    <row r="26">
      <c r="F26" s="11" t="n"/>
      <c r="N26" s="7">
        <f>IF($D26="","",M26*V26/100)</f>
        <v/>
      </c>
      <c r="O26" s="7" t="n"/>
      <c r="U26" s="7" t="n"/>
      <c r="V26" s="7" t="n"/>
      <c r="Y26">
        <f>IF($D26="","",IF($AN26=1,0,IF($AM26=1,Settings!$C$6,Settings!$C$7))*100)</f>
        <v/>
      </c>
      <c r="Z26" s="7">
        <f>IF($D26="","",V26*Y26/100)</f>
        <v/>
      </c>
      <c r="AA26" s="7">
        <f>IF($D26="","",V26-Z26)</f>
        <v/>
      </c>
      <c r="AB26" s="7">
        <f>IF($D26="","",AA26-N26)</f>
        <v/>
      </c>
      <c r="AF26" s="7" t="n"/>
      <c r="AI26" s="11" t="n"/>
      <c r="AK26">
        <f>IF($D26="","",IF(COUNTIF($D$2:$D26,$D26)=1,1,0))</f>
        <v/>
      </c>
      <c r="AL26">
        <f>IF($AK26=1,SUMPRODUCT(--($AO$2:$AO$3001&lt;$AO26))+1,"")</f>
        <v/>
      </c>
      <c r="AM26">
        <f>IF($D26="","",IF(OR($R26=TRUE(),$R26="TRUE"),1,0))</f>
        <v/>
      </c>
      <c r="AN26">
        <f>IF($D26="","",IF($X26="Yes",1,0))</f>
        <v/>
      </c>
      <c r="AO26">
        <f>IF($AK26=1,IFERROR(IF(VALUE($D26)&lt;100000000,VALUE($D26),1000000000),IFERROR(IF(VALUE(MID($D26,2,20))&lt;100000000,VALUE(MID($D26,2,20)),1000000000),1000000000))+ROW()/100000,"")</f>
        <v/>
      </c>
    </row>
    <row r="27">
      <c r="F27" s="11" t="n"/>
      <c r="N27" s="7">
        <f>IF($D27="","",M27*V27/100)</f>
        <v/>
      </c>
      <c r="O27" s="7" t="n"/>
      <c r="U27" s="7" t="n"/>
      <c r="V27" s="7" t="n"/>
      <c r="Y27">
        <f>IF($D27="","",IF($AN27=1,0,IF($AM27=1,Settings!$C$6,Settings!$C$7))*100)</f>
        <v/>
      </c>
      <c r="Z27" s="7">
        <f>IF($D27="","",V27*Y27/100)</f>
        <v/>
      </c>
      <c r="AA27" s="7">
        <f>IF($D27="","",V27-Z27)</f>
        <v/>
      </c>
      <c r="AB27" s="7">
        <f>IF($D27="","",AA27-N27)</f>
        <v/>
      </c>
      <c r="AF27" s="7" t="n"/>
      <c r="AI27" s="11" t="n"/>
      <c r="AK27">
        <f>IF($D27="","",IF(COUNTIF($D$2:$D27,$D27)=1,1,0))</f>
        <v/>
      </c>
      <c r="AL27">
        <f>IF($AK27=1,SUMPRODUCT(--($AO$2:$AO$3001&lt;$AO27))+1,"")</f>
        <v/>
      </c>
      <c r="AM27">
        <f>IF($D27="","",IF(OR($R27=TRUE(),$R27="TRUE"),1,0))</f>
        <v/>
      </c>
      <c r="AN27">
        <f>IF($D27="","",IF($X27="Yes",1,0))</f>
        <v/>
      </c>
      <c r="AO27">
        <f>IF($AK27=1,IFERROR(IF(VALUE($D27)&lt;100000000,VALUE($D27),1000000000),IFERROR(IF(VALUE(MID($D27,2,20))&lt;100000000,VALUE(MID($D27,2,20)),1000000000),1000000000))+ROW()/100000,"")</f>
        <v/>
      </c>
    </row>
    <row r="28">
      <c r="F28" s="11" t="n"/>
      <c r="N28" s="7">
        <f>IF($D28="","",M28*V28/100)</f>
        <v/>
      </c>
      <c r="O28" s="7" t="n"/>
      <c r="U28" s="7" t="n"/>
      <c r="V28" s="7" t="n"/>
      <c r="Y28">
        <f>IF($D28="","",IF($AN28=1,0,IF($AM28=1,Settings!$C$6,Settings!$C$7))*100)</f>
        <v/>
      </c>
      <c r="Z28" s="7">
        <f>IF($D28="","",V28*Y28/100)</f>
        <v/>
      </c>
      <c r="AA28" s="7">
        <f>IF($D28="","",V28-Z28)</f>
        <v/>
      </c>
      <c r="AB28" s="7">
        <f>IF($D28="","",AA28-N28)</f>
        <v/>
      </c>
      <c r="AF28" s="7" t="n"/>
      <c r="AI28" s="11" t="n"/>
      <c r="AK28">
        <f>IF($D28="","",IF(COUNTIF($D$2:$D28,$D28)=1,1,0))</f>
        <v/>
      </c>
      <c r="AL28">
        <f>IF($AK28=1,SUMPRODUCT(--($AO$2:$AO$3001&lt;$AO28))+1,"")</f>
        <v/>
      </c>
      <c r="AM28">
        <f>IF($D28="","",IF(OR($R28=TRUE(),$R28="TRUE"),1,0))</f>
        <v/>
      </c>
      <c r="AN28">
        <f>IF($D28="","",IF($X28="Yes",1,0))</f>
        <v/>
      </c>
      <c r="AO28">
        <f>IF($AK28=1,IFERROR(IF(VALUE($D28)&lt;100000000,VALUE($D28),1000000000),IFERROR(IF(VALUE(MID($D28,2,20))&lt;100000000,VALUE(MID($D28,2,20)),1000000000),1000000000))+ROW()/100000,"")</f>
        <v/>
      </c>
    </row>
    <row r="29">
      <c r="F29" s="11" t="n"/>
      <c r="N29" s="7">
        <f>IF($D29="","",M29*V29/100)</f>
        <v/>
      </c>
      <c r="O29" s="7" t="n"/>
      <c r="U29" s="7" t="n"/>
      <c r="V29" s="7" t="n"/>
      <c r="Y29">
        <f>IF($D29="","",IF($AN29=1,0,IF($AM29=1,Settings!$C$6,Settings!$C$7))*100)</f>
        <v/>
      </c>
      <c r="Z29" s="7">
        <f>IF($D29="","",V29*Y29/100)</f>
        <v/>
      </c>
      <c r="AA29" s="7">
        <f>IF($D29="","",V29-Z29)</f>
        <v/>
      </c>
      <c r="AB29" s="7">
        <f>IF($D29="","",AA29-N29)</f>
        <v/>
      </c>
      <c r="AF29" s="7" t="n"/>
      <c r="AI29" s="11" t="n"/>
      <c r="AK29">
        <f>IF($D29="","",IF(COUNTIF($D$2:$D29,$D29)=1,1,0))</f>
        <v/>
      </c>
      <c r="AL29">
        <f>IF($AK29=1,SUMPRODUCT(--($AO$2:$AO$3001&lt;$AO29))+1,"")</f>
        <v/>
      </c>
      <c r="AM29">
        <f>IF($D29="","",IF(OR($R29=TRUE(),$R29="TRUE"),1,0))</f>
        <v/>
      </c>
      <c r="AN29">
        <f>IF($D29="","",IF($X29="Yes",1,0))</f>
        <v/>
      </c>
      <c r="AO29">
        <f>IF($AK29=1,IFERROR(IF(VALUE($D29)&lt;100000000,VALUE($D29),1000000000),IFERROR(IF(VALUE(MID($D29,2,20))&lt;100000000,VALUE(MID($D29,2,20)),1000000000),1000000000))+ROW()/100000,"")</f>
        <v/>
      </c>
    </row>
    <row r="30">
      <c r="F30" s="11" t="n"/>
      <c r="N30" s="7">
        <f>IF($D30="","",M30*V30/100)</f>
        <v/>
      </c>
      <c r="O30" s="7" t="n"/>
      <c r="U30" s="7" t="n"/>
      <c r="V30" s="7" t="n"/>
      <c r="Y30">
        <f>IF($D30="","",IF($AN30=1,0,IF($AM30=1,Settings!$C$6,Settings!$C$7))*100)</f>
        <v/>
      </c>
      <c r="Z30" s="7">
        <f>IF($D30="","",V30*Y30/100)</f>
        <v/>
      </c>
      <c r="AA30" s="7">
        <f>IF($D30="","",V30-Z30)</f>
        <v/>
      </c>
      <c r="AB30" s="7">
        <f>IF($D30="","",AA30-N30)</f>
        <v/>
      </c>
      <c r="AF30" s="7" t="n"/>
      <c r="AI30" s="11" t="n"/>
      <c r="AK30">
        <f>IF($D30="","",IF(COUNTIF($D$2:$D30,$D30)=1,1,0))</f>
        <v/>
      </c>
      <c r="AL30">
        <f>IF($AK30=1,SUMPRODUCT(--($AO$2:$AO$3001&lt;$AO30))+1,"")</f>
        <v/>
      </c>
      <c r="AM30">
        <f>IF($D30="","",IF(OR($R30=TRUE(),$R30="TRUE"),1,0))</f>
        <v/>
      </c>
      <c r="AN30">
        <f>IF($D30="","",IF($X30="Yes",1,0))</f>
        <v/>
      </c>
      <c r="AO30">
        <f>IF($AK30=1,IFERROR(IF(VALUE($D30)&lt;100000000,VALUE($D30),1000000000),IFERROR(IF(VALUE(MID($D30,2,20))&lt;100000000,VALUE(MID($D30,2,20)),1000000000),1000000000))+ROW()/100000,"")</f>
        <v/>
      </c>
    </row>
    <row r="31">
      <c r="F31" s="11" t="n"/>
      <c r="N31" s="7">
        <f>IF($D31="","",M31*V31/100)</f>
        <v/>
      </c>
      <c r="O31" s="7" t="n"/>
      <c r="U31" s="7" t="n"/>
      <c r="V31" s="7" t="n"/>
      <c r="Y31">
        <f>IF($D31="","",IF($AN31=1,0,IF($AM31=1,Settings!$C$6,Settings!$C$7))*100)</f>
        <v/>
      </c>
      <c r="Z31" s="7">
        <f>IF($D31="","",V31*Y31/100)</f>
        <v/>
      </c>
      <c r="AA31" s="7">
        <f>IF($D31="","",V31-Z31)</f>
        <v/>
      </c>
      <c r="AB31" s="7">
        <f>IF($D31="","",AA31-N31)</f>
        <v/>
      </c>
      <c r="AF31" s="7" t="n"/>
      <c r="AI31" s="11" t="n"/>
      <c r="AK31">
        <f>IF($D31="","",IF(COUNTIF($D$2:$D31,$D31)=1,1,0))</f>
        <v/>
      </c>
      <c r="AL31">
        <f>IF($AK31=1,SUMPRODUCT(--($AO$2:$AO$3001&lt;$AO31))+1,"")</f>
        <v/>
      </c>
      <c r="AM31">
        <f>IF($D31="","",IF(OR($R31=TRUE(),$R31="TRUE"),1,0))</f>
        <v/>
      </c>
      <c r="AN31">
        <f>IF($D31="","",IF($X31="Yes",1,0))</f>
        <v/>
      </c>
      <c r="AO31">
        <f>IF($AK31=1,IFERROR(IF(VALUE($D31)&lt;100000000,VALUE($D31),1000000000),IFERROR(IF(VALUE(MID($D31,2,20))&lt;100000000,VALUE(MID($D31,2,20)),1000000000),1000000000))+ROW()/100000,"")</f>
        <v/>
      </c>
    </row>
    <row r="32">
      <c r="F32" s="11" t="n"/>
      <c r="N32" s="7">
        <f>IF($D32="","",M32*V32/100)</f>
        <v/>
      </c>
      <c r="O32" s="7" t="n"/>
      <c r="U32" s="7" t="n"/>
      <c r="V32" s="7" t="n"/>
      <c r="Y32">
        <f>IF($D32="","",IF($AN32=1,0,IF($AM32=1,Settings!$C$6,Settings!$C$7))*100)</f>
        <v/>
      </c>
      <c r="Z32" s="7">
        <f>IF($D32="","",V32*Y32/100)</f>
        <v/>
      </c>
      <c r="AA32" s="7">
        <f>IF($D32="","",V32-Z32)</f>
        <v/>
      </c>
      <c r="AB32" s="7">
        <f>IF($D32="","",AA32-N32)</f>
        <v/>
      </c>
      <c r="AF32" s="7" t="n"/>
      <c r="AI32" s="11" t="n"/>
      <c r="AK32">
        <f>IF($D32="","",IF(COUNTIF($D$2:$D32,$D32)=1,1,0))</f>
        <v/>
      </c>
      <c r="AL32">
        <f>IF($AK32=1,SUMPRODUCT(--($AO$2:$AO$3001&lt;$AO32))+1,"")</f>
        <v/>
      </c>
      <c r="AM32">
        <f>IF($D32="","",IF(OR($R32=TRUE(),$R32="TRUE"),1,0))</f>
        <v/>
      </c>
      <c r="AN32">
        <f>IF($D32="","",IF($X32="Yes",1,0))</f>
        <v/>
      </c>
      <c r="AO32">
        <f>IF($AK32=1,IFERROR(IF(VALUE($D32)&lt;100000000,VALUE($D32),1000000000),IFERROR(IF(VALUE(MID($D32,2,20))&lt;100000000,VALUE(MID($D32,2,20)),1000000000),1000000000))+ROW()/100000,"")</f>
        <v/>
      </c>
    </row>
    <row r="33">
      <c r="F33" s="11" t="n"/>
      <c r="N33" s="7">
        <f>IF($D33="","",M33*V33/100)</f>
        <v/>
      </c>
      <c r="O33" s="7" t="n"/>
      <c r="U33" s="7" t="n"/>
      <c r="V33" s="7" t="n"/>
      <c r="Y33">
        <f>IF($D33="","",IF($AN33=1,0,IF($AM33=1,Settings!$C$6,Settings!$C$7))*100)</f>
        <v/>
      </c>
      <c r="Z33" s="7">
        <f>IF($D33="","",V33*Y33/100)</f>
        <v/>
      </c>
      <c r="AA33" s="7">
        <f>IF($D33="","",V33-Z33)</f>
        <v/>
      </c>
      <c r="AB33" s="7">
        <f>IF($D33="","",AA33-N33)</f>
        <v/>
      </c>
      <c r="AF33" s="7" t="n"/>
      <c r="AI33" s="11" t="n"/>
      <c r="AK33">
        <f>IF($D33="","",IF(COUNTIF($D$2:$D33,$D33)=1,1,0))</f>
        <v/>
      </c>
      <c r="AL33">
        <f>IF($AK33=1,SUMPRODUCT(--($AO$2:$AO$3001&lt;$AO33))+1,"")</f>
        <v/>
      </c>
      <c r="AM33">
        <f>IF($D33="","",IF(OR($R33=TRUE(),$R33="TRUE"),1,0))</f>
        <v/>
      </c>
      <c r="AN33">
        <f>IF($D33="","",IF($X33="Yes",1,0))</f>
        <v/>
      </c>
      <c r="AO33">
        <f>IF($AK33=1,IFERROR(IF(VALUE($D33)&lt;100000000,VALUE($D33),1000000000),IFERROR(IF(VALUE(MID($D33,2,20))&lt;100000000,VALUE(MID($D33,2,20)),1000000000),1000000000))+ROW()/100000,"")</f>
        <v/>
      </c>
    </row>
    <row r="34">
      <c r="F34" s="11" t="n"/>
      <c r="N34" s="7">
        <f>IF($D34="","",M34*V34/100)</f>
        <v/>
      </c>
      <c r="O34" s="7" t="n"/>
      <c r="U34" s="7" t="n"/>
      <c r="V34" s="7" t="n"/>
      <c r="Y34">
        <f>IF($D34="","",IF($AN34=1,0,IF($AM34=1,Settings!$C$6,Settings!$C$7))*100)</f>
        <v/>
      </c>
      <c r="Z34" s="7">
        <f>IF($D34="","",V34*Y34/100)</f>
        <v/>
      </c>
      <c r="AA34" s="7">
        <f>IF($D34="","",V34-Z34)</f>
        <v/>
      </c>
      <c r="AB34" s="7">
        <f>IF($D34="","",AA34-N34)</f>
        <v/>
      </c>
      <c r="AF34" s="7" t="n"/>
      <c r="AI34" s="11" t="n"/>
      <c r="AK34">
        <f>IF($D34="","",IF(COUNTIF($D$2:$D34,$D34)=1,1,0))</f>
        <v/>
      </c>
      <c r="AL34">
        <f>IF($AK34=1,SUMPRODUCT(--($AO$2:$AO$3001&lt;$AO34))+1,"")</f>
        <v/>
      </c>
      <c r="AM34">
        <f>IF($D34="","",IF(OR($R34=TRUE(),$R34="TRUE"),1,0))</f>
        <v/>
      </c>
      <c r="AN34">
        <f>IF($D34="","",IF($X34="Yes",1,0))</f>
        <v/>
      </c>
      <c r="AO34">
        <f>IF($AK34=1,IFERROR(IF(VALUE($D34)&lt;100000000,VALUE($D34),1000000000),IFERROR(IF(VALUE(MID($D34,2,20))&lt;100000000,VALUE(MID($D34,2,20)),1000000000),1000000000))+ROW()/100000,"")</f>
        <v/>
      </c>
    </row>
    <row r="35">
      <c r="F35" s="11" t="n"/>
      <c r="N35" s="7">
        <f>IF($D35="","",M35*V35/100)</f>
        <v/>
      </c>
      <c r="O35" s="7" t="n"/>
      <c r="U35" s="7" t="n"/>
      <c r="V35" s="7" t="n"/>
      <c r="Y35">
        <f>IF($D35="","",IF($AN35=1,0,IF($AM35=1,Settings!$C$6,Settings!$C$7))*100)</f>
        <v/>
      </c>
      <c r="Z35" s="7">
        <f>IF($D35="","",V35*Y35/100)</f>
        <v/>
      </c>
      <c r="AA35" s="7">
        <f>IF($D35="","",V35-Z35)</f>
        <v/>
      </c>
      <c r="AB35" s="7">
        <f>IF($D35="","",AA35-N35)</f>
        <v/>
      </c>
      <c r="AF35" s="7" t="n"/>
      <c r="AI35" s="11" t="n"/>
      <c r="AK35">
        <f>IF($D35="","",IF(COUNTIF($D$2:$D35,$D35)=1,1,0))</f>
        <v/>
      </c>
      <c r="AL35">
        <f>IF($AK35=1,SUMPRODUCT(--($AO$2:$AO$3001&lt;$AO35))+1,"")</f>
        <v/>
      </c>
      <c r="AM35">
        <f>IF($D35="","",IF(OR($R35=TRUE(),$R35="TRUE"),1,0))</f>
        <v/>
      </c>
      <c r="AN35">
        <f>IF($D35="","",IF($X35="Yes",1,0))</f>
        <v/>
      </c>
      <c r="AO35">
        <f>IF($AK35=1,IFERROR(IF(VALUE($D35)&lt;100000000,VALUE($D35),1000000000),IFERROR(IF(VALUE(MID($D35,2,20))&lt;100000000,VALUE(MID($D35,2,20)),1000000000),1000000000))+ROW()/100000,"")</f>
        <v/>
      </c>
    </row>
    <row r="36">
      <c r="F36" s="11" t="n"/>
      <c r="N36" s="7">
        <f>IF($D36="","",M36*V36/100)</f>
        <v/>
      </c>
      <c r="O36" s="7" t="n"/>
      <c r="U36" s="7" t="n"/>
      <c r="V36" s="7" t="n"/>
      <c r="Y36">
        <f>IF($D36="","",IF($AN36=1,0,IF($AM36=1,Settings!$C$6,Settings!$C$7))*100)</f>
        <v/>
      </c>
      <c r="Z36" s="7">
        <f>IF($D36="","",V36*Y36/100)</f>
        <v/>
      </c>
      <c r="AA36" s="7">
        <f>IF($D36="","",V36-Z36)</f>
        <v/>
      </c>
      <c r="AB36" s="7">
        <f>IF($D36="","",AA36-N36)</f>
        <v/>
      </c>
      <c r="AF36" s="7" t="n"/>
      <c r="AI36" s="11" t="n"/>
      <c r="AK36">
        <f>IF($D36="","",IF(COUNTIF($D$2:$D36,$D36)=1,1,0))</f>
        <v/>
      </c>
      <c r="AL36">
        <f>IF($AK36=1,SUMPRODUCT(--($AO$2:$AO$3001&lt;$AO36))+1,"")</f>
        <v/>
      </c>
      <c r="AM36">
        <f>IF($D36="","",IF(OR($R36=TRUE(),$R36="TRUE"),1,0))</f>
        <v/>
      </c>
      <c r="AN36">
        <f>IF($D36="","",IF($X36="Yes",1,0))</f>
        <v/>
      </c>
      <c r="AO36">
        <f>IF($AK36=1,IFERROR(IF(VALUE($D36)&lt;100000000,VALUE($D36),1000000000),IFERROR(IF(VALUE(MID($D36,2,20))&lt;100000000,VALUE(MID($D36,2,20)),1000000000),1000000000))+ROW()/100000,"")</f>
        <v/>
      </c>
    </row>
    <row r="37">
      <c r="F37" s="11" t="n"/>
      <c r="N37" s="7">
        <f>IF($D37="","",M37*V37/100)</f>
        <v/>
      </c>
      <c r="O37" s="7" t="n"/>
      <c r="U37" s="7" t="n"/>
      <c r="V37" s="7" t="n"/>
      <c r="Y37">
        <f>IF($D37="","",IF($AN37=1,0,IF($AM37=1,Settings!$C$6,Settings!$C$7))*100)</f>
        <v/>
      </c>
      <c r="Z37" s="7">
        <f>IF($D37="","",V37*Y37/100)</f>
        <v/>
      </c>
      <c r="AA37" s="7">
        <f>IF($D37="","",V37-Z37)</f>
        <v/>
      </c>
      <c r="AB37" s="7">
        <f>IF($D37="","",AA37-N37)</f>
        <v/>
      </c>
      <c r="AF37" s="7" t="n"/>
      <c r="AI37" s="11" t="n"/>
      <c r="AK37">
        <f>IF($D37="","",IF(COUNTIF($D$2:$D37,$D37)=1,1,0))</f>
        <v/>
      </c>
      <c r="AL37">
        <f>IF($AK37=1,SUMPRODUCT(--($AO$2:$AO$3001&lt;$AO37))+1,"")</f>
        <v/>
      </c>
      <c r="AM37">
        <f>IF($D37="","",IF(OR($R37=TRUE(),$R37="TRUE"),1,0))</f>
        <v/>
      </c>
      <c r="AN37">
        <f>IF($D37="","",IF($X37="Yes",1,0))</f>
        <v/>
      </c>
      <c r="AO37">
        <f>IF($AK37=1,IFERROR(IF(VALUE($D37)&lt;100000000,VALUE($D37),1000000000),IFERROR(IF(VALUE(MID($D37,2,20))&lt;100000000,VALUE(MID($D37,2,20)),1000000000),1000000000))+ROW()/100000,"")</f>
        <v/>
      </c>
    </row>
    <row r="38">
      <c r="F38" s="11" t="n"/>
      <c r="N38" s="7">
        <f>IF($D38="","",M38*V38/100)</f>
        <v/>
      </c>
      <c r="O38" s="7" t="n"/>
      <c r="U38" s="7" t="n"/>
      <c r="V38" s="7" t="n"/>
      <c r="Y38">
        <f>IF($D38="","",IF($AN38=1,0,IF($AM38=1,Settings!$C$6,Settings!$C$7))*100)</f>
        <v/>
      </c>
      <c r="Z38" s="7">
        <f>IF($D38="","",V38*Y38/100)</f>
        <v/>
      </c>
      <c r="AA38" s="7">
        <f>IF($D38="","",V38-Z38)</f>
        <v/>
      </c>
      <c r="AB38" s="7">
        <f>IF($D38="","",AA38-N38)</f>
        <v/>
      </c>
      <c r="AF38" s="7" t="n"/>
      <c r="AI38" s="11" t="n"/>
      <c r="AK38">
        <f>IF($D38="","",IF(COUNTIF($D$2:$D38,$D38)=1,1,0))</f>
        <v/>
      </c>
      <c r="AL38">
        <f>IF($AK38=1,SUMPRODUCT(--($AO$2:$AO$3001&lt;$AO38))+1,"")</f>
        <v/>
      </c>
      <c r="AM38">
        <f>IF($D38="","",IF(OR($R38=TRUE(),$R38="TRUE"),1,0))</f>
        <v/>
      </c>
      <c r="AN38">
        <f>IF($D38="","",IF($X38="Yes",1,0))</f>
        <v/>
      </c>
      <c r="AO38">
        <f>IF($AK38=1,IFERROR(IF(VALUE($D38)&lt;100000000,VALUE($D38),1000000000),IFERROR(IF(VALUE(MID($D38,2,20))&lt;100000000,VALUE(MID($D38,2,20)),1000000000),1000000000))+ROW()/100000,"")</f>
        <v/>
      </c>
    </row>
    <row r="39">
      <c r="F39" s="11" t="n"/>
      <c r="N39" s="7">
        <f>IF($D39="","",M39*V39/100)</f>
        <v/>
      </c>
      <c r="O39" s="7" t="n"/>
      <c r="U39" s="7" t="n"/>
      <c r="V39" s="7" t="n"/>
      <c r="Y39">
        <f>IF($D39="","",IF($AN39=1,0,IF($AM39=1,Settings!$C$6,Settings!$C$7))*100)</f>
        <v/>
      </c>
      <c r="Z39" s="7">
        <f>IF($D39="","",V39*Y39/100)</f>
        <v/>
      </c>
      <c r="AA39" s="7">
        <f>IF($D39="","",V39-Z39)</f>
        <v/>
      </c>
      <c r="AB39" s="7">
        <f>IF($D39="","",AA39-N39)</f>
        <v/>
      </c>
      <c r="AF39" s="7" t="n"/>
      <c r="AI39" s="11" t="n"/>
      <c r="AK39">
        <f>IF($D39="","",IF(COUNTIF($D$2:$D39,$D39)=1,1,0))</f>
        <v/>
      </c>
      <c r="AL39">
        <f>IF($AK39=1,SUMPRODUCT(--($AO$2:$AO$3001&lt;$AO39))+1,"")</f>
        <v/>
      </c>
      <c r="AM39">
        <f>IF($D39="","",IF(OR($R39=TRUE(),$R39="TRUE"),1,0))</f>
        <v/>
      </c>
      <c r="AN39">
        <f>IF($D39="","",IF($X39="Yes",1,0))</f>
        <v/>
      </c>
      <c r="AO39">
        <f>IF($AK39=1,IFERROR(IF(VALUE($D39)&lt;100000000,VALUE($D39),1000000000),IFERROR(IF(VALUE(MID($D39,2,20))&lt;100000000,VALUE(MID($D39,2,20)),1000000000),1000000000))+ROW()/100000,"")</f>
        <v/>
      </c>
    </row>
    <row r="40">
      <c r="F40" s="11" t="n"/>
      <c r="N40" s="7">
        <f>IF($D40="","",M40*V40/100)</f>
        <v/>
      </c>
      <c r="O40" s="7" t="n"/>
      <c r="U40" s="7" t="n"/>
      <c r="V40" s="7" t="n"/>
      <c r="Y40">
        <f>IF($D40="","",IF($AN40=1,0,IF($AM40=1,Settings!$C$6,Settings!$C$7))*100)</f>
        <v/>
      </c>
      <c r="Z40" s="7">
        <f>IF($D40="","",V40*Y40/100)</f>
        <v/>
      </c>
      <c r="AA40" s="7">
        <f>IF($D40="","",V40-Z40)</f>
        <v/>
      </c>
      <c r="AB40" s="7">
        <f>IF($D40="","",AA40-N40)</f>
        <v/>
      </c>
      <c r="AF40" s="7" t="n"/>
      <c r="AI40" s="11" t="n"/>
      <c r="AK40">
        <f>IF($D40="","",IF(COUNTIF($D$2:$D40,$D40)=1,1,0))</f>
        <v/>
      </c>
      <c r="AL40">
        <f>IF($AK40=1,SUMPRODUCT(--($AO$2:$AO$3001&lt;$AO40))+1,"")</f>
        <v/>
      </c>
      <c r="AM40">
        <f>IF($D40="","",IF(OR($R40=TRUE(),$R40="TRUE"),1,0))</f>
        <v/>
      </c>
      <c r="AN40">
        <f>IF($D40="","",IF($X40="Yes",1,0))</f>
        <v/>
      </c>
      <c r="AO40">
        <f>IF($AK40=1,IFERROR(IF(VALUE($D40)&lt;100000000,VALUE($D40),1000000000),IFERROR(IF(VALUE(MID($D40,2,20))&lt;100000000,VALUE(MID($D40,2,20)),1000000000),1000000000))+ROW()/100000,"")</f>
        <v/>
      </c>
    </row>
    <row r="41">
      <c r="F41" s="11" t="n"/>
      <c r="N41" s="7">
        <f>IF($D41="","",M41*V41/100)</f>
        <v/>
      </c>
      <c r="O41" s="7" t="n"/>
      <c r="U41" s="7" t="n"/>
      <c r="V41" s="7" t="n"/>
      <c r="Y41">
        <f>IF($D41="","",IF($AN41=1,0,IF($AM41=1,Settings!$C$6,Settings!$C$7))*100)</f>
        <v/>
      </c>
      <c r="Z41" s="7">
        <f>IF($D41="","",V41*Y41/100)</f>
        <v/>
      </c>
      <c r="AA41" s="7">
        <f>IF($D41="","",V41-Z41)</f>
        <v/>
      </c>
      <c r="AB41" s="7">
        <f>IF($D41="","",AA41-N41)</f>
        <v/>
      </c>
      <c r="AF41" s="7" t="n"/>
      <c r="AI41" s="11" t="n"/>
      <c r="AK41">
        <f>IF($D41="","",IF(COUNTIF($D$2:$D41,$D41)=1,1,0))</f>
        <v/>
      </c>
      <c r="AL41">
        <f>IF($AK41=1,SUMPRODUCT(--($AO$2:$AO$3001&lt;$AO41))+1,"")</f>
        <v/>
      </c>
      <c r="AM41">
        <f>IF($D41="","",IF(OR($R41=TRUE(),$R41="TRUE"),1,0))</f>
        <v/>
      </c>
      <c r="AN41">
        <f>IF($D41="","",IF($X41="Yes",1,0))</f>
        <v/>
      </c>
      <c r="AO41">
        <f>IF($AK41=1,IFERROR(IF(VALUE($D41)&lt;100000000,VALUE($D41),1000000000),IFERROR(IF(VALUE(MID($D41,2,20))&lt;100000000,VALUE(MID($D41,2,20)),1000000000),1000000000))+ROW()/100000,"")</f>
        <v/>
      </c>
    </row>
    <row r="42">
      <c r="F42" s="11" t="n"/>
      <c r="N42" s="7">
        <f>IF($D42="","",M42*V42/100)</f>
        <v/>
      </c>
      <c r="O42" s="7" t="n"/>
      <c r="U42" s="7" t="n"/>
      <c r="V42" s="7" t="n"/>
      <c r="Y42">
        <f>IF($D42="","",IF($AN42=1,0,IF($AM42=1,Settings!$C$6,Settings!$C$7))*100)</f>
        <v/>
      </c>
      <c r="Z42" s="7">
        <f>IF($D42="","",V42*Y42/100)</f>
        <v/>
      </c>
      <c r="AA42" s="7">
        <f>IF($D42="","",V42-Z42)</f>
        <v/>
      </c>
      <c r="AB42" s="7">
        <f>IF($D42="","",AA42-N42)</f>
        <v/>
      </c>
      <c r="AF42" s="7" t="n"/>
      <c r="AI42" s="11" t="n"/>
      <c r="AK42">
        <f>IF($D42="","",IF(COUNTIF($D$2:$D42,$D42)=1,1,0))</f>
        <v/>
      </c>
      <c r="AL42">
        <f>IF($AK42=1,SUMPRODUCT(--($AO$2:$AO$3001&lt;$AO42))+1,"")</f>
        <v/>
      </c>
      <c r="AM42">
        <f>IF($D42="","",IF(OR($R42=TRUE(),$R42="TRUE"),1,0))</f>
        <v/>
      </c>
      <c r="AN42">
        <f>IF($D42="","",IF($X42="Yes",1,0))</f>
        <v/>
      </c>
      <c r="AO42">
        <f>IF($AK42=1,IFERROR(IF(VALUE($D42)&lt;100000000,VALUE($D42),1000000000),IFERROR(IF(VALUE(MID($D42,2,20))&lt;100000000,VALUE(MID($D42,2,20)),1000000000),1000000000))+ROW()/100000,"")</f>
        <v/>
      </c>
    </row>
    <row r="43">
      <c r="F43" s="11" t="n"/>
      <c r="N43" s="7">
        <f>IF($D43="","",M43*V43/100)</f>
        <v/>
      </c>
      <c r="O43" s="7" t="n"/>
      <c r="U43" s="7" t="n"/>
      <c r="V43" s="7" t="n"/>
      <c r="Y43">
        <f>IF($D43="","",IF($AN43=1,0,IF($AM43=1,Settings!$C$6,Settings!$C$7))*100)</f>
        <v/>
      </c>
      <c r="Z43" s="7">
        <f>IF($D43="","",V43*Y43/100)</f>
        <v/>
      </c>
      <c r="AA43" s="7">
        <f>IF($D43="","",V43-Z43)</f>
        <v/>
      </c>
      <c r="AB43" s="7">
        <f>IF($D43="","",AA43-N43)</f>
        <v/>
      </c>
      <c r="AF43" s="7" t="n"/>
      <c r="AI43" s="11" t="n"/>
      <c r="AK43">
        <f>IF($D43="","",IF(COUNTIF($D$2:$D43,$D43)=1,1,0))</f>
        <v/>
      </c>
      <c r="AL43">
        <f>IF($AK43=1,SUMPRODUCT(--($AO$2:$AO$3001&lt;$AO43))+1,"")</f>
        <v/>
      </c>
      <c r="AM43">
        <f>IF($D43="","",IF(OR($R43=TRUE(),$R43="TRUE"),1,0))</f>
        <v/>
      </c>
      <c r="AN43">
        <f>IF($D43="","",IF($X43="Yes",1,0))</f>
        <v/>
      </c>
      <c r="AO43">
        <f>IF($AK43=1,IFERROR(IF(VALUE($D43)&lt;100000000,VALUE($D43),1000000000),IFERROR(IF(VALUE(MID($D43,2,20))&lt;100000000,VALUE(MID($D43,2,20)),1000000000),1000000000))+ROW()/100000,"")</f>
        <v/>
      </c>
    </row>
    <row r="44">
      <c r="F44" s="11" t="n"/>
      <c r="N44" s="7">
        <f>IF($D44="","",M44*V44/100)</f>
        <v/>
      </c>
      <c r="O44" s="7" t="n"/>
      <c r="U44" s="7" t="n"/>
      <c r="V44" s="7" t="n"/>
      <c r="Y44">
        <f>IF($D44="","",IF($AN44=1,0,IF($AM44=1,Settings!$C$6,Settings!$C$7))*100)</f>
        <v/>
      </c>
      <c r="Z44" s="7">
        <f>IF($D44="","",V44*Y44/100)</f>
        <v/>
      </c>
      <c r="AA44" s="7">
        <f>IF($D44="","",V44-Z44)</f>
        <v/>
      </c>
      <c r="AB44" s="7">
        <f>IF($D44="","",AA44-N44)</f>
        <v/>
      </c>
      <c r="AF44" s="7" t="n"/>
      <c r="AI44" s="11" t="n"/>
      <c r="AK44">
        <f>IF($D44="","",IF(COUNTIF($D$2:$D44,$D44)=1,1,0))</f>
        <v/>
      </c>
      <c r="AL44">
        <f>IF($AK44=1,SUMPRODUCT(--($AO$2:$AO$3001&lt;$AO44))+1,"")</f>
        <v/>
      </c>
      <c r="AM44">
        <f>IF($D44="","",IF(OR($R44=TRUE(),$R44="TRUE"),1,0))</f>
        <v/>
      </c>
      <c r="AN44">
        <f>IF($D44="","",IF($X44="Yes",1,0))</f>
        <v/>
      </c>
      <c r="AO44">
        <f>IF($AK44=1,IFERROR(IF(VALUE($D44)&lt;100000000,VALUE($D44),1000000000),IFERROR(IF(VALUE(MID($D44,2,20))&lt;100000000,VALUE(MID($D44,2,20)),1000000000),1000000000))+ROW()/100000,"")</f>
        <v/>
      </c>
    </row>
    <row r="45">
      <c r="F45" s="11" t="n"/>
      <c r="N45" s="7">
        <f>IF($D45="","",M45*V45/100)</f>
        <v/>
      </c>
      <c r="O45" s="7" t="n"/>
      <c r="U45" s="7" t="n"/>
      <c r="V45" s="7" t="n"/>
      <c r="Y45">
        <f>IF($D45="","",IF($AN45=1,0,IF($AM45=1,Settings!$C$6,Settings!$C$7))*100)</f>
        <v/>
      </c>
      <c r="Z45" s="7">
        <f>IF($D45="","",V45*Y45/100)</f>
        <v/>
      </c>
      <c r="AA45" s="7">
        <f>IF($D45="","",V45-Z45)</f>
        <v/>
      </c>
      <c r="AB45" s="7">
        <f>IF($D45="","",AA45-N45)</f>
        <v/>
      </c>
      <c r="AF45" s="7" t="n"/>
      <c r="AI45" s="11" t="n"/>
      <c r="AK45">
        <f>IF($D45="","",IF(COUNTIF($D$2:$D45,$D45)=1,1,0))</f>
        <v/>
      </c>
      <c r="AL45">
        <f>IF($AK45=1,SUMPRODUCT(--($AO$2:$AO$3001&lt;$AO45))+1,"")</f>
        <v/>
      </c>
      <c r="AM45">
        <f>IF($D45="","",IF(OR($R45=TRUE(),$R45="TRUE"),1,0))</f>
        <v/>
      </c>
      <c r="AN45">
        <f>IF($D45="","",IF($X45="Yes",1,0))</f>
        <v/>
      </c>
      <c r="AO45">
        <f>IF($AK45=1,IFERROR(IF(VALUE($D45)&lt;100000000,VALUE($D45),1000000000),IFERROR(IF(VALUE(MID($D45,2,20))&lt;100000000,VALUE(MID($D45,2,20)),1000000000),1000000000))+ROW()/100000,"")</f>
        <v/>
      </c>
    </row>
    <row r="46">
      <c r="F46" s="11" t="n"/>
      <c r="N46" s="7">
        <f>IF($D46="","",M46*V46/100)</f>
        <v/>
      </c>
      <c r="O46" s="7" t="n"/>
      <c r="U46" s="7" t="n"/>
      <c r="V46" s="7" t="n"/>
      <c r="Y46">
        <f>IF($D46="","",IF($AN46=1,0,IF($AM46=1,Settings!$C$6,Settings!$C$7))*100)</f>
        <v/>
      </c>
      <c r="Z46" s="7">
        <f>IF($D46="","",V46*Y46/100)</f>
        <v/>
      </c>
      <c r="AA46" s="7">
        <f>IF($D46="","",V46-Z46)</f>
        <v/>
      </c>
      <c r="AB46" s="7">
        <f>IF($D46="","",AA46-N46)</f>
        <v/>
      </c>
      <c r="AF46" s="7" t="n"/>
      <c r="AI46" s="11" t="n"/>
      <c r="AK46">
        <f>IF($D46="","",IF(COUNTIF($D$2:$D46,$D46)=1,1,0))</f>
        <v/>
      </c>
      <c r="AL46">
        <f>IF($AK46=1,SUMPRODUCT(--($AO$2:$AO$3001&lt;$AO46))+1,"")</f>
        <v/>
      </c>
      <c r="AM46">
        <f>IF($D46="","",IF(OR($R46=TRUE(),$R46="TRUE"),1,0))</f>
        <v/>
      </c>
      <c r="AN46">
        <f>IF($D46="","",IF($X46="Yes",1,0))</f>
        <v/>
      </c>
      <c r="AO46">
        <f>IF($AK46=1,IFERROR(IF(VALUE($D46)&lt;100000000,VALUE($D46),1000000000),IFERROR(IF(VALUE(MID($D46,2,20))&lt;100000000,VALUE(MID($D46,2,20)),1000000000),1000000000))+ROW()/100000,"")</f>
        <v/>
      </c>
    </row>
    <row r="47">
      <c r="F47" s="11" t="n"/>
      <c r="N47" s="7">
        <f>IF($D47="","",M47*V47/100)</f>
        <v/>
      </c>
      <c r="O47" s="7" t="n"/>
      <c r="U47" s="7" t="n"/>
      <c r="V47" s="7" t="n"/>
      <c r="Y47">
        <f>IF($D47="","",IF($AN47=1,0,IF($AM47=1,Settings!$C$6,Settings!$C$7))*100)</f>
        <v/>
      </c>
      <c r="Z47" s="7">
        <f>IF($D47="","",V47*Y47/100)</f>
        <v/>
      </c>
      <c r="AA47" s="7">
        <f>IF($D47="","",V47-Z47)</f>
        <v/>
      </c>
      <c r="AB47" s="7">
        <f>IF($D47="","",AA47-N47)</f>
        <v/>
      </c>
      <c r="AF47" s="7" t="n"/>
      <c r="AI47" s="11" t="n"/>
      <c r="AK47">
        <f>IF($D47="","",IF(COUNTIF($D$2:$D47,$D47)=1,1,0))</f>
        <v/>
      </c>
      <c r="AL47">
        <f>IF($AK47=1,SUMPRODUCT(--($AO$2:$AO$3001&lt;$AO47))+1,"")</f>
        <v/>
      </c>
      <c r="AM47">
        <f>IF($D47="","",IF(OR($R47=TRUE(),$R47="TRUE"),1,0))</f>
        <v/>
      </c>
      <c r="AN47">
        <f>IF($D47="","",IF($X47="Yes",1,0))</f>
        <v/>
      </c>
      <c r="AO47">
        <f>IF($AK47=1,IFERROR(IF(VALUE($D47)&lt;100000000,VALUE($D47),1000000000),IFERROR(IF(VALUE(MID($D47,2,20))&lt;100000000,VALUE(MID($D47,2,20)),1000000000),1000000000))+ROW()/100000,"")</f>
        <v/>
      </c>
    </row>
    <row r="48">
      <c r="F48" s="11" t="n"/>
      <c r="N48" s="7">
        <f>IF($D48="","",M48*V48/100)</f>
        <v/>
      </c>
      <c r="O48" s="7" t="n"/>
      <c r="U48" s="7" t="n"/>
      <c r="V48" s="7" t="n"/>
      <c r="Y48">
        <f>IF($D48="","",IF($AN48=1,0,IF($AM48=1,Settings!$C$6,Settings!$C$7))*100)</f>
        <v/>
      </c>
      <c r="Z48" s="7">
        <f>IF($D48="","",V48*Y48/100)</f>
        <v/>
      </c>
      <c r="AA48" s="7">
        <f>IF($D48="","",V48-Z48)</f>
        <v/>
      </c>
      <c r="AB48" s="7">
        <f>IF($D48="","",AA48-N48)</f>
        <v/>
      </c>
      <c r="AF48" s="7" t="n"/>
      <c r="AI48" s="11" t="n"/>
      <c r="AK48">
        <f>IF($D48="","",IF(COUNTIF($D$2:$D48,$D48)=1,1,0))</f>
        <v/>
      </c>
      <c r="AL48">
        <f>IF($AK48=1,SUMPRODUCT(--($AO$2:$AO$3001&lt;$AO48))+1,"")</f>
        <v/>
      </c>
      <c r="AM48">
        <f>IF($D48="","",IF(OR($R48=TRUE(),$R48="TRUE"),1,0))</f>
        <v/>
      </c>
      <c r="AN48">
        <f>IF($D48="","",IF($X48="Yes",1,0))</f>
        <v/>
      </c>
      <c r="AO48">
        <f>IF($AK48=1,IFERROR(IF(VALUE($D48)&lt;100000000,VALUE($D48),1000000000),IFERROR(IF(VALUE(MID($D48,2,20))&lt;100000000,VALUE(MID($D48,2,20)),1000000000),1000000000))+ROW()/100000,"")</f>
        <v/>
      </c>
    </row>
    <row r="49">
      <c r="F49" s="11" t="n"/>
      <c r="N49" s="7">
        <f>IF($D49="","",M49*V49/100)</f>
        <v/>
      </c>
      <c r="O49" s="7" t="n"/>
      <c r="U49" s="7" t="n"/>
      <c r="V49" s="7" t="n"/>
      <c r="Y49">
        <f>IF($D49="","",IF($AN49=1,0,IF($AM49=1,Settings!$C$6,Settings!$C$7))*100)</f>
        <v/>
      </c>
      <c r="Z49" s="7">
        <f>IF($D49="","",V49*Y49/100)</f>
        <v/>
      </c>
      <c r="AA49" s="7">
        <f>IF($D49="","",V49-Z49)</f>
        <v/>
      </c>
      <c r="AB49" s="7">
        <f>IF($D49="","",AA49-N49)</f>
        <v/>
      </c>
      <c r="AF49" s="7" t="n"/>
      <c r="AI49" s="11" t="n"/>
      <c r="AK49">
        <f>IF($D49="","",IF(COUNTIF($D$2:$D49,$D49)=1,1,0))</f>
        <v/>
      </c>
      <c r="AL49">
        <f>IF($AK49=1,SUMPRODUCT(--($AO$2:$AO$3001&lt;$AO49))+1,"")</f>
        <v/>
      </c>
      <c r="AM49">
        <f>IF($D49="","",IF(OR($R49=TRUE(),$R49="TRUE"),1,0))</f>
        <v/>
      </c>
      <c r="AN49">
        <f>IF($D49="","",IF($X49="Yes",1,0))</f>
        <v/>
      </c>
      <c r="AO49">
        <f>IF($AK49=1,IFERROR(IF(VALUE($D49)&lt;100000000,VALUE($D49),1000000000),IFERROR(IF(VALUE(MID($D49,2,20))&lt;100000000,VALUE(MID($D49,2,20)),1000000000),1000000000))+ROW()/100000,"")</f>
        <v/>
      </c>
    </row>
    <row r="50">
      <c r="F50" s="11" t="n"/>
      <c r="N50" s="7">
        <f>IF($D50="","",M50*V50/100)</f>
        <v/>
      </c>
      <c r="O50" s="7" t="n"/>
      <c r="U50" s="7" t="n"/>
      <c r="V50" s="7" t="n"/>
      <c r="Y50">
        <f>IF($D50="","",IF($AN50=1,0,IF($AM50=1,Settings!$C$6,Settings!$C$7))*100)</f>
        <v/>
      </c>
      <c r="Z50" s="7">
        <f>IF($D50="","",V50*Y50/100)</f>
        <v/>
      </c>
      <c r="AA50" s="7">
        <f>IF($D50="","",V50-Z50)</f>
        <v/>
      </c>
      <c r="AB50" s="7">
        <f>IF($D50="","",AA50-N50)</f>
        <v/>
      </c>
      <c r="AF50" s="7" t="n"/>
      <c r="AI50" s="11" t="n"/>
      <c r="AK50">
        <f>IF($D50="","",IF(COUNTIF($D$2:$D50,$D50)=1,1,0))</f>
        <v/>
      </c>
      <c r="AL50">
        <f>IF($AK50=1,SUMPRODUCT(--($AO$2:$AO$3001&lt;$AO50))+1,"")</f>
        <v/>
      </c>
      <c r="AM50">
        <f>IF($D50="","",IF(OR($R50=TRUE(),$R50="TRUE"),1,0))</f>
        <v/>
      </c>
      <c r="AN50">
        <f>IF($D50="","",IF($X50="Yes",1,0))</f>
        <v/>
      </c>
      <c r="AO50">
        <f>IF($AK50=1,IFERROR(IF(VALUE($D50)&lt;100000000,VALUE($D50),1000000000),IFERROR(IF(VALUE(MID($D50,2,20))&lt;100000000,VALUE(MID($D50,2,20)),1000000000),1000000000))+ROW()/100000,"")</f>
        <v/>
      </c>
    </row>
    <row r="51">
      <c r="F51" s="11" t="n"/>
      <c r="N51" s="7">
        <f>IF($D51="","",M51*V51/100)</f>
        <v/>
      </c>
      <c r="O51" s="7" t="n"/>
      <c r="U51" s="7" t="n"/>
      <c r="V51" s="7" t="n"/>
      <c r="Y51">
        <f>IF($D51="","",IF($AN51=1,0,IF($AM51=1,Settings!$C$6,Settings!$C$7))*100)</f>
        <v/>
      </c>
      <c r="Z51" s="7">
        <f>IF($D51="","",V51*Y51/100)</f>
        <v/>
      </c>
      <c r="AA51" s="7">
        <f>IF($D51="","",V51-Z51)</f>
        <v/>
      </c>
      <c r="AB51" s="7">
        <f>IF($D51="","",AA51-N51)</f>
        <v/>
      </c>
      <c r="AF51" s="7" t="n"/>
      <c r="AI51" s="11" t="n"/>
      <c r="AK51">
        <f>IF($D51="","",IF(COUNTIF($D$2:$D51,$D51)=1,1,0))</f>
        <v/>
      </c>
      <c r="AL51">
        <f>IF($AK51=1,SUMPRODUCT(--($AO$2:$AO$3001&lt;$AO51))+1,"")</f>
        <v/>
      </c>
      <c r="AM51">
        <f>IF($D51="","",IF(OR($R51=TRUE(),$R51="TRUE"),1,0))</f>
        <v/>
      </c>
      <c r="AN51">
        <f>IF($D51="","",IF($X51="Yes",1,0))</f>
        <v/>
      </c>
      <c r="AO51">
        <f>IF($AK51=1,IFERROR(IF(VALUE($D51)&lt;100000000,VALUE($D51),1000000000),IFERROR(IF(VALUE(MID($D51,2,20))&lt;100000000,VALUE(MID($D51,2,20)),1000000000),1000000000))+ROW()/100000,"")</f>
        <v/>
      </c>
    </row>
    <row r="52">
      <c r="F52" s="11" t="n"/>
      <c r="N52" s="7">
        <f>IF($D52="","",M52*V52/100)</f>
        <v/>
      </c>
      <c r="O52" s="7" t="n"/>
      <c r="U52" s="7" t="n"/>
      <c r="V52" s="7" t="n"/>
      <c r="Y52">
        <f>IF($D52="","",IF($AN52=1,0,IF($AM52=1,Settings!$C$6,Settings!$C$7))*100)</f>
        <v/>
      </c>
      <c r="Z52" s="7">
        <f>IF($D52="","",V52*Y52/100)</f>
        <v/>
      </c>
      <c r="AA52" s="7">
        <f>IF($D52="","",V52-Z52)</f>
        <v/>
      </c>
      <c r="AB52" s="7">
        <f>IF($D52="","",AA52-N52)</f>
        <v/>
      </c>
      <c r="AF52" s="7" t="n"/>
      <c r="AI52" s="11" t="n"/>
      <c r="AK52">
        <f>IF($D52="","",IF(COUNTIF($D$2:$D52,$D52)=1,1,0))</f>
        <v/>
      </c>
      <c r="AL52">
        <f>IF($AK52=1,SUMPRODUCT(--($AO$2:$AO$3001&lt;$AO52))+1,"")</f>
        <v/>
      </c>
      <c r="AM52">
        <f>IF($D52="","",IF(OR($R52=TRUE(),$R52="TRUE"),1,0))</f>
        <v/>
      </c>
      <c r="AN52">
        <f>IF($D52="","",IF($X52="Yes",1,0))</f>
        <v/>
      </c>
      <c r="AO52">
        <f>IF($AK52=1,IFERROR(IF(VALUE($D52)&lt;100000000,VALUE($D52),1000000000),IFERROR(IF(VALUE(MID($D52,2,20))&lt;100000000,VALUE(MID($D52,2,20)),1000000000),1000000000))+ROW()/100000,"")</f>
        <v/>
      </c>
    </row>
    <row r="53">
      <c r="F53" s="11" t="n"/>
      <c r="N53" s="7">
        <f>IF($D53="","",M53*V53/100)</f>
        <v/>
      </c>
      <c r="O53" s="7" t="n"/>
      <c r="U53" s="7" t="n"/>
      <c r="V53" s="7" t="n"/>
      <c r="Y53">
        <f>IF($D53="","",IF($AN53=1,0,IF($AM53=1,Settings!$C$6,Settings!$C$7))*100)</f>
        <v/>
      </c>
      <c r="Z53" s="7">
        <f>IF($D53="","",V53*Y53/100)</f>
        <v/>
      </c>
      <c r="AA53" s="7">
        <f>IF($D53="","",V53-Z53)</f>
        <v/>
      </c>
      <c r="AB53" s="7">
        <f>IF($D53="","",AA53-N53)</f>
        <v/>
      </c>
      <c r="AF53" s="7" t="n"/>
      <c r="AI53" s="11" t="n"/>
      <c r="AK53">
        <f>IF($D53="","",IF(COUNTIF($D$2:$D53,$D53)=1,1,0))</f>
        <v/>
      </c>
      <c r="AL53">
        <f>IF($AK53=1,SUMPRODUCT(--($AO$2:$AO$3001&lt;$AO53))+1,"")</f>
        <v/>
      </c>
      <c r="AM53">
        <f>IF($D53="","",IF(OR($R53=TRUE(),$R53="TRUE"),1,0))</f>
        <v/>
      </c>
      <c r="AN53">
        <f>IF($D53="","",IF($X53="Yes",1,0))</f>
        <v/>
      </c>
      <c r="AO53">
        <f>IF($AK53=1,IFERROR(IF(VALUE($D53)&lt;100000000,VALUE($D53),1000000000),IFERROR(IF(VALUE(MID($D53,2,20))&lt;100000000,VALUE(MID($D53,2,20)),1000000000),1000000000))+ROW()/100000,"")</f>
        <v/>
      </c>
    </row>
    <row r="54">
      <c r="F54" s="11" t="n"/>
      <c r="N54" s="7">
        <f>IF($D54="","",M54*V54/100)</f>
        <v/>
      </c>
      <c r="O54" s="7" t="n"/>
      <c r="U54" s="7" t="n"/>
      <c r="V54" s="7" t="n"/>
      <c r="Y54">
        <f>IF($D54="","",IF($AN54=1,0,IF($AM54=1,Settings!$C$6,Settings!$C$7))*100)</f>
        <v/>
      </c>
      <c r="Z54" s="7">
        <f>IF($D54="","",V54*Y54/100)</f>
        <v/>
      </c>
      <c r="AA54" s="7">
        <f>IF($D54="","",V54-Z54)</f>
        <v/>
      </c>
      <c r="AB54" s="7">
        <f>IF($D54="","",AA54-N54)</f>
        <v/>
      </c>
      <c r="AF54" s="7" t="n"/>
      <c r="AI54" s="11" t="n"/>
      <c r="AK54">
        <f>IF($D54="","",IF(COUNTIF($D$2:$D54,$D54)=1,1,0))</f>
        <v/>
      </c>
      <c r="AL54">
        <f>IF($AK54=1,SUMPRODUCT(--($AO$2:$AO$3001&lt;$AO54))+1,"")</f>
        <v/>
      </c>
      <c r="AM54">
        <f>IF($D54="","",IF(OR($R54=TRUE(),$R54="TRUE"),1,0))</f>
        <v/>
      </c>
      <c r="AN54">
        <f>IF($D54="","",IF($X54="Yes",1,0))</f>
        <v/>
      </c>
      <c r="AO54">
        <f>IF($AK54=1,IFERROR(IF(VALUE($D54)&lt;100000000,VALUE($D54),1000000000),IFERROR(IF(VALUE(MID($D54,2,20))&lt;100000000,VALUE(MID($D54,2,20)),1000000000),1000000000))+ROW()/100000,"")</f>
        <v/>
      </c>
    </row>
    <row r="55">
      <c r="F55" s="11" t="n"/>
      <c r="N55" s="7">
        <f>IF($D55="","",M55*V55/100)</f>
        <v/>
      </c>
      <c r="O55" s="7" t="n"/>
      <c r="U55" s="7" t="n"/>
      <c r="V55" s="7" t="n"/>
      <c r="Y55">
        <f>IF($D55="","",IF($AN55=1,0,IF($AM55=1,Settings!$C$6,Settings!$C$7))*100)</f>
        <v/>
      </c>
      <c r="Z55" s="7">
        <f>IF($D55="","",V55*Y55/100)</f>
        <v/>
      </c>
      <c r="AA55" s="7">
        <f>IF($D55="","",V55-Z55)</f>
        <v/>
      </c>
      <c r="AB55" s="7">
        <f>IF($D55="","",AA55-N55)</f>
        <v/>
      </c>
      <c r="AF55" s="7" t="n"/>
      <c r="AI55" s="11" t="n"/>
      <c r="AK55">
        <f>IF($D55="","",IF(COUNTIF($D$2:$D55,$D55)=1,1,0))</f>
        <v/>
      </c>
      <c r="AL55">
        <f>IF($AK55=1,SUMPRODUCT(--($AO$2:$AO$3001&lt;$AO55))+1,"")</f>
        <v/>
      </c>
      <c r="AM55">
        <f>IF($D55="","",IF(OR($R55=TRUE(),$R55="TRUE"),1,0))</f>
        <v/>
      </c>
      <c r="AN55">
        <f>IF($D55="","",IF($X55="Yes",1,0))</f>
        <v/>
      </c>
      <c r="AO55">
        <f>IF($AK55=1,IFERROR(IF(VALUE($D55)&lt;100000000,VALUE($D55),1000000000),IFERROR(IF(VALUE(MID($D55,2,20))&lt;100000000,VALUE(MID($D55,2,20)),1000000000),1000000000))+ROW()/100000,"")</f>
        <v/>
      </c>
    </row>
    <row r="56">
      <c r="F56" s="11" t="n"/>
      <c r="N56" s="7">
        <f>IF($D56="","",M56*V56/100)</f>
        <v/>
      </c>
      <c r="O56" s="7" t="n"/>
      <c r="U56" s="7" t="n"/>
      <c r="V56" s="7" t="n"/>
      <c r="Y56">
        <f>IF($D56="","",IF($AN56=1,0,IF($AM56=1,Settings!$C$6,Settings!$C$7))*100)</f>
        <v/>
      </c>
      <c r="Z56" s="7">
        <f>IF($D56="","",V56*Y56/100)</f>
        <v/>
      </c>
      <c r="AA56" s="7">
        <f>IF($D56="","",V56-Z56)</f>
        <v/>
      </c>
      <c r="AB56" s="7">
        <f>IF($D56="","",AA56-N56)</f>
        <v/>
      </c>
      <c r="AF56" s="7" t="n"/>
      <c r="AI56" s="11" t="n"/>
      <c r="AK56">
        <f>IF($D56="","",IF(COUNTIF($D$2:$D56,$D56)=1,1,0))</f>
        <v/>
      </c>
      <c r="AL56">
        <f>IF($AK56=1,SUMPRODUCT(--($AO$2:$AO$3001&lt;$AO56))+1,"")</f>
        <v/>
      </c>
      <c r="AM56">
        <f>IF($D56="","",IF(OR($R56=TRUE(),$R56="TRUE"),1,0))</f>
        <v/>
      </c>
      <c r="AN56">
        <f>IF($D56="","",IF($X56="Yes",1,0))</f>
        <v/>
      </c>
      <c r="AO56">
        <f>IF($AK56=1,IFERROR(IF(VALUE($D56)&lt;100000000,VALUE($D56),1000000000),IFERROR(IF(VALUE(MID($D56,2,20))&lt;100000000,VALUE(MID($D56,2,20)),1000000000),1000000000))+ROW()/100000,"")</f>
        <v/>
      </c>
    </row>
    <row r="57">
      <c r="F57" s="11" t="n"/>
      <c r="N57" s="7">
        <f>IF($D57="","",M57*V57/100)</f>
        <v/>
      </c>
      <c r="O57" s="7" t="n"/>
      <c r="U57" s="7" t="n"/>
      <c r="V57" s="7" t="n"/>
      <c r="Y57">
        <f>IF($D57="","",IF($AN57=1,0,IF($AM57=1,Settings!$C$6,Settings!$C$7))*100)</f>
        <v/>
      </c>
      <c r="Z57" s="7">
        <f>IF($D57="","",V57*Y57/100)</f>
        <v/>
      </c>
      <c r="AA57" s="7">
        <f>IF($D57="","",V57-Z57)</f>
        <v/>
      </c>
      <c r="AB57" s="7">
        <f>IF($D57="","",AA57-N57)</f>
        <v/>
      </c>
      <c r="AF57" s="7" t="n"/>
      <c r="AI57" s="11" t="n"/>
      <c r="AK57">
        <f>IF($D57="","",IF(COUNTIF($D$2:$D57,$D57)=1,1,0))</f>
        <v/>
      </c>
      <c r="AL57">
        <f>IF($AK57=1,SUMPRODUCT(--($AO$2:$AO$3001&lt;$AO57))+1,"")</f>
        <v/>
      </c>
      <c r="AM57">
        <f>IF($D57="","",IF(OR($R57=TRUE(),$R57="TRUE"),1,0))</f>
        <v/>
      </c>
      <c r="AN57">
        <f>IF($D57="","",IF($X57="Yes",1,0))</f>
        <v/>
      </c>
      <c r="AO57">
        <f>IF($AK57=1,IFERROR(IF(VALUE($D57)&lt;100000000,VALUE($D57),1000000000),IFERROR(IF(VALUE(MID($D57,2,20))&lt;100000000,VALUE(MID($D57,2,20)),1000000000),1000000000))+ROW()/100000,"")</f>
        <v/>
      </c>
    </row>
    <row r="58">
      <c r="F58" s="11" t="n"/>
      <c r="N58" s="7">
        <f>IF($D58="","",M58*V58/100)</f>
        <v/>
      </c>
      <c r="O58" s="7" t="n"/>
      <c r="U58" s="7" t="n"/>
      <c r="V58" s="7" t="n"/>
      <c r="Y58">
        <f>IF($D58="","",IF($AN58=1,0,IF($AM58=1,Settings!$C$6,Settings!$C$7))*100)</f>
        <v/>
      </c>
      <c r="Z58" s="7">
        <f>IF($D58="","",V58*Y58/100)</f>
        <v/>
      </c>
      <c r="AA58" s="7">
        <f>IF($D58="","",V58-Z58)</f>
        <v/>
      </c>
      <c r="AB58" s="7">
        <f>IF($D58="","",AA58-N58)</f>
        <v/>
      </c>
      <c r="AF58" s="7" t="n"/>
      <c r="AI58" s="11" t="n"/>
      <c r="AK58">
        <f>IF($D58="","",IF(COUNTIF($D$2:$D58,$D58)=1,1,0))</f>
        <v/>
      </c>
      <c r="AL58">
        <f>IF($AK58=1,SUMPRODUCT(--($AO$2:$AO$3001&lt;$AO58))+1,"")</f>
        <v/>
      </c>
      <c r="AM58">
        <f>IF($D58="","",IF(OR($R58=TRUE(),$R58="TRUE"),1,0))</f>
        <v/>
      </c>
      <c r="AN58">
        <f>IF($D58="","",IF($X58="Yes",1,0))</f>
        <v/>
      </c>
      <c r="AO58">
        <f>IF($AK58=1,IFERROR(IF(VALUE($D58)&lt;100000000,VALUE($D58),1000000000),IFERROR(IF(VALUE(MID($D58,2,20))&lt;100000000,VALUE(MID($D58,2,20)),1000000000),1000000000))+ROW()/100000,"")</f>
        <v/>
      </c>
    </row>
    <row r="59">
      <c r="F59" s="11" t="n"/>
      <c r="N59" s="7">
        <f>IF($D59="","",M59*V59/100)</f>
        <v/>
      </c>
      <c r="O59" s="7" t="n"/>
      <c r="U59" s="7" t="n"/>
      <c r="V59" s="7" t="n"/>
      <c r="Y59">
        <f>IF($D59="","",IF($AN59=1,0,IF($AM59=1,Settings!$C$6,Settings!$C$7))*100)</f>
        <v/>
      </c>
      <c r="Z59" s="7">
        <f>IF($D59="","",V59*Y59/100)</f>
        <v/>
      </c>
      <c r="AA59" s="7">
        <f>IF($D59="","",V59-Z59)</f>
        <v/>
      </c>
      <c r="AB59" s="7">
        <f>IF($D59="","",AA59-N59)</f>
        <v/>
      </c>
      <c r="AF59" s="7" t="n"/>
      <c r="AI59" s="11" t="n"/>
      <c r="AK59">
        <f>IF($D59="","",IF(COUNTIF($D$2:$D59,$D59)=1,1,0))</f>
        <v/>
      </c>
      <c r="AL59">
        <f>IF($AK59=1,SUMPRODUCT(--($AO$2:$AO$3001&lt;$AO59))+1,"")</f>
        <v/>
      </c>
      <c r="AM59">
        <f>IF($D59="","",IF(OR($R59=TRUE(),$R59="TRUE"),1,0))</f>
        <v/>
      </c>
      <c r="AN59">
        <f>IF($D59="","",IF($X59="Yes",1,0))</f>
        <v/>
      </c>
      <c r="AO59">
        <f>IF($AK59=1,IFERROR(IF(VALUE($D59)&lt;100000000,VALUE($D59),1000000000),IFERROR(IF(VALUE(MID($D59,2,20))&lt;100000000,VALUE(MID($D59,2,20)),1000000000),1000000000))+ROW()/100000,"")</f>
        <v/>
      </c>
    </row>
    <row r="60">
      <c r="F60" s="11" t="n"/>
      <c r="N60" s="7">
        <f>IF($D60="","",M60*V60/100)</f>
        <v/>
      </c>
      <c r="O60" s="7" t="n"/>
      <c r="U60" s="7" t="n"/>
      <c r="V60" s="7" t="n"/>
      <c r="Y60">
        <f>IF($D60="","",IF($AN60=1,0,IF($AM60=1,Settings!$C$6,Settings!$C$7))*100)</f>
        <v/>
      </c>
      <c r="Z60" s="7">
        <f>IF($D60="","",V60*Y60/100)</f>
        <v/>
      </c>
      <c r="AA60" s="7">
        <f>IF($D60="","",V60-Z60)</f>
        <v/>
      </c>
      <c r="AB60" s="7">
        <f>IF($D60="","",AA60-N60)</f>
        <v/>
      </c>
      <c r="AF60" s="7" t="n"/>
      <c r="AI60" s="11" t="n"/>
      <c r="AK60">
        <f>IF($D60="","",IF(COUNTIF($D$2:$D60,$D60)=1,1,0))</f>
        <v/>
      </c>
      <c r="AL60">
        <f>IF($AK60=1,SUMPRODUCT(--($AO$2:$AO$3001&lt;$AO60))+1,"")</f>
        <v/>
      </c>
      <c r="AM60">
        <f>IF($D60="","",IF(OR($R60=TRUE(),$R60="TRUE"),1,0))</f>
        <v/>
      </c>
      <c r="AN60">
        <f>IF($D60="","",IF($X60="Yes",1,0))</f>
        <v/>
      </c>
      <c r="AO60">
        <f>IF($AK60=1,IFERROR(IF(VALUE($D60)&lt;100000000,VALUE($D60),1000000000),IFERROR(IF(VALUE(MID($D60,2,20))&lt;100000000,VALUE(MID($D60,2,20)),1000000000),1000000000))+ROW()/100000,"")</f>
        <v/>
      </c>
    </row>
    <row r="61">
      <c r="F61" s="11" t="n"/>
      <c r="N61" s="7">
        <f>IF($D61="","",M61*V61/100)</f>
        <v/>
      </c>
      <c r="O61" s="7" t="n"/>
      <c r="U61" s="7" t="n"/>
      <c r="V61" s="7" t="n"/>
      <c r="Y61">
        <f>IF($D61="","",IF($AN61=1,0,IF($AM61=1,Settings!$C$6,Settings!$C$7))*100)</f>
        <v/>
      </c>
      <c r="Z61" s="7">
        <f>IF($D61="","",V61*Y61/100)</f>
        <v/>
      </c>
      <c r="AA61" s="7">
        <f>IF($D61="","",V61-Z61)</f>
        <v/>
      </c>
      <c r="AB61" s="7">
        <f>IF($D61="","",AA61-N61)</f>
        <v/>
      </c>
      <c r="AF61" s="7" t="n"/>
      <c r="AI61" s="11" t="n"/>
      <c r="AK61">
        <f>IF($D61="","",IF(COUNTIF($D$2:$D61,$D61)=1,1,0))</f>
        <v/>
      </c>
      <c r="AL61">
        <f>IF($AK61=1,SUMPRODUCT(--($AO$2:$AO$3001&lt;$AO61))+1,"")</f>
        <v/>
      </c>
      <c r="AM61">
        <f>IF($D61="","",IF(OR($R61=TRUE(),$R61="TRUE"),1,0))</f>
        <v/>
      </c>
      <c r="AN61">
        <f>IF($D61="","",IF($X61="Yes",1,0))</f>
        <v/>
      </c>
      <c r="AO61">
        <f>IF($AK61=1,IFERROR(IF(VALUE($D61)&lt;100000000,VALUE($D61),1000000000),IFERROR(IF(VALUE(MID($D61,2,20))&lt;100000000,VALUE(MID($D61,2,20)),1000000000),1000000000))+ROW()/100000,"")</f>
        <v/>
      </c>
    </row>
    <row r="62">
      <c r="F62" s="11" t="n"/>
      <c r="N62" s="7">
        <f>IF($D62="","",M62*V62/100)</f>
        <v/>
      </c>
      <c r="O62" s="7" t="n"/>
      <c r="U62" s="7" t="n"/>
      <c r="V62" s="7" t="n"/>
      <c r="Y62">
        <f>IF($D62="","",IF($AN62=1,0,IF($AM62=1,Settings!$C$6,Settings!$C$7))*100)</f>
        <v/>
      </c>
      <c r="Z62" s="7">
        <f>IF($D62="","",V62*Y62/100)</f>
        <v/>
      </c>
      <c r="AA62" s="7">
        <f>IF($D62="","",V62-Z62)</f>
        <v/>
      </c>
      <c r="AB62" s="7">
        <f>IF($D62="","",AA62-N62)</f>
        <v/>
      </c>
      <c r="AF62" s="7" t="n"/>
      <c r="AI62" s="11" t="n"/>
      <c r="AK62">
        <f>IF($D62="","",IF(COUNTIF($D$2:$D62,$D62)=1,1,0))</f>
        <v/>
      </c>
      <c r="AL62">
        <f>IF($AK62=1,SUMPRODUCT(--($AO$2:$AO$3001&lt;$AO62))+1,"")</f>
        <v/>
      </c>
      <c r="AM62">
        <f>IF($D62="","",IF(OR($R62=TRUE(),$R62="TRUE"),1,0))</f>
        <v/>
      </c>
      <c r="AN62">
        <f>IF($D62="","",IF($X62="Yes",1,0))</f>
        <v/>
      </c>
      <c r="AO62">
        <f>IF($AK62=1,IFERROR(IF(VALUE($D62)&lt;100000000,VALUE($D62),1000000000),IFERROR(IF(VALUE(MID($D62,2,20))&lt;100000000,VALUE(MID($D62,2,20)),1000000000),1000000000))+ROW()/100000,"")</f>
        <v/>
      </c>
    </row>
    <row r="63">
      <c r="F63" s="11" t="n"/>
      <c r="N63" s="7">
        <f>IF($D63="","",M63*V63/100)</f>
        <v/>
      </c>
      <c r="O63" s="7" t="n"/>
      <c r="U63" s="7" t="n"/>
      <c r="V63" s="7" t="n"/>
      <c r="Y63">
        <f>IF($D63="","",IF($AN63=1,0,IF($AM63=1,Settings!$C$6,Settings!$C$7))*100)</f>
        <v/>
      </c>
      <c r="Z63" s="7">
        <f>IF($D63="","",V63*Y63/100)</f>
        <v/>
      </c>
      <c r="AA63" s="7">
        <f>IF($D63="","",V63-Z63)</f>
        <v/>
      </c>
      <c r="AB63" s="7">
        <f>IF($D63="","",AA63-N63)</f>
        <v/>
      </c>
      <c r="AF63" s="7" t="n"/>
      <c r="AI63" s="11" t="n"/>
      <c r="AK63">
        <f>IF($D63="","",IF(COUNTIF($D$2:$D63,$D63)=1,1,0))</f>
        <v/>
      </c>
      <c r="AL63">
        <f>IF($AK63=1,SUMPRODUCT(--($AO$2:$AO$3001&lt;$AO63))+1,"")</f>
        <v/>
      </c>
      <c r="AM63">
        <f>IF($D63="","",IF(OR($R63=TRUE(),$R63="TRUE"),1,0))</f>
        <v/>
      </c>
      <c r="AN63">
        <f>IF($D63="","",IF($X63="Yes",1,0))</f>
        <v/>
      </c>
      <c r="AO63">
        <f>IF($AK63=1,IFERROR(IF(VALUE($D63)&lt;100000000,VALUE($D63),1000000000),IFERROR(IF(VALUE(MID($D63,2,20))&lt;100000000,VALUE(MID($D63,2,20)),1000000000),1000000000))+ROW()/100000,"")</f>
        <v/>
      </c>
    </row>
    <row r="64">
      <c r="F64" s="11" t="n"/>
      <c r="N64" s="7">
        <f>IF($D64="","",M64*V64/100)</f>
        <v/>
      </c>
      <c r="O64" s="7" t="n"/>
      <c r="U64" s="7" t="n"/>
      <c r="V64" s="7" t="n"/>
      <c r="Y64">
        <f>IF($D64="","",IF($AN64=1,0,IF($AM64=1,Settings!$C$6,Settings!$C$7))*100)</f>
        <v/>
      </c>
      <c r="Z64" s="7">
        <f>IF($D64="","",V64*Y64/100)</f>
        <v/>
      </c>
      <c r="AA64" s="7">
        <f>IF($D64="","",V64-Z64)</f>
        <v/>
      </c>
      <c r="AB64" s="7">
        <f>IF($D64="","",AA64-N64)</f>
        <v/>
      </c>
      <c r="AF64" s="7" t="n"/>
      <c r="AI64" s="11" t="n"/>
      <c r="AK64">
        <f>IF($D64="","",IF(COUNTIF($D$2:$D64,$D64)=1,1,0))</f>
        <v/>
      </c>
      <c r="AL64">
        <f>IF($AK64=1,SUMPRODUCT(--($AO$2:$AO$3001&lt;$AO64))+1,"")</f>
        <v/>
      </c>
      <c r="AM64">
        <f>IF($D64="","",IF(OR($R64=TRUE(),$R64="TRUE"),1,0))</f>
        <v/>
      </c>
      <c r="AN64">
        <f>IF($D64="","",IF($X64="Yes",1,0))</f>
        <v/>
      </c>
      <c r="AO64">
        <f>IF($AK64=1,IFERROR(IF(VALUE($D64)&lt;100000000,VALUE($D64),1000000000),IFERROR(IF(VALUE(MID($D64,2,20))&lt;100000000,VALUE(MID($D64,2,20)),1000000000),1000000000))+ROW()/100000,"")</f>
        <v/>
      </c>
    </row>
    <row r="65">
      <c r="F65" s="11" t="n"/>
      <c r="N65" s="7">
        <f>IF($D65="","",M65*V65/100)</f>
        <v/>
      </c>
      <c r="O65" s="7" t="n"/>
      <c r="U65" s="7" t="n"/>
      <c r="V65" s="7" t="n"/>
      <c r="Y65">
        <f>IF($D65="","",IF($AN65=1,0,IF($AM65=1,Settings!$C$6,Settings!$C$7))*100)</f>
        <v/>
      </c>
      <c r="Z65" s="7">
        <f>IF($D65="","",V65*Y65/100)</f>
        <v/>
      </c>
      <c r="AA65" s="7">
        <f>IF($D65="","",V65-Z65)</f>
        <v/>
      </c>
      <c r="AB65" s="7">
        <f>IF($D65="","",AA65-N65)</f>
        <v/>
      </c>
      <c r="AF65" s="7" t="n"/>
      <c r="AI65" s="11" t="n"/>
      <c r="AK65">
        <f>IF($D65="","",IF(COUNTIF($D$2:$D65,$D65)=1,1,0))</f>
        <v/>
      </c>
      <c r="AL65">
        <f>IF($AK65=1,SUMPRODUCT(--($AO$2:$AO$3001&lt;$AO65))+1,"")</f>
        <v/>
      </c>
      <c r="AM65">
        <f>IF($D65="","",IF(OR($R65=TRUE(),$R65="TRUE"),1,0))</f>
        <v/>
      </c>
      <c r="AN65">
        <f>IF($D65="","",IF($X65="Yes",1,0))</f>
        <v/>
      </c>
      <c r="AO65">
        <f>IF($AK65=1,IFERROR(IF(VALUE($D65)&lt;100000000,VALUE($D65),1000000000),IFERROR(IF(VALUE(MID($D65,2,20))&lt;100000000,VALUE(MID($D65,2,20)),1000000000),1000000000))+ROW()/100000,"")</f>
        <v/>
      </c>
    </row>
    <row r="66">
      <c r="F66" s="11" t="n"/>
      <c r="N66" s="7">
        <f>IF($D66="","",M66*V66/100)</f>
        <v/>
      </c>
      <c r="O66" s="7" t="n"/>
      <c r="U66" s="7" t="n"/>
      <c r="V66" s="7" t="n"/>
      <c r="Y66">
        <f>IF($D66="","",IF($AN66=1,0,IF($AM66=1,Settings!$C$6,Settings!$C$7))*100)</f>
        <v/>
      </c>
      <c r="Z66" s="7">
        <f>IF($D66="","",V66*Y66/100)</f>
        <v/>
      </c>
      <c r="AA66" s="7">
        <f>IF($D66="","",V66-Z66)</f>
        <v/>
      </c>
      <c r="AB66" s="7">
        <f>IF($D66="","",AA66-N66)</f>
        <v/>
      </c>
      <c r="AF66" s="7" t="n"/>
      <c r="AI66" s="11" t="n"/>
      <c r="AK66">
        <f>IF($D66="","",IF(COUNTIF($D$2:$D66,$D66)=1,1,0))</f>
        <v/>
      </c>
      <c r="AL66">
        <f>IF($AK66=1,SUMPRODUCT(--($AO$2:$AO$3001&lt;$AO66))+1,"")</f>
        <v/>
      </c>
      <c r="AM66">
        <f>IF($D66="","",IF(OR($R66=TRUE(),$R66="TRUE"),1,0))</f>
        <v/>
      </c>
      <c r="AN66">
        <f>IF($D66="","",IF($X66="Yes",1,0))</f>
        <v/>
      </c>
      <c r="AO66">
        <f>IF($AK66=1,IFERROR(IF(VALUE($D66)&lt;100000000,VALUE($D66),1000000000),IFERROR(IF(VALUE(MID($D66,2,20))&lt;100000000,VALUE(MID($D66,2,20)),1000000000),1000000000))+ROW()/100000,"")</f>
        <v/>
      </c>
    </row>
    <row r="67">
      <c r="F67" s="11" t="n"/>
      <c r="N67" s="7">
        <f>IF($D67="","",M67*V67/100)</f>
        <v/>
      </c>
      <c r="O67" s="7" t="n"/>
      <c r="U67" s="7" t="n"/>
      <c r="V67" s="7" t="n"/>
      <c r="Y67">
        <f>IF($D67="","",IF($AN67=1,0,IF($AM67=1,Settings!$C$6,Settings!$C$7))*100)</f>
        <v/>
      </c>
      <c r="Z67" s="7">
        <f>IF($D67="","",V67*Y67/100)</f>
        <v/>
      </c>
      <c r="AA67" s="7">
        <f>IF($D67="","",V67-Z67)</f>
        <v/>
      </c>
      <c r="AB67" s="7">
        <f>IF($D67="","",AA67-N67)</f>
        <v/>
      </c>
      <c r="AF67" s="7" t="n"/>
      <c r="AI67" s="11" t="n"/>
      <c r="AK67">
        <f>IF($D67="","",IF(COUNTIF($D$2:$D67,$D67)=1,1,0))</f>
        <v/>
      </c>
      <c r="AL67">
        <f>IF($AK67=1,SUMPRODUCT(--($AO$2:$AO$3001&lt;$AO67))+1,"")</f>
        <v/>
      </c>
      <c r="AM67">
        <f>IF($D67="","",IF(OR($R67=TRUE(),$R67="TRUE"),1,0))</f>
        <v/>
      </c>
      <c r="AN67">
        <f>IF($D67="","",IF($X67="Yes",1,0))</f>
        <v/>
      </c>
      <c r="AO67">
        <f>IF($AK67=1,IFERROR(IF(VALUE($D67)&lt;100000000,VALUE($D67),1000000000),IFERROR(IF(VALUE(MID($D67,2,20))&lt;100000000,VALUE(MID($D67,2,20)),1000000000),1000000000))+ROW()/100000,"")</f>
        <v/>
      </c>
    </row>
    <row r="68">
      <c r="F68" s="11" t="n"/>
      <c r="N68" s="7">
        <f>IF($D68="","",M68*V68/100)</f>
        <v/>
      </c>
      <c r="O68" s="7" t="n"/>
      <c r="U68" s="7" t="n"/>
      <c r="V68" s="7" t="n"/>
      <c r="Y68">
        <f>IF($D68="","",IF($AN68=1,0,IF($AM68=1,Settings!$C$6,Settings!$C$7))*100)</f>
        <v/>
      </c>
      <c r="Z68" s="7">
        <f>IF($D68="","",V68*Y68/100)</f>
        <v/>
      </c>
      <c r="AA68" s="7">
        <f>IF($D68="","",V68-Z68)</f>
        <v/>
      </c>
      <c r="AB68" s="7">
        <f>IF($D68="","",AA68-N68)</f>
        <v/>
      </c>
      <c r="AF68" s="7" t="n"/>
      <c r="AI68" s="11" t="n"/>
      <c r="AK68">
        <f>IF($D68="","",IF(COUNTIF($D$2:$D68,$D68)=1,1,0))</f>
        <v/>
      </c>
      <c r="AL68">
        <f>IF($AK68=1,SUMPRODUCT(--($AO$2:$AO$3001&lt;$AO68))+1,"")</f>
        <v/>
      </c>
      <c r="AM68">
        <f>IF($D68="","",IF(OR($R68=TRUE(),$R68="TRUE"),1,0))</f>
        <v/>
      </c>
      <c r="AN68">
        <f>IF($D68="","",IF($X68="Yes",1,0))</f>
        <v/>
      </c>
      <c r="AO68">
        <f>IF($AK68=1,IFERROR(IF(VALUE($D68)&lt;100000000,VALUE($D68),1000000000),IFERROR(IF(VALUE(MID($D68,2,20))&lt;100000000,VALUE(MID($D68,2,20)),1000000000),1000000000))+ROW()/100000,"")</f>
        <v/>
      </c>
    </row>
    <row r="69">
      <c r="F69" s="11" t="n"/>
      <c r="N69" s="7">
        <f>IF($D69="","",M69*V69/100)</f>
        <v/>
      </c>
      <c r="O69" s="7" t="n"/>
      <c r="U69" s="7" t="n"/>
      <c r="V69" s="7" t="n"/>
      <c r="Y69">
        <f>IF($D69="","",IF($AN69=1,0,IF($AM69=1,Settings!$C$6,Settings!$C$7))*100)</f>
        <v/>
      </c>
      <c r="Z69" s="7">
        <f>IF($D69="","",V69*Y69/100)</f>
        <v/>
      </c>
      <c r="AA69" s="7">
        <f>IF($D69="","",V69-Z69)</f>
        <v/>
      </c>
      <c r="AB69" s="7">
        <f>IF($D69="","",AA69-N69)</f>
        <v/>
      </c>
      <c r="AF69" s="7" t="n"/>
      <c r="AI69" s="11" t="n"/>
      <c r="AK69">
        <f>IF($D69="","",IF(COUNTIF($D$2:$D69,$D69)=1,1,0))</f>
        <v/>
      </c>
      <c r="AL69">
        <f>IF($AK69=1,SUMPRODUCT(--($AO$2:$AO$3001&lt;$AO69))+1,"")</f>
        <v/>
      </c>
      <c r="AM69">
        <f>IF($D69="","",IF(OR($R69=TRUE(),$R69="TRUE"),1,0))</f>
        <v/>
      </c>
      <c r="AN69">
        <f>IF($D69="","",IF($X69="Yes",1,0))</f>
        <v/>
      </c>
      <c r="AO69">
        <f>IF($AK69=1,IFERROR(IF(VALUE($D69)&lt;100000000,VALUE($D69),1000000000),IFERROR(IF(VALUE(MID($D69,2,20))&lt;100000000,VALUE(MID($D69,2,20)),1000000000),1000000000))+ROW()/100000,"")</f>
        <v/>
      </c>
    </row>
    <row r="70">
      <c r="F70" s="11" t="n"/>
      <c r="N70" s="7">
        <f>IF($D70="","",M70*V70/100)</f>
        <v/>
      </c>
      <c r="O70" s="7" t="n"/>
      <c r="U70" s="7" t="n"/>
      <c r="V70" s="7" t="n"/>
      <c r="Y70">
        <f>IF($D70="","",IF($AN70=1,0,IF($AM70=1,Settings!$C$6,Settings!$C$7))*100)</f>
        <v/>
      </c>
      <c r="Z70" s="7">
        <f>IF($D70="","",V70*Y70/100)</f>
        <v/>
      </c>
      <c r="AA70" s="7">
        <f>IF($D70="","",V70-Z70)</f>
        <v/>
      </c>
      <c r="AB70" s="7">
        <f>IF($D70="","",AA70-N70)</f>
        <v/>
      </c>
      <c r="AF70" s="7" t="n"/>
      <c r="AI70" s="11" t="n"/>
      <c r="AK70">
        <f>IF($D70="","",IF(COUNTIF($D$2:$D70,$D70)=1,1,0))</f>
        <v/>
      </c>
      <c r="AL70">
        <f>IF($AK70=1,SUMPRODUCT(--($AO$2:$AO$3001&lt;$AO70))+1,"")</f>
        <v/>
      </c>
      <c r="AM70">
        <f>IF($D70="","",IF(OR($R70=TRUE(),$R70="TRUE"),1,0))</f>
        <v/>
      </c>
      <c r="AN70">
        <f>IF($D70="","",IF($X70="Yes",1,0))</f>
        <v/>
      </c>
      <c r="AO70">
        <f>IF($AK70=1,IFERROR(IF(VALUE($D70)&lt;100000000,VALUE($D70),1000000000),IFERROR(IF(VALUE(MID($D70,2,20))&lt;100000000,VALUE(MID($D70,2,20)),1000000000),1000000000))+ROW()/100000,"")</f>
        <v/>
      </c>
    </row>
    <row r="71">
      <c r="F71" s="11" t="n"/>
      <c r="N71" s="7">
        <f>IF($D71="","",M71*V71/100)</f>
        <v/>
      </c>
      <c r="O71" s="7" t="n"/>
      <c r="U71" s="7" t="n"/>
      <c r="V71" s="7" t="n"/>
      <c r="Y71">
        <f>IF($D71="","",IF($AN71=1,0,IF($AM71=1,Settings!$C$6,Settings!$C$7))*100)</f>
        <v/>
      </c>
      <c r="Z71" s="7">
        <f>IF($D71="","",V71*Y71/100)</f>
        <v/>
      </c>
      <c r="AA71" s="7">
        <f>IF($D71="","",V71-Z71)</f>
        <v/>
      </c>
      <c r="AB71" s="7">
        <f>IF($D71="","",AA71-N71)</f>
        <v/>
      </c>
      <c r="AF71" s="7" t="n"/>
      <c r="AI71" s="11" t="n"/>
      <c r="AK71">
        <f>IF($D71="","",IF(COUNTIF($D$2:$D71,$D71)=1,1,0))</f>
        <v/>
      </c>
      <c r="AL71">
        <f>IF($AK71=1,SUMPRODUCT(--($AO$2:$AO$3001&lt;$AO71))+1,"")</f>
        <v/>
      </c>
      <c r="AM71">
        <f>IF($D71="","",IF(OR($R71=TRUE(),$R71="TRUE"),1,0))</f>
        <v/>
      </c>
      <c r="AN71">
        <f>IF($D71="","",IF($X71="Yes",1,0))</f>
        <v/>
      </c>
      <c r="AO71">
        <f>IF($AK71=1,IFERROR(IF(VALUE($D71)&lt;100000000,VALUE($D71),1000000000),IFERROR(IF(VALUE(MID($D71,2,20))&lt;100000000,VALUE(MID($D71,2,20)),1000000000),1000000000))+ROW()/100000,"")</f>
        <v/>
      </c>
    </row>
    <row r="72">
      <c r="F72" s="11" t="n"/>
      <c r="N72" s="7">
        <f>IF($D72="","",M72*V72/100)</f>
        <v/>
      </c>
      <c r="O72" s="7" t="n"/>
      <c r="U72" s="7" t="n"/>
      <c r="V72" s="7" t="n"/>
      <c r="Y72">
        <f>IF($D72="","",IF($AN72=1,0,IF($AM72=1,Settings!$C$6,Settings!$C$7))*100)</f>
        <v/>
      </c>
      <c r="Z72" s="7">
        <f>IF($D72="","",V72*Y72/100)</f>
        <v/>
      </c>
      <c r="AA72" s="7">
        <f>IF($D72="","",V72-Z72)</f>
        <v/>
      </c>
      <c r="AB72" s="7">
        <f>IF($D72="","",AA72-N72)</f>
        <v/>
      </c>
      <c r="AF72" s="7" t="n"/>
      <c r="AI72" s="11" t="n"/>
      <c r="AK72">
        <f>IF($D72="","",IF(COUNTIF($D$2:$D72,$D72)=1,1,0))</f>
        <v/>
      </c>
      <c r="AL72">
        <f>IF($AK72=1,SUMPRODUCT(--($AO$2:$AO$3001&lt;$AO72))+1,"")</f>
        <v/>
      </c>
      <c r="AM72">
        <f>IF($D72="","",IF(OR($R72=TRUE(),$R72="TRUE"),1,0))</f>
        <v/>
      </c>
      <c r="AN72">
        <f>IF($D72="","",IF($X72="Yes",1,0))</f>
        <v/>
      </c>
      <c r="AO72">
        <f>IF($AK72=1,IFERROR(IF(VALUE($D72)&lt;100000000,VALUE($D72),1000000000),IFERROR(IF(VALUE(MID($D72,2,20))&lt;100000000,VALUE(MID($D72,2,20)),1000000000),1000000000))+ROW()/100000,"")</f>
        <v/>
      </c>
    </row>
    <row r="73">
      <c r="F73" s="11" t="n"/>
      <c r="N73" s="7">
        <f>IF($D73="","",M73*V73/100)</f>
        <v/>
      </c>
      <c r="O73" s="7" t="n"/>
      <c r="U73" s="7" t="n"/>
      <c r="V73" s="7" t="n"/>
      <c r="Y73">
        <f>IF($D73="","",IF($AN73=1,0,IF($AM73=1,Settings!$C$6,Settings!$C$7))*100)</f>
        <v/>
      </c>
      <c r="Z73" s="7">
        <f>IF($D73="","",V73*Y73/100)</f>
        <v/>
      </c>
      <c r="AA73" s="7">
        <f>IF($D73="","",V73-Z73)</f>
        <v/>
      </c>
      <c r="AB73" s="7">
        <f>IF($D73="","",AA73-N73)</f>
        <v/>
      </c>
      <c r="AF73" s="7" t="n"/>
      <c r="AI73" s="11" t="n"/>
      <c r="AK73">
        <f>IF($D73="","",IF(COUNTIF($D$2:$D73,$D73)=1,1,0))</f>
        <v/>
      </c>
      <c r="AL73">
        <f>IF($AK73=1,SUMPRODUCT(--($AO$2:$AO$3001&lt;$AO73))+1,"")</f>
        <v/>
      </c>
      <c r="AM73">
        <f>IF($D73="","",IF(OR($R73=TRUE(),$R73="TRUE"),1,0))</f>
        <v/>
      </c>
      <c r="AN73">
        <f>IF($D73="","",IF($X73="Yes",1,0))</f>
        <v/>
      </c>
      <c r="AO73">
        <f>IF($AK73=1,IFERROR(IF(VALUE($D73)&lt;100000000,VALUE($D73),1000000000),IFERROR(IF(VALUE(MID($D73,2,20))&lt;100000000,VALUE(MID($D73,2,20)),1000000000),1000000000))+ROW()/100000,"")</f>
        <v/>
      </c>
    </row>
    <row r="74">
      <c r="F74" s="11" t="n"/>
      <c r="N74" s="7">
        <f>IF($D74="","",M74*V74/100)</f>
        <v/>
      </c>
      <c r="O74" s="7" t="n"/>
      <c r="U74" s="7" t="n"/>
      <c r="V74" s="7" t="n"/>
      <c r="Y74">
        <f>IF($D74="","",IF($AN74=1,0,IF($AM74=1,Settings!$C$6,Settings!$C$7))*100)</f>
        <v/>
      </c>
      <c r="Z74" s="7">
        <f>IF($D74="","",V74*Y74/100)</f>
        <v/>
      </c>
      <c r="AA74" s="7">
        <f>IF($D74="","",V74-Z74)</f>
        <v/>
      </c>
      <c r="AB74" s="7">
        <f>IF($D74="","",AA74-N74)</f>
        <v/>
      </c>
      <c r="AF74" s="7" t="n"/>
      <c r="AI74" s="11" t="n"/>
      <c r="AK74">
        <f>IF($D74="","",IF(COUNTIF($D$2:$D74,$D74)=1,1,0))</f>
        <v/>
      </c>
      <c r="AL74">
        <f>IF($AK74=1,SUMPRODUCT(--($AO$2:$AO$3001&lt;$AO74))+1,"")</f>
        <v/>
      </c>
      <c r="AM74">
        <f>IF($D74="","",IF(OR($R74=TRUE(),$R74="TRUE"),1,0))</f>
        <v/>
      </c>
      <c r="AN74">
        <f>IF($D74="","",IF($X74="Yes",1,0))</f>
        <v/>
      </c>
      <c r="AO74">
        <f>IF($AK74=1,IFERROR(IF(VALUE($D74)&lt;100000000,VALUE($D74),1000000000),IFERROR(IF(VALUE(MID($D74,2,20))&lt;100000000,VALUE(MID($D74,2,20)),1000000000),1000000000))+ROW()/100000,"")</f>
        <v/>
      </c>
    </row>
    <row r="75">
      <c r="F75" s="11" t="n"/>
      <c r="N75" s="7">
        <f>IF($D75="","",M75*V75/100)</f>
        <v/>
      </c>
      <c r="O75" s="7" t="n"/>
      <c r="U75" s="7" t="n"/>
      <c r="V75" s="7" t="n"/>
      <c r="Y75">
        <f>IF($D75="","",IF($AN75=1,0,IF($AM75=1,Settings!$C$6,Settings!$C$7))*100)</f>
        <v/>
      </c>
      <c r="Z75" s="7">
        <f>IF($D75="","",V75*Y75/100)</f>
        <v/>
      </c>
      <c r="AA75" s="7">
        <f>IF($D75="","",V75-Z75)</f>
        <v/>
      </c>
      <c r="AB75" s="7">
        <f>IF($D75="","",AA75-N75)</f>
        <v/>
      </c>
      <c r="AF75" s="7" t="n"/>
      <c r="AI75" s="11" t="n"/>
      <c r="AK75">
        <f>IF($D75="","",IF(COUNTIF($D$2:$D75,$D75)=1,1,0))</f>
        <v/>
      </c>
      <c r="AL75">
        <f>IF($AK75=1,SUMPRODUCT(--($AO$2:$AO$3001&lt;$AO75))+1,"")</f>
        <v/>
      </c>
      <c r="AM75">
        <f>IF($D75="","",IF(OR($R75=TRUE(),$R75="TRUE"),1,0))</f>
        <v/>
      </c>
      <c r="AN75">
        <f>IF($D75="","",IF($X75="Yes",1,0))</f>
        <v/>
      </c>
      <c r="AO75">
        <f>IF($AK75=1,IFERROR(IF(VALUE($D75)&lt;100000000,VALUE($D75),1000000000),IFERROR(IF(VALUE(MID($D75,2,20))&lt;100000000,VALUE(MID($D75,2,20)),1000000000),1000000000))+ROW()/100000,"")</f>
        <v/>
      </c>
    </row>
    <row r="76">
      <c r="F76" s="11" t="n"/>
      <c r="N76" s="7">
        <f>IF($D76="","",M76*V76/100)</f>
        <v/>
      </c>
      <c r="O76" s="7" t="n"/>
      <c r="U76" s="7" t="n"/>
      <c r="V76" s="7" t="n"/>
      <c r="Y76">
        <f>IF($D76="","",IF($AN76=1,0,IF($AM76=1,Settings!$C$6,Settings!$C$7))*100)</f>
        <v/>
      </c>
      <c r="Z76" s="7">
        <f>IF($D76="","",V76*Y76/100)</f>
        <v/>
      </c>
      <c r="AA76" s="7">
        <f>IF($D76="","",V76-Z76)</f>
        <v/>
      </c>
      <c r="AB76" s="7">
        <f>IF($D76="","",AA76-N76)</f>
        <v/>
      </c>
      <c r="AF76" s="7" t="n"/>
      <c r="AI76" s="11" t="n"/>
      <c r="AK76">
        <f>IF($D76="","",IF(COUNTIF($D$2:$D76,$D76)=1,1,0))</f>
        <v/>
      </c>
      <c r="AL76">
        <f>IF($AK76=1,SUMPRODUCT(--($AO$2:$AO$3001&lt;$AO76))+1,"")</f>
        <v/>
      </c>
      <c r="AM76">
        <f>IF($D76="","",IF(OR($R76=TRUE(),$R76="TRUE"),1,0))</f>
        <v/>
      </c>
      <c r="AN76">
        <f>IF($D76="","",IF($X76="Yes",1,0))</f>
        <v/>
      </c>
      <c r="AO76">
        <f>IF($AK76=1,IFERROR(IF(VALUE($D76)&lt;100000000,VALUE($D76),1000000000),IFERROR(IF(VALUE(MID($D76,2,20))&lt;100000000,VALUE(MID($D76,2,20)),1000000000),1000000000))+ROW()/100000,"")</f>
        <v/>
      </c>
    </row>
    <row r="77">
      <c r="F77" s="11" t="n"/>
      <c r="N77" s="7">
        <f>IF($D77="","",M77*V77/100)</f>
        <v/>
      </c>
      <c r="O77" s="7" t="n"/>
      <c r="U77" s="7" t="n"/>
      <c r="V77" s="7" t="n"/>
      <c r="Y77">
        <f>IF($D77="","",IF($AN77=1,0,IF($AM77=1,Settings!$C$6,Settings!$C$7))*100)</f>
        <v/>
      </c>
      <c r="Z77" s="7">
        <f>IF($D77="","",V77*Y77/100)</f>
        <v/>
      </c>
      <c r="AA77" s="7">
        <f>IF($D77="","",V77-Z77)</f>
        <v/>
      </c>
      <c r="AB77" s="7">
        <f>IF($D77="","",AA77-N77)</f>
        <v/>
      </c>
      <c r="AF77" s="7" t="n"/>
      <c r="AI77" s="11" t="n"/>
      <c r="AK77">
        <f>IF($D77="","",IF(COUNTIF($D$2:$D77,$D77)=1,1,0))</f>
        <v/>
      </c>
      <c r="AL77">
        <f>IF($AK77=1,SUMPRODUCT(--($AO$2:$AO$3001&lt;$AO77))+1,"")</f>
        <v/>
      </c>
      <c r="AM77">
        <f>IF($D77="","",IF(OR($R77=TRUE(),$R77="TRUE"),1,0))</f>
        <v/>
      </c>
      <c r="AN77">
        <f>IF($D77="","",IF($X77="Yes",1,0))</f>
        <v/>
      </c>
      <c r="AO77">
        <f>IF($AK77=1,IFERROR(IF(VALUE($D77)&lt;100000000,VALUE($D77),1000000000),IFERROR(IF(VALUE(MID($D77,2,20))&lt;100000000,VALUE(MID($D77,2,20)),1000000000),1000000000))+ROW()/100000,"")</f>
        <v/>
      </c>
    </row>
    <row r="78">
      <c r="F78" s="11" t="n"/>
      <c r="N78" s="7">
        <f>IF($D78="","",M78*V78/100)</f>
        <v/>
      </c>
      <c r="O78" s="7" t="n"/>
      <c r="U78" s="7" t="n"/>
      <c r="V78" s="7" t="n"/>
      <c r="Y78">
        <f>IF($D78="","",IF($AN78=1,0,IF($AM78=1,Settings!$C$6,Settings!$C$7))*100)</f>
        <v/>
      </c>
      <c r="Z78" s="7">
        <f>IF($D78="","",V78*Y78/100)</f>
        <v/>
      </c>
      <c r="AA78" s="7">
        <f>IF($D78="","",V78-Z78)</f>
        <v/>
      </c>
      <c r="AB78" s="7">
        <f>IF($D78="","",AA78-N78)</f>
        <v/>
      </c>
      <c r="AF78" s="7" t="n"/>
      <c r="AI78" s="11" t="n"/>
      <c r="AK78">
        <f>IF($D78="","",IF(COUNTIF($D$2:$D78,$D78)=1,1,0))</f>
        <v/>
      </c>
      <c r="AL78">
        <f>IF($AK78=1,SUMPRODUCT(--($AO$2:$AO$3001&lt;$AO78))+1,"")</f>
        <v/>
      </c>
      <c r="AM78">
        <f>IF($D78="","",IF(OR($R78=TRUE(),$R78="TRUE"),1,0))</f>
        <v/>
      </c>
      <c r="AN78">
        <f>IF($D78="","",IF($X78="Yes",1,0))</f>
        <v/>
      </c>
      <c r="AO78">
        <f>IF($AK78=1,IFERROR(IF(VALUE($D78)&lt;100000000,VALUE($D78),1000000000),IFERROR(IF(VALUE(MID($D78,2,20))&lt;100000000,VALUE(MID($D78,2,20)),1000000000),1000000000))+ROW()/100000,"")</f>
        <v/>
      </c>
    </row>
    <row r="79">
      <c r="F79" s="11" t="n"/>
      <c r="N79" s="7">
        <f>IF($D79="","",M79*V79/100)</f>
        <v/>
      </c>
      <c r="O79" s="7" t="n"/>
      <c r="U79" s="7" t="n"/>
      <c r="V79" s="7" t="n"/>
      <c r="Y79">
        <f>IF($D79="","",IF($AN79=1,0,IF($AM79=1,Settings!$C$6,Settings!$C$7))*100)</f>
        <v/>
      </c>
      <c r="Z79" s="7">
        <f>IF($D79="","",V79*Y79/100)</f>
        <v/>
      </c>
      <c r="AA79" s="7">
        <f>IF($D79="","",V79-Z79)</f>
        <v/>
      </c>
      <c r="AB79" s="7">
        <f>IF($D79="","",AA79-N79)</f>
        <v/>
      </c>
      <c r="AF79" s="7" t="n"/>
      <c r="AI79" s="11" t="n"/>
      <c r="AK79">
        <f>IF($D79="","",IF(COUNTIF($D$2:$D79,$D79)=1,1,0))</f>
        <v/>
      </c>
      <c r="AL79">
        <f>IF($AK79=1,SUMPRODUCT(--($AO$2:$AO$3001&lt;$AO79))+1,"")</f>
        <v/>
      </c>
      <c r="AM79">
        <f>IF($D79="","",IF(OR($R79=TRUE(),$R79="TRUE"),1,0))</f>
        <v/>
      </c>
      <c r="AN79">
        <f>IF($D79="","",IF($X79="Yes",1,0))</f>
        <v/>
      </c>
      <c r="AO79">
        <f>IF($AK79=1,IFERROR(IF(VALUE($D79)&lt;100000000,VALUE($D79),1000000000),IFERROR(IF(VALUE(MID($D79,2,20))&lt;100000000,VALUE(MID($D79,2,20)),1000000000),1000000000))+ROW()/100000,"")</f>
        <v/>
      </c>
    </row>
    <row r="80">
      <c r="F80" s="11" t="n"/>
      <c r="N80" s="7">
        <f>IF($D80="","",M80*V80/100)</f>
        <v/>
      </c>
      <c r="O80" s="7" t="n"/>
      <c r="U80" s="7" t="n"/>
      <c r="V80" s="7" t="n"/>
      <c r="Y80">
        <f>IF($D80="","",IF($AN80=1,0,IF($AM80=1,Settings!$C$6,Settings!$C$7))*100)</f>
        <v/>
      </c>
      <c r="Z80" s="7">
        <f>IF($D80="","",V80*Y80/100)</f>
        <v/>
      </c>
      <c r="AA80" s="7">
        <f>IF($D80="","",V80-Z80)</f>
        <v/>
      </c>
      <c r="AB80" s="7">
        <f>IF($D80="","",AA80-N80)</f>
        <v/>
      </c>
      <c r="AF80" s="7" t="n"/>
      <c r="AI80" s="11" t="n"/>
      <c r="AK80">
        <f>IF($D80="","",IF(COUNTIF($D$2:$D80,$D80)=1,1,0))</f>
        <v/>
      </c>
      <c r="AL80">
        <f>IF($AK80=1,SUMPRODUCT(--($AO$2:$AO$3001&lt;$AO80))+1,"")</f>
        <v/>
      </c>
      <c r="AM80">
        <f>IF($D80="","",IF(OR($R80=TRUE(),$R80="TRUE"),1,0))</f>
        <v/>
      </c>
      <c r="AN80">
        <f>IF($D80="","",IF($X80="Yes",1,0))</f>
        <v/>
      </c>
      <c r="AO80">
        <f>IF($AK80=1,IFERROR(IF(VALUE($D80)&lt;100000000,VALUE($D80),1000000000),IFERROR(IF(VALUE(MID($D80,2,20))&lt;100000000,VALUE(MID($D80,2,20)),1000000000),1000000000))+ROW()/100000,"")</f>
        <v/>
      </c>
    </row>
    <row r="81">
      <c r="F81" s="11" t="n"/>
      <c r="N81" s="7">
        <f>IF($D81="","",M81*V81/100)</f>
        <v/>
      </c>
      <c r="O81" s="7" t="n"/>
      <c r="U81" s="7" t="n"/>
      <c r="V81" s="7" t="n"/>
      <c r="Y81">
        <f>IF($D81="","",IF($AN81=1,0,IF($AM81=1,Settings!$C$6,Settings!$C$7))*100)</f>
        <v/>
      </c>
      <c r="Z81" s="7">
        <f>IF($D81="","",V81*Y81/100)</f>
        <v/>
      </c>
      <c r="AA81" s="7">
        <f>IF($D81="","",V81-Z81)</f>
        <v/>
      </c>
      <c r="AB81" s="7">
        <f>IF($D81="","",AA81-N81)</f>
        <v/>
      </c>
      <c r="AF81" s="7" t="n"/>
      <c r="AI81" s="11" t="n"/>
      <c r="AK81">
        <f>IF($D81="","",IF(COUNTIF($D$2:$D81,$D81)=1,1,0))</f>
        <v/>
      </c>
      <c r="AL81">
        <f>IF($AK81=1,SUMPRODUCT(--($AO$2:$AO$3001&lt;$AO81))+1,"")</f>
        <v/>
      </c>
      <c r="AM81">
        <f>IF($D81="","",IF(OR($R81=TRUE(),$R81="TRUE"),1,0))</f>
        <v/>
      </c>
      <c r="AN81">
        <f>IF($D81="","",IF($X81="Yes",1,0))</f>
        <v/>
      </c>
      <c r="AO81">
        <f>IF($AK81=1,IFERROR(IF(VALUE($D81)&lt;100000000,VALUE($D81),1000000000),IFERROR(IF(VALUE(MID($D81,2,20))&lt;100000000,VALUE(MID($D81,2,20)),1000000000),1000000000))+ROW()/100000,"")</f>
        <v/>
      </c>
    </row>
    <row r="82">
      <c r="F82" s="11" t="n"/>
      <c r="N82" s="7">
        <f>IF($D82="","",M82*V82/100)</f>
        <v/>
      </c>
      <c r="O82" s="7" t="n"/>
      <c r="U82" s="7" t="n"/>
      <c r="V82" s="7" t="n"/>
      <c r="Y82">
        <f>IF($D82="","",IF($AN82=1,0,IF($AM82=1,Settings!$C$6,Settings!$C$7))*100)</f>
        <v/>
      </c>
      <c r="Z82" s="7">
        <f>IF($D82="","",V82*Y82/100)</f>
        <v/>
      </c>
      <c r="AA82" s="7">
        <f>IF($D82="","",V82-Z82)</f>
        <v/>
      </c>
      <c r="AB82" s="7">
        <f>IF($D82="","",AA82-N82)</f>
        <v/>
      </c>
      <c r="AF82" s="7" t="n"/>
      <c r="AI82" s="11" t="n"/>
      <c r="AK82">
        <f>IF($D82="","",IF(COUNTIF($D$2:$D82,$D82)=1,1,0))</f>
        <v/>
      </c>
      <c r="AL82">
        <f>IF($AK82=1,SUMPRODUCT(--($AO$2:$AO$3001&lt;$AO82))+1,"")</f>
        <v/>
      </c>
      <c r="AM82">
        <f>IF($D82="","",IF(OR($R82=TRUE(),$R82="TRUE"),1,0))</f>
        <v/>
      </c>
      <c r="AN82">
        <f>IF($D82="","",IF($X82="Yes",1,0))</f>
        <v/>
      </c>
      <c r="AO82">
        <f>IF($AK82=1,IFERROR(IF(VALUE($D82)&lt;100000000,VALUE($D82),1000000000),IFERROR(IF(VALUE(MID($D82,2,20))&lt;100000000,VALUE(MID($D82,2,20)),1000000000),1000000000))+ROW()/100000,"")</f>
        <v/>
      </c>
    </row>
    <row r="83">
      <c r="F83" s="11" t="n"/>
      <c r="N83" s="7">
        <f>IF($D83="","",M83*V83/100)</f>
        <v/>
      </c>
      <c r="O83" s="7" t="n"/>
      <c r="U83" s="7" t="n"/>
      <c r="V83" s="7" t="n"/>
      <c r="Y83">
        <f>IF($D83="","",IF($AN83=1,0,IF($AM83=1,Settings!$C$6,Settings!$C$7))*100)</f>
        <v/>
      </c>
      <c r="Z83" s="7">
        <f>IF($D83="","",V83*Y83/100)</f>
        <v/>
      </c>
      <c r="AA83" s="7">
        <f>IF($D83="","",V83-Z83)</f>
        <v/>
      </c>
      <c r="AB83" s="7">
        <f>IF($D83="","",AA83-N83)</f>
        <v/>
      </c>
      <c r="AF83" s="7" t="n"/>
      <c r="AI83" s="11" t="n"/>
      <c r="AK83">
        <f>IF($D83="","",IF(COUNTIF($D$2:$D83,$D83)=1,1,0))</f>
        <v/>
      </c>
      <c r="AL83">
        <f>IF($AK83=1,SUMPRODUCT(--($AO$2:$AO$3001&lt;$AO83))+1,"")</f>
        <v/>
      </c>
      <c r="AM83">
        <f>IF($D83="","",IF(OR($R83=TRUE(),$R83="TRUE"),1,0))</f>
        <v/>
      </c>
      <c r="AN83">
        <f>IF($D83="","",IF($X83="Yes",1,0))</f>
        <v/>
      </c>
      <c r="AO83">
        <f>IF($AK83=1,IFERROR(IF(VALUE($D83)&lt;100000000,VALUE($D83),1000000000),IFERROR(IF(VALUE(MID($D83,2,20))&lt;100000000,VALUE(MID($D83,2,20)),1000000000),1000000000))+ROW()/100000,"")</f>
        <v/>
      </c>
    </row>
    <row r="84">
      <c r="F84" s="11" t="n"/>
      <c r="N84" s="7">
        <f>IF($D84="","",M84*V84/100)</f>
        <v/>
      </c>
      <c r="O84" s="7" t="n"/>
      <c r="U84" s="7" t="n"/>
      <c r="V84" s="7" t="n"/>
      <c r="Y84">
        <f>IF($D84="","",IF($AN84=1,0,IF($AM84=1,Settings!$C$6,Settings!$C$7))*100)</f>
        <v/>
      </c>
      <c r="Z84" s="7">
        <f>IF($D84="","",V84*Y84/100)</f>
        <v/>
      </c>
      <c r="AA84" s="7">
        <f>IF($D84="","",V84-Z84)</f>
        <v/>
      </c>
      <c r="AB84" s="7">
        <f>IF($D84="","",AA84-N84)</f>
        <v/>
      </c>
      <c r="AF84" s="7" t="n"/>
      <c r="AI84" s="11" t="n"/>
      <c r="AK84">
        <f>IF($D84="","",IF(COUNTIF($D$2:$D84,$D84)=1,1,0))</f>
        <v/>
      </c>
      <c r="AL84">
        <f>IF($AK84=1,SUMPRODUCT(--($AO$2:$AO$3001&lt;$AO84))+1,"")</f>
        <v/>
      </c>
      <c r="AM84">
        <f>IF($D84="","",IF(OR($R84=TRUE(),$R84="TRUE"),1,0))</f>
        <v/>
      </c>
      <c r="AN84">
        <f>IF($D84="","",IF($X84="Yes",1,0))</f>
        <v/>
      </c>
      <c r="AO84">
        <f>IF($AK84=1,IFERROR(IF(VALUE($D84)&lt;100000000,VALUE($D84),1000000000),IFERROR(IF(VALUE(MID($D84,2,20))&lt;100000000,VALUE(MID($D84,2,20)),1000000000),1000000000))+ROW()/100000,"")</f>
        <v/>
      </c>
    </row>
    <row r="85">
      <c r="F85" s="11" t="n"/>
      <c r="N85" s="7">
        <f>IF($D85="","",M85*V85/100)</f>
        <v/>
      </c>
      <c r="O85" s="7" t="n"/>
      <c r="U85" s="7" t="n"/>
      <c r="V85" s="7" t="n"/>
      <c r="Y85">
        <f>IF($D85="","",IF($AN85=1,0,IF($AM85=1,Settings!$C$6,Settings!$C$7))*100)</f>
        <v/>
      </c>
      <c r="Z85" s="7">
        <f>IF($D85="","",V85*Y85/100)</f>
        <v/>
      </c>
      <c r="AA85" s="7">
        <f>IF($D85="","",V85-Z85)</f>
        <v/>
      </c>
      <c r="AB85" s="7">
        <f>IF($D85="","",AA85-N85)</f>
        <v/>
      </c>
      <c r="AF85" s="7" t="n"/>
      <c r="AI85" s="11" t="n"/>
      <c r="AK85">
        <f>IF($D85="","",IF(COUNTIF($D$2:$D85,$D85)=1,1,0))</f>
        <v/>
      </c>
      <c r="AL85">
        <f>IF($AK85=1,SUMPRODUCT(--($AO$2:$AO$3001&lt;$AO85))+1,"")</f>
        <v/>
      </c>
      <c r="AM85">
        <f>IF($D85="","",IF(OR($R85=TRUE(),$R85="TRUE"),1,0))</f>
        <v/>
      </c>
      <c r="AN85">
        <f>IF($D85="","",IF($X85="Yes",1,0))</f>
        <v/>
      </c>
      <c r="AO85">
        <f>IF($AK85=1,IFERROR(IF(VALUE($D85)&lt;100000000,VALUE($D85),1000000000),IFERROR(IF(VALUE(MID($D85,2,20))&lt;100000000,VALUE(MID($D85,2,20)),1000000000),1000000000))+ROW()/100000,"")</f>
        <v/>
      </c>
    </row>
    <row r="86">
      <c r="F86" s="11" t="n"/>
      <c r="N86" s="7">
        <f>IF($D86="","",M86*V86/100)</f>
        <v/>
      </c>
      <c r="O86" s="7" t="n"/>
      <c r="U86" s="7" t="n"/>
      <c r="V86" s="7" t="n"/>
      <c r="Y86">
        <f>IF($D86="","",IF($AN86=1,0,IF($AM86=1,Settings!$C$6,Settings!$C$7))*100)</f>
        <v/>
      </c>
      <c r="Z86" s="7">
        <f>IF($D86="","",V86*Y86/100)</f>
        <v/>
      </c>
      <c r="AA86" s="7">
        <f>IF($D86="","",V86-Z86)</f>
        <v/>
      </c>
      <c r="AB86" s="7">
        <f>IF($D86="","",AA86-N86)</f>
        <v/>
      </c>
      <c r="AF86" s="7" t="n"/>
      <c r="AI86" s="11" t="n"/>
      <c r="AK86">
        <f>IF($D86="","",IF(COUNTIF($D$2:$D86,$D86)=1,1,0))</f>
        <v/>
      </c>
      <c r="AL86">
        <f>IF($AK86=1,SUMPRODUCT(--($AO$2:$AO$3001&lt;$AO86))+1,"")</f>
        <v/>
      </c>
      <c r="AM86">
        <f>IF($D86="","",IF(OR($R86=TRUE(),$R86="TRUE"),1,0))</f>
        <v/>
      </c>
      <c r="AN86">
        <f>IF($D86="","",IF($X86="Yes",1,0))</f>
        <v/>
      </c>
      <c r="AO86">
        <f>IF($AK86=1,IFERROR(IF(VALUE($D86)&lt;100000000,VALUE($D86),1000000000),IFERROR(IF(VALUE(MID($D86,2,20))&lt;100000000,VALUE(MID($D86,2,20)),1000000000),1000000000))+ROW()/100000,"")</f>
        <v/>
      </c>
    </row>
    <row r="87">
      <c r="F87" s="11" t="n"/>
      <c r="N87" s="7">
        <f>IF($D87="","",M87*V87/100)</f>
        <v/>
      </c>
      <c r="O87" s="7" t="n"/>
      <c r="U87" s="7" t="n"/>
      <c r="V87" s="7" t="n"/>
      <c r="Y87">
        <f>IF($D87="","",IF($AN87=1,0,IF($AM87=1,Settings!$C$6,Settings!$C$7))*100)</f>
        <v/>
      </c>
      <c r="Z87" s="7">
        <f>IF($D87="","",V87*Y87/100)</f>
        <v/>
      </c>
      <c r="AA87" s="7">
        <f>IF($D87="","",V87-Z87)</f>
        <v/>
      </c>
      <c r="AB87" s="7">
        <f>IF($D87="","",AA87-N87)</f>
        <v/>
      </c>
      <c r="AF87" s="7" t="n"/>
      <c r="AI87" s="11" t="n"/>
      <c r="AK87">
        <f>IF($D87="","",IF(COUNTIF($D$2:$D87,$D87)=1,1,0))</f>
        <v/>
      </c>
      <c r="AL87">
        <f>IF($AK87=1,SUMPRODUCT(--($AO$2:$AO$3001&lt;$AO87))+1,"")</f>
        <v/>
      </c>
      <c r="AM87">
        <f>IF($D87="","",IF(OR($R87=TRUE(),$R87="TRUE"),1,0))</f>
        <v/>
      </c>
      <c r="AN87">
        <f>IF($D87="","",IF($X87="Yes",1,0))</f>
        <v/>
      </c>
      <c r="AO87">
        <f>IF($AK87=1,IFERROR(IF(VALUE($D87)&lt;100000000,VALUE($D87),1000000000),IFERROR(IF(VALUE(MID($D87,2,20))&lt;100000000,VALUE(MID($D87,2,20)),1000000000),1000000000))+ROW()/100000,"")</f>
        <v/>
      </c>
    </row>
    <row r="88">
      <c r="F88" s="11" t="n"/>
      <c r="N88" s="7">
        <f>IF($D88="","",M88*V88/100)</f>
        <v/>
      </c>
      <c r="O88" s="7" t="n"/>
      <c r="U88" s="7" t="n"/>
      <c r="V88" s="7" t="n"/>
      <c r="Y88">
        <f>IF($D88="","",IF($AN88=1,0,IF($AM88=1,Settings!$C$6,Settings!$C$7))*100)</f>
        <v/>
      </c>
      <c r="Z88" s="7">
        <f>IF($D88="","",V88*Y88/100)</f>
        <v/>
      </c>
      <c r="AA88" s="7">
        <f>IF($D88="","",V88-Z88)</f>
        <v/>
      </c>
      <c r="AB88" s="7">
        <f>IF($D88="","",AA88-N88)</f>
        <v/>
      </c>
      <c r="AF88" s="7" t="n"/>
      <c r="AI88" s="11" t="n"/>
      <c r="AK88">
        <f>IF($D88="","",IF(COUNTIF($D$2:$D88,$D88)=1,1,0))</f>
        <v/>
      </c>
      <c r="AL88">
        <f>IF($AK88=1,SUMPRODUCT(--($AO$2:$AO$3001&lt;$AO88))+1,"")</f>
        <v/>
      </c>
      <c r="AM88">
        <f>IF($D88="","",IF(OR($R88=TRUE(),$R88="TRUE"),1,0))</f>
        <v/>
      </c>
      <c r="AN88">
        <f>IF($D88="","",IF($X88="Yes",1,0))</f>
        <v/>
      </c>
      <c r="AO88">
        <f>IF($AK88=1,IFERROR(IF(VALUE($D88)&lt;100000000,VALUE($D88),1000000000),IFERROR(IF(VALUE(MID($D88,2,20))&lt;100000000,VALUE(MID($D88,2,20)),1000000000),1000000000))+ROW()/100000,"")</f>
        <v/>
      </c>
    </row>
    <row r="89">
      <c r="F89" s="11" t="n"/>
      <c r="N89" s="7">
        <f>IF($D89="","",M89*V89/100)</f>
        <v/>
      </c>
      <c r="O89" s="7" t="n"/>
      <c r="U89" s="7" t="n"/>
      <c r="V89" s="7" t="n"/>
      <c r="Y89">
        <f>IF($D89="","",IF($AN89=1,0,IF($AM89=1,Settings!$C$6,Settings!$C$7))*100)</f>
        <v/>
      </c>
      <c r="Z89" s="7">
        <f>IF($D89="","",V89*Y89/100)</f>
        <v/>
      </c>
      <c r="AA89" s="7">
        <f>IF($D89="","",V89-Z89)</f>
        <v/>
      </c>
      <c r="AB89" s="7">
        <f>IF($D89="","",AA89-N89)</f>
        <v/>
      </c>
      <c r="AF89" s="7" t="n"/>
      <c r="AI89" s="11" t="n"/>
      <c r="AK89">
        <f>IF($D89="","",IF(COUNTIF($D$2:$D89,$D89)=1,1,0))</f>
        <v/>
      </c>
      <c r="AL89">
        <f>IF($AK89=1,SUMPRODUCT(--($AO$2:$AO$3001&lt;$AO89))+1,"")</f>
        <v/>
      </c>
      <c r="AM89">
        <f>IF($D89="","",IF(OR($R89=TRUE(),$R89="TRUE"),1,0))</f>
        <v/>
      </c>
      <c r="AN89">
        <f>IF($D89="","",IF($X89="Yes",1,0))</f>
        <v/>
      </c>
      <c r="AO89">
        <f>IF($AK89=1,IFERROR(IF(VALUE($D89)&lt;100000000,VALUE($D89),1000000000),IFERROR(IF(VALUE(MID($D89,2,20))&lt;100000000,VALUE(MID($D89,2,20)),1000000000),1000000000))+ROW()/100000,"")</f>
        <v/>
      </c>
    </row>
    <row r="90">
      <c r="F90" s="11" t="n"/>
      <c r="N90" s="7">
        <f>IF($D90="","",M90*V90/100)</f>
        <v/>
      </c>
      <c r="O90" s="7" t="n"/>
      <c r="U90" s="7" t="n"/>
      <c r="V90" s="7" t="n"/>
      <c r="Y90">
        <f>IF($D90="","",IF($AN90=1,0,IF($AM90=1,Settings!$C$6,Settings!$C$7))*100)</f>
        <v/>
      </c>
      <c r="Z90" s="7">
        <f>IF($D90="","",V90*Y90/100)</f>
        <v/>
      </c>
      <c r="AA90" s="7">
        <f>IF($D90="","",V90-Z90)</f>
        <v/>
      </c>
      <c r="AB90" s="7">
        <f>IF($D90="","",AA90-N90)</f>
        <v/>
      </c>
      <c r="AF90" s="7" t="n"/>
      <c r="AI90" s="11" t="n"/>
      <c r="AK90">
        <f>IF($D90="","",IF(COUNTIF($D$2:$D90,$D90)=1,1,0))</f>
        <v/>
      </c>
      <c r="AL90">
        <f>IF($AK90=1,SUMPRODUCT(--($AO$2:$AO$3001&lt;$AO90))+1,"")</f>
        <v/>
      </c>
      <c r="AM90">
        <f>IF($D90="","",IF(OR($R90=TRUE(),$R90="TRUE"),1,0))</f>
        <v/>
      </c>
      <c r="AN90">
        <f>IF($D90="","",IF($X90="Yes",1,0))</f>
        <v/>
      </c>
      <c r="AO90">
        <f>IF($AK90=1,IFERROR(IF(VALUE($D90)&lt;100000000,VALUE($D90),1000000000),IFERROR(IF(VALUE(MID($D90,2,20))&lt;100000000,VALUE(MID($D90,2,20)),1000000000),1000000000))+ROW()/100000,"")</f>
        <v/>
      </c>
    </row>
    <row r="91">
      <c r="F91" s="11" t="n"/>
      <c r="N91" s="7">
        <f>IF($D91="","",M91*V91/100)</f>
        <v/>
      </c>
      <c r="O91" s="7" t="n"/>
      <c r="U91" s="7" t="n"/>
      <c r="V91" s="7" t="n"/>
      <c r="Y91">
        <f>IF($D91="","",IF($AN91=1,0,IF($AM91=1,Settings!$C$6,Settings!$C$7))*100)</f>
        <v/>
      </c>
      <c r="Z91" s="7">
        <f>IF($D91="","",V91*Y91/100)</f>
        <v/>
      </c>
      <c r="AA91" s="7">
        <f>IF($D91="","",V91-Z91)</f>
        <v/>
      </c>
      <c r="AB91" s="7">
        <f>IF($D91="","",AA91-N91)</f>
        <v/>
      </c>
      <c r="AF91" s="7" t="n"/>
      <c r="AI91" s="11" t="n"/>
      <c r="AK91">
        <f>IF($D91="","",IF(COUNTIF($D$2:$D91,$D91)=1,1,0))</f>
        <v/>
      </c>
      <c r="AL91">
        <f>IF($AK91=1,SUMPRODUCT(--($AO$2:$AO$3001&lt;$AO91))+1,"")</f>
        <v/>
      </c>
      <c r="AM91">
        <f>IF($D91="","",IF(OR($R91=TRUE(),$R91="TRUE"),1,0))</f>
        <v/>
      </c>
      <c r="AN91">
        <f>IF($D91="","",IF($X91="Yes",1,0))</f>
        <v/>
      </c>
      <c r="AO91">
        <f>IF($AK91=1,IFERROR(IF(VALUE($D91)&lt;100000000,VALUE($D91),1000000000),IFERROR(IF(VALUE(MID($D91,2,20))&lt;100000000,VALUE(MID($D91,2,20)),1000000000),1000000000))+ROW()/100000,"")</f>
        <v/>
      </c>
    </row>
    <row r="92">
      <c r="F92" s="11" t="n"/>
      <c r="N92" s="7">
        <f>IF($D92="","",M92*V92/100)</f>
        <v/>
      </c>
      <c r="O92" s="7" t="n"/>
      <c r="U92" s="7" t="n"/>
      <c r="V92" s="7" t="n"/>
      <c r="Y92">
        <f>IF($D92="","",IF($AN92=1,0,IF($AM92=1,Settings!$C$6,Settings!$C$7))*100)</f>
        <v/>
      </c>
      <c r="Z92" s="7">
        <f>IF($D92="","",V92*Y92/100)</f>
        <v/>
      </c>
      <c r="AA92" s="7">
        <f>IF($D92="","",V92-Z92)</f>
        <v/>
      </c>
      <c r="AB92" s="7">
        <f>IF($D92="","",AA92-N92)</f>
        <v/>
      </c>
      <c r="AF92" s="7" t="n"/>
      <c r="AI92" s="11" t="n"/>
      <c r="AK92">
        <f>IF($D92="","",IF(COUNTIF($D$2:$D92,$D92)=1,1,0))</f>
        <v/>
      </c>
      <c r="AL92">
        <f>IF($AK92=1,SUMPRODUCT(--($AO$2:$AO$3001&lt;$AO92))+1,"")</f>
        <v/>
      </c>
      <c r="AM92">
        <f>IF($D92="","",IF(OR($R92=TRUE(),$R92="TRUE"),1,0))</f>
        <v/>
      </c>
      <c r="AN92">
        <f>IF($D92="","",IF($X92="Yes",1,0))</f>
        <v/>
      </c>
      <c r="AO92">
        <f>IF($AK92=1,IFERROR(IF(VALUE($D92)&lt;100000000,VALUE($D92),1000000000),IFERROR(IF(VALUE(MID($D92,2,20))&lt;100000000,VALUE(MID($D92,2,20)),1000000000),1000000000))+ROW()/100000,"")</f>
        <v/>
      </c>
    </row>
    <row r="93">
      <c r="F93" s="11" t="n"/>
      <c r="N93" s="7">
        <f>IF($D93="","",M93*V93/100)</f>
        <v/>
      </c>
      <c r="O93" s="7" t="n"/>
      <c r="U93" s="7" t="n"/>
      <c r="V93" s="7" t="n"/>
      <c r="Y93">
        <f>IF($D93="","",IF($AN93=1,0,IF($AM93=1,Settings!$C$6,Settings!$C$7))*100)</f>
        <v/>
      </c>
      <c r="Z93" s="7">
        <f>IF($D93="","",V93*Y93/100)</f>
        <v/>
      </c>
      <c r="AA93" s="7">
        <f>IF($D93="","",V93-Z93)</f>
        <v/>
      </c>
      <c r="AB93" s="7">
        <f>IF($D93="","",AA93-N93)</f>
        <v/>
      </c>
      <c r="AF93" s="7" t="n"/>
      <c r="AI93" s="11" t="n"/>
      <c r="AK93">
        <f>IF($D93="","",IF(COUNTIF($D$2:$D93,$D93)=1,1,0))</f>
        <v/>
      </c>
      <c r="AL93">
        <f>IF($AK93=1,SUMPRODUCT(--($AO$2:$AO$3001&lt;$AO93))+1,"")</f>
        <v/>
      </c>
      <c r="AM93">
        <f>IF($D93="","",IF(OR($R93=TRUE(),$R93="TRUE"),1,0))</f>
        <v/>
      </c>
      <c r="AN93">
        <f>IF($D93="","",IF($X93="Yes",1,0))</f>
        <v/>
      </c>
      <c r="AO93">
        <f>IF($AK93=1,IFERROR(IF(VALUE($D93)&lt;100000000,VALUE($D93),1000000000),IFERROR(IF(VALUE(MID($D93,2,20))&lt;100000000,VALUE(MID($D93,2,20)),1000000000),1000000000))+ROW()/100000,"")</f>
        <v/>
      </c>
    </row>
    <row r="94">
      <c r="F94" s="11" t="n"/>
      <c r="N94" s="7">
        <f>IF($D94="","",M94*V94/100)</f>
        <v/>
      </c>
      <c r="O94" s="7" t="n"/>
      <c r="U94" s="7" t="n"/>
      <c r="V94" s="7" t="n"/>
      <c r="Y94">
        <f>IF($D94="","",IF($AN94=1,0,IF($AM94=1,Settings!$C$6,Settings!$C$7))*100)</f>
        <v/>
      </c>
      <c r="Z94" s="7">
        <f>IF($D94="","",V94*Y94/100)</f>
        <v/>
      </c>
      <c r="AA94" s="7">
        <f>IF($D94="","",V94-Z94)</f>
        <v/>
      </c>
      <c r="AB94" s="7">
        <f>IF($D94="","",AA94-N94)</f>
        <v/>
      </c>
      <c r="AF94" s="7" t="n"/>
      <c r="AI94" s="11" t="n"/>
      <c r="AK94">
        <f>IF($D94="","",IF(COUNTIF($D$2:$D94,$D94)=1,1,0))</f>
        <v/>
      </c>
      <c r="AL94">
        <f>IF($AK94=1,SUMPRODUCT(--($AO$2:$AO$3001&lt;$AO94))+1,"")</f>
        <v/>
      </c>
      <c r="AM94">
        <f>IF($D94="","",IF(OR($R94=TRUE(),$R94="TRUE"),1,0))</f>
        <v/>
      </c>
      <c r="AN94">
        <f>IF($D94="","",IF($X94="Yes",1,0))</f>
        <v/>
      </c>
      <c r="AO94">
        <f>IF($AK94=1,IFERROR(IF(VALUE($D94)&lt;100000000,VALUE($D94),1000000000),IFERROR(IF(VALUE(MID($D94,2,20))&lt;100000000,VALUE(MID($D94,2,20)),1000000000),1000000000))+ROW()/100000,"")</f>
        <v/>
      </c>
    </row>
    <row r="95">
      <c r="F95" s="11" t="n"/>
      <c r="N95" s="7">
        <f>IF($D95="","",M95*V95/100)</f>
        <v/>
      </c>
      <c r="O95" s="7" t="n"/>
      <c r="U95" s="7" t="n"/>
      <c r="V95" s="7" t="n"/>
      <c r="Y95">
        <f>IF($D95="","",IF($AN95=1,0,IF($AM95=1,Settings!$C$6,Settings!$C$7))*100)</f>
        <v/>
      </c>
      <c r="Z95" s="7">
        <f>IF($D95="","",V95*Y95/100)</f>
        <v/>
      </c>
      <c r="AA95" s="7">
        <f>IF($D95="","",V95-Z95)</f>
        <v/>
      </c>
      <c r="AB95" s="7">
        <f>IF($D95="","",AA95-N95)</f>
        <v/>
      </c>
      <c r="AF95" s="7" t="n"/>
      <c r="AI95" s="11" t="n"/>
      <c r="AK95">
        <f>IF($D95="","",IF(COUNTIF($D$2:$D95,$D95)=1,1,0))</f>
        <v/>
      </c>
      <c r="AL95">
        <f>IF($AK95=1,SUMPRODUCT(--($AO$2:$AO$3001&lt;$AO95))+1,"")</f>
        <v/>
      </c>
      <c r="AM95">
        <f>IF($D95="","",IF(OR($R95=TRUE(),$R95="TRUE"),1,0))</f>
        <v/>
      </c>
      <c r="AN95">
        <f>IF($D95="","",IF($X95="Yes",1,0))</f>
        <v/>
      </c>
      <c r="AO95">
        <f>IF($AK95=1,IFERROR(IF(VALUE($D95)&lt;100000000,VALUE($D95),1000000000),IFERROR(IF(VALUE(MID($D95,2,20))&lt;100000000,VALUE(MID($D95,2,20)),1000000000),1000000000))+ROW()/100000,"")</f>
        <v/>
      </c>
    </row>
    <row r="96">
      <c r="F96" s="11" t="n"/>
      <c r="N96" s="7">
        <f>IF($D96="","",M96*V96/100)</f>
        <v/>
      </c>
      <c r="O96" s="7" t="n"/>
      <c r="U96" s="7" t="n"/>
      <c r="V96" s="7" t="n"/>
      <c r="Y96">
        <f>IF($D96="","",IF($AN96=1,0,IF($AM96=1,Settings!$C$6,Settings!$C$7))*100)</f>
        <v/>
      </c>
      <c r="Z96" s="7">
        <f>IF($D96="","",V96*Y96/100)</f>
        <v/>
      </c>
      <c r="AA96" s="7">
        <f>IF($D96="","",V96-Z96)</f>
        <v/>
      </c>
      <c r="AB96" s="7">
        <f>IF($D96="","",AA96-N96)</f>
        <v/>
      </c>
      <c r="AF96" s="7" t="n"/>
      <c r="AI96" s="11" t="n"/>
      <c r="AK96">
        <f>IF($D96="","",IF(COUNTIF($D$2:$D96,$D96)=1,1,0))</f>
        <v/>
      </c>
      <c r="AL96">
        <f>IF($AK96=1,SUMPRODUCT(--($AO$2:$AO$3001&lt;$AO96))+1,"")</f>
        <v/>
      </c>
      <c r="AM96">
        <f>IF($D96="","",IF(OR($R96=TRUE(),$R96="TRUE"),1,0))</f>
        <v/>
      </c>
      <c r="AN96">
        <f>IF($D96="","",IF($X96="Yes",1,0))</f>
        <v/>
      </c>
      <c r="AO96">
        <f>IF($AK96=1,IFERROR(IF(VALUE($D96)&lt;100000000,VALUE($D96),1000000000),IFERROR(IF(VALUE(MID($D96,2,20))&lt;100000000,VALUE(MID($D96,2,20)),1000000000),1000000000))+ROW()/100000,"")</f>
        <v/>
      </c>
    </row>
    <row r="97">
      <c r="F97" s="11" t="n"/>
      <c r="N97" s="7">
        <f>IF($D97="","",M97*V97/100)</f>
        <v/>
      </c>
      <c r="O97" s="7" t="n"/>
      <c r="U97" s="7" t="n"/>
      <c r="V97" s="7" t="n"/>
      <c r="Y97">
        <f>IF($D97="","",IF($AN97=1,0,IF($AM97=1,Settings!$C$6,Settings!$C$7))*100)</f>
        <v/>
      </c>
      <c r="Z97" s="7">
        <f>IF($D97="","",V97*Y97/100)</f>
        <v/>
      </c>
      <c r="AA97" s="7">
        <f>IF($D97="","",V97-Z97)</f>
        <v/>
      </c>
      <c r="AB97" s="7">
        <f>IF($D97="","",AA97-N97)</f>
        <v/>
      </c>
      <c r="AF97" s="7" t="n"/>
      <c r="AI97" s="11" t="n"/>
      <c r="AK97">
        <f>IF($D97="","",IF(COUNTIF($D$2:$D97,$D97)=1,1,0))</f>
        <v/>
      </c>
      <c r="AL97">
        <f>IF($AK97=1,SUMPRODUCT(--($AO$2:$AO$3001&lt;$AO97))+1,"")</f>
        <v/>
      </c>
      <c r="AM97">
        <f>IF($D97="","",IF(OR($R97=TRUE(),$R97="TRUE"),1,0))</f>
        <v/>
      </c>
      <c r="AN97">
        <f>IF($D97="","",IF($X97="Yes",1,0))</f>
        <v/>
      </c>
      <c r="AO97">
        <f>IF($AK97=1,IFERROR(IF(VALUE($D97)&lt;100000000,VALUE($D97),1000000000),IFERROR(IF(VALUE(MID($D97,2,20))&lt;100000000,VALUE(MID($D97,2,20)),1000000000),1000000000))+ROW()/100000,"")</f>
        <v/>
      </c>
    </row>
    <row r="98">
      <c r="F98" s="11" t="n"/>
      <c r="N98" s="7">
        <f>IF($D98="","",M98*V98/100)</f>
        <v/>
      </c>
      <c r="O98" s="7" t="n"/>
      <c r="U98" s="7" t="n"/>
      <c r="V98" s="7" t="n"/>
      <c r="Y98">
        <f>IF($D98="","",IF($AN98=1,0,IF($AM98=1,Settings!$C$6,Settings!$C$7))*100)</f>
        <v/>
      </c>
      <c r="Z98" s="7">
        <f>IF($D98="","",V98*Y98/100)</f>
        <v/>
      </c>
      <c r="AA98" s="7">
        <f>IF($D98="","",V98-Z98)</f>
        <v/>
      </c>
      <c r="AB98" s="7">
        <f>IF($D98="","",AA98-N98)</f>
        <v/>
      </c>
      <c r="AF98" s="7" t="n"/>
      <c r="AI98" s="11" t="n"/>
      <c r="AK98">
        <f>IF($D98="","",IF(COUNTIF($D$2:$D98,$D98)=1,1,0))</f>
        <v/>
      </c>
      <c r="AL98">
        <f>IF($AK98=1,SUMPRODUCT(--($AO$2:$AO$3001&lt;$AO98))+1,"")</f>
        <v/>
      </c>
      <c r="AM98">
        <f>IF($D98="","",IF(OR($R98=TRUE(),$R98="TRUE"),1,0))</f>
        <v/>
      </c>
      <c r="AN98">
        <f>IF($D98="","",IF($X98="Yes",1,0))</f>
        <v/>
      </c>
      <c r="AO98">
        <f>IF($AK98=1,IFERROR(IF(VALUE($D98)&lt;100000000,VALUE($D98),1000000000),IFERROR(IF(VALUE(MID($D98,2,20))&lt;100000000,VALUE(MID($D98,2,20)),1000000000),1000000000))+ROW()/100000,"")</f>
        <v/>
      </c>
    </row>
    <row r="99">
      <c r="F99" s="11" t="n"/>
      <c r="N99" s="7">
        <f>IF($D99="","",M99*V99/100)</f>
        <v/>
      </c>
      <c r="O99" s="7" t="n"/>
      <c r="U99" s="7" t="n"/>
      <c r="V99" s="7" t="n"/>
      <c r="Y99">
        <f>IF($D99="","",IF($AN99=1,0,IF($AM99=1,Settings!$C$6,Settings!$C$7))*100)</f>
        <v/>
      </c>
      <c r="Z99" s="7">
        <f>IF($D99="","",V99*Y99/100)</f>
        <v/>
      </c>
      <c r="AA99" s="7">
        <f>IF($D99="","",V99-Z99)</f>
        <v/>
      </c>
      <c r="AB99" s="7">
        <f>IF($D99="","",AA99-N99)</f>
        <v/>
      </c>
      <c r="AF99" s="7" t="n"/>
      <c r="AI99" s="11" t="n"/>
      <c r="AK99">
        <f>IF($D99="","",IF(COUNTIF($D$2:$D99,$D99)=1,1,0))</f>
        <v/>
      </c>
      <c r="AL99">
        <f>IF($AK99=1,SUMPRODUCT(--($AO$2:$AO$3001&lt;$AO99))+1,"")</f>
        <v/>
      </c>
      <c r="AM99">
        <f>IF($D99="","",IF(OR($R99=TRUE(),$R99="TRUE"),1,0))</f>
        <v/>
      </c>
      <c r="AN99">
        <f>IF($D99="","",IF($X99="Yes",1,0))</f>
        <v/>
      </c>
      <c r="AO99">
        <f>IF($AK99=1,IFERROR(IF(VALUE($D99)&lt;100000000,VALUE($D99),1000000000),IFERROR(IF(VALUE(MID($D99,2,20))&lt;100000000,VALUE(MID($D99,2,20)),1000000000),1000000000))+ROW()/100000,"")</f>
        <v/>
      </c>
    </row>
    <row r="100">
      <c r="F100" s="11" t="n"/>
      <c r="N100" s="7">
        <f>IF($D100="","",M100*V100/100)</f>
        <v/>
      </c>
      <c r="O100" s="7" t="n"/>
      <c r="U100" s="7" t="n"/>
      <c r="V100" s="7" t="n"/>
      <c r="Y100">
        <f>IF($D100="","",IF($AN100=1,0,IF($AM100=1,Settings!$C$6,Settings!$C$7))*100)</f>
        <v/>
      </c>
      <c r="Z100" s="7">
        <f>IF($D100="","",V100*Y100/100)</f>
        <v/>
      </c>
      <c r="AA100" s="7">
        <f>IF($D100="","",V100-Z100)</f>
        <v/>
      </c>
      <c r="AB100" s="7">
        <f>IF($D100="","",AA100-N100)</f>
        <v/>
      </c>
      <c r="AF100" s="7" t="n"/>
      <c r="AI100" s="11" t="n"/>
      <c r="AK100">
        <f>IF($D100="","",IF(COUNTIF($D$2:$D100,$D100)=1,1,0))</f>
        <v/>
      </c>
      <c r="AL100">
        <f>IF($AK100=1,SUMPRODUCT(--($AO$2:$AO$3001&lt;$AO100))+1,"")</f>
        <v/>
      </c>
      <c r="AM100">
        <f>IF($D100="","",IF(OR($R100=TRUE(),$R100="TRUE"),1,0))</f>
        <v/>
      </c>
      <c r="AN100">
        <f>IF($D100="","",IF($X100="Yes",1,0))</f>
        <v/>
      </c>
      <c r="AO100">
        <f>IF($AK100=1,IFERROR(IF(VALUE($D100)&lt;100000000,VALUE($D100),1000000000),IFERROR(IF(VALUE(MID($D100,2,20))&lt;100000000,VALUE(MID($D100,2,20)),1000000000),1000000000))+ROW()/100000,"")</f>
        <v/>
      </c>
    </row>
    <row r="101">
      <c r="F101" s="11" t="n"/>
      <c r="N101" s="7">
        <f>IF($D101="","",M101*V101/100)</f>
        <v/>
      </c>
      <c r="O101" s="7" t="n"/>
      <c r="U101" s="7" t="n"/>
      <c r="V101" s="7" t="n"/>
      <c r="Y101">
        <f>IF($D101="","",IF($AN101=1,0,IF($AM101=1,Settings!$C$6,Settings!$C$7))*100)</f>
        <v/>
      </c>
      <c r="Z101" s="7">
        <f>IF($D101="","",V101*Y101/100)</f>
        <v/>
      </c>
      <c r="AA101" s="7">
        <f>IF($D101="","",V101-Z101)</f>
        <v/>
      </c>
      <c r="AB101" s="7">
        <f>IF($D101="","",AA101-N101)</f>
        <v/>
      </c>
      <c r="AF101" s="7" t="n"/>
      <c r="AI101" s="11" t="n"/>
      <c r="AK101">
        <f>IF($D101="","",IF(COUNTIF($D$2:$D101,$D101)=1,1,0))</f>
        <v/>
      </c>
      <c r="AL101">
        <f>IF($AK101=1,SUMPRODUCT(--($AO$2:$AO$3001&lt;$AO101))+1,"")</f>
        <v/>
      </c>
      <c r="AM101">
        <f>IF($D101="","",IF(OR($R101=TRUE(),$R101="TRUE"),1,0))</f>
        <v/>
      </c>
      <c r="AN101">
        <f>IF($D101="","",IF($X101="Yes",1,0))</f>
        <v/>
      </c>
      <c r="AO101">
        <f>IF($AK101=1,IFERROR(IF(VALUE($D101)&lt;100000000,VALUE($D101),1000000000),IFERROR(IF(VALUE(MID($D101,2,20))&lt;100000000,VALUE(MID($D101,2,20)),1000000000),1000000000))+ROW()/100000,"")</f>
        <v/>
      </c>
    </row>
    <row r="102">
      <c r="F102" s="11" t="n"/>
      <c r="N102" s="7">
        <f>IF($D102="","",M102*V102/100)</f>
        <v/>
      </c>
      <c r="O102" s="7" t="n"/>
      <c r="U102" s="7" t="n"/>
      <c r="V102" s="7" t="n"/>
      <c r="Y102">
        <f>IF($D102="","",IF($AN102=1,0,IF($AM102=1,Settings!$C$6,Settings!$C$7))*100)</f>
        <v/>
      </c>
      <c r="Z102" s="7">
        <f>IF($D102="","",V102*Y102/100)</f>
        <v/>
      </c>
      <c r="AA102" s="7">
        <f>IF($D102="","",V102-Z102)</f>
        <v/>
      </c>
      <c r="AB102" s="7">
        <f>IF($D102="","",AA102-N102)</f>
        <v/>
      </c>
      <c r="AF102" s="7" t="n"/>
      <c r="AI102" s="11" t="n"/>
      <c r="AK102">
        <f>IF($D102="","",IF(COUNTIF($D$2:$D102,$D102)=1,1,0))</f>
        <v/>
      </c>
      <c r="AL102">
        <f>IF($AK102=1,SUMPRODUCT(--($AO$2:$AO$3001&lt;$AO102))+1,"")</f>
        <v/>
      </c>
      <c r="AM102">
        <f>IF($D102="","",IF(OR($R102=TRUE(),$R102="TRUE"),1,0))</f>
        <v/>
      </c>
      <c r="AN102">
        <f>IF($D102="","",IF($X102="Yes",1,0))</f>
        <v/>
      </c>
      <c r="AO102">
        <f>IF($AK102=1,IFERROR(IF(VALUE($D102)&lt;100000000,VALUE($D102),1000000000),IFERROR(IF(VALUE(MID($D102,2,20))&lt;100000000,VALUE(MID($D102,2,20)),1000000000),1000000000))+ROW()/100000,"")</f>
        <v/>
      </c>
    </row>
    <row r="103">
      <c r="F103" s="11" t="n"/>
      <c r="N103" s="7">
        <f>IF($D103="","",M103*V103/100)</f>
        <v/>
      </c>
      <c r="O103" s="7" t="n"/>
      <c r="U103" s="7" t="n"/>
      <c r="V103" s="7" t="n"/>
      <c r="Y103">
        <f>IF($D103="","",IF($AN103=1,0,IF($AM103=1,Settings!$C$6,Settings!$C$7))*100)</f>
        <v/>
      </c>
      <c r="Z103" s="7">
        <f>IF($D103="","",V103*Y103/100)</f>
        <v/>
      </c>
      <c r="AA103" s="7">
        <f>IF($D103="","",V103-Z103)</f>
        <v/>
      </c>
      <c r="AB103" s="7">
        <f>IF($D103="","",AA103-N103)</f>
        <v/>
      </c>
      <c r="AF103" s="7" t="n"/>
      <c r="AI103" s="11" t="n"/>
      <c r="AK103">
        <f>IF($D103="","",IF(COUNTIF($D$2:$D103,$D103)=1,1,0))</f>
        <v/>
      </c>
      <c r="AL103">
        <f>IF($AK103=1,SUMPRODUCT(--($AO$2:$AO$3001&lt;$AO103))+1,"")</f>
        <v/>
      </c>
      <c r="AM103">
        <f>IF($D103="","",IF(OR($R103=TRUE(),$R103="TRUE"),1,0))</f>
        <v/>
      </c>
      <c r="AN103">
        <f>IF($D103="","",IF($X103="Yes",1,0))</f>
        <v/>
      </c>
      <c r="AO103">
        <f>IF($AK103=1,IFERROR(IF(VALUE($D103)&lt;100000000,VALUE($D103),1000000000),IFERROR(IF(VALUE(MID($D103,2,20))&lt;100000000,VALUE(MID($D103,2,20)),1000000000),1000000000))+ROW()/100000,"")</f>
        <v/>
      </c>
    </row>
    <row r="104">
      <c r="F104" s="11" t="n"/>
      <c r="N104" s="7">
        <f>IF($D104="","",M104*V104/100)</f>
        <v/>
      </c>
      <c r="O104" s="7" t="n"/>
      <c r="U104" s="7" t="n"/>
      <c r="V104" s="7" t="n"/>
      <c r="Y104">
        <f>IF($D104="","",IF($AN104=1,0,IF($AM104=1,Settings!$C$6,Settings!$C$7))*100)</f>
        <v/>
      </c>
      <c r="Z104" s="7">
        <f>IF($D104="","",V104*Y104/100)</f>
        <v/>
      </c>
      <c r="AA104" s="7">
        <f>IF($D104="","",V104-Z104)</f>
        <v/>
      </c>
      <c r="AB104" s="7">
        <f>IF($D104="","",AA104-N104)</f>
        <v/>
      </c>
      <c r="AF104" s="7" t="n"/>
      <c r="AI104" s="11" t="n"/>
      <c r="AK104">
        <f>IF($D104="","",IF(COUNTIF($D$2:$D104,$D104)=1,1,0))</f>
        <v/>
      </c>
      <c r="AL104">
        <f>IF($AK104=1,SUMPRODUCT(--($AO$2:$AO$3001&lt;$AO104))+1,"")</f>
        <v/>
      </c>
      <c r="AM104">
        <f>IF($D104="","",IF(OR($R104=TRUE(),$R104="TRUE"),1,0))</f>
        <v/>
      </c>
      <c r="AN104">
        <f>IF($D104="","",IF($X104="Yes",1,0))</f>
        <v/>
      </c>
      <c r="AO104">
        <f>IF($AK104=1,IFERROR(IF(VALUE($D104)&lt;100000000,VALUE($D104),1000000000),IFERROR(IF(VALUE(MID($D104,2,20))&lt;100000000,VALUE(MID($D104,2,20)),1000000000),1000000000))+ROW()/100000,"")</f>
        <v/>
      </c>
    </row>
    <row r="105">
      <c r="F105" s="11" t="n"/>
      <c r="N105" s="7">
        <f>IF($D105="","",M105*V105/100)</f>
        <v/>
      </c>
      <c r="O105" s="7" t="n"/>
      <c r="U105" s="7" t="n"/>
      <c r="V105" s="7" t="n"/>
      <c r="Y105">
        <f>IF($D105="","",IF($AN105=1,0,IF($AM105=1,Settings!$C$6,Settings!$C$7))*100)</f>
        <v/>
      </c>
      <c r="Z105" s="7">
        <f>IF($D105="","",V105*Y105/100)</f>
        <v/>
      </c>
      <c r="AA105" s="7">
        <f>IF($D105="","",V105-Z105)</f>
        <v/>
      </c>
      <c r="AB105" s="7">
        <f>IF($D105="","",AA105-N105)</f>
        <v/>
      </c>
      <c r="AF105" s="7" t="n"/>
      <c r="AI105" s="11" t="n"/>
      <c r="AK105">
        <f>IF($D105="","",IF(COUNTIF($D$2:$D105,$D105)=1,1,0))</f>
        <v/>
      </c>
      <c r="AL105">
        <f>IF($AK105=1,SUMPRODUCT(--($AO$2:$AO$3001&lt;$AO105))+1,"")</f>
        <v/>
      </c>
      <c r="AM105">
        <f>IF($D105="","",IF(OR($R105=TRUE(),$R105="TRUE"),1,0))</f>
        <v/>
      </c>
      <c r="AN105">
        <f>IF($D105="","",IF($X105="Yes",1,0))</f>
        <v/>
      </c>
      <c r="AO105">
        <f>IF($AK105=1,IFERROR(IF(VALUE($D105)&lt;100000000,VALUE($D105),1000000000),IFERROR(IF(VALUE(MID($D105,2,20))&lt;100000000,VALUE(MID($D105,2,20)),1000000000),1000000000))+ROW()/100000,"")</f>
        <v/>
      </c>
    </row>
    <row r="106">
      <c r="F106" s="11" t="n"/>
      <c r="N106" s="7">
        <f>IF($D106="","",M106*V106/100)</f>
        <v/>
      </c>
      <c r="O106" s="7" t="n"/>
      <c r="U106" s="7" t="n"/>
      <c r="V106" s="7" t="n"/>
      <c r="Y106">
        <f>IF($D106="","",IF($AN106=1,0,IF($AM106=1,Settings!$C$6,Settings!$C$7))*100)</f>
        <v/>
      </c>
      <c r="Z106" s="7">
        <f>IF($D106="","",V106*Y106/100)</f>
        <v/>
      </c>
      <c r="AA106" s="7">
        <f>IF($D106="","",V106-Z106)</f>
        <v/>
      </c>
      <c r="AB106" s="7">
        <f>IF($D106="","",AA106-N106)</f>
        <v/>
      </c>
      <c r="AF106" s="7" t="n"/>
      <c r="AI106" s="11" t="n"/>
      <c r="AK106">
        <f>IF($D106="","",IF(COUNTIF($D$2:$D106,$D106)=1,1,0))</f>
        <v/>
      </c>
      <c r="AL106">
        <f>IF($AK106=1,SUMPRODUCT(--($AO$2:$AO$3001&lt;$AO106))+1,"")</f>
        <v/>
      </c>
      <c r="AM106">
        <f>IF($D106="","",IF(OR($R106=TRUE(),$R106="TRUE"),1,0))</f>
        <v/>
      </c>
      <c r="AN106">
        <f>IF($D106="","",IF($X106="Yes",1,0))</f>
        <v/>
      </c>
      <c r="AO106">
        <f>IF($AK106=1,IFERROR(IF(VALUE($D106)&lt;100000000,VALUE($D106),1000000000),IFERROR(IF(VALUE(MID($D106,2,20))&lt;100000000,VALUE(MID($D106,2,20)),1000000000),1000000000))+ROW()/100000,"")</f>
        <v/>
      </c>
    </row>
    <row r="107">
      <c r="F107" s="11" t="n"/>
      <c r="N107" s="7">
        <f>IF($D107="","",M107*V107/100)</f>
        <v/>
      </c>
      <c r="O107" s="7" t="n"/>
      <c r="U107" s="7" t="n"/>
      <c r="V107" s="7" t="n"/>
      <c r="Y107">
        <f>IF($D107="","",IF($AN107=1,0,IF($AM107=1,Settings!$C$6,Settings!$C$7))*100)</f>
        <v/>
      </c>
      <c r="Z107" s="7">
        <f>IF($D107="","",V107*Y107/100)</f>
        <v/>
      </c>
      <c r="AA107" s="7">
        <f>IF($D107="","",V107-Z107)</f>
        <v/>
      </c>
      <c r="AB107" s="7">
        <f>IF($D107="","",AA107-N107)</f>
        <v/>
      </c>
      <c r="AF107" s="7" t="n"/>
      <c r="AI107" s="11" t="n"/>
      <c r="AK107">
        <f>IF($D107="","",IF(COUNTIF($D$2:$D107,$D107)=1,1,0))</f>
        <v/>
      </c>
      <c r="AL107">
        <f>IF($AK107=1,SUMPRODUCT(--($AO$2:$AO$3001&lt;$AO107))+1,"")</f>
        <v/>
      </c>
      <c r="AM107">
        <f>IF($D107="","",IF(OR($R107=TRUE(),$R107="TRUE"),1,0))</f>
        <v/>
      </c>
      <c r="AN107">
        <f>IF($D107="","",IF($X107="Yes",1,0))</f>
        <v/>
      </c>
      <c r="AO107">
        <f>IF($AK107=1,IFERROR(IF(VALUE($D107)&lt;100000000,VALUE($D107),1000000000),IFERROR(IF(VALUE(MID($D107,2,20))&lt;100000000,VALUE(MID($D107,2,20)),1000000000),1000000000))+ROW()/100000,"")</f>
        <v/>
      </c>
    </row>
    <row r="108">
      <c r="F108" s="11" t="n"/>
      <c r="N108" s="7">
        <f>IF($D108="","",M108*V108/100)</f>
        <v/>
      </c>
      <c r="O108" s="7" t="n"/>
      <c r="U108" s="7" t="n"/>
      <c r="V108" s="7" t="n"/>
      <c r="Y108">
        <f>IF($D108="","",IF($AN108=1,0,IF($AM108=1,Settings!$C$6,Settings!$C$7))*100)</f>
        <v/>
      </c>
      <c r="Z108" s="7">
        <f>IF($D108="","",V108*Y108/100)</f>
        <v/>
      </c>
      <c r="AA108" s="7">
        <f>IF($D108="","",V108-Z108)</f>
        <v/>
      </c>
      <c r="AB108" s="7">
        <f>IF($D108="","",AA108-N108)</f>
        <v/>
      </c>
      <c r="AF108" s="7" t="n"/>
      <c r="AI108" s="11" t="n"/>
      <c r="AK108">
        <f>IF($D108="","",IF(COUNTIF($D$2:$D108,$D108)=1,1,0))</f>
        <v/>
      </c>
      <c r="AL108">
        <f>IF($AK108=1,SUMPRODUCT(--($AO$2:$AO$3001&lt;$AO108))+1,"")</f>
        <v/>
      </c>
      <c r="AM108">
        <f>IF($D108="","",IF(OR($R108=TRUE(),$R108="TRUE"),1,0))</f>
        <v/>
      </c>
      <c r="AN108">
        <f>IF($D108="","",IF($X108="Yes",1,0))</f>
        <v/>
      </c>
      <c r="AO108">
        <f>IF($AK108=1,IFERROR(IF(VALUE($D108)&lt;100000000,VALUE($D108),1000000000),IFERROR(IF(VALUE(MID($D108,2,20))&lt;100000000,VALUE(MID($D108,2,20)),1000000000),1000000000))+ROW()/100000,"")</f>
        <v/>
      </c>
    </row>
    <row r="109">
      <c r="F109" s="11" t="n"/>
      <c r="N109" s="7">
        <f>IF($D109="","",M109*V109/100)</f>
        <v/>
      </c>
      <c r="O109" s="7" t="n"/>
      <c r="U109" s="7" t="n"/>
      <c r="V109" s="7" t="n"/>
      <c r="Y109">
        <f>IF($D109="","",IF($AN109=1,0,IF($AM109=1,Settings!$C$6,Settings!$C$7))*100)</f>
        <v/>
      </c>
      <c r="Z109" s="7">
        <f>IF($D109="","",V109*Y109/100)</f>
        <v/>
      </c>
      <c r="AA109" s="7">
        <f>IF($D109="","",V109-Z109)</f>
        <v/>
      </c>
      <c r="AB109" s="7">
        <f>IF($D109="","",AA109-N109)</f>
        <v/>
      </c>
      <c r="AF109" s="7" t="n"/>
      <c r="AI109" s="11" t="n"/>
      <c r="AK109">
        <f>IF($D109="","",IF(COUNTIF($D$2:$D109,$D109)=1,1,0))</f>
        <v/>
      </c>
      <c r="AL109">
        <f>IF($AK109=1,SUMPRODUCT(--($AO$2:$AO$3001&lt;$AO109))+1,"")</f>
        <v/>
      </c>
      <c r="AM109">
        <f>IF($D109="","",IF(OR($R109=TRUE(),$R109="TRUE"),1,0))</f>
        <v/>
      </c>
      <c r="AN109">
        <f>IF($D109="","",IF($X109="Yes",1,0))</f>
        <v/>
      </c>
      <c r="AO109">
        <f>IF($AK109=1,IFERROR(IF(VALUE($D109)&lt;100000000,VALUE($D109),1000000000),IFERROR(IF(VALUE(MID($D109,2,20))&lt;100000000,VALUE(MID($D109,2,20)),1000000000),1000000000))+ROW()/100000,"")</f>
        <v/>
      </c>
    </row>
    <row r="110">
      <c r="F110" s="11" t="n"/>
      <c r="N110" s="7">
        <f>IF($D110="","",M110*V110/100)</f>
        <v/>
      </c>
      <c r="O110" s="7" t="n"/>
      <c r="U110" s="7" t="n"/>
      <c r="V110" s="7" t="n"/>
      <c r="Y110">
        <f>IF($D110="","",IF($AN110=1,0,IF($AM110=1,Settings!$C$6,Settings!$C$7))*100)</f>
        <v/>
      </c>
      <c r="Z110" s="7">
        <f>IF($D110="","",V110*Y110/100)</f>
        <v/>
      </c>
      <c r="AA110" s="7">
        <f>IF($D110="","",V110-Z110)</f>
        <v/>
      </c>
      <c r="AB110" s="7">
        <f>IF($D110="","",AA110-N110)</f>
        <v/>
      </c>
      <c r="AF110" s="7" t="n"/>
      <c r="AI110" s="11" t="n"/>
      <c r="AK110">
        <f>IF($D110="","",IF(COUNTIF($D$2:$D110,$D110)=1,1,0))</f>
        <v/>
      </c>
      <c r="AL110">
        <f>IF($AK110=1,SUMPRODUCT(--($AO$2:$AO$3001&lt;$AO110))+1,"")</f>
        <v/>
      </c>
      <c r="AM110">
        <f>IF($D110="","",IF(OR($R110=TRUE(),$R110="TRUE"),1,0))</f>
        <v/>
      </c>
      <c r="AN110">
        <f>IF($D110="","",IF($X110="Yes",1,0))</f>
        <v/>
      </c>
      <c r="AO110">
        <f>IF($AK110=1,IFERROR(IF(VALUE($D110)&lt;100000000,VALUE($D110),1000000000),IFERROR(IF(VALUE(MID($D110,2,20))&lt;100000000,VALUE(MID($D110,2,20)),1000000000),1000000000))+ROW()/100000,"")</f>
        <v/>
      </c>
    </row>
    <row r="111">
      <c r="F111" s="11" t="n"/>
      <c r="N111" s="7">
        <f>IF($D111="","",M111*V111/100)</f>
        <v/>
      </c>
      <c r="O111" s="7" t="n"/>
      <c r="U111" s="7" t="n"/>
      <c r="V111" s="7" t="n"/>
      <c r="Y111">
        <f>IF($D111="","",IF($AN111=1,0,IF($AM111=1,Settings!$C$6,Settings!$C$7))*100)</f>
        <v/>
      </c>
      <c r="Z111" s="7">
        <f>IF($D111="","",V111*Y111/100)</f>
        <v/>
      </c>
      <c r="AA111" s="7">
        <f>IF($D111="","",V111-Z111)</f>
        <v/>
      </c>
      <c r="AB111" s="7">
        <f>IF($D111="","",AA111-N111)</f>
        <v/>
      </c>
      <c r="AF111" s="7" t="n"/>
      <c r="AI111" s="11" t="n"/>
      <c r="AK111">
        <f>IF($D111="","",IF(COUNTIF($D$2:$D111,$D111)=1,1,0))</f>
        <v/>
      </c>
      <c r="AL111">
        <f>IF($AK111=1,SUMPRODUCT(--($AO$2:$AO$3001&lt;$AO111))+1,"")</f>
        <v/>
      </c>
      <c r="AM111">
        <f>IF($D111="","",IF(OR($R111=TRUE(),$R111="TRUE"),1,0))</f>
        <v/>
      </c>
      <c r="AN111">
        <f>IF($D111="","",IF($X111="Yes",1,0))</f>
        <v/>
      </c>
      <c r="AO111">
        <f>IF($AK111=1,IFERROR(IF(VALUE($D111)&lt;100000000,VALUE($D111),1000000000),IFERROR(IF(VALUE(MID($D111,2,20))&lt;100000000,VALUE(MID($D111,2,20)),1000000000),1000000000))+ROW()/100000,"")</f>
        <v/>
      </c>
    </row>
    <row r="112">
      <c r="F112" s="11" t="n"/>
      <c r="N112" s="7">
        <f>IF($D112="","",M112*V112/100)</f>
        <v/>
      </c>
      <c r="O112" s="7" t="n"/>
      <c r="U112" s="7" t="n"/>
      <c r="V112" s="7" t="n"/>
      <c r="Y112">
        <f>IF($D112="","",IF($AN112=1,0,IF($AM112=1,Settings!$C$6,Settings!$C$7))*100)</f>
        <v/>
      </c>
      <c r="Z112" s="7">
        <f>IF($D112="","",V112*Y112/100)</f>
        <v/>
      </c>
      <c r="AA112" s="7">
        <f>IF($D112="","",V112-Z112)</f>
        <v/>
      </c>
      <c r="AB112" s="7">
        <f>IF($D112="","",AA112-N112)</f>
        <v/>
      </c>
      <c r="AF112" s="7" t="n"/>
      <c r="AI112" s="11" t="n"/>
      <c r="AK112">
        <f>IF($D112="","",IF(COUNTIF($D$2:$D112,$D112)=1,1,0))</f>
        <v/>
      </c>
      <c r="AL112">
        <f>IF($AK112=1,SUMPRODUCT(--($AO$2:$AO$3001&lt;$AO112))+1,"")</f>
        <v/>
      </c>
      <c r="AM112">
        <f>IF($D112="","",IF(OR($R112=TRUE(),$R112="TRUE"),1,0))</f>
        <v/>
      </c>
      <c r="AN112">
        <f>IF($D112="","",IF($X112="Yes",1,0))</f>
        <v/>
      </c>
      <c r="AO112">
        <f>IF($AK112=1,IFERROR(IF(VALUE($D112)&lt;100000000,VALUE($D112),1000000000),IFERROR(IF(VALUE(MID($D112,2,20))&lt;100000000,VALUE(MID($D112,2,20)),1000000000),1000000000))+ROW()/100000,"")</f>
        <v/>
      </c>
    </row>
    <row r="113">
      <c r="F113" s="11" t="n"/>
      <c r="N113" s="7">
        <f>IF($D113="","",M113*V113/100)</f>
        <v/>
      </c>
      <c r="O113" s="7" t="n"/>
      <c r="U113" s="7" t="n"/>
      <c r="V113" s="7" t="n"/>
      <c r="Y113">
        <f>IF($D113="","",IF($AN113=1,0,IF($AM113=1,Settings!$C$6,Settings!$C$7))*100)</f>
        <v/>
      </c>
      <c r="Z113" s="7">
        <f>IF($D113="","",V113*Y113/100)</f>
        <v/>
      </c>
      <c r="AA113" s="7">
        <f>IF($D113="","",V113-Z113)</f>
        <v/>
      </c>
      <c r="AB113" s="7">
        <f>IF($D113="","",AA113-N113)</f>
        <v/>
      </c>
      <c r="AF113" s="7" t="n"/>
      <c r="AI113" s="11" t="n"/>
      <c r="AK113">
        <f>IF($D113="","",IF(COUNTIF($D$2:$D113,$D113)=1,1,0))</f>
        <v/>
      </c>
      <c r="AL113">
        <f>IF($AK113=1,SUMPRODUCT(--($AO$2:$AO$3001&lt;$AO113))+1,"")</f>
        <v/>
      </c>
      <c r="AM113">
        <f>IF($D113="","",IF(OR($R113=TRUE(),$R113="TRUE"),1,0))</f>
        <v/>
      </c>
      <c r="AN113">
        <f>IF($D113="","",IF($X113="Yes",1,0))</f>
        <v/>
      </c>
      <c r="AO113">
        <f>IF($AK113=1,IFERROR(IF(VALUE($D113)&lt;100000000,VALUE($D113),1000000000),IFERROR(IF(VALUE(MID($D113,2,20))&lt;100000000,VALUE(MID($D113,2,20)),1000000000),1000000000))+ROW()/100000,"")</f>
        <v/>
      </c>
    </row>
    <row r="114">
      <c r="F114" s="11" t="n"/>
      <c r="N114" s="7">
        <f>IF($D114="","",M114*V114/100)</f>
        <v/>
      </c>
      <c r="O114" s="7" t="n"/>
      <c r="U114" s="7" t="n"/>
      <c r="V114" s="7" t="n"/>
      <c r="Y114">
        <f>IF($D114="","",IF($AN114=1,0,IF($AM114=1,Settings!$C$6,Settings!$C$7))*100)</f>
        <v/>
      </c>
      <c r="Z114" s="7">
        <f>IF($D114="","",V114*Y114/100)</f>
        <v/>
      </c>
      <c r="AA114" s="7">
        <f>IF($D114="","",V114-Z114)</f>
        <v/>
      </c>
      <c r="AB114" s="7">
        <f>IF($D114="","",AA114-N114)</f>
        <v/>
      </c>
      <c r="AF114" s="7" t="n"/>
      <c r="AI114" s="11" t="n"/>
      <c r="AK114">
        <f>IF($D114="","",IF(COUNTIF($D$2:$D114,$D114)=1,1,0))</f>
        <v/>
      </c>
      <c r="AL114">
        <f>IF($AK114=1,SUMPRODUCT(--($AO$2:$AO$3001&lt;$AO114))+1,"")</f>
        <v/>
      </c>
      <c r="AM114">
        <f>IF($D114="","",IF(OR($R114=TRUE(),$R114="TRUE"),1,0))</f>
        <v/>
      </c>
      <c r="AN114">
        <f>IF($D114="","",IF($X114="Yes",1,0))</f>
        <v/>
      </c>
      <c r="AO114">
        <f>IF($AK114=1,IFERROR(IF(VALUE($D114)&lt;100000000,VALUE($D114),1000000000),IFERROR(IF(VALUE(MID($D114,2,20))&lt;100000000,VALUE(MID($D114,2,20)),1000000000),1000000000))+ROW()/100000,"")</f>
        <v/>
      </c>
    </row>
    <row r="115">
      <c r="F115" s="11" t="n"/>
      <c r="N115" s="7">
        <f>IF($D115="","",M115*V115/100)</f>
        <v/>
      </c>
      <c r="O115" s="7" t="n"/>
      <c r="U115" s="7" t="n"/>
      <c r="V115" s="7" t="n"/>
      <c r="Y115">
        <f>IF($D115="","",IF($AN115=1,0,IF($AM115=1,Settings!$C$6,Settings!$C$7))*100)</f>
        <v/>
      </c>
      <c r="Z115" s="7">
        <f>IF($D115="","",V115*Y115/100)</f>
        <v/>
      </c>
      <c r="AA115" s="7">
        <f>IF($D115="","",V115-Z115)</f>
        <v/>
      </c>
      <c r="AB115" s="7">
        <f>IF($D115="","",AA115-N115)</f>
        <v/>
      </c>
      <c r="AF115" s="7" t="n"/>
      <c r="AI115" s="11" t="n"/>
      <c r="AK115">
        <f>IF($D115="","",IF(COUNTIF($D$2:$D115,$D115)=1,1,0))</f>
        <v/>
      </c>
      <c r="AL115">
        <f>IF($AK115=1,SUMPRODUCT(--($AO$2:$AO$3001&lt;$AO115))+1,"")</f>
        <v/>
      </c>
      <c r="AM115">
        <f>IF($D115="","",IF(OR($R115=TRUE(),$R115="TRUE"),1,0))</f>
        <v/>
      </c>
      <c r="AN115">
        <f>IF($D115="","",IF($X115="Yes",1,0))</f>
        <v/>
      </c>
      <c r="AO115">
        <f>IF($AK115=1,IFERROR(IF(VALUE($D115)&lt;100000000,VALUE($D115),1000000000),IFERROR(IF(VALUE(MID($D115,2,20))&lt;100000000,VALUE(MID($D115,2,20)),1000000000),1000000000))+ROW()/100000,"")</f>
        <v/>
      </c>
    </row>
    <row r="116">
      <c r="F116" s="11" t="n"/>
      <c r="N116" s="7">
        <f>IF($D116="","",M116*V116/100)</f>
        <v/>
      </c>
      <c r="O116" s="7" t="n"/>
      <c r="U116" s="7" t="n"/>
      <c r="V116" s="7" t="n"/>
      <c r="Y116">
        <f>IF($D116="","",IF($AN116=1,0,IF($AM116=1,Settings!$C$6,Settings!$C$7))*100)</f>
        <v/>
      </c>
      <c r="Z116" s="7">
        <f>IF($D116="","",V116*Y116/100)</f>
        <v/>
      </c>
      <c r="AA116" s="7">
        <f>IF($D116="","",V116-Z116)</f>
        <v/>
      </c>
      <c r="AB116" s="7">
        <f>IF($D116="","",AA116-N116)</f>
        <v/>
      </c>
      <c r="AF116" s="7" t="n"/>
      <c r="AI116" s="11" t="n"/>
      <c r="AK116">
        <f>IF($D116="","",IF(COUNTIF($D$2:$D116,$D116)=1,1,0))</f>
        <v/>
      </c>
      <c r="AL116">
        <f>IF($AK116=1,SUMPRODUCT(--($AO$2:$AO$3001&lt;$AO116))+1,"")</f>
        <v/>
      </c>
      <c r="AM116">
        <f>IF($D116="","",IF(OR($R116=TRUE(),$R116="TRUE"),1,0))</f>
        <v/>
      </c>
      <c r="AN116">
        <f>IF($D116="","",IF($X116="Yes",1,0))</f>
        <v/>
      </c>
      <c r="AO116">
        <f>IF($AK116=1,IFERROR(IF(VALUE($D116)&lt;100000000,VALUE($D116),1000000000),IFERROR(IF(VALUE(MID($D116,2,20))&lt;100000000,VALUE(MID($D116,2,20)),1000000000),1000000000))+ROW()/100000,"")</f>
        <v/>
      </c>
    </row>
    <row r="117">
      <c r="F117" s="11" t="n"/>
      <c r="N117" s="7">
        <f>IF($D117="","",M117*V117/100)</f>
        <v/>
      </c>
      <c r="O117" s="7" t="n"/>
      <c r="U117" s="7" t="n"/>
      <c r="V117" s="7" t="n"/>
      <c r="Y117">
        <f>IF($D117="","",IF($AN117=1,0,IF($AM117=1,Settings!$C$6,Settings!$C$7))*100)</f>
        <v/>
      </c>
      <c r="Z117" s="7">
        <f>IF($D117="","",V117*Y117/100)</f>
        <v/>
      </c>
      <c r="AA117" s="7">
        <f>IF($D117="","",V117-Z117)</f>
        <v/>
      </c>
      <c r="AB117" s="7">
        <f>IF($D117="","",AA117-N117)</f>
        <v/>
      </c>
      <c r="AF117" s="7" t="n"/>
      <c r="AI117" s="11" t="n"/>
      <c r="AK117">
        <f>IF($D117="","",IF(COUNTIF($D$2:$D117,$D117)=1,1,0))</f>
        <v/>
      </c>
      <c r="AL117">
        <f>IF($AK117=1,SUMPRODUCT(--($AO$2:$AO$3001&lt;$AO117))+1,"")</f>
        <v/>
      </c>
      <c r="AM117">
        <f>IF($D117="","",IF(OR($R117=TRUE(),$R117="TRUE"),1,0))</f>
        <v/>
      </c>
      <c r="AN117">
        <f>IF($D117="","",IF($X117="Yes",1,0))</f>
        <v/>
      </c>
      <c r="AO117">
        <f>IF($AK117=1,IFERROR(IF(VALUE($D117)&lt;100000000,VALUE($D117),1000000000),IFERROR(IF(VALUE(MID($D117,2,20))&lt;100000000,VALUE(MID($D117,2,20)),1000000000),1000000000))+ROW()/100000,"")</f>
        <v/>
      </c>
    </row>
    <row r="118">
      <c r="F118" s="11" t="n"/>
      <c r="N118" s="7">
        <f>IF($D118="","",M118*V118/100)</f>
        <v/>
      </c>
      <c r="O118" s="7" t="n"/>
      <c r="U118" s="7" t="n"/>
      <c r="V118" s="7" t="n"/>
      <c r="Y118">
        <f>IF($D118="","",IF($AN118=1,0,IF($AM118=1,Settings!$C$6,Settings!$C$7))*100)</f>
        <v/>
      </c>
      <c r="Z118" s="7">
        <f>IF($D118="","",V118*Y118/100)</f>
        <v/>
      </c>
      <c r="AA118" s="7">
        <f>IF($D118="","",V118-Z118)</f>
        <v/>
      </c>
      <c r="AB118" s="7">
        <f>IF($D118="","",AA118-N118)</f>
        <v/>
      </c>
      <c r="AF118" s="7" t="n"/>
      <c r="AI118" s="11" t="n"/>
      <c r="AK118">
        <f>IF($D118="","",IF(COUNTIF($D$2:$D118,$D118)=1,1,0))</f>
        <v/>
      </c>
      <c r="AL118">
        <f>IF($AK118=1,SUMPRODUCT(--($AO$2:$AO$3001&lt;$AO118))+1,"")</f>
        <v/>
      </c>
      <c r="AM118">
        <f>IF($D118="","",IF(OR($R118=TRUE(),$R118="TRUE"),1,0))</f>
        <v/>
      </c>
      <c r="AN118">
        <f>IF($D118="","",IF($X118="Yes",1,0))</f>
        <v/>
      </c>
      <c r="AO118">
        <f>IF($AK118=1,IFERROR(IF(VALUE($D118)&lt;100000000,VALUE($D118),1000000000),IFERROR(IF(VALUE(MID($D118,2,20))&lt;100000000,VALUE(MID($D118,2,20)),1000000000),1000000000))+ROW()/100000,"")</f>
        <v/>
      </c>
    </row>
    <row r="119">
      <c r="F119" s="11" t="n"/>
      <c r="N119" s="7">
        <f>IF($D119="","",M119*V119/100)</f>
        <v/>
      </c>
      <c r="O119" s="7" t="n"/>
      <c r="U119" s="7" t="n"/>
      <c r="V119" s="7" t="n"/>
      <c r="Y119">
        <f>IF($D119="","",IF($AN119=1,0,IF($AM119=1,Settings!$C$6,Settings!$C$7))*100)</f>
        <v/>
      </c>
      <c r="Z119" s="7">
        <f>IF($D119="","",V119*Y119/100)</f>
        <v/>
      </c>
      <c r="AA119" s="7">
        <f>IF($D119="","",V119-Z119)</f>
        <v/>
      </c>
      <c r="AB119" s="7">
        <f>IF($D119="","",AA119-N119)</f>
        <v/>
      </c>
      <c r="AF119" s="7" t="n"/>
      <c r="AI119" s="11" t="n"/>
      <c r="AK119">
        <f>IF($D119="","",IF(COUNTIF($D$2:$D119,$D119)=1,1,0))</f>
        <v/>
      </c>
      <c r="AL119">
        <f>IF($AK119=1,SUMPRODUCT(--($AO$2:$AO$3001&lt;$AO119))+1,"")</f>
        <v/>
      </c>
      <c r="AM119">
        <f>IF($D119="","",IF(OR($R119=TRUE(),$R119="TRUE"),1,0))</f>
        <v/>
      </c>
      <c r="AN119">
        <f>IF($D119="","",IF($X119="Yes",1,0))</f>
        <v/>
      </c>
      <c r="AO119">
        <f>IF($AK119=1,IFERROR(IF(VALUE($D119)&lt;100000000,VALUE($D119),1000000000),IFERROR(IF(VALUE(MID($D119,2,20))&lt;100000000,VALUE(MID($D119,2,20)),1000000000),1000000000))+ROW()/100000,"")</f>
        <v/>
      </c>
    </row>
    <row r="120">
      <c r="F120" s="11" t="n"/>
      <c r="N120" s="7">
        <f>IF($D120="","",M120*V120/100)</f>
        <v/>
      </c>
      <c r="O120" s="7" t="n"/>
      <c r="U120" s="7" t="n"/>
      <c r="V120" s="7" t="n"/>
      <c r="Y120">
        <f>IF($D120="","",IF($AN120=1,0,IF($AM120=1,Settings!$C$6,Settings!$C$7))*100)</f>
        <v/>
      </c>
      <c r="Z120" s="7">
        <f>IF($D120="","",V120*Y120/100)</f>
        <v/>
      </c>
      <c r="AA120" s="7">
        <f>IF($D120="","",V120-Z120)</f>
        <v/>
      </c>
      <c r="AB120" s="7">
        <f>IF($D120="","",AA120-N120)</f>
        <v/>
      </c>
      <c r="AF120" s="7" t="n"/>
      <c r="AI120" s="11" t="n"/>
      <c r="AK120">
        <f>IF($D120="","",IF(COUNTIF($D$2:$D120,$D120)=1,1,0))</f>
        <v/>
      </c>
      <c r="AL120">
        <f>IF($AK120=1,SUMPRODUCT(--($AO$2:$AO$3001&lt;$AO120))+1,"")</f>
        <v/>
      </c>
      <c r="AM120">
        <f>IF($D120="","",IF(OR($R120=TRUE(),$R120="TRUE"),1,0))</f>
        <v/>
      </c>
      <c r="AN120">
        <f>IF($D120="","",IF($X120="Yes",1,0))</f>
        <v/>
      </c>
      <c r="AO120">
        <f>IF($AK120=1,IFERROR(IF(VALUE($D120)&lt;100000000,VALUE($D120),1000000000),IFERROR(IF(VALUE(MID($D120,2,20))&lt;100000000,VALUE(MID($D120,2,20)),1000000000),1000000000))+ROW()/100000,"")</f>
        <v/>
      </c>
    </row>
    <row r="121">
      <c r="F121" s="11" t="n"/>
      <c r="N121" s="7">
        <f>IF($D121="","",M121*V121/100)</f>
        <v/>
      </c>
      <c r="O121" s="7" t="n"/>
      <c r="U121" s="7" t="n"/>
      <c r="V121" s="7" t="n"/>
      <c r="Y121">
        <f>IF($D121="","",IF($AN121=1,0,IF($AM121=1,Settings!$C$6,Settings!$C$7))*100)</f>
        <v/>
      </c>
      <c r="Z121" s="7">
        <f>IF($D121="","",V121*Y121/100)</f>
        <v/>
      </c>
      <c r="AA121" s="7">
        <f>IF($D121="","",V121-Z121)</f>
        <v/>
      </c>
      <c r="AB121" s="7">
        <f>IF($D121="","",AA121-N121)</f>
        <v/>
      </c>
      <c r="AF121" s="7" t="n"/>
      <c r="AI121" s="11" t="n"/>
      <c r="AK121">
        <f>IF($D121="","",IF(COUNTIF($D$2:$D121,$D121)=1,1,0))</f>
        <v/>
      </c>
      <c r="AL121">
        <f>IF($AK121=1,SUMPRODUCT(--($AO$2:$AO$3001&lt;$AO121))+1,"")</f>
        <v/>
      </c>
      <c r="AM121">
        <f>IF($D121="","",IF(OR($R121=TRUE(),$R121="TRUE"),1,0))</f>
        <v/>
      </c>
      <c r="AN121">
        <f>IF($D121="","",IF($X121="Yes",1,0))</f>
        <v/>
      </c>
      <c r="AO121">
        <f>IF($AK121=1,IFERROR(IF(VALUE($D121)&lt;100000000,VALUE($D121),1000000000),IFERROR(IF(VALUE(MID($D121,2,20))&lt;100000000,VALUE(MID($D121,2,20)),1000000000),1000000000))+ROW()/100000,"")</f>
        <v/>
      </c>
    </row>
    <row r="122">
      <c r="F122" s="11" t="n"/>
      <c r="N122" s="7">
        <f>IF($D122="","",M122*V122/100)</f>
        <v/>
      </c>
      <c r="O122" s="7" t="n"/>
      <c r="U122" s="7" t="n"/>
      <c r="V122" s="7" t="n"/>
      <c r="Y122">
        <f>IF($D122="","",IF($AN122=1,0,IF($AM122=1,Settings!$C$6,Settings!$C$7))*100)</f>
        <v/>
      </c>
      <c r="Z122" s="7">
        <f>IF($D122="","",V122*Y122/100)</f>
        <v/>
      </c>
      <c r="AA122" s="7">
        <f>IF($D122="","",V122-Z122)</f>
        <v/>
      </c>
      <c r="AB122" s="7">
        <f>IF($D122="","",AA122-N122)</f>
        <v/>
      </c>
      <c r="AF122" s="7" t="n"/>
      <c r="AI122" s="11" t="n"/>
      <c r="AK122">
        <f>IF($D122="","",IF(COUNTIF($D$2:$D122,$D122)=1,1,0))</f>
        <v/>
      </c>
      <c r="AL122">
        <f>IF($AK122=1,SUMPRODUCT(--($AO$2:$AO$3001&lt;$AO122))+1,"")</f>
        <v/>
      </c>
      <c r="AM122">
        <f>IF($D122="","",IF(OR($R122=TRUE(),$R122="TRUE"),1,0))</f>
        <v/>
      </c>
      <c r="AN122">
        <f>IF($D122="","",IF($X122="Yes",1,0))</f>
        <v/>
      </c>
      <c r="AO122">
        <f>IF($AK122=1,IFERROR(IF(VALUE($D122)&lt;100000000,VALUE($D122),1000000000),IFERROR(IF(VALUE(MID($D122,2,20))&lt;100000000,VALUE(MID($D122,2,20)),1000000000),1000000000))+ROW()/100000,"")</f>
        <v/>
      </c>
    </row>
    <row r="123">
      <c r="F123" s="11" t="n"/>
      <c r="N123" s="7">
        <f>IF($D123="","",M123*V123/100)</f>
        <v/>
      </c>
      <c r="O123" s="7" t="n"/>
      <c r="U123" s="7" t="n"/>
      <c r="V123" s="7" t="n"/>
      <c r="Y123">
        <f>IF($D123="","",IF($AN123=1,0,IF($AM123=1,Settings!$C$6,Settings!$C$7))*100)</f>
        <v/>
      </c>
      <c r="Z123" s="7">
        <f>IF($D123="","",V123*Y123/100)</f>
        <v/>
      </c>
      <c r="AA123" s="7">
        <f>IF($D123="","",V123-Z123)</f>
        <v/>
      </c>
      <c r="AB123" s="7">
        <f>IF($D123="","",AA123-N123)</f>
        <v/>
      </c>
      <c r="AF123" s="7" t="n"/>
      <c r="AI123" s="11" t="n"/>
      <c r="AK123">
        <f>IF($D123="","",IF(COUNTIF($D$2:$D123,$D123)=1,1,0))</f>
        <v/>
      </c>
      <c r="AL123">
        <f>IF($AK123=1,SUMPRODUCT(--($AO$2:$AO$3001&lt;$AO123))+1,"")</f>
        <v/>
      </c>
      <c r="AM123">
        <f>IF($D123="","",IF(OR($R123=TRUE(),$R123="TRUE"),1,0))</f>
        <v/>
      </c>
      <c r="AN123">
        <f>IF($D123="","",IF($X123="Yes",1,0))</f>
        <v/>
      </c>
      <c r="AO123">
        <f>IF($AK123=1,IFERROR(IF(VALUE($D123)&lt;100000000,VALUE($D123),1000000000),IFERROR(IF(VALUE(MID($D123,2,20))&lt;100000000,VALUE(MID($D123,2,20)),1000000000),1000000000))+ROW()/100000,"")</f>
        <v/>
      </c>
    </row>
    <row r="124">
      <c r="F124" s="11" t="n"/>
      <c r="N124" s="7">
        <f>IF($D124="","",M124*V124/100)</f>
        <v/>
      </c>
      <c r="O124" s="7" t="n"/>
      <c r="U124" s="7" t="n"/>
      <c r="V124" s="7" t="n"/>
      <c r="Y124">
        <f>IF($D124="","",IF($AN124=1,0,IF($AM124=1,Settings!$C$6,Settings!$C$7))*100)</f>
        <v/>
      </c>
      <c r="Z124" s="7">
        <f>IF($D124="","",V124*Y124/100)</f>
        <v/>
      </c>
      <c r="AA124" s="7">
        <f>IF($D124="","",V124-Z124)</f>
        <v/>
      </c>
      <c r="AB124" s="7">
        <f>IF($D124="","",AA124-N124)</f>
        <v/>
      </c>
      <c r="AF124" s="7" t="n"/>
      <c r="AI124" s="11" t="n"/>
      <c r="AK124">
        <f>IF($D124="","",IF(COUNTIF($D$2:$D124,$D124)=1,1,0))</f>
        <v/>
      </c>
      <c r="AL124">
        <f>IF($AK124=1,SUMPRODUCT(--($AO$2:$AO$3001&lt;$AO124))+1,"")</f>
        <v/>
      </c>
      <c r="AM124">
        <f>IF($D124="","",IF(OR($R124=TRUE(),$R124="TRUE"),1,0))</f>
        <v/>
      </c>
      <c r="AN124">
        <f>IF($D124="","",IF($X124="Yes",1,0))</f>
        <v/>
      </c>
      <c r="AO124">
        <f>IF($AK124=1,IFERROR(IF(VALUE($D124)&lt;100000000,VALUE($D124),1000000000),IFERROR(IF(VALUE(MID($D124,2,20))&lt;100000000,VALUE(MID($D124,2,20)),1000000000),1000000000))+ROW()/100000,"")</f>
        <v/>
      </c>
    </row>
    <row r="125">
      <c r="F125" s="11" t="n"/>
      <c r="N125" s="7">
        <f>IF($D125="","",M125*V125/100)</f>
        <v/>
      </c>
      <c r="O125" s="7" t="n"/>
      <c r="U125" s="7" t="n"/>
      <c r="V125" s="7" t="n"/>
      <c r="Y125">
        <f>IF($D125="","",IF($AN125=1,0,IF($AM125=1,Settings!$C$6,Settings!$C$7))*100)</f>
        <v/>
      </c>
      <c r="Z125" s="7">
        <f>IF($D125="","",V125*Y125/100)</f>
        <v/>
      </c>
      <c r="AA125" s="7">
        <f>IF($D125="","",V125-Z125)</f>
        <v/>
      </c>
      <c r="AB125" s="7">
        <f>IF($D125="","",AA125-N125)</f>
        <v/>
      </c>
      <c r="AF125" s="7" t="n"/>
      <c r="AI125" s="11" t="n"/>
      <c r="AK125">
        <f>IF($D125="","",IF(COUNTIF($D$2:$D125,$D125)=1,1,0))</f>
        <v/>
      </c>
      <c r="AL125">
        <f>IF($AK125=1,SUMPRODUCT(--($AO$2:$AO$3001&lt;$AO125))+1,"")</f>
        <v/>
      </c>
      <c r="AM125">
        <f>IF($D125="","",IF(OR($R125=TRUE(),$R125="TRUE"),1,0))</f>
        <v/>
      </c>
      <c r="AN125">
        <f>IF($D125="","",IF($X125="Yes",1,0))</f>
        <v/>
      </c>
      <c r="AO125">
        <f>IF($AK125=1,IFERROR(IF(VALUE($D125)&lt;100000000,VALUE($D125),1000000000),IFERROR(IF(VALUE(MID($D125,2,20))&lt;100000000,VALUE(MID($D125,2,20)),1000000000),1000000000))+ROW()/100000,"")</f>
        <v/>
      </c>
    </row>
    <row r="126">
      <c r="F126" s="11" t="n"/>
      <c r="N126" s="7">
        <f>IF($D126="","",M126*V126/100)</f>
        <v/>
      </c>
      <c r="O126" s="7" t="n"/>
      <c r="U126" s="7" t="n"/>
      <c r="V126" s="7" t="n"/>
      <c r="Y126">
        <f>IF($D126="","",IF($AN126=1,0,IF($AM126=1,Settings!$C$6,Settings!$C$7))*100)</f>
        <v/>
      </c>
      <c r="Z126" s="7">
        <f>IF($D126="","",V126*Y126/100)</f>
        <v/>
      </c>
      <c r="AA126" s="7">
        <f>IF($D126="","",V126-Z126)</f>
        <v/>
      </c>
      <c r="AB126" s="7">
        <f>IF($D126="","",AA126-N126)</f>
        <v/>
      </c>
      <c r="AF126" s="7" t="n"/>
      <c r="AI126" s="11" t="n"/>
      <c r="AK126">
        <f>IF($D126="","",IF(COUNTIF($D$2:$D126,$D126)=1,1,0))</f>
        <v/>
      </c>
      <c r="AL126">
        <f>IF($AK126=1,SUMPRODUCT(--($AO$2:$AO$3001&lt;$AO126))+1,"")</f>
        <v/>
      </c>
      <c r="AM126">
        <f>IF($D126="","",IF(OR($R126=TRUE(),$R126="TRUE"),1,0))</f>
        <v/>
      </c>
      <c r="AN126">
        <f>IF($D126="","",IF($X126="Yes",1,0))</f>
        <v/>
      </c>
      <c r="AO126">
        <f>IF($AK126=1,IFERROR(IF(VALUE($D126)&lt;100000000,VALUE($D126),1000000000),IFERROR(IF(VALUE(MID($D126,2,20))&lt;100000000,VALUE(MID($D126,2,20)),1000000000),1000000000))+ROW()/100000,"")</f>
        <v/>
      </c>
    </row>
    <row r="127">
      <c r="F127" s="11" t="n"/>
      <c r="N127" s="7">
        <f>IF($D127="","",M127*V127/100)</f>
        <v/>
      </c>
      <c r="O127" s="7" t="n"/>
      <c r="U127" s="7" t="n"/>
      <c r="V127" s="7" t="n"/>
      <c r="Y127">
        <f>IF($D127="","",IF($AN127=1,0,IF($AM127=1,Settings!$C$6,Settings!$C$7))*100)</f>
        <v/>
      </c>
      <c r="Z127" s="7">
        <f>IF($D127="","",V127*Y127/100)</f>
        <v/>
      </c>
      <c r="AA127" s="7">
        <f>IF($D127="","",V127-Z127)</f>
        <v/>
      </c>
      <c r="AB127" s="7">
        <f>IF($D127="","",AA127-N127)</f>
        <v/>
      </c>
      <c r="AF127" s="7" t="n"/>
      <c r="AI127" s="11" t="n"/>
      <c r="AK127">
        <f>IF($D127="","",IF(COUNTIF($D$2:$D127,$D127)=1,1,0))</f>
        <v/>
      </c>
      <c r="AL127">
        <f>IF($AK127=1,SUMPRODUCT(--($AO$2:$AO$3001&lt;$AO127))+1,"")</f>
        <v/>
      </c>
      <c r="AM127">
        <f>IF($D127="","",IF(OR($R127=TRUE(),$R127="TRUE"),1,0))</f>
        <v/>
      </c>
      <c r="AN127">
        <f>IF($D127="","",IF($X127="Yes",1,0))</f>
        <v/>
      </c>
      <c r="AO127">
        <f>IF($AK127=1,IFERROR(IF(VALUE($D127)&lt;100000000,VALUE($D127),1000000000),IFERROR(IF(VALUE(MID($D127,2,20))&lt;100000000,VALUE(MID($D127,2,20)),1000000000),1000000000))+ROW()/100000,"")</f>
        <v/>
      </c>
    </row>
    <row r="128">
      <c r="F128" s="11" t="n"/>
      <c r="N128" s="7">
        <f>IF($D128="","",M128*V128/100)</f>
        <v/>
      </c>
      <c r="O128" s="7" t="n"/>
      <c r="U128" s="7" t="n"/>
      <c r="V128" s="7" t="n"/>
      <c r="Y128">
        <f>IF($D128="","",IF($AN128=1,0,IF($AM128=1,Settings!$C$6,Settings!$C$7))*100)</f>
        <v/>
      </c>
      <c r="Z128" s="7">
        <f>IF($D128="","",V128*Y128/100)</f>
        <v/>
      </c>
      <c r="AA128" s="7">
        <f>IF($D128="","",V128-Z128)</f>
        <v/>
      </c>
      <c r="AB128" s="7">
        <f>IF($D128="","",AA128-N128)</f>
        <v/>
      </c>
      <c r="AF128" s="7" t="n"/>
      <c r="AI128" s="11" t="n"/>
      <c r="AK128">
        <f>IF($D128="","",IF(COUNTIF($D$2:$D128,$D128)=1,1,0))</f>
        <v/>
      </c>
      <c r="AL128">
        <f>IF($AK128=1,SUMPRODUCT(--($AO$2:$AO$3001&lt;$AO128))+1,"")</f>
        <v/>
      </c>
      <c r="AM128">
        <f>IF($D128="","",IF(OR($R128=TRUE(),$R128="TRUE"),1,0))</f>
        <v/>
      </c>
      <c r="AN128">
        <f>IF($D128="","",IF($X128="Yes",1,0))</f>
        <v/>
      </c>
      <c r="AO128">
        <f>IF($AK128=1,IFERROR(IF(VALUE($D128)&lt;100000000,VALUE($D128),1000000000),IFERROR(IF(VALUE(MID($D128,2,20))&lt;100000000,VALUE(MID($D128,2,20)),1000000000),1000000000))+ROW()/100000,"")</f>
        <v/>
      </c>
    </row>
    <row r="129">
      <c r="F129" s="11" t="n"/>
      <c r="N129" s="7">
        <f>IF($D129="","",M129*V129/100)</f>
        <v/>
      </c>
      <c r="O129" s="7" t="n"/>
      <c r="U129" s="7" t="n"/>
      <c r="V129" s="7" t="n"/>
      <c r="Y129">
        <f>IF($D129="","",IF($AN129=1,0,IF($AM129=1,Settings!$C$6,Settings!$C$7))*100)</f>
        <v/>
      </c>
      <c r="Z129" s="7">
        <f>IF($D129="","",V129*Y129/100)</f>
        <v/>
      </c>
      <c r="AA129" s="7">
        <f>IF($D129="","",V129-Z129)</f>
        <v/>
      </c>
      <c r="AB129" s="7">
        <f>IF($D129="","",AA129-N129)</f>
        <v/>
      </c>
      <c r="AF129" s="7" t="n"/>
      <c r="AI129" s="11" t="n"/>
      <c r="AK129">
        <f>IF($D129="","",IF(COUNTIF($D$2:$D129,$D129)=1,1,0))</f>
        <v/>
      </c>
      <c r="AL129">
        <f>IF($AK129=1,SUMPRODUCT(--($AO$2:$AO$3001&lt;$AO129))+1,"")</f>
        <v/>
      </c>
      <c r="AM129">
        <f>IF($D129="","",IF(OR($R129=TRUE(),$R129="TRUE"),1,0))</f>
        <v/>
      </c>
      <c r="AN129">
        <f>IF($D129="","",IF($X129="Yes",1,0))</f>
        <v/>
      </c>
      <c r="AO129">
        <f>IF($AK129=1,IFERROR(IF(VALUE($D129)&lt;100000000,VALUE($D129),1000000000),IFERROR(IF(VALUE(MID($D129,2,20))&lt;100000000,VALUE(MID($D129,2,20)),1000000000),1000000000))+ROW()/100000,"")</f>
        <v/>
      </c>
    </row>
    <row r="130">
      <c r="F130" s="11" t="n"/>
      <c r="N130" s="7">
        <f>IF($D130="","",M130*V130/100)</f>
        <v/>
      </c>
      <c r="O130" s="7" t="n"/>
      <c r="U130" s="7" t="n"/>
      <c r="V130" s="7" t="n"/>
      <c r="Y130">
        <f>IF($D130="","",IF($AN130=1,0,IF($AM130=1,Settings!$C$6,Settings!$C$7))*100)</f>
        <v/>
      </c>
      <c r="Z130" s="7">
        <f>IF($D130="","",V130*Y130/100)</f>
        <v/>
      </c>
      <c r="AA130" s="7">
        <f>IF($D130="","",V130-Z130)</f>
        <v/>
      </c>
      <c r="AB130" s="7">
        <f>IF($D130="","",AA130-N130)</f>
        <v/>
      </c>
      <c r="AF130" s="7" t="n"/>
      <c r="AI130" s="11" t="n"/>
      <c r="AK130">
        <f>IF($D130="","",IF(COUNTIF($D$2:$D130,$D130)=1,1,0))</f>
        <v/>
      </c>
      <c r="AL130">
        <f>IF($AK130=1,SUMPRODUCT(--($AO$2:$AO$3001&lt;$AO130))+1,"")</f>
        <v/>
      </c>
      <c r="AM130">
        <f>IF($D130="","",IF(OR($R130=TRUE(),$R130="TRUE"),1,0))</f>
        <v/>
      </c>
      <c r="AN130">
        <f>IF($D130="","",IF($X130="Yes",1,0))</f>
        <v/>
      </c>
      <c r="AO130">
        <f>IF($AK130=1,IFERROR(IF(VALUE($D130)&lt;100000000,VALUE($D130),1000000000),IFERROR(IF(VALUE(MID($D130,2,20))&lt;100000000,VALUE(MID($D130,2,20)),1000000000),1000000000))+ROW()/100000,"")</f>
        <v/>
      </c>
    </row>
    <row r="131">
      <c r="F131" s="11" t="n"/>
      <c r="N131" s="7">
        <f>IF($D131="","",M131*V131/100)</f>
        <v/>
      </c>
      <c r="O131" s="7" t="n"/>
      <c r="U131" s="7" t="n"/>
      <c r="V131" s="7" t="n"/>
      <c r="Y131">
        <f>IF($D131="","",IF($AN131=1,0,IF($AM131=1,Settings!$C$6,Settings!$C$7))*100)</f>
        <v/>
      </c>
      <c r="Z131" s="7">
        <f>IF($D131="","",V131*Y131/100)</f>
        <v/>
      </c>
      <c r="AA131" s="7">
        <f>IF($D131="","",V131-Z131)</f>
        <v/>
      </c>
      <c r="AB131" s="7">
        <f>IF($D131="","",AA131-N131)</f>
        <v/>
      </c>
      <c r="AF131" s="7" t="n"/>
      <c r="AI131" s="11" t="n"/>
      <c r="AK131">
        <f>IF($D131="","",IF(COUNTIF($D$2:$D131,$D131)=1,1,0))</f>
        <v/>
      </c>
      <c r="AL131">
        <f>IF($AK131=1,SUMPRODUCT(--($AO$2:$AO$3001&lt;$AO131))+1,"")</f>
        <v/>
      </c>
      <c r="AM131">
        <f>IF($D131="","",IF(OR($R131=TRUE(),$R131="TRUE"),1,0))</f>
        <v/>
      </c>
      <c r="AN131">
        <f>IF($D131="","",IF($X131="Yes",1,0))</f>
        <v/>
      </c>
      <c r="AO131">
        <f>IF($AK131=1,IFERROR(IF(VALUE($D131)&lt;100000000,VALUE($D131),1000000000),IFERROR(IF(VALUE(MID($D131,2,20))&lt;100000000,VALUE(MID($D131,2,20)),1000000000),1000000000))+ROW()/100000,"")</f>
        <v/>
      </c>
    </row>
    <row r="132">
      <c r="F132" s="11" t="n"/>
      <c r="N132" s="7">
        <f>IF($D132="","",M132*V132/100)</f>
        <v/>
      </c>
      <c r="O132" s="7" t="n"/>
      <c r="U132" s="7" t="n"/>
      <c r="V132" s="7" t="n"/>
      <c r="Y132">
        <f>IF($D132="","",IF($AN132=1,0,IF($AM132=1,Settings!$C$6,Settings!$C$7))*100)</f>
        <v/>
      </c>
      <c r="Z132" s="7">
        <f>IF($D132="","",V132*Y132/100)</f>
        <v/>
      </c>
      <c r="AA132" s="7">
        <f>IF($D132="","",V132-Z132)</f>
        <v/>
      </c>
      <c r="AB132" s="7">
        <f>IF($D132="","",AA132-N132)</f>
        <v/>
      </c>
      <c r="AF132" s="7" t="n"/>
      <c r="AI132" s="11" t="n"/>
      <c r="AK132">
        <f>IF($D132="","",IF(COUNTIF($D$2:$D132,$D132)=1,1,0))</f>
        <v/>
      </c>
      <c r="AL132">
        <f>IF($AK132=1,SUMPRODUCT(--($AO$2:$AO$3001&lt;$AO132))+1,"")</f>
        <v/>
      </c>
      <c r="AM132">
        <f>IF($D132="","",IF(OR($R132=TRUE(),$R132="TRUE"),1,0))</f>
        <v/>
      </c>
      <c r="AN132">
        <f>IF($D132="","",IF($X132="Yes",1,0))</f>
        <v/>
      </c>
      <c r="AO132">
        <f>IF($AK132=1,IFERROR(IF(VALUE($D132)&lt;100000000,VALUE($D132),1000000000),IFERROR(IF(VALUE(MID($D132,2,20))&lt;100000000,VALUE(MID($D132,2,20)),1000000000),1000000000))+ROW()/100000,"")</f>
        <v/>
      </c>
    </row>
    <row r="133">
      <c r="F133" s="11" t="n"/>
      <c r="N133" s="7">
        <f>IF($D133="","",M133*V133/100)</f>
        <v/>
      </c>
      <c r="O133" s="7" t="n"/>
      <c r="U133" s="7" t="n"/>
      <c r="V133" s="7" t="n"/>
      <c r="Y133">
        <f>IF($D133="","",IF($AN133=1,0,IF($AM133=1,Settings!$C$6,Settings!$C$7))*100)</f>
        <v/>
      </c>
      <c r="Z133" s="7">
        <f>IF($D133="","",V133*Y133/100)</f>
        <v/>
      </c>
      <c r="AA133" s="7">
        <f>IF($D133="","",V133-Z133)</f>
        <v/>
      </c>
      <c r="AB133" s="7">
        <f>IF($D133="","",AA133-N133)</f>
        <v/>
      </c>
      <c r="AF133" s="7" t="n"/>
      <c r="AI133" s="11" t="n"/>
      <c r="AK133">
        <f>IF($D133="","",IF(COUNTIF($D$2:$D133,$D133)=1,1,0))</f>
        <v/>
      </c>
      <c r="AL133">
        <f>IF($AK133=1,SUMPRODUCT(--($AO$2:$AO$3001&lt;$AO133))+1,"")</f>
        <v/>
      </c>
      <c r="AM133">
        <f>IF($D133="","",IF(OR($R133=TRUE(),$R133="TRUE"),1,0))</f>
        <v/>
      </c>
      <c r="AN133">
        <f>IF($D133="","",IF($X133="Yes",1,0))</f>
        <v/>
      </c>
      <c r="AO133">
        <f>IF($AK133=1,IFERROR(IF(VALUE($D133)&lt;100000000,VALUE($D133),1000000000),IFERROR(IF(VALUE(MID($D133,2,20))&lt;100000000,VALUE(MID($D133,2,20)),1000000000),1000000000))+ROW()/100000,"")</f>
        <v/>
      </c>
    </row>
    <row r="134">
      <c r="F134" s="11" t="n"/>
      <c r="N134" s="7">
        <f>IF($D134="","",M134*V134/100)</f>
        <v/>
      </c>
      <c r="O134" s="7" t="n"/>
      <c r="U134" s="7" t="n"/>
      <c r="V134" s="7" t="n"/>
      <c r="Y134">
        <f>IF($D134="","",IF($AN134=1,0,IF($AM134=1,Settings!$C$6,Settings!$C$7))*100)</f>
        <v/>
      </c>
      <c r="Z134" s="7">
        <f>IF($D134="","",V134*Y134/100)</f>
        <v/>
      </c>
      <c r="AA134" s="7">
        <f>IF($D134="","",V134-Z134)</f>
        <v/>
      </c>
      <c r="AB134" s="7">
        <f>IF($D134="","",AA134-N134)</f>
        <v/>
      </c>
      <c r="AF134" s="7" t="n"/>
      <c r="AI134" s="11" t="n"/>
      <c r="AK134">
        <f>IF($D134="","",IF(COUNTIF($D$2:$D134,$D134)=1,1,0))</f>
        <v/>
      </c>
      <c r="AL134">
        <f>IF($AK134=1,SUMPRODUCT(--($AO$2:$AO$3001&lt;$AO134))+1,"")</f>
        <v/>
      </c>
      <c r="AM134">
        <f>IF($D134="","",IF(OR($R134=TRUE(),$R134="TRUE"),1,0))</f>
        <v/>
      </c>
      <c r="AN134">
        <f>IF($D134="","",IF($X134="Yes",1,0))</f>
        <v/>
      </c>
      <c r="AO134">
        <f>IF($AK134=1,IFERROR(IF(VALUE($D134)&lt;100000000,VALUE($D134),1000000000),IFERROR(IF(VALUE(MID($D134,2,20))&lt;100000000,VALUE(MID($D134,2,20)),1000000000),1000000000))+ROW()/100000,"")</f>
        <v/>
      </c>
    </row>
    <row r="135">
      <c r="F135" s="11" t="n"/>
      <c r="N135" s="7">
        <f>IF($D135="","",M135*V135/100)</f>
        <v/>
      </c>
      <c r="O135" s="7" t="n"/>
      <c r="U135" s="7" t="n"/>
      <c r="V135" s="7" t="n"/>
      <c r="Y135">
        <f>IF($D135="","",IF($AN135=1,0,IF($AM135=1,Settings!$C$6,Settings!$C$7))*100)</f>
        <v/>
      </c>
      <c r="Z135" s="7">
        <f>IF($D135="","",V135*Y135/100)</f>
        <v/>
      </c>
      <c r="AA135" s="7">
        <f>IF($D135="","",V135-Z135)</f>
        <v/>
      </c>
      <c r="AB135" s="7">
        <f>IF($D135="","",AA135-N135)</f>
        <v/>
      </c>
      <c r="AF135" s="7" t="n"/>
      <c r="AI135" s="11" t="n"/>
      <c r="AK135">
        <f>IF($D135="","",IF(COUNTIF($D$2:$D135,$D135)=1,1,0))</f>
        <v/>
      </c>
      <c r="AL135">
        <f>IF($AK135=1,SUMPRODUCT(--($AO$2:$AO$3001&lt;$AO135))+1,"")</f>
        <v/>
      </c>
      <c r="AM135">
        <f>IF($D135="","",IF(OR($R135=TRUE(),$R135="TRUE"),1,0))</f>
        <v/>
      </c>
      <c r="AN135">
        <f>IF($D135="","",IF($X135="Yes",1,0))</f>
        <v/>
      </c>
      <c r="AO135">
        <f>IF($AK135=1,IFERROR(IF(VALUE($D135)&lt;100000000,VALUE($D135),1000000000),IFERROR(IF(VALUE(MID($D135,2,20))&lt;100000000,VALUE(MID($D135,2,20)),1000000000),1000000000))+ROW()/100000,"")</f>
        <v/>
      </c>
    </row>
    <row r="136">
      <c r="F136" s="11" t="n"/>
      <c r="N136" s="7">
        <f>IF($D136="","",M136*V136/100)</f>
        <v/>
      </c>
      <c r="O136" s="7" t="n"/>
      <c r="U136" s="7" t="n"/>
      <c r="V136" s="7" t="n"/>
      <c r="Y136">
        <f>IF($D136="","",IF($AN136=1,0,IF($AM136=1,Settings!$C$6,Settings!$C$7))*100)</f>
        <v/>
      </c>
      <c r="Z136" s="7">
        <f>IF($D136="","",V136*Y136/100)</f>
        <v/>
      </c>
      <c r="AA136" s="7">
        <f>IF($D136="","",V136-Z136)</f>
        <v/>
      </c>
      <c r="AB136" s="7">
        <f>IF($D136="","",AA136-N136)</f>
        <v/>
      </c>
      <c r="AF136" s="7" t="n"/>
      <c r="AI136" s="11" t="n"/>
      <c r="AK136">
        <f>IF($D136="","",IF(COUNTIF($D$2:$D136,$D136)=1,1,0))</f>
        <v/>
      </c>
      <c r="AL136">
        <f>IF($AK136=1,SUMPRODUCT(--($AO$2:$AO$3001&lt;$AO136))+1,"")</f>
        <v/>
      </c>
      <c r="AM136">
        <f>IF($D136="","",IF(OR($R136=TRUE(),$R136="TRUE"),1,0))</f>
        <v/>
      </c>
      <c r="AN136">
        <f>IF($D136="","",IF($X136="Yes",1,0))</f>
        <v/>
      </c>
      <c r="AO136">
        <f>IF($AK136=1,IFERROR(IF(VALUE($D136)&lt;100000000,VALUE($D136),1000000000),IFERROR(IF(VALUE(MID($D136,2,20))&lt;100000000,VALUE(MID($D136,2,20)),1000000000),1000000000))+ROW()/100000,"")</f>
        <v/>
      </c>
    </row>
    <row r="137">
      <c r="F137" s="11" t="n"/>
      <c r="N137" s="7">
        <f>IF($D137="","",M137*V137/100)</f>
        <v/>
      </c>
      <c r="O137" s="7" t="n"/>
      <c r="U137" s="7" t="n"/>
      <c r="V137" s="7" t="n"/>
      <c r="Y137">
        <f>IF($D137="","",IF($AN137=1,0,IF($AM137=1,Settings!$C$6,Settings!$C$7))*100)</f>
        <v/>
      </c>
      <c r="Z137" s="7">
        <f>IF($D137="","",V137*Y137/100)</f>
        <v/>
      </c>
      <c r="AA137" s="7">
        <f>IF($D137="","",V137-Z137)</f>
        <v/>
      </c>
      <c r="AB137" s="7">
        <f>IF($D137="","",AA137-N137)</f>
        <v/>
      </c>
      <c r="AF137" s="7" t="n"/>
      <c r="AI137" s="11" t="n"/>
      <c r="AK137">
        <f>IF($D137="","",IF(COUNTIF($D$2:$D137,$D137)=1,1,0))</f>
        <v/>
      </c>
      <c r="AL137">
        <f>IF($AK137=1,SUMPRODUCT(--($AO$2:$AO$3001&lt;$AO137))+1,"")</f>
        <v/>
      </c>
      <c r="AM137">
        <f>IF($D137="","",IF(OR($R137=TRUE(),$R137="TRUE"),1,0))</f>
        <v/>
      </c>
      <c r="AN137">
        <f>IF($D137="","",IF($X137="Yes",1,0))</f>
        <v/>
      </c>
      <c r="AO137">
        <f>IF($AK137=1,IFERROR(IF(VALUE($D137)&lt;100000000,VALUE($D137),1000000000),IFERROR(IF(VALUE(MID($D137,2,20))&lt;100000000,VALUE(MID($D137,2,20)),1000000000),1000000000))+ROW()/100000,"")</f>
        <v/>
      </c>
    </row>
    <row r="138">
      <c r="F138" s="11" t="n"/>
      <c r="N138" s="7">
        <f>IF($D138="","",M138*V138/100)</f>
        <v/>
      </c>
      <c r="O138" s="7" t="n"/>
      <c r="U138" s="7" t="n"/>
      <c r="V138" s="7" t="n"/>
      <c r="Y138">
        <f>IF($D138="","",IF($AN138=1,0,IF($AM138=1,Settings!$C$6,Settings!$C$7))*100)</f>
        <v/>
      </c>
      <c r="Z138" s="7">
        <f>IF($D138="","",V138*Y138/100)</f>
        <v/>
      </c>
      <c r="AA138" s="7">
        <f>IF($D138="","",V138-Z138)</f>
        <v/>
      </c>
      <c r="AB138" s="7">
        <f>IF($D138="","",AA138-N138)</f>
        <v/>
      </c>
      <c r="AF138" s="7" t="n"/>
      <c r="AI138" s="11" t="n"/>
      <c r="AK138">
        <f>IF($D138="","",IF(COUNTIF($D$2:$D138,$D138)=1,1,0))</f>
        <v/>
      </c>
      <c r="AL138">
        <f>IF($AK138=1,SUMPRODUCT(--($AO$2:$AO$3001&lt;$AO138))+1,"")</f>
        <v/>
      </c>
      <c r="AM138">
        <f>IF($D138="","",IF(OR($R138=TRUE(),$R138="TRUE"),1,0))</f>
        <v/>
      </c>
      <c r="AN138">
        <f>IF($D138="","",IF($X138="Yes",1,0))</f>
        <v/>
      </c>
      <c r="AO138">
        <f>IF($AK138=1,IFERROR(IF(VALUE($D138)&lt;100000000,VALUE($D138),1000000000),IFERROR(IF(VALUE(MID($D138,2,20))&lt;100000000,VALUE(MID($D138,2,20)),1000000000),1000000000))+ROW()/100000,"")</f>
        <v/>
      </c>
    </row>
    <row r="139">
      <c r="F139" s="11" t="n"/>
      <c r="N139" s="7">
        <f>IF($D139="","",M139*V139/100)</f>
        <v/>
      </c>
      <c r="O139" s="7" t="n"/>
      <c r="U139" s="7" t="n"/>
      <c r="V139" s="7" t="n"/>
      <c r="Y139">
        <f>IF($D139="","",IF($AN139=1,0,IF($AM139=1,Settings!$C$6,Settings!$C$7))*100)</f>
        <v/>
      </c>
      <c r="Z139" s="7">
        <f>IF($D139="","",V139*Y139/100)</f>
        <v/>
      </c>
      <c r="AA139" s="7">
        <f>IF($D139="","",V139-Z139)</f>
        <v/>
      </c>
      <c r="AB139" s="7">
        <f>IF($D139="","",AA139-N139)</f>
        <v/>
      </c>
      <c r="AF139" s="7" t="n"/>
      <c r="AI139" s="11" t="n"/>
      <c r="AK139">
        <f>IF($D139="","",IF(COUNTIF($D$2:$D139,$D139)=1,1,0))</f>
        <v/>
      </c>
      <c r="AL139">
        <f>IF($AK139=1,SUMPRODUCT(--($AO$2:$AO$3001&lt;$AO139))+1,"")</f>
        <v/>
      </c>
      <c r="AM139">
        <f>IF($D139="","",IF(OR($R139=TRUE(),$R139="TRUE"),1,0))</f>
        <v/>
      </c>
      <c r="AN139">
        <f>IF($D139="","",IF($X139="Yes",1,0))</f>
        <v/>
      </c>
      <c r="AO139">
        <f>IF($AK139=1,IFERROR(IF(VALUE($D139)&lt;100000000,VALUE($D139),1000000000),IFERROR(IF(VALUE(MID($D139,2,20))&lt;100000000,VALUE(MID($D139,2,20)),1000000000),1000000000))+ROW()/100000,"")</f>
        <v/>
      </c>
    </row>
    <row r="140">
      <c r="F140" s="11" t="n"/>
      <c r="N140" s="7">
        <f>IF($D140="","",M140*V140/100)</f>
        <v/>
      </c>
      <c r="O140" s="7" t="n"/>
      <c r="U140" s="7" t="n"/>
      <c r="V140" s="7" t="n"/>
      <c r="Y140">
        <f>IF($D140="","",IF($AN140=1,0,IF($AM140=1,Settings!$C$6,Settings!$C$7))*100)</f>
        <v/>
      </c>
      <c r="Z140" s="7">
        <f>IF($D140="","",V140*Y140/100)</f>
        <v/>
      </c>
      <c r="AA140" s="7">
        <f>IF($D140="","",V140-Z140)</f>
        <v/>
      </c>
      <c r="AB140" s="7">
        <f>IF($D140="","",AA140-N140)</f>
        <v/>
      </c>
      <c r="AF140" s="7" t="n"/>
      <c r="AI140" s="11" t="n"/>
      <c r="AK140">
        <f>IF($D140="","",IF(COUNTIF($D$2:$D140,$D140)=1,1,0))</f>
        <v/>
      </c>
      <c r="AL140">
        <f>IF($AK140=1,SUMPRODUCT(--($AO$2:$AO$3001&lt;$AO140))+1,"")</f>
        <v/>
      </c>
      <c r="AM140">
        <f>IF($D140="","",IF(OR($R140=TRUE(),$R140="TRUE"),1,0))</f>
        <v/>
      </c>
      <c r="AN140">
        <f>IF($D140="","",IF($X140="Yes",1,0))</f>
        <v/>
      </c>
      <c r="AO140">
        <f>IF($AK140=1,IFERROR(IF(VALUE($D140)&lt;100000000,VALUE($D140),1000000000),IFERROR(IF(VALUE(MID($D140,2,20))&lt;100000000,VALUE(MID($D140,2,20)),1000000000),1000000000))+ROW()/100000,"")</f>
        <v/>
      </c>
    </row>
    <row r="141">
      <c r="F141" s="11" t="n"/>
      <c r="N141" s="7">
        <f>IF($D141="","",M141*V141/100)</f>
        <v/>
      </c>
      <c r="O141" s="7" t="n"/>
      <c r="U141" s="7" t="n"/>
      <c r="V141" s="7" t="n"/>
      <c r="Y141">
        <f>IF($D141="","",IF($AN141=1,0,IF($AM141=1,Settings!$C$6,Settings!$C$7))*100)</f>
        <v/>
      </c>
      <c r="Z141" s="7">
        <f>IF($D141="","",V141*Y141/100)</f>
        <v/>
      </c>
      <c r="AA141" s="7">
        <f>IF($D141="","",V141-Z141)</f>
        <v/>
      </c>
      <c r="AB141" s="7">
        <f>IF($D141="","",AA141-N141)</f>
        <v/>
      </c>
      <c r="AF141" s="7" t="n"/>
      <c r="AI141" s="11" t="n"/>
      <c r="AK141">
        <f>IF($D141="","",IF(COUNTIF($D$2:$D141,$D141)=1,1,0))</f>
        <v/>
      </c>
      <c r="AL141">
        <f>IF($AK141=1,SUMPRODUCT(--($AO$2:$AO$3001&lt;$AO141))+1,"")</f>
        <v/>
      </c>
      <c r="AM141">
        <f>IF($D141="","",IF(OR($R141=TRUE(),$R141="TRUE"),1,0))</f>
        <v/>
      </c>
      <c r="AN141">
        <f>IF($D141="","",IF($X141="Yes",1,0))</f>
        <v/>
      </c>
      <c r="AO141">
        <f>IF($AK141=1,IFERROR(IF(VALUE($D141)&lt;100000000,VALUE($D141),1000000000),IFERROR(IF(VALUE(MID($D141,2,20))&lt;100000000,VALUE(MID($D141,2,20)),1000000000),1000000000))+ROW()/100000,"")</f>
        <v/>
      </c>
    </row>
    <row r="142">
      <c r="F142" s="11" t="n"/>
      <c r="N142" s="7">
        <f>IF($D142="","",M142*V142/100)</f>
        <v/>
      </c>
      <c r="O142" s="7" t="n"/>
      <c r="U142" s="7" t="n"/>
      <c r="V142" s="7" t="n"/>
      <c r="Y142">
        <f>IF($D142="","",IF($AN142=1,0,IF($AM142=1,Settings!$C$6,Settings!$C$7))*100)</f>
        <v/>
      </c>
      <c r="Z142" s="7">
        <f>IF($D142="","",V142*Y142/100)</f>
        <v/>
      </c>
      <c r="AA142" s="7">
        <f>IF($D142="","",V142-Z142)</f>
        <v/>
      </c>
      <c r="AB142" s="7">
        <f>IF($D142="","",AA142-N142)</f>
        <v/>
      </c>
      <c r="AF142" s="7" t="n"/>
      <c r="AI142" s="11" t="n"/>
      <c r="AK142">
        <f>IF($D142="","",IF(COUNTIF($D$2:$D142,$D142)=1,1,0))</f>
        <v/>
      </c>
      <c r="AL142">
        <f>IF($AK142=1,SUMPRODUCT(--($AO$2:$AO$3001&lt;$AO142))+1,"")</f>
        <v/>
      </c>
      <c r="AM142">
        <f>IF($D142="","",IF(OR($R142=TRUE(),$R142="TRUE"),1,0))</f>
        <v/>
      </c>
      <c r="AN142">
        <f>IF($D142="","",IF($X142="Yes",1,0))</f>
        <v/>
      </c>
      <c r="AO142">
        <f>IF($AK142=1,IFERROR(IF(VALUE($D142)&lt;100000000,VALUE($D142),1000000000),IFERROR(IF(VALUE(MID($D142,2,20))&lt;100000000,VALUE(MID($D142,2,20)),1000000000),1000000000))+ROW()/100000,"")</f>
        <v/>
      </c>
    </row>
    <row r="143">
      <c r="F143" s="11" t="n"/>
      <c r="N143" s="7">
        <f>IF($D143="","",M143*V143/100)</f>
        <v/>
      </c>
      <c r="O143" s="7" t="n"/>
      <c r="U143" s="7" t="n"/>
      <c r="V143" s="7" t="n"/>
      <c r="Y143">
        <f>IF($D143="","",IF($AN143=1,0,IF($AM143=1,Settings!$C$6,Settings!$C$7))*100)</f>
        <v/>
      </c>
      <c r="Z143" s="7">
        <f>IF($D143="","",V143*Y143/100)</f>
        <v/>
      </c>
      <c r="AA143" s="7">
        <f>IF($D143="","",V143-Z143)</f>
        <v/>
      </c>
      <c r="AB143" s="7">
        <f>IF($D143="","",AA143-N143)</f>
        <v/>
      </c>
      <c r="AF143" s="7" t="n"/>
      <c r="AI143" s="11" t="n"/>
      <c r="AK143">
        <f>IF($D143="","",IF(COUNTIF($D$2:$D143,$D143)=1,1,0))</f>
        <v/>
      </c>
      <c r="AL143">
        <f>IF($AK143=1,SUMPRODUCT(--($AO$2:$AO$3001&lt;$AO143))+1,"")</f>
        <v/>
      </c>
      <c r="AM143">
        <f>IF($D143="","",IF(OR($R143=TRUE(),$R143="TRUE"),1,0))</f>
        <v/>
      </c>
      <c r="AN143">
        <f>IF($D143="","",IF($X143="Yes",1,0))</f>
        <v/>
      </c>
      <c r="AO143">
        <f>IF($AK143=1,IFERROR(IF(VALUE($D143)&lt;100000000,VALUE($D143),1000000000),IFERROR(IF(VALUE(MID($D143,2,20))&lt;100000000,VALUE(MID($D143,2,20)),1000000000),1000000000))+ROW()/100000,"")</f>
        <v/>
      </c>
    </row>
    <row r="144">
      <c r="F144" s="11" t="n"/>
      <c r="N144" s="7">
        <f>IF($D144="","",M144*V144/100)</f>
        <v/>
      </c>
      <c r="O144" s="7" t="n"/>
      <c r="U144" s="7" t="n"/>
      <c r="V144" s="7" t="n"/>
      <c r="Y144">
        <f>IF($D144="","",IF($AN144=1,0,IF($AM144=1,Settings!$C$6,Settings!$C$7))*100)</f>
        <v/>
      </c>
      <c r="Z144" s="7">
        <f>IF($D144="","",V144*Y144/100)</f>
        <v/>
      </c>
      <c r="AA144" s="7">
        <f>IF($D144="","",V144-Z144)</f>
        <v/>
      </c>
      <c r="AB144" s="7">
        <f>IF($D144="","",AA144-N144)</f>
        <v/>
      </c>
      <c r="AF144" s="7" t="n"/>
      <c r="AI144" s="11" t="n"/>
      <c r="AK144">
        <f>IF($D144="","",IF(COUNTIF($D$2:$D144,$D144)=1,1,0))</f>
        <v/>
      </c>
      <c r="AL144">
        <f>IF($AK144=1,SUMPRODUCT(--($AO$2:$AO$3001&lt;$AO144))+1,"")</f>
        <v/>
      </c>
      <c r="AM144">
        <f>IF($D144="","",IF(OR($R144=TRUE(),$R144="TRUE"),1,0))</f>
        <v/>
      </c>
      <c r="AN144">
        <f>IF($D144="","",IF($X144="Yes",1,0))</f>
        <v/>
      </c>
      <c r="AO144">
        <f>IF($AK144=1,IFERROR(IF(VALUE($D144)&lt;100000000,VALUE($D144),1000000000),IFERROR(IF(VALUE(MID($D144,2,20))&lt;100000000,VALUE(MID($D144,2,20)),1000000000),1000000000))+ROW()/100000,"")</f>
        <v/>
      </c>
    </row>
    <row r="145">
      <c r="F145" s="11" t="n"/>
      <c r="N145" s="7">
        <f>IF($D145="","",M145*V145/100)</f>
        <v/>
      </c>
      <c r="O145" s="7" t="n"/>
      <c r="U145" s="7" t="n"/>
      <c r="V145" s="7" t="n"/>
      <c r="Y145">
        <f>IF($D145="","",IF($AN145=1,0,IF($AM145=1,Settings!$C$6,Settings!$C$7))*100)</f>
        <v/>
      </c>
      <c r="Z145" s="7">
        <f>IF($D145="","",V145*Y145/100)</f>
        <v/>
      </c>
      <c r="AA145" s="7">
        <f>IF($D145="","",V145-Z145)</f>
        <v/>
      </c>
      <c r="AB145" s="7">
        <f>IF($D145="","",AA145-N145)</f>
        <v/>
      </c>
      <c r="AF145" s="7" t="n"/>
      <c r="AI145" s="11" t="n"/>
      <c r="AK145">
        <f>IF($D145="","",IF(COUNTIF($D$2:$D145,$D145)=1,1,0))</f>
        <v/>
      </c>
      <c r="AL145">
        <f>IF($AK145=1,SUMPRODUCT(--($AO$2:$AO$3001&lt;$AO145))+1,"")</f>
        <v/>
      </c>
      <c r="AM145">
        <f>IF($D145="","",IF(OR($R145=TRUE(),$R145="TRUE"),1,0))</f>
        <v/>
      </c>
      <c r="AN145">
        <f>IF($D145="","",IF($X145="Yes",1,0))</f>
        <v/>
      </c>
      <c r="AO145">
        <f>IF($AK145=1,IFERROR(IF(VALUE($D145)&lt;100000000,VALUE($D145),1000000000),IFERROR(IF(VALUE(MID($D145,2,20))&lt;100000000,VALUE(MID($D145,2,20)),1000000000),1000000000))+ROW()/100000,"")</f>
        <v/>
      </c>
    </row>
    <row r="146">
      <c r="F146" s="11" t="n"/>
      <c r="N146" s="7">
        <f>IF($D146="","",M146*V146/100)</f>
        <v/>
      </c>
      <c r="O146" s="7" t="n"/>
      <c r="U146" s="7" t="n"/>
      <c r="V146" s="7" t="n"/>
      <c r="Y146">
        <f>IF($D146="","",IF($AN146=1,0,IF($AM146=1,Settings!$C$6,Settings!$C$7))*100)</f>
        <v/>
      </c>
      <c r="Z146" s="7">
        <f>IF($D146="","",V146*Y146/100)</f>
        <v/>
      </c>
      <c r="AA146" s="7">
        <f>IF($D146="","",V146-Z146)</f>
        <v/>
      </c>
      <c r="AB146" s="7">
        <f>IF($D146="","",AA146-N146)</f>
        <v/>
      </c>
      <c r="AF146" s="7" t="n"/>
      <c r="AI146" s="11" t="n"/>
      <c r="AK146">
        <f>IF($D146="","",IF(COUNTIF($D$2:$D146,$D146)=1,1,0))</f>
        <v/>
      </c>
      <c r="AL146">
        <f>IF($AK146=1,SUMPRODUCT(--($AO$2:$AO$3001&lt;$AO146))+1,"")</f>
        <v/>
      </c>
      <c r="AM146">
        <f>IF($D146="","",IF(OR($R146=TRUE(),$R146="TRUE"),1,0))</f>
        <v/>
      </c>
      <c r="AN146">
        <f>IF($D146="","",IF($X146="Yes",1,0))</f>
        <v/>
      </c>
      <c r="AO146">
        <f>IF($AK146=1,IFERROR(IF(VALUE($D146)&lt;100000000,VALUE($D146),1000000000),IFERROR(IF(VALUE(MID($D146,2,20))&lt;100000000,VALUE(MID($D146,2,20)),1000000000),1000000000))+ROW()/100000,"")</f>
        <v/>
      </c>
    </row>
    <row r="147">
      <c r="F147" s="11" t="n"/>
      <c r="N147" s="7">
        <f>IF($D147="","",M147*V147/100)</f>
        <v/>
      </c>
      <c r="O147" s="7" t="n"/>
      <c r="U147" s="7" t="n"/>
      <c r="V147" s="7" t="n"/>
      <c r="Y147">
        <f>IF($D147="","",IF($AN147=1,0,IF($AM147=1,Settings!$C$6,Settings!$C$7))*100)</f>
        <v/>
      </c>
      <c r="Z147" s="7">
        <f>IF($D147="","",V147*Y147/100)</f>
        <v/>
      </c>
      <c r="AA147" s="7">
        <f>IF($D147="","",V147-Z147)</f>
        <v/>
      </c>
      <c r="AB147" s="7">
        <f>IF($D147="","",AA147-N147)</f>
        <v/>
      </c>
      <c r="AF147" s="7" t="n"/>
      <c r="AI147" s="11" t="n"/>
      <c r="AK147">
        <f>IF($D147="","",IF(COUNTIF($D$2:$D147,$D147)=1,1,0))</f>
        <v/>
      </c>
      <c r="AL147">
        <f>IF($AK147=1,SUMPRODUCT(--($AO$2:$AO$3001&lt;$AO147))+1,"")</f>
        <v/>
      </c>
      <c r="AM147">
        <f>IF($D147="","",IF(OR($R147=TRUE(),$R147="TRUE"),1,0))</f>
        <v/>
      </c>
      <c r="AN147">
        <f>IF($D147="","",IF($X147="Yes",1,0))</f>
        <v/>
      </c>
      <c r="AO147">
        <f>IF($AK147=1,IFERROR(IF(VALUE($D147)&lt;100000000,VALUE($D147),1000000000),IFERROR(IF(VALUE(MID($D147,2,20))&lt;100000000,VALUE(MID($D147,2,20)),1000000000),1000000000))+ROW()/100000,"")</f>
        <v/>
      </c>
    </row>
    <row r="148">
      <c r="F148" s="11" t="n"/>
      <c r="N148" s="7">
        <f>IF($D148="","",M148*V148/100)</f>
        <v/>
      </c>
      <c r="O148" s="7" t="n"/>
      <c r="U148" s="7" t="n"/>
      <c r="V148" s="7" t="n"/>
      <c r="Y148">
        <f>IF($D148="","",IF($AN148=1,0,IF($AM148=1,Settings!$C$6,Settings!$C$7))*100)</f>
        <v/>
      </c>
      <c r="Z148" s="7">
        <f>IF($D148="","",V148*Y148/100)</f>
        <v/>
      </c>
      <c r="AA148" s="7">
        <f>IF($D148="","",V148-Z148)</f>
        <v/>
      </c>
      <c r="AB148" s="7">
        <f>IF($D148="","",AA148-N148)</f>
        <v/>
      </c>
      <c r="AF148" s="7" t="n"/>
      <c r="AI148" s="11" t="n"/>
      <c r="AK148">
        <f>IF($D148="","",IF(COUNTIF($D$2:$D148,$D148)=1,1,0))</f>
        <v/>
      </c>
      <c r="AL148">
        <f>IF($AK148=1,SUMPRODUCT(--($AO$2:$AO$3001&lt;$AO148))+1,"")</f>
        <v/>
      </c>
      <c r="AM148">
        <f>IF($D148="","",IF(OR($R148=TRUE(),$R148="TRUE"),1,0))</f>
        <v/>
      </c>
      <c r="AN148">
        <f>IF($D148="","",IF($X148="Yes",1,0))</f>
        <v/>
      </c>
      <c r="AO148">
        <f>IF($AK148=1,IFERROR(IF(VALUE($D148)&lt;100000000,VALUE($D148),1000000000),IFERROR(IF(VALUE(MID($D148,2,20))&lt;100000000,VALUE(MID($D148,2,20)),1000000000),1000000000))+ROW()/100000,"")</f>
        <v/>
      </c>
    </row>
    <row r="149">
      <c r="F149" s="11" t="n"/>
      <c r="N149" s="7">
        <f>IF($D149="","",M149*V149/100)</f>
        <v/>
      </c>
      <c r="O149" s="7" t="n"/>
      <c r="U149" s="7" t="n"/>
      <c r="V149" s="7" t="n"/>
      <c r="Y149">
        <f>IF($D149="","",IF($AN149=1,0,IF($AM149=1,Settings!$C$6,Settings!$C$7))*100)</f>
        <v/>
      </c>
      <c r="Z149" s="7">
        <f>IF($D149="","",V149*Y149/100)</f>
        <v/>
      </c>
      <c r="AA149" s="7">
        <f>IF($D149="","",V149-Z149)</f>
        <v/>
      </c>
      <c r="AB149" s="7">
        <f>IF($D149="","",AA149-N149)</f>
        <v/>
      </c>
      <c r="AF149" s="7" t="n"/>
      <c r="AI149" s="11" t="n"/>
      <c r="AK149">
        <f>IF($D149="","",IF(COUNTIF($D$2:$D149,$D149)=1,1,0))</f>
        <v/>
      </c>
      <c r="AL149">
        <f>IF($AK149=1,SUMPRODUCT(--($AO$2:$AO$3001&lt;$AO149))+1,"")</f>
        <v/>
      </c>
      <c r="AM149">
        <f>IF($D149="","",IF(OR($R149=TRUE(),$R149="TRUE"),1,0))</f>
        <v/>
      </c>
      <c r="AN149">
        <f>IF($D149="","",IF($X149="Yes",1,0))</f>
        <v/>
      </c>
      <c r="AO149">
        <f>IF($AK149=1,IFERROR(IF(VALUE($D149)&lt;100000000,VALUE($D149),1000000000),IFERROR(IF(VALUE(MID($D149,2,20))&lt;100000000,VALUE(MID($D149,2,20)),1000000000),1000000000))+ROW()/100000,"")</f>
        <v/>
      </c>
    </row>
    <row r="150">
      <c r="F150" s="11" t="n"/>
      <c r="N150" s="7">
        <f>IF($D150="","",M150*V150/100)</f>
        <v/>
      </c>
      <c r="O150" s="7" t="n"/>
      <c r="U150" s="7" t="n"/>
      <c r="V150" s="7" t="n"/>
      <c r="Y150">
        <f>IF($D150="","",IF($AN150=1,0,IF($AM150=1,Settings!$C$6,Settings!$C$7))*100)</f>
        <v/>
      </c>
      <c r="Z150" s="7">
        <f>IF($D150="","",V150*Y150/100)</f>
        <v/>
      </c>
      <c r="AA150" s="7">
        <f>IF($D150="","",V150-Z150)</f>
        <v/>
      </c>
      <c r="AB150" s="7">
        <f>IF($D150="","",AA150-N150)</f>
        <v/>
      </c>
      <c r="AF150" s="7" t="n"/>
      <c r="AI150" s="11" t="n"/>
      <c r="AK150">
        <f>IF($D150="","",IF(COUNTIF($D$2:$D150,$D150)=1,1,0))</f>
        <v/>
      </c>
      <c r="AL150">
        <f>IF($AK150=1,SUMPRODUCT(--($AO$2:$AO$3001&lt;$AO150))+1,"")</f>
        <v/>
      </c>
      <c r="AM150">
        <f>IF($D150="","",IF(OR($R150=TRUE(),$R150="TRUE"),1,0))</f>
        <v/>
      </c>
      <c r="AN150">
        <f>IF($D150="","",IF($X150="Yes",1,0))</f>
        <v/>
      </c>
      <c r="AO150">
        <f>IF($AK150=1,IFERROR(IF(VALUE($D150)&lt;100000000,VALUE($D150),1000000000),IFERROR(IF(VALUE(MID($D150,2,20))&lt;100000000,VALUE(MID($D150,2,20)),1000000000),1000000000))+ROW()/100000,"")</f>
        <v/>
      </c>
    </row>
    <row r="151">
      <c r="F151" s="11" t="n"/>
      <c r="N151" s="7">
        <f>IF($D151="","",M151*V151/100)</f>
        <v/>
      </c>
      <c r="O151" s="7" t="n"/>
      <c r="U151" s="7" t="n"/>
      <c r="V151" s="7" t="n"/>
      <c r="Y151">
        <f>IF($D151="","",IF($AN151=1,0,IF($AM151=1,Settings!$C$6,Settings!$C$7))*100)</f>
        <v/>
      </c>
      <c r="Z151" s="7">
        <f>IF($D151="","",V151*Y151/100)</f>
        <v/>
      </c>
      <c r="AA151" s="7">
        <f>IF($D151="","",V151-Z151)</f>
        <v/>
      </c>
      <c r="AB151" s="7">
        <f>IF($D151="","",AA151-N151)</f>
        <v/>
      </c>
      <c r="AF151" s="7" t="n"/>
      <c r="AI151" s="11" t="n"/>
      <c r="AK151">
        <f>IF($D151="","",IF(COUNTIF($D$2:$D151,$D151)=1,1,0))</f>
        <v/>
      </c>
      <c r="AL151">
        <f>IF($AK151=1,SUMPRODUCT(--($AO$2:$AO$3001&lt;$AO151))+1,"")</f>
        <v/>
      </c>
      <c r="AM151">
        <f>IF($D151="","",IF(OR($R151=TRUE(),$R151="TRUE"),1,0))</f>
        <v/>
      </c>
      <c r="AN151">
        <f>IF($D151="","",IF($X151="Yes",1,0))</f>
        <v/>
      </c>
      <c r="AO151">
        <f>IF($AK151=1,IFERROR(IF(VALUE($D151)&lt;100000000,VALUE($D151),1000000000),IFERROR(IF(VALUE(MID($D151,2,20))&lt;100000000,VALUE(MID($D151,2,20)),1000000000),1000000000))+ROW()/100000,"")</f>
        <v/>
      </c>
    </row>
    <row r="152">
      <c r="F152" s="11" t="n"/>
      <c r="N152" s="7">
        <f>IF($D152="","",M152*V152/100)</f>
        <v/>
      </c>
      <c r="O152" s="7" t="n"/>
      <c r="U152" s="7" t="n"/>
      <c r="V152" s="7" t="n"/>
      <c r="Y152">
        <f>IF($D152="","",IF($AN152=1,0,IF($AM152=1,Settings!$C$6,Settings!$C$7))*100)</f>
        <v/>
      </c>
      <c r="Z152" s="7">
        <f>IF($D152="","",V152*Y152/100)</f>
        <v/>
      </c>
      <c r="AA152" s="7">
        <f>IF($D152="","",V152-Z152)</f>
        <v/>
      </c>
      <c r="AB152" s="7">
        <f>IF($D152="","",AA152-N152)</f>
        <v/>
      </c>
      <c r="AF152" s="7" t="n"/>
      <c r="AI152" s="11" t="n"/>
      <c r="AK152">
        <f>IF($D152="","",IF(COUNTIF($D$2:$D152,$D152)=1,1,0))</f>
        <v/>
      </c>
      <c r="AL152">
        <f>IF($AK152=1,SUMPRODUCT(--($AO$2:$AO$3001&lt;$AO152))+1,"")</f>
        <v/>
      </c>
      <c r="AM152">
        <f>IF($D152="","",IF(OR($R152=TRUE(),$R152="TRUE"),1,0))</f>
        <v/>
      </c>
      <c r="AN152">
        <f>IF($D152="","",IF($X152="Yes",1,0))</f>
        <v/>
      </c>
      <c r="AO152">
        <f>IF($AK152=1,IFERROR(IF(VALUE($D152)&lt;100000000,VALUE($D152),1000000000),IFERROR(IF(VALUE(MID($D152,2,20))&lt;100000000,VALUE(MID($D152,2,20)),1000000000),1000000000))+ROW()/100000,"")</f>
        <v/>
      </c>
    </row>
    <row r="153">
      <c r="F153" s="11" t="n"/>
      <c r="N153" s="7">
        <f>IF($D153="","",M153*V153/100)</f>
        <v/>
      </c>
      <c r="O153" s="7" t="n"/>
      <c r="U153" s="7" t="n"/>
      <c r="V153" s="7" t="n"/>
      <c r="Y153">
        <f>IF($D153="","",IF($AN153=1,0,IF($AM153=1,Settings!$C$6,Settings!$C$7))*100)</f>
        <v/>
      </c>
      <c r="Z153" s="7">
        <f>IF($D153="","",V153*Y153/100)</f>
        <v/>
      </c>
      <c r="AA153" s="7">
        <f>IF($D153="","",V153-Z153)</f>
        <v/>
      </c>
      <c r="AB153" s="7">
        <f>IF($D153="","",AA153-N153)</f>
        <v/>
      </c>
      <c r="AF153" s="7" t="n"/>
      <c r="AI153" s="11" t="n"/>
      <c r="AK153">
        <f>IF($D153="","",IF(COUNTIF($D$2:$D153,$D153)=1,1,0))</f>
        <v/>
      </c>
      <c r="AL153">
        <f>IF($AK153=1,SUMPRODUCT(--($AO$2:$AO$3001&lt;$AO153))+1,"")</f>
        <v/>
      </c>
      <c r="AM153">
        <f>IF($D153="","",IF(OR($R153=TRUE(),$R153="TRUE"),1,0))</f>
        <v/>
      </c>
      <c r="AN153">
        <f>IF($D153="","",IF($X153="Yes",1,0))</f>
        <v/>
      </c>
      <c r="AO153">
        <f>IF($AK153=1,IFERROR(IF(VALUE($D153)&lt;100000000,VALUE($D153),1000000000),IFERROR(IF(VALUE(MID($D153,2,20))&lt;100000000,VALUE(MID($D153,2,20)),1000000000),1000000000))+ROW()/100000,"")</f>
        <v/>
      </c>
    </row>
    <row r="154">
      <c r="F154" s="11" t="n"/>
      <c r="N154" s="7">
        <f>IF($D154="","",M154*V154/100)</f>
        <v/>
      </c>
      <c r="O154" s="7" t="n"/>
      <c r="U154" s="7" t="n"/>
      <c r="V154" s="7" t="n"/>
      <c r="Y154">
        <f>IF($D154="","",IF($AN154=1,0,IF($AM154=1,Settings!$C$6,Settings!$C$7))*100)</f>
        <v/>
      </c>
      <c r="Z154" s="7">
        <f>IF($D154="","",V154*Y154/100)</f>
        <v/>
      </c>
      <c r="AA154" s="7">
        <f>IF($D154="","",V154-Z154)</f>
        <v/>
      </c>
      <c r="AB154" s="7">
        <f>IF($D154="","",AA154-N154)</f>
        <v/>
      </c>
      <c r="AF154" s="7" t="n"/>
      <c r="AI154" s="11" t="n"/>
      <c r="AK154">
        <f>IF($D154="","",IF(COUNTIF($D$2:$D154,$D154)=1,1,0))</f>
        <v/>
      </c>
      <c r="AL154">
        <f>IF($AK154=1,SUMPRODUCT(--($AO$2:$AO$3001&lt;$AO154))+1,"")</f>
        <v/>
      </c>
      <c r="AM154">
        <f>IF($D154="","",IF(OR($R154=TRUE(),$R154="TRUE"),1,0))</f>
        <v/>
      </c>
      <c r="AN154">
        <f>IF($D154="","",IF($X154="Yes",1,0))</f>
        <v/>
      </c>
      <c r="AO154">
        <f>IF($AK154=1,IFERROR(IF(VALUE($D154)&lt;100000000,VALUE($D154),1000000000),IFERROR(IF(VALUE(MID($D154,2,20))&lt;100000000,VALUE(MID($D154,2,20)),1000000000),1000000000))+ROW()/100000,"")</f>
        <v/>
      </c>
    </row>
    <row r="155">
      <c r="F155" s="11" t="n"/>
      <c r="N155" s="7">
        <f>IF($D155="","",M155*V155/100)</f>
        <v/>
      </c>
      <c r="O155" s="7" t="n"/>
      <c r="U155" s="7" t="n"/>
      <c r="V155" s="7" t="n"/>
      <c r="Y155">
        <f>IF($D155="","",IF($AN155=1,0,IF($AM155=1,Settings!$C$6,Settings!$C$7))*100)</f>
        <v/>
      </c>
      <c r="Z155" s="7">
        <f>IF($D155="","",V155*Y155/100)</f>
        <v/>
      </c>
      <c r="AA155" s="7">
        <f>IF($D155="","",V155-Z155)</f>
        <v/>
      </c>
      <c r="AB155" s="7">
        <f>IF($D155="","",AA155-N155)</f>
        <v/>
      </c>
      <c r="AF155" s="7" t="n"/>
      <c r="AI155" s="11" t="n"/>
      <c r="AK155">
        <f>IF($D155="","",IF(COUNTIF($D$2:$D155,$D155)=1,1,0))</f>
        <v/>
      </c>
      <c r="AL155">
        <f>IF($AK155=1,SUMPRODUCT(--($AO$2:$AO$3001&lt;$AO155))+1,"")</f>
        <v/>
      </c>
      <c r="AM155">
        <f>IF($D155="","",IF(OR($R155=TRUE(),$R155="TRUE"),1,0))</f>
        <v/>
      </c>
      <c r="AN155">
        <f>IF($D155="","",IF($X155="Yes",1,0))</f>
        <v/>
      </c>
      <c r="AO155">
        <f>IF($AK155=1,IFERROR(IF(VALUE($D155)&lt;100000000,VALUE($D155),1000000000),IFERROR(IF(VALUE(MID($D155,2,20))&lt;100000000,VALUE(MID($D155,2,20)),1000000000),1000000000))+ROW()/100000,"")</f>
        <v/>
      </c>
    </row>
    <row r="156">
      <c r="F156" s="11" t="n"/>
      <c r="N156" s="7">
        <f>IF($D156="","",M156*V156/100)</f>
        <v/>
      </c>
      <c r="O156" s="7" t="n"/>
      <c r="U156" s="7" t="n"/>
      <c r="V156" s="7" t="n"/>
      <c r="Y156">
        <f>IF($D156="","",IF($AN156=1,0,IF($AM156=1,Settings!$C$6,Settings!$C$7))*100)</f>
        <v/>
      </c>
      <c r="Z156" s="7">
        <f>IF($D156="","",V156*Y156/100)</f>
        <v/>
      </c>
      <c r="AA156" s="7">
        <f>IF($D156="","",V156-Z156)</f>
        <v/>
      </c>
      <c r="AB156" s="7">
        <f>IF($D156="","",AA156-N156)</f>
        <v/>
      </c>
      <c r="AF156" s="7" t="n"/>
      <c r="AI156" s="11" t="n"/>
      <c r="AK156">
        <f>IF($D156="","",IF(COUNTIF($D$2:$D156,$D156)=1,1,0))</f>
        <v/>
      </c>
      <c r="AL156">
        <f>IF($AK156=1,SUMPRODUCT(--($AO$2:$AO$3001&lt;$AO156))+1,"")</f>
        <v/>
      </c>
      <c r="AM156">
        <f>IF($D156="","",IF(OR($R156=TRUE(),$R156="TRUE"),1,0))</f>
        <v/>
      </c>
      <c r="AN156">
        <f>IF($D156="","",IF($X156="Yes",1,0))</f>
        <v/>
      </c>
      <c r="AO156">
        <f>IF($AK156=1,IFERROR(IF(VALUE($D156)&lt;100000000,VALUE($D156),1000000000),IFERROR(IF(VALUE(MID($D156,2,20))&lt;100000000,VALUE(MID($D156,2,20)),1000000000),1000000000))+ROW()/100000,"")</f>
        <v/>
      </c>
    </row>
    <row r="157">
      <c r="F157" s="11" t="n"/>
      <c r="N157" s="7">
        <f>IF($D157="","",M157*V157/100)</f>
        <v/>
      </c>
      <c r="O157" s="7" t="n"/>
      <c r="U157" s="7" t="n"/>
      <c r="V157" s="7" t="n"/>
      <c r="Y157">
        <f>IF($D157="","",IF($AN157=1,0,IF($AM157=1,Settings!$C$6,Settings!$C$7))*100)</f>
        <v/>
      </c>
      <c r="Z157" s="7">
        <f>IF($D157="","",V157*Y157/100)</f>
        <v/>
      </c>
      <c r="AA157" s="7">
        <f>IF($D157="","",V157-Z157)</f>
        <v/>
      </c>
      <c r="AB157" s="7">
        <f>IF($D157="","",AA157-N157)</f>
        <v/>
      </c>
      <c r="AF157" s="7" t="n"/>
      <c r="AI157" s="11" t="n"/>
      <c r="AK157">
        <f>IF($D157="","",IF(COUNTIF($D$2:$D157,$D157)=1,1,0))</f>
        <v/>
      </c>
      <c r="AL157">
        <f>IF($AK157=1,SUMPRODUCT(--($AO$2:$AO$3001&lt;$AO157))+1,"")</f>
        <v/>
      </c>
      <c r="AM157">
        <f>IF($D157="","",IF(OR($R157=TRUE(),$R157="TRUE"),1,0))</f>
        <v/>
      </c>
      <c r="AN157">
        <f>IF($D157="","",IF($X157="Yes",1,0))</f>
        <v/>
      </c>
      <c r="AO157">
        <f>IF($AK157=1,IFERROR(IF(VALUE($D157)&lt;100000000,VALUE($D157),1000000000),IFERROR(IF(VALUE(MID($D157,2,20))&lt;100000000,VALUE(MID($D157,2,20)),1000000000),1000000000))+ROW()/100000,"")</f>
        <v/>
      </c>
    </row>
    <row r="158">
      <c r="F158" s="11" t="n"/>
      <c r="N158" s="7">
        <f>IF($D158="","",M158*V158/100)</f>
        <v/>
      </c>
      <c r="O158" s="7" t="n"/>
      <c r="U158" s="7" t="n"/>
      <c r="V158" s="7" t="n"/>
      <c r="Y158">
        <f>IF($D158="","",IF($AN158=1,0,IF($AM158=1,Settings!$C$6,Settings!$C$7))*100)</f>
        <v/>
      </c>
      <c r="Z158" s="7">
        <f>IF($D158="","",V158*Y158/100)</f>
        <v/>
      </c>
      <c r="AA158" s="7">
        <f>IF($D158="","",V158-Z158)</f>
        <v/>
      </c>
      <c r="AB158" s="7">
        <f>IF($D158="","",AA158-N158)</f>
        <v/>
      </c>
      <c r="AF158" s="7" t="n"/>
      <c r="AI158" s="11" t="n"/>
      <c r="AK158">
        <f>IF($D158="","",IF(COUNTIF($D$2:$D158,$D158)=1,1,0))</f>
        <v/>
      </c>
      <c r="AL158">
        <f>IF($AK158=1,SUMPRODUCT(--($AO$2:$AO$3001&lt;$AO158))+1,"")</f>
        <v/>
      </c>
      <c r="AM158">
        <f>IF($D158="","",IF(OR($R158=TRUE(),$R158="TRUE"),1,0))</f>
        <v/>
      </c>
      <c r="AN158">
        <f>IF($D158="","",IF($X158="Yes",1,0))</f>
        <v/>
      </c>
      <c r="AO158">
        <f>IF($AK158=1,IFERROR(IF(VALUE($D158)&lt;100000000,VALUE($D158),1000000000),IFERROR(IF(VALUE(MID($D158,2,20))&lt;100000000,VALUE(MID($D158,2,20)),1000000000),1000000000))+ROW()/100000,"")</f>
        <v/>
      </c>
    </row>
    <row r="159">
      <c r="F159" s="11" t="n"/>
      <c r="N159" s="7">
        <f>IF($D159="","",M159*V159/100)</f>
        <v/>
      </c>
      <c r="O159" s="7" t="n"/>
      <c r="U159" s="7" t="n"/>
      <c r="V159" s="7" t="n"/>
      <c r="Y159">
        <f>IF($D159="","",IF($AN159=1,0,IF($AM159=1,Settings!$C$6,Settings!$C$7))*100)</f>
        <v/>
      </c>
      <c r="Z159" s="7">
        <f>IF($D159="","",V159*Y159/100)</f>
        <v/>
      </c>
      <c r="AA159" s="7">
        <f>IF($D159="","",V159-Z159)</f>
        <v/>
      </c>
      <c r="AB159" s="7">
        <f>IF($D159="","",AA159-N159)</f>
        <v/>
      </c>
      <c r="AF159" s="7" t="n"/>
      <c r="AI159" s="11" t="n"/>
      <c r="AK159">
        <f>IF($D159="","",IF(COUNTIF($D$2:$D159,$D159)=1,1,0))</f>
        <v/>
      </c>
      <c r="AL159">
        <f>IF($AK159=1,SUMPRODUCT(--($AO$2:$AO$3001&lt;$AO159))+1,"")</f>
        <v/>
      </c>
      <c r="AM159">
        <f>IF($D159="","",IF(OR($R159=TRUE(),$R159="TRUE"),1,0))</f>
        <v/>
      </c>
      <c r="AN159">
        <f>IF($D159="","",IF($X159="Yes",1,0))</f>
        <v/>
      </c>
      <c r="AO159">
        <f>IF($AK159=1,IFERROR(IF(VALUE($D159)&lt;100000000,VALUE($D159),1000000000),IFERROR(IF(VALUE(MID($D159,2,20))&lt;100000000,VALUE(MID($D159,2,20)),1000000000),1000000000))+ROW()/100000,"")</f>
        <v/>
      </c>
    </row>
    <row r="160">
      <c r="F160" s="11" t="n"/>
      <c r="N160" s="7">
        <f>IF($D160="","",M160*V160/100)</f>
        <v/>
      </c>
      <c r="O160" s="7" t="n"/>
      <c r="U160" s="7" t="n"/>
      <c r="V160" s="7" t="n"/>
      <c r="Y160">
        <f>IF($D160="","",IF($AN160=1,0,IF($AM160=1,Settings!$C$6,Settings!$C$7))*100)</f>
        <v/>
      </c>
      <c r="Z160" s="7">
        <f>IF($D160="","",V160*Y160/100)</f>
        <v/>
      </c>
      <c r="AA160" s="7">
        <f>IF($D160="","",V160-Z160)</f>
        <v/>
      </c>
      <c r="AB160" s="7">
        <f>IF($D160="","",AA160-N160)</f>
        <v/>
      </c>
      <c r="AF160" s="7" t="n"/>
      <c r="AI160" s="11" t="n"/>
      <c r="AK160">
        <f>IF($D160="","",IF(COUNTIF($D$2:$D160,$D160)=1,1,0))</f>
        <v/>
      </c>
      <c r="AL160">
        <f>IF($AK160=1,SUMPRODUCT(--($AO$2:$AO$3001&lt;$AO160))+1,"")</f>
        <v/>
      </c>
      <c r="AM160">
        <f>IF($D160="","",IF(OR($R160=TRUE(),$R160="TRUE"),1,0))</f>
        <v/>
      </c>
      <c r="AN160">
        <f>IF($D160="","",IF($X160="Yes",1,0))</f>
        <v/>
      </c>
      <c r="AO160">
        <f>IF($AK160=1,IFERROR(IF(VALUE($D160)&lt;100000000,VALUE($D160),1000000000),IFERROR(IF(VALUE(MID($D160,2,20))&lt;100000000,VALUE(MID($D160,2,20)),1000000000),1000000000))+ROW()/100000,"")</f>
        <v/>
      </c>
    </row>
    <row r="161">
      <c r="F161" s="11" t="n"/>
      <c r="N161" s="7">
        <f>IF($D161="","",M161*V161/100)</f>
        <v/>
      </c>
      <c r="O161" s="7" t="n"/>
      <c r="U161" s="7" t="n"/>
      <c r="V161" s="7" t="n"/>
      <c r="Y161">
        <f>IF($D161="","",IF($AN161=1,0,IF($AM161=1,Settings!$C$6,Settings!$C$7))*100)</f>
        <v/>
      </c>
      <c r="Z161" s="7">
        <f>IF($D161="","",V161*Y161/100)</f>
        <v/>
      </c>
      <c r="AA161" s="7">
        <f>IF($D161="","",V161-Z161)</f>
        <v/>
      </c>
      <c r="AB161" s="7">
        <f>IF($D161="","",AA161-N161)</f>
        <v/>
      </c>
      <c r="AF161" s="7" t="n"/>
      <c r="AI161" s="11" t="n"/>
      <c r="AK161">
        <f>IF($D161="","",IF(COUNTIF($D$2:$D161,$D161)=1,1,0))</f>
        <v/>
      </c>
      <c r="AL161">
        <f>IF($AK161=1,SUMPRODUCT(--($AO$2:$AO$3001&lt;$AO161))+1,"")</f>
        <v/>
      </c>
      <c r="AM161">
        <f>IF($D161="","",IF(OR($R161=TRUE(),$R161="TRUE"),1,0))</f>
        <v/>
      </c>
      <c r="AN161">
        <f>IF($D161="","",IF($X161="Yes",1,0))</f>
        <v/>
      </c>
      <c r="AO161">
        <f>IF($AK161=1,IFERROR(IF(VALUE($D161)&lt;100000000,VALUE($D161),1000000000),IFERROR(IF(VALUE(MID($D161,2,20))&lt;100000000,VALUE(MID($D161,2,20)),1000000000),1000000000))+ROW()/100000,"")</f>
        <v/>
      </c>
    </row>
    <row r="162">
      <c r="F162" s="11" t="n"/>
      <c r="N162" s="7">
        <f>IF($D162="","",M162*V162/100)</f>
        <v/>
      </c>
      <c r="O162" s="7" t="n"/>
      <c r="U162" s="7" t="n"/>
      <c r="V162" s="7" t="n"/>
      <c r="Y162">
        <f>IF($D162="","",IF($AN162=1,0,IF($AM162=1,Settings!$C$6,Settings!$C$7))*100)</f>
        <v/>
      </c>
      <c r="Z162" s="7">
        <f>IF($D162="","",V162*Y162/100)</f>
        <v/>
      </c>
      <c r="AA162" s="7">
        <f>IF($D162="","",V162-Z162)</f>
        <v/>
      </c>
      <c r="AB162" s="7">
        <f>IF($D162="","",AA162-N162)</f>
        <v/>
      </c>
      <c r="AF162" s="7" t="n"/>
      <c r="AI162" s="11" t="n"/>
      <c r="AK162">
        <f>IF($D162="","",IF(COUNTIF($D$2:$D162,$D162)=1,1,0))</f>
        <v/>
      </c>
      <c r="AL162">
        <f>IF($AK162=1,SUMPRODUCT(--($AO$2:$AO$3001&lt;$AO162))+1,"")</f>
        <v/>
      </c>
      <c r="AM162">
        <f>IF($D162="","",IF(OR($R162=TRUE(),$R162="TRUE"),1,0))</f>
        <v/>
      </c>
      <c r="AN162">
        <f>IF($D162="","",IF($X162="Yes",1,0))</f>
        <v/>
      </c>
      <c r="AO162">
        <f>IF($AK162=1,IFERROR(IF(VALUE($D162)&lt;100000000,VALUE($D162),1000000000),IFERROR(IF(VALUE(MID($D162,2,20))&lt;100000000,VALUE(MID($D162,2,20)),1000000000),1000000000))+ROW()/100000,"")</f>
        <v/>
      </c>
    </row>
    <row r="163">
      <c r="F163" s="11" t="n"/>
      <c r="N163" s="7">
        <f>IF($D163="","",M163*V163/100)</f>
        <v/>
      </c>
      <c r="O163" s="7" t="n"/>
      <c r="U163" s="7" t="n"/>
      <c r="V163" s="7" t="n"/>
      <c r="Y163">
        <f>IF($D163="","",IF($AN163=1,0,IF($AM163=1,Settings!$C$6,Settings!$C$7))*100)</f>
        <v/>
      </c>
      <c r="Z163" s="7">
        <f>IF($D163="","",V163*Y163/100)</f>
        <v/>
      </c>
      <c r="AA163" s="7">
        <f>IF($D163="","",V163-Z163)</f>
        <v/>
      </c>
      <c r="AB163" s="7">
        <f>IF($D163="","",AA163-N163)</f>
        <v/>
      </c>
      <c r="AF163" s="7" t="n"/>
      <c r="AI163" s="11" t="n"/>
      <c r="AK163">
        <f>IF($D163="","",IF(COUNTIF($D$2:$D163,$D163)=1,1,0))</f>
        <v/>
      </c>
      <c r="AL163">
        <f>IF($AK163=1,SUMPRODUCT(--($AO$2:$AO$3001&lt;$AO163))+1,"")</f>
        <v/>
      </c>
      <c r="AM163">
        <f>IF($D163="","",IF(OR($R163=TRUE(),$R163="TRUE"),1,0))</f>
        <v/>
      </c>
      <c r="AN163">
        <f>IF($D163="","",IF($X163="Yes",1,0))</f>
        <v/>
      </c>
      <c r="AO163">
        <f>IF($AK163=1,IFERROR(IF(VALUE($D163)&lt;100000000,VALUE($D163),1000000000),IFERROR(IF(VALUE(MID($D163,2,20))&lt;100000000,VALUE(MID($D163,2,20)),1000000000),1000000000))+ROW()/100000,"")</f>
        <v/>
      </c>
    </row>
    <row r="164">
      <c r="F164" s="11" t="n"/>
      <c r="N164" s="7">
        <f>IF($D164="","",M164*V164/100)</f>
        <v/>
      </c>
      <c r="O164" s="7" t="n"/>
      <c r="U164" s="7" t="n"/>
      <c r="V164" s="7" t="n"/>
      <c r="Y164">
        <f>IF($D164="","",IF($AN164=1,0,IF($AM164=1,Settings!$C$6,Settings!$C$7))*100)</f>
        <v/>
      </c>
      <c r="Z164" s="7">
        <f>IF($D164="","",V164*Y164/100)</f>
        <v/>
      </c>
      <c r="AA164" s="7">
        <f>IF($D164="","",V164-Z164)</f>
        <v/>
      </c>
      <c r="AB164" s="7">
        <f>IF($D164="","",AA164-N164)</f>
        <v/>
      </c>
      <c r="AF164" s="7" t="n"/>
      <c r="AI164" s="11" t="n"/>
      <c r="AK164">
        <f>IF($D164="","",IF(COUNTIF($D$2:$D164,$D164)=1,1,0))</f>
        <v/>
      </c>
      <c r="AL164">
        <f>IF($AK164=1,SUMPRODUCT(--($AO$2:$AO$3001&lt;$AO164))+1,"")</f>
        <v/>
      </c>
      <c r="AM164">
        <f>IF($D164="","",IF(OR($R164=TRUE(),$R164="TRUE"),1,0))</f>
        <v/>
      </c>
      <c r="AN164">
        <f>IF($D164="","",IF($X164="Yes",1,0))</f>
        <v/>
      </c>
      <c r="AO164">
        <f>IF($AK164=1,IFERROR(IF(VALUE($D164)&lt;100000000,VALUE($D164),1000000000),IFERROR(IF(VALUE(MID($D164,2,20))&lt;100000000,VALUE(MID($D164,2,20)),1000000000),1000000000))+ROW()/100000,"")</f>
        <v/>
      </c>
    </row>
    <row r="165">
      <c r="F165" s="11" t="n"/>
      <c r="N165" s="7">
        <f>IF($D165="","",M165*V165/100)</f>
        <v/>
      </c>
      <c r="O165" s="7" t="n"/>
      <c r="U165" s="7" t="n"/>
      <c r="V165" s="7" t="n"/>
      <c r="Y165">
        <f>IF($D165="","",IF($AN165=1,0,IF($AM165=1,Settings!$C$6,Settings!$C$7))*100)</f>
        <v/>
      </c>
      <c r="Z165" s="7">
        <f>IF($D165="","",V165*Y165/100)</f>
        <v/>
      </c>
      <c r="AA165" s="7">
        <f>IF($D165="","",V165-Z165)</f>
        <v/>
      </c>
      <c r="AB165" s="7">
        <f>IF($D165="","",AA165-N165)</f>
        <v/>
      </c>
      <c r="AF165" s="7" t="n"/>
      <c r="AI165" s="11" t="n"/>
      <c r="AK165">
        <f>IF($D165="","",IF(COUNTIF($D$2:$D165,$D165)=1,1,0))</f>
        <v/>
      </c>
      <c r="AL165">
        <f>IF($AK165=1,SUMPRODUCT(--($AO$2:$AO$3001&lt;$AO165))+1,"")</f>
        <v/>
      </c>
      <c r="AM165">
        <f>IF($D165="","",IF(OR($R165=TRUE(),$R165="TRUE"),1,0))</f>
        <v/>
      </c>
      <c r="AN165">
        <f>IF($D165="","",IF($X165="Yes",1,0))</f>
        <v/>
      </c>
      <c r="AO165">
        <f>IF($AK165=1,IFERROR(IF(VALUE($D165)&lt;100000000,VALUE($D165),1000000000),IFERROR(IF(VALUE(MID($D165,2,20))&lt;100000000,VALUE(MID($D165,2,20)),1000000000),1000000000))+ROW()/100000,"")</f>
        <v/>
      </c>
    </row>
    <row r="166">
      <c r="F166" s="11" t="n"/>
      <c r="N166" s="7">
        <f>IF($D166="","",M166*V166/100)</f>
        <v/>
      </c>
      <c r="O166" s="7" t="n"/>
      <c r="U166" s="7" t="n"/>
      <c r="V166" s="7" t="n"/>
      <c r="Y166">
        <f>IF($D166="","",IF($AN166=1,0,IF($AM166=1,Settings!$C$6,Settings!$C$7))*100)</f>
        <v/>
      </c>
      <c r="Z166" s="7">
        <f>IF($D166="","",V166*Y166/100)</f>
        <v/>
      </c>
      <c r="AA166" s="7">
        <f>IF($D166="","",V166-Z166)</f>
        <v/>
      </c>
      <c r="AB166" s="7">
        <f>IF($D166="","",AA166-N166)</f>
        <v/>
      </c>
      <c r="AF166" s="7" t="n"/>
      <c r="AI166" s="11" t="n"/>
      <c r="AK166">
        <f>IF($D166="","",IF(COUNTIF($D$2:$D166,$D166)=1,1,0))</f>
        <v/>
      </c>
      <c r="AL166">
        <f>IF($AK166=1,SUMPRODUCT(--($AO$2:$AO$3001&lt;$AO166))+1,"")</f>
        <v/>
      </c>
      <c r="AM166">
        <f>IF($D166="","",IF(OR($R166=TRUE(),$R166="TRUE"),1,0))</f>
        <v/>
      </c>
      <c r="AN166">
        <f>IF($D166="","",IF($X166="Yes",1,0))</f>
        <v/>
      </c>
      <c r="AO166">
        <f>IF($AK166=1,IFERROR(IF(VALUE($D166)&lt;100000000,VALUE($D166),1000000000),IFERROR(IF(VALUE(MID($D166,2,20))&lt;100000000,VALUE(MID($D166,2,20)),1000000000),1000000000))+ROW()/100000,"")</f>
        <v/>
      </c>
    </row>
    <row r="167">
      <c r="F167" s="11" t="n"/>
      <c r="N167" s="7">
        <f>IF($D167="","",M167*V167/100)</f>
        <v/>
      </c>
      <c r="O167" s="7" t="n"/>
      <c r="U167" s="7" t="n"/>
      <c r="V167" s="7" t="n"/>
      <c r="Y167">
        <f>IF($D167="","",IF($AN167=1,0,IF($AM167=1,Settings!$C$6,Settings!$C$7))*100)</f>
        <v/>
      </c>
      <c r="Z167" s="7">
        <f>IF($D167="","",V167*Y167/100)</f>
        <v/>
      </c>
      <c r="AA167" s="7">
        <f>IF($D167="","",V167-Z167)</f>
        <v/>
      </c>
      <c r="AB167" s="7">
        <f>IF($D167="","",AA167-N167)</f>
        <v/>
      </c>
      <c r="AF167" s="7" t="n"/>
      <c r="AI167" s="11" t="n"/>
      <c r="AK167">
        <f>IF($D167="","",IF(COUNTIF($D$2:$D167,$D167)=1,1,0))</f>
        <v/>
      </c>
      <c r="AL167">
        <f>IF($AK167=1,SUMPRODUCT(--($AO$2:$AO$3001&lt;$AO167))+1,"")</f>
        <v/>
      </c>
      <c r="AM167">
        <f>IF($D167="","",IF(OR($R167=TRUE(),$R167="TRUE"),1,0))</f>
        <v/>
      </c>
      <c r="AN167">
        <f>IF($D167="","",IF($X167="Yes",1,0))</f>
        <v/>
      </c>
      <c r="AO167">
        <f>IF($AK167=1,IFERROR(IF(VALUE($D167)&lt;100000000,VALUE($D167),1000000000),IFERROR(IF(VALUE(MID($D167,2,20))&lt;100000000,VALUE(MID($D167,2,20)),1000000000),1000000000))+ROW()/100000,"")</f>
        <v/>
      </c>
    </row>
    <row r="168">
      <c r="F168" s="11" t="n"/>
      <c r="N168" s="7">
        <f>IF($D168="","",M168*V168/100)</f>
        <v/>
      </c>
      <c r="O168" s="7" t="n"/>
      <c r="U168" s="7" t="n"/>
      <c r="V168" s="7" t="n"/>
      <c r="Y168">
        <f>IF($D168="","",IF($AN168=1,0,IF($AM168=1,Settings!$C$6,Settings!$C$7))*100)</f>
        <v/>
      </c>
      <c r="Z168" s="7">
        <f>IF($D168="","",V168*Y168/100)</f>
        <v/>
      </c>
      <c r="AA168" s="7">
        <f>IF($D168="","",V168-Z168)</f>
        <v/>
      </c>
      <c r="AB168" s="7">
        <f>IF($D168="","",AA168-N168)</f>
        <v/>
      </c>
      <c r="AF168" s="7" t="n"/>
      <c r="AI168" s="11" t="n"/>
      <c r="AK168">
        <f>IF($D168="","",IF(COUNTIF($D$2:$D168,$D168)=1,1,0))</f>
        <v/>
      </c>
      <c r="AL168">
        <f>IF($AK168=1,SUMPRODUCT(--($AO$2:$AO$3001&lt;$AO168))+1,"")</f>
        <v/>
      </c>
      <c r="AM168">
        <f>IF($D168="","",IF(OR($R168=TRUE(),$R168="TRUE"),1,0))</f>
        <v/>
      </c>
      <c r="AN168">
        <f>IF($D168="","",IF($X168="Yes",1,0))</f>
        <v/>
      </c>
      <c r="AO168">
        <f>IF($AK168=1,IFERROR(IF(VALUE($D168)&lt;100000000,VALUE($D168),1000000000),IFERROR(IF(VALUE(MID($D168,2,20))&lt;100000000,VALUE(MID($D168,2,20)),1000000000),1000000000))+ROW()/100000,"")</f>
        <v/>
      </c>
    </row>
    <row r="169">
      <c r="F169" s="11" t="n"/>
      <c r="N169" s="7">
        <f>IF($D169="","",M169*V169/100)</f>
        <v/>
      </c>
      <c r="O169" s="7" t="n"/>
      <c r="U169" s="7" t="n"/>
      <c r="V169" s="7" t="n"/>
      <c r="Y169">
        <f>IF($D169="","",IF($AN169=1,0,IF($AM169=1,Settings!$C$6,Settings!$C$7))*100)</f>
        <v/>
      </c>
      <c r="Z169" s="7">
        <f>IF($D169="","",V169*Y169/100)</f>
        <v/>
      </c>
      <c r="AA169" s="7">
        <f>IF($D169="","",V169-Z169)</f>
        <v/>
      </c>
      <c r="AB169" s="7">
        <f>IF($D169="","",AA169-N169)</f>
        <v/>
      </c>
      <c r="AF169" s="7" t="n"/>
      <c r="AI169" s="11" t="n"/>
      <c r="AK169">
        <f>IF($D169="","",IF(COUNTIF($D$2:$D169,$D169)=1,1,0))</f>
        <v/>
      </c>
      <c r="AL169">
        <f>IF($AK169=1,SUMPRODUCT(--($AO$2:$AO$3001&lt;$AO169))+1,"")</f>
        <v/>
      </c>
      <c r="AM169">
        <f>IF($D169="","",IF(OR($R169=TRUE(),$R169="TRUE"),1,0))</f>
        <v/>
      </c>
      <c r="AN169">
        <f>IF($D169="","",IF($X169="Yes",1,0))</f>
        <v/>
      </c>
      <c r="AO169">
        <f>IF($AK169=1,IFERROR(IF(VALUE($D169)&lt;100000000,VALUE($D169),1000000000),IFERROR(IF(VALUE(MID($D169,2,20))&lt;100000000,VALUE(MID($D169,2,20)),1000000000),1000000000))+ROW()/100000,"")</f>
        <v/>
      </c>
    </row>
    <row r="170">
      <c r="F170" s="11" t="n"/>
      <c r="N170" s="7">
        <f>IF($D170="","",M170*V170/100)</f>
        <v/>
      </c>
      <c r="O170" s="7" t="n"/>
      <c r="U170" s="7" t="n"/>
      <c r="V170" s="7" t="n"/>
      <c r="Y170">
        <f>IF($D170="","",IF($AN170=1,0,IF($AM170=1,Settings!$C$6,Settings!$C$7))*100)</f>
        <v/>
      </c>
      <c r="Z170" s="7">
        <f>IF($D170="","",V170*Y170/100)</f>
        <v/>
      </c>
      <c r="AA170" s="7">
        <f>IF($D170="","",V170-Z170)</f>
        <v/>
      </c>
      <c r="AB170" s="7">
        <f>IF($D170="","",AA170-N170)</f>
        <v/>
      </c>
      <c r="AF170" s="7" t="n"/>
      <c r="AI170" s="11" t="n"/>
      <c r="AK170">
        <f>IF($D170="","",IF(COUNTIF($D$2:$D170,$D170)=1,1,0))</f>
        <v/>
      </c>
      <c r="AL170">
        <f>IF($AK170=1,SUMPRODUCT(--($AO$2:$AO$3001&lt;$AO170))+1,"")</f>
        <v/>
      </c>
      <c r="AM170">
        <f>IF($D170="","",IF(OR($R170=TRUE(),$R170="TRUE"),1,0))</f>
        <v/>
      </c>
      <c r="AN170">
        <f>IF($D170="","",IF($X170="Yes",1,0))</f>
        <v/>
      </c>
      <c r="AO170">
        <f>IF($AK170=1,IFERROR(IF(VALUE($D170)&lt;100000000,VALUE($D170),1000000000),IFERROR(IF(VALUE(MID($D170,2,20))&lt;100000000,VALUE(MID($D170,2,20)),1000000000),1000000000))+ROW()/100000,"")</f>
        <v/>
      </c>
    </row>
    <row r="171">
      <c r="F171" s="11" t="n"/>
      <c r="N171" s="7">
        <f>IF($D171="","",M171*V171/100)</f>
        <v/>
      </c>
      <c r="O171" s="7" t="n"/>
      <c r="U171" s="7" t="n"/>
      <c r="V171" s="7" t="n"/>
      <c r="Y171">
        <f>IF($D171="","",IF($AN171=1,0,IF($AM171=1,Settings!$C$6,Settings!$C$7))*100)</f>
        <v/>
      </c>
      <c r="Z171" s="7">
        <f>IF($D171="","",V171*Y171/100)</f>
        <v/>
      </c>
      <c r="AA171" s="7">
        <f>IF($D171="","",V171-Z171)</f>
        <v/>
      </c>
      <c r="AB171" s="7">
        <f>IF($D171="","",AA171-N171)</f>
        <v/>
      </c>
      <c r="AF171" s="7" t="n"/>
      <c r="AI171" s="11" t="n"/>
      <c r="AK171">
        <f>IF($D171="","",IF(COUNTIF($D$2:$D171,$D171)=1,1,0))</f>
        <v/>
      </c>
      <c r="AL171">
        <f>IF($AK171=1,SUMPRODUCT(--($AO$2:$AO$3001&lt;$AO171))+1,"")</f>
        <v/>
      </c>
      <c r="AM171">
        <f>IF($D171="","",IF(OR($R171=TRUE(),$R171="TRUE"),1,0))</f>
        <v/>
      </c>
      <c r="AN171">
        <f>IF($D171="","",IF($X171="Yes",1,0))</f>
        <v/>
      </c>
      <c r="AO171">
        <f>IF($AK171=1,IFERROR(IF(VALUE($D171)&lt;100000000,VALUE($D171),1000000000),IFERROR(IF(VALUE(MID($D171,2,20))&lt;100000000,VALUE(MID($D171,2,20)),1000000000),1000000000))+ROW()/100000,"")</f>
        <v/>
      </c>
    </row>
    <row r="172">
      <c r="F172" s="11" t="n"/>
      <c r="N172" s="7">
        <f>IF($D172="","",M172*V172/100)</f>
        <v/>
      </c>
      <c r="O172" s="7" t="n"/>
      <c r="U172" s="7" t="n"/>
      <c r="V172" s="7" t="n"/>
      <c r="Y172">
        <f>IF($D172="","",IF($AN172=1,0,IF($AM172=1,Settings!$C$6,Settings!$C$7))*100)</f>
        <v/>
      </c>
      <c r="Z172" s="7">
        <f>IF($D172="","",V172*Y172/100)</f>
        <v/>
      </c>
      <c r="AA172" s="7">
        <f>IF($D172="","",V172-Z172)</f>
        <v/>
      </c>
      <c r="AB172" s="7">
        <f>IF($D172="","",AA172-N172)</f>
        <v/>
      </c>
      <c r="AF172" s="7" t="n"/>
      <c r="AI172" s="11" t="n"/>
      <c r="AK172">
        <f>IF($D172="","",IF(COUNTIF($D$2:$D172,$D172)=1,1,0))</f>
        <v/>
      </c>
      <c r="AL172">
        <f>IF($AK172=1,SUMPRODUCT(--($AO$2:$AO$3001&lt;$AO172))+1,"")</f>
        <v/>
      </c>
      <c r="AM172">
        <f>IF($D172="","",IF(OR($R172=TRUE(),$R172="TRUE"),1,0))</f>
        <v/>
      </c>
      <c r="AN172">
        <f>IF($D172="","",IF($X172="Yes",1,0))</f>
        <v/>
      </c>
      <c r="AO172">
        <f>IF($AK172=1,IFERROR(IF(VALUE($D172)&lt;100000000,VALUE($D172),1000000000),IFERROR(IF(VALUE(MID($D172,2,20))&lt;100000000,VALUE(MID($D172,2,20)),1000000000),1000000000))+ROW()/100000,"")</f>
        <v/>
      </c>
    </row>
    <row r="173">
      <c r="F173" s="11" t="n"/>
      <c r="N173" s="7">
        <f>IF($D173="","",M173*V173/100)</f>
        <v/>
      </c>
      <c r="O173" s="7" t="n"/>
      <c r="U173" s="7" t="n"/>
      <c r="V173" s="7" t="n"/>
      <c r="Y173">
        <f>IF($D173="","",IF($AN173=1,0,IF($AM173=1,Settings!$C$6,Settings!$C$7))*100)</f>
        <v/>
      </c>
      <c r="Z173" s="7">
        <f>IF($D173="","",V173*Y173/100)</f>
        <v/>
      </c>
      <c r="AA173" s="7">
        <f>IF($D173="","",V173-Z173)</f>
        <v/>
      </c>
      <c r="AB173" s="7">
        <f>IF($D173="","",AA173-N173)</f>
        <v/>
      </c>
      <c r="AF173" s="7" t="n"/>
      <c r="AI173" s="11" t="n"/>
      <c r="AK173">
        <f>IF($D173="","",IF(COUNTIF($D$2:$D173,$D173)=1,1,0))</f>
        <v/>
      </c>
      <c r="AL173">
        <f>IF($AK173=1,SUMPRODUCT(--($AO$2:$AO$3001&lt;$AO173))+1,"")</f>
        <v/>
      </c>
      <c r="AM173">
        <f>IF($D173="","",IF(OR($R173=TRUE(),$R173="TRUE"),1,0))</f>
        <v/>
      </c>
      <c r="AN173">
        <f>IF($D173="","",IF($X173="Yes",1,0))</f>
        <v/>
      </c>
      <c r="AO173">
        <f>IF($AK173=1,IFERROR(IF(VALUE($D173)&lt;100000000,VALUE($D173),1000000000),IFERROR(IF(VALUE(MID($D173,2,20))&lt;100000000,VALUE(MID($D173,2,20)),1000000000),1000000000))+ROW()/100000,"")</f>
        <v/>
      </c>
    </row>
    <row r="174">
      <c r="F174" s="11" t="n"/>
      <c r="N174" s="7">
        <f>IF($D174="","",M174*V174/100)</f>
        <v/>
      </c>
      <c r="O174" s="7" t="n"/>
      <c r="U174" s="7" t="n"/>
      <c r="V174" s="7" t="n"/>
      <c r="Y174">
        <f>IF($D174="","",IF($AN174=1,0,IF($AM174=1,Settings!$C$6,Settings!$C$7))*100)</f>
        <v/>
      </c>
      <c r="Z174" s="7">
        <f>IF($D174="","",V174*Y174/100)</f>
        <v/>
      </c>
      <c r="AA174" s="7">
        <f>IF($D174="","",V174-Z174)</f>
        <v/>
      </c>
      <c r="AB174" s="7">
        <f>IF($D174="","",AA174-N174)</f>
        <v/>
      </c>
      <c r="AF174" s="7" t="n"/>
      <c r="AI174" s="11" t="n"/>
      <c r="AK174">
        <f>IF($D174="","",IF(COUNTIF($D$2:$D174,$D174)=1,1,0))</f>
        <v/>
      </c>
      <c r="AL174">
        <f>IF($AK174=1,SUMPRODUCT(--($AO$2:$AO$3001&lt;$AO174))+1,"")</f>
        <v/>
      </c>
      <c r="AM174">
        <f>IF($D174="","",IF(OR($R174=TRUE(),$R174="TRUE"),1,0))</f>
        <v/>
      </c>
      <c r="AN174">
        <f>IF($D174="","",IF($X174="Yes",1,0))</f>
        <v/>
      </c>
      <c r="AO174">
        <f>IF($AK174=1,IFERROR(IF(VALUE($D174)&lt;100000000,VALUE($D174),1000000000),IFERROR(IF(VALUE(MID($D174,2,20))&lt;100000000,VALUE(MID($D174,2,20)),1000000000),1000000000))+ROW()/100000,"")</f>
        <v/>
      </c>
    </row>
    <row r="175">
      <c r="F175" s="11" t="n"/>
      <c r="N175" s="7">
        <f>IF($D175="","",M175*V175/100)</f>
        <v/>
      </c>
      <c r="O175" s="7" t="n"/>
      <c r="U175" s="7" t="n"/>
      <c r="V175" s="7" t="n"/>
      <c r="Y175">
        <f>IF($D175="","",IF($AN175=1,0,IF($AM175=1,Settings!$C$6,Settings!$C$7))*100)</f>
        <v/>
      </c>
      <c r="Z175" s="7">
        <f>IF($D175="","",V175*Y175/100)</f>
        <v/>
      </c>
      <c r="AA175" s="7">
        <f>IF($D175="","",V175-Z175)</f>
        <v/>
      </c>
      <c r="AB175" s="7">
        <f>IF($D175="","",AA175-N175)</f>
        <v/>
      </c>
      <c r="AF175" s="7" t="n"/>
      <c r="AI175" s="11" t="n"/>
      <c r="AK175">
        <f>IF($D175="","",IF(COUNTIF($D$2:$D175,$D175)=1,1,0))</f>
        <v/>
      </c>
      <c r="AL175">
        <f>IF($AK175=1,SUMPRODUCT(--($AO$2:$AO$3001&lt;$AO175))+1,"")</f>
        <v/>
      </c>
      <c r="AM175">
        <f>IF($D175="","",IF(OR($R175=TRUE(),$R175="TRUE"),1,0))</f>
        <v/>
      </c>
      <c r="AN175">
        <f>IF($D175="","",IF($X175="Yes",1,0))</f>
        <v/>
      </c>
      <c r="AO175">
        <f>IF($AK175=1,IFERROR(IF(VALUE($D175)&lt;100000000,VALUE($D175),1000000000),IFERROR(IF(VALUE(MID($D175,2,20))&lt;100000000,VALUE(MID($D175,2,20)),1000000000),1000000000))+ROW()/100000,"")</f>
        <v/>
      </c>
    </row>
    <row r="176">
      <c r="F176" s="11" t="n"/>
      <c r="N176" s="7">
        <f>IF($D176="","",M176*V176/100)</f>
        <v/>
      </c>
      <c r="O176" s="7" t="n"/>
      <c r="U176" s="7" t="n"/>
      <c r="V176" s="7" t="n"/>
      <c r="Y176">
        <f>IF($D176="","",IF($AN176=1,0,IF($AM176=1,Settings!$C$6,Settings!$C$7))*100)</f>
        <v/>
      </c>
      <c r="Z176" s="7">
        <f>IF($D176="","",V176*Y176/100)</f>
        <v/>
      </c>
      <c r="AA176" s="7">
        <f>IF($D176="","",V176-Z176)</f>
        <v/>
      </c>
      <c r="AB176" s="7">
        <f>IF($D176="","",AA176-N176)</f>
        <v/>
      </c>
      <c r="AF176" s="7" t="n"/>
      <c r="AI176" s="11" t="n"/>
      <c r="AK176">
        <f>IF($D176="","",IF(COUNTIF($D$2:$D176,$D176)=1,1,0))</f>
        <v/>
      </c>
      <c r="AL176">
        <f>IF($AK176=1,SUMPRODUCT(--($AO$2:$AO$3001&lt;$AO176))+1,"")</f>
        <v/>
      </c>
      <c r="AM176">
        <f>IF($D176="","",IF(OR($R176=TRUE(),$R176="TRUE"),1,0))</f>
        <v/>
      </c>
      <c r="AN176">
        <f>IF($D176="","",IF($X176="Yes",1,0))</f>
        <v/>
      </c>
      <c r="AO176">
        <f>IF($AK176=1,IFERROR(IF(VALUE($D176)&lt;100000000,VALUE($D176),1000000000),IFERROR(IF(VALUE(MID($D176,2,20))&lt;100000000,VALUE(MID($D176,2,20)),1000000000),1000000000))+ROW()/100000,"")</f>
        <v/>
      </c>
    </row>
    <row r="177">
      <c r="F177" s="11" t="n"/>
      <c r="N177" s="7">
        <f>IF($D177="","",M177*V177/100)</f>
        <v/>
      </c>
      <c r="O177" s="7" t="n"/>
      <c r="U177" s="7" t="n"/>
      <c r="V177" s="7" t="n"/>
      <c r="Y177">
        <f>IF($D177="","",IF($AN177=1,0,IF($AM177=1,Settings!$C$6,Settings!$C$7))*100)</f>
        <v/>
      </c>
      <c r="Z177" s="7">
        <f>IF($D177="","",V177*Y177/100)</f>
        <v/>
      </c>
      <c r="AA177" s="7">
        <f>IF($D177="","",V177-Z177)</f>
        <v/>
      </c>
      <c r="AB177" s="7">
        <f>IF($D177="","",AA177-N177)</f>
        <v/>
      </c>
      <c r="AF177" s="7" t="n"/>
      <c r="AI177" s="11" t="n"/>
      <c r="AK177">
        <f>IF($D177="","",IF(COUNTIF($D$2:$D177,$D177)=1,1,0))</f>
        <v/>
      </c>
      <c r="AL177">
        <f>IF($AK177=1,SUMPRODUCT(--($AO$2:$AO$3001&lt;$AO177))+1,"")</f>
        <v/>
      </c>
      <c r="AM177">
        <f>IF($D177="","",IF(OR($R177=TRUE(),$R177="TRUE"),1,0))</f>
        <v/>
      </c>
      <c r="AN177">
        <f>IF($D177="","",IF($X177="Yes",1,0))</f>
        <v/>
      </c>
      <c r="AO177">
        <f>IF($AK177=1,IFERROR(IF(VALUE($D177)&lt;100000000,VALUE($D177),1000000000),IFERROR(IF(VALUE(MID($D177,2,20))&lt;100000000,VALUE(MID($D177,2,20)),1000000000),1000000000))+ROW()/100000,"")</f>
        <v/>
      </c>
    </row>
    <row r="178">
      <c r="F178" s="11" t="n"/>
      <c r="N178" s="7">
        <f>IF($D178="","",M178*V178/100)</f>
        <v/>
      </c>
      <c r="O178" s="7" t="n"/>
      <c r="U178" s="7" t="n"/>
      <c r="V178" s="7" t="n"/>
      <c r="Y178">
        <f>IF($D178="","",IF($AN178=1,0,IF($AM178=1,Settings!$C$6,Settings!$C$7))*100)</f>
        <v/>
      </c>
      <c r="Z178" s="7">
        <f>IF($D178="","",V178*Y178/100)</f>
        <v/>
      </c>
      <c r="AA178" s="7">
        <f>IF($D178="","",V178-Z178)</f>
        <v/>
      </c>
      <c r="AB178" s="7">
        <f>IF($D178="","",AA178-N178)</f>
        <v/>
      </c>
      <c r="AF178" s="7" t="n"/>
      <c r="AI178" s="11" t="n"/>
      <c r="AK178">
        <f>IF($D178="","",IF(COUNTIF($D$2:$D178,$D178)=1,1,0))</f>
        <v/>
      </c>
      <c r="AL178">
        <f>IF($AK178=1,SUMPRODUCT(--($AO$2:$AO$3001&lt;$AO178))+1,"")</f>
        <v/>
      </c>
      <c r="AM178">
        <f>IF($D178="","",IF(OR($R178=TRUE(),$R178="TRUE"),1,0))</f>
        <v/>
      </c>
      <c r="AN178">
        <f>IF($D178="","",IF($X178="Yes",1,0))</f>
        <v/>
      </c>
      <c r="AO178">
        <f>IF($AK178=1,IFERROR(IF(VALUE($D178)&lt;100000000,VALUE($D178),1000000000),IFERROR(IF(VALUE(MID($D178,2,20))&lt;100000000,VALUE(MID($D178,2,20)),1000000000),1000000000))+ROW()/100000,"")</f>
        <v/>
      </c>
    </row>
    <row r="179">
      <c r="F179" s="11" t="n"/>
      <c r="N179" s="7">
        <f>IF($D179="","",M179*V179/100)</f>
        <v/>
      </c>
      <c r="O179" s="7" t="n"/>
      <c r="U179" s="7" t="n"/>
      <c r="V179" s="7" t="n"/>
      <c r="Y179">
        <f>IF($D179="","",IF($AN179=1,0,IF($AM179=1,Settings!$C$6,Settings!$C$7))*100)</f>
        <v/>
      </c>
      <c r="Z179" s="7">
        <f>IF($D179="","",V179*Y179/100)</f>
        <v/>
      </c>
      <c r="AA179" s="7">
        <f>IF($D179="","",V179-Z179)</f>
        <v/>
      </c>
      <c r="AB179" s="7">
        <f>IF($D179="","",AA179-N179)</f>
        <v/>
      </c>
      <c r="AF179" s="7" t="n"/>
      <c r="AI179" s="11" t="n"/>
      <c r="AK179">
        <f>IF($D179="","",IF(COUNTIF($D$2:$D179,$D179)=1,1,0))</f>
        <v/>
      </c>
      <c r="AL179">
        <f>IF($AK179=1,SUMPRODUCT(--($AO$2:$AO$3001&lt;$AO179))+1,"")</f>
        <v/>
      </c>
      <c r="AM179">
        <f>IF($D179="","",IF(OR($R179=TRUE(),$R179="TRUE"),1,0))</f>
        <v/>
      </c>
      <c r="AN179">
        <f>IF($D179="","",IF($X179="Yes",1,0))</f>
        <v/>
      </c>
      <c r="AO179">
        <f>IF($AK179=1,IFERROR(IF(VALUE($D179)&lt;100000000,VALUE($D179),1000000000),IFERROR(IF(VALUE(MID($D179,2,20))&lt;100000000,VALUE(MID($D179,2,20)),1000000000),1000000000))+ROW()/100000,"")</f>
        <v/>
      </c>
    </row>
    <row r="180">
      <c r="F180" s="11" t="n"/>
      <c r="N180" s="7">
        <f>IF($D180="","",M180*V180/100)</f>
        <v/>
      </c>
      <c r="O180" s="7" t="n"/>
      <c r="U180" s="7" t="n"/>
      <c r="V180" s="7" t="n"/>
      <c r="Y180">
        <f>IF($D180="","",IF($AN180=1,0,IF($AM180=1,Settings!$C$6,Settings!$C$7))*100)</f>
        <v/>
      </c>
      <c r="Z180" s="7">
        <f>IF($D180="","",V180*Y180/100)</f>
        <v/>
      </c>
      <c r="AA180" s="7">
        <f>IF($D180="","",V180-Z180)</f>
        <v/>
      </c>
      <c r="AB180" s="7">
        <f>IF($D180="","",AA180-N180)</f>
        <v/>
      </c>
      <c r="AF180" s="7" t="n"/>
      <c r="AI180" s="11" t="n"/>
      <c r="AK180">
        <f>IF($D180="","",IF(COUNTIF($D$2:$D180,$D180)=1,1,0))</f>
        <v/>
      </c>
      <c r="AL180">
        <f>IF($AK180=1,SUMPRODUCT(--($AO$2:$AO$3001&lt;$AO180))+1,"")</f>
        <v/>
      </c>
      <c r="AM180">
        <f>IF($D180="","",IF(OR($R180=TRUE(),$R180="TRUE"),1,0))</f>
        <v/>
      </c>
      <c r="AN180">
        <f>IF($D180="","",IF($X180="Yes",1,0))</f>
        <v/>
      </c>
      <c r="AO180">
        <f>IF($AK180=1,IFERROR(IF(VALUE($D180)&lt;100000000,VALUE($D180),1000000000),IFERROR(IF(VALUE(MID($D180,2,20))&lt;100000000,VALUE(MID($D180,2,20)),1000000000),1000000000))+ROW()/100000,"")</f>
        <v/>
      </c>
    </row>
    <row r="181">
      <c r="F181" s="11" t="n"/>
      <c r="N181" s="7">
        <f>IF($D181="","",M181*V181/100)</f>
        <v/>
      </c>
      <c r="O181" s="7" t="n"/>
      <c r="U181" s="7" t="n"/>
      <c r="V181" s="7" t="n"/>
      <c r="Y181">
        <f>IF($D181="","",IF($AN181=1,0,IF($AM181=1,Settings!$C$6,Settings!$C$7))*100)</f>
        <v/>
      </c>
      <c r="Z181" s="7">
        <f>IF($D181="","",V181*Y181/100)</f>
        <v/>
      </c>
      <c r="AA181" s="7">
        <f>IF($D181="","",V181-Z181)</f>
        <v/>
      </c>
      <c r="AB181" s="7">
        <f>IF($D181="","",AA181-N181)</f>
        <v/>
      </c>
      <c r="AF181" s="7" t="n"/>
      <c r="AI181" s="11" t="n"/>
      <c r="AK181">
        <f>IF($D181="","",IF(COUNTIF($D$2:$D181,$D181)=1,1,0))</f>
        <v/>
      </c>
      <c r="AL181">
        <f>IF($AK181=1,SUMPRODUCT(--($AO$2:$AO$3001&lt;$AO181))+1,"")</f>
        <v/>
      </c>
      <c r="AM181">
        <f>IF($D181="","",IF(OR($R181=TRUE(),$R181="TRUE"),1,0))</f>
        <v/>
      </c>
      <c r="AN181">
        <f>IF($D181="","",IF($X181="Yes",1,0))</f>
        <v/>
      </c>
      <c r="AO181">
        <f>IF($AK181=1,IFERROR(IF(VALUE($D181)&lt;100000000,VALUE($D181),1000000000),IFERROR(IF(VALUE(MID($D181,2,20))&lt;100000000,VALUE(MID($D181,2,20)),1000000000),1000000000))+ROW()/100000,"")</f>
        <v/>
      </c>
    </row>
    <row r="182">
      <c r="F182" s="11" t="n"/>
      <c r="N182" s="7">
        <f>IF($D182="","",M182*V182/100)</f>
        <v/>
      </c>
      <c r="O182" s="7" t="n"/>
      <c r="U182" s="7" t="n"/>
      <c r="V182" s="7" t="n"/>
      <c r="Y182">
        <f>IF($D182="","",IF($AN182=1,0,IF($AM182=1,Settings!$C$6,Settings!$C$7))*100)</f>
        <v/>
      </c>
      <c r="Z182" s="7">
        <f>IF($D182="","",V182*Y182/100)</f>
        <v/>
      </c>
      <c r="AA182" s="7">
        <f>IF($D182="","",V182-Z182)</f>
        <v/>
      </c>
      <c r="AB182" s="7">
        <f>IF($D182="","",AA182-N182)</f>
        <v/>
      </c>
      <c r="AF182" s="7" t="n"/>
      <c r="AI182" s="11" t="n"/>
      <c r="AK182">
        <f>IF($D182="","",IF(COUNTIF($D$2:$D182,$D182)=1,1,0))</f>
        <v/>
      </c>
      <c r="AL182">
        <f>IF($AK182=1,SUMPRODUCT(--($AO$2:$AO$3001&lt;$AO182))+1,"")</f>
        <v/>
      </c>
      <c r="AM182">
        <f>IF($D182="","",IF(OR($R182=TRUE(),$R182="TRUE"),1,0))</f>
        <v/>
      </c>
      <c r="AN182">
        <f>IF($D182="","",IF($X182="Yes",1,0))</f>
        <v/>
      </c>
      <c r="AO182">
        <f>IF($AK182=1,IFERROR(IF(VALUE($D182)&lt;100000000,VALUE($D182),1000000000),IFERROR(IF(VALUE(MID($D182,2,20))&lt;100000000,VALUE(MID($D182,2,20)),1000000000),1000000000))+ROW()/100000,"")</f>
        <v/>
      </c>
    </row>
    <row r="183">
      <c r="F183" s="11" t="n"/>
      <c r="N183" s="7">
        <f>IF($D183="","",M183*V183/100)</f>
        <v/>
      </c>
      <c r="O183" s="7" t="n"/>
      <c r="U183" s="7" t="n"/>
      <c r="V183" s="7" t="n"/>
      <c r="Y183">
        <f>IF($D183="","",IF($AN183=1,0,IF($AM183=1,Settings!$C$6,Settings!$C$7))*100)</f>
        <v/>
      </c>
      <c r="Z183" s="7">
        <f>IF($D183="","",V183*Y183/100)</f>
        <v/>
      </c>
      <c r="AA183" s="7">
        <f>IF($D183="","",V183-Z183)</f>
        <v/>
      </c>
      <c r="AB183" s="7">
        <f>IF($D183="","",AA183-N183)</f>
        <v/>
      </c>
      <c r="AF183" s="7" t="n"/>
      <c r="AI183" s="11" t="n"/>
      <c r="AK183">
        <f>IF($D183="","",IF(COUNTIF($D$2:$D183,$D183)=1,1,0))</f>
        <v/>
      </c>
      <c r="AL183">
        <f>IF($AK183=1,SUMPRODUCT(--($AO$2:$AO$3001&lt;$AO183))+1,"")</f>
        <v/>
      </c>
      <c r="AM183">
        <f>IF($D183="","",IF(OR($R183=TRUE(),$R183="TRUE"),1,0))</f>
        <v/>
      </c>
      <c r="AN183">
        <f>IF($D183="","",IF($X183="Yes",1,0))</f>
        <v/>
      </c>
      <c r="AO183">
        <f>IF($AK183=1,IFERROR(IF(VALUE($D183)&lt;100000000,VALUE($D183),1000000000),IFERROR(IF(VALUE(MID($D183,2,20))&lt;100000000,VALUE(MID($D183,2,20)),1000000000),1000000000))+ROW()/100000,"")</f>
        <v/>
      </c>
    </row>
    <row r="184">
      <c r="F184" s="11" t="n"/>
      <c r="N184" s="7">
        <f>IF($D184="","",M184*V184/100)</f>
        <v/>
      </c>
      <c r="O184" s="7" t="n"/>
      <c r="U184" s="7" t="n"/>
      <c r="V184" s="7" t="n"/>
      <c r="Y184">
        <f>IF($D184="","",IF($AN184=1,0,IF($AM184=1,Settings!$C$6,Settings!$C$7))*100)</f>
        <v/>
      </c>
      <c r="Z184" s="7">
        <f>IF($D184="","",V184*Y184/100)</f>
        <v/>
      </c>
      <c r="AA184" s="7">
        <f>IF($D184="","",V184-Z184)</f>
        <v/>
      </c>
      <c r="AB184" s="7">
        <f>IF($D184="","",AA184-N184)</f>
        <v/>
      </c>
      <c r="AF184" s="7" t="n"/>
      <c r="AI184" s="11" t="n"/>
      <c r="AK184">
        <f>IF($D184="","",IF(COUNTIF($D$2:$D184,$D184)=1,1,0))</f>
        <v/>
      </c>
      <c r="AL184">
        <f>IF($AK184=1,SUMPRODUCT(--($AO$2:$AO$3001&lt;$AO184))+1,"")</f>
        <v/>
      </c>
      <c r="AM184">
        <f>IF($D184="","",IF(OR($R184=TRUE(),$R184="TRUE"),1,0))</f>
        <v/>
      </c>
      <c r="AN184">
        <f>IF($D184="","",IF($X184="Yes",1,0))</f>
        <v/>
      </c>
      <c r="AO184">
        <f>IF($AK184=1,IFERROR(IF(VALUE($D184)&lt;100000000,VALUE($D184),1000000000),IFERROR(IF(VALUE(MID($D184,2,20))&lt;100000000,VALUE(MID($D184,2,20)),1000000000),1000000000))+ROW()/100000,"")</f>
        <v/>
      </c>
    </row>
    <row r="185">
      <c r="F185" s="11" t="n"/>
      <c r="N185" s="7">
        <f>IF($D185="","",M185*V185/100)</f>
        <v/>
      </c>
      <c r="O185" s="7" t="n"/>
      <c r="U185" s="7" t="n"/>
      <c r="V185" s="7" t="n"/>
      <c r="Y185">
        <f>IF($D185="","",IF($AN185=1,0,IF($AM185=1,Settings!$C$6,Settings!$C$7))*100)</f>
        <v/>
      </c>
      <c r="Z185" s="7">
        <f>IF($D185="","",V185*Y185/100)</f>
        <v/>
      </c>
      <c r="AA185" s="7">
        <f>IF($D185="","",V185-Z185)</f>
        <v/>
      </c>
      <c r="AB185" s="7">
        <f>IF($D185="","",AA185-N185)</f>
        <v/>
      </c>
      <c r="AF185" s="7" t="n"/>
      <c r="AI185" s="11" t="n"/>
      <c r="AK185">
        <f>IF($D185="","",IF(COUNTIF($D$2:$D185,$D185)=1,1,0))</f>
        <v/>
      </c>
      <c r="AL185">
        <f>IF($AK185=1,SUMPRODUCT(--($AO$2:$AO$3001&lt;$AO185))+1,"")</f>
        <v/>
      </c>
      <c r="AM185">
        <f>IF($D185="","",IF(OR($R185=TRUE(),$R185="TRUE"),1,0))</f>
        <v/>
      </c>
      <c r="AN185">
        <f>IF($D185="","",IF($X185="Yes",1,0))</f>
        <v/>
      </c>
      <c r="AO185">
        <f>IF($AK185=1,IFERROR(IF(VALUE($D185)&lt;100000000,VALUE($D185),1000000000),IFERROR(IF(VALUE(MID($D185,2,20))&lt;100000000,VALUE(MID($D185,2,20)),1000000000),1000000000))+ROW()/100000,"")</f>
        <v/>
      </c>
    </row>
    <row r="186">
      <c r="F186" s="11" t="n"/>
      <c r="N186" s="7">
        <f>IF($D186="","",M186*V186/100)</f>
        <v/>
      </c>
      <c r="O186" s="7" t="n"/>
      <c r="U186" s="7" t="n"/>
      <c r="V186" s="7" t="n"/>
      <c r="Y186">
        <f>IF($D186="","",IF($AN186=1,0,IF($AM186=1,Settings!$C$6,Settings!$C$7))*100)</f>
        <v/>
      </c>
      <c r="Z186" s="7">
        <f>IF($D186="","",V186*Y186/100)</f>
        <v/>
      </c>
      <c r="AA186" s="7">
        <f>IF($D186="","",V186-Z186)</f>
        <v/>
      </c>
      <c r="AB186" s="7">
        <f>IF($D186="","",AA186-N186)</f>
        <v/>
      </c>
      <c r="AF186" s="7" t="n"/>
      <c r="AI186" s="11" t="n"/>
      <c r="AK186">
        <f>IF($D186="","",IF(COUNTIF($D$2:$D186,$D186)=1,1,0))</f>
        <v/>
      </c>
      <c r="AL186">
        <f>IF($AK186=1,SUMPRODUCT(--($AO$2:$AO$3001&lt;$AO186))+1,"")</f>
        <v/>
      </c>
      <c r="AM186">
        <f>IF($D186="","",IF(OR($R186=TRUE(),$R186="TRUE"),1,0))</f>
        <v/>
      </c>
      <c r="AN186">
        <f>IF($D186="","",IF($X186="Yes",1,0))</f>
        <v/>
      </c>
      <c r="AO186">
        <f>IF($AK186=1,IFERROR(IF(VALUE($D186)&lt;100000000,VALUE($D186),1000000000),IFERROR(IF(VALUE(MID($D186,2,20))&lt;100000000,VALUE(MID($D186,2,20)),1000000000),1000000000))+ROW()/100000,"")</f>
        <v/>
      </c>
    </row>
    <row r="187">
      <c r="F187" s="11" t="n"/>
      <c r="N187" s="7">
        <f>IF($D187="","",M187*V187/100)</f>
        <v/>
      </c>
      <c r="O187" s="7" t="n"/>
      <c r="U187" s="7" t="n"/>
      <c r="V187" s="7" t="n"/>
      <c r="Y187">
        <f>IF($D187="","",IF($AN187=1,0,IF($AM187=1,Settings!$C$6,Settings!$C$7))*100)</f>
        <v/>
      </c>
      <c r="Z187" s="7">
        <f>IF($D187="","",V187*Y187/100)</f>
        <v/>
      </c>
      <c r="AA187" s="7">
        <f>IF($D187="","",V187-Z187)</f>
        <v/>
      </c>
      <c r="AB187" s="7">
        <f>IF($D187="","",AA187-N187)</f>
        <v/>
      </c>
      <c r="AF187" s="7" t="n"/>
      <c r="AI187" s="11" t="n"/>
      <c r="AK187">
        <f>IF($D187="","",IF(COUNTIF($D$2:$D187,$D187)=1,1,0))</f>
        <v/>
      </c>
      <c r="AL187">
        <f>IF($AK187=1,SUMPRODUCT(--($AO$2:$AO$3001&lt;$AO187))+1,"")</f>
        <v/>
      </c>
      <c r="AM187">
        <f>IF($D187="","",IF(OR($R187=TRUE(),$R187="TRUE"),1,0))</f>
        <v/>
      </c>
      <c r="AN187">
        <f>IF($D187="","",IF($X187="Yes",1,0))</f>
        <v/>
      </c>
      <c r="AO187">
        <f>IF($AK187=1,IFERROR(IF(VALUE($D187)&lt;100000000,VALUE($D187),1000000000),IFERROR(IF(VALUE(MID($D187,2,20))&lt;100000000,VALUE(MID($D187,2,20)),1000000000),1000000000))+ROW()/100000,"")</f>
        <v/>
      </c>
    </row>
    <row r="188">
      <c r="F188" s="11" t="n"/>
      <c r="N188" s="7">
        <f>IF($D188="","",M188*V188/100)</f>
        <v/>
      </c>
      <c r="O188" s="7" t="n"/>
      <c r="U188" s="7" t="n"/>
      <c r="V188" s="7" t="n"/>
      <c r="Y188">
        <f>IF($D188="","",IF($AN188=1,0,IF($AM188=1,Settings!$C$6,Settings!$C$7))*100)</f>
        <v/>
      </c>
      <c r="Z188" s="7">
        <f>IF($D188="","",V188*Y188/100)</f>
        <v/>
      </c>
      <c r="AA188" s="7">
        <f>IF($D188="","",V188-Z188)</f>
        <v/>
      </c>
      <c r="AB188" s="7">
        <f>IF($D188="","",AA188-N188)</f>
        <v/>
      </c>
      <c r="AF188" s="7" t="n"/>
      <c r="AI188" s="11" t="n"/>
      <c r="AK188">
        <f>IF($D188="","",IF(COUNTIF($D$2:$D188,$D188)=1,1,0))</f>
        <v/>
      </c>
      <c r="AL188">
        <f>IF($AK188=1,SUMPRODUCT(--($AO$2:$AO$3001&lt;$AO188))+1,"")</f>
        <v/>
      </c>
      <c r="AM188">
        <f>IF($D188="","",IF(OR($R188=TRUE(),$R188="TRUE"),1,0))</f>
        <v/>
      </c>
      <c r="AN188">
        <f>IF($D188="","",IF($X188="Yes",1,0))</f>
        <v/>
      </c>
      <c r="AO188">
        <f>IF($AK188=1,IFERROR(IF(VALUE($D188)&lt;100000000,VALUE($D188),1000000000),IFERROR(IF(VALUE(MID($D188,2,20))&lt;100000000,VALUE(MID($D188,2,20)),1000000000),1000000000))+ROW()/100000,"")</f>
        <v/>
      </c>
    </row>
    <row r="189">
      <c r="F189" s="11" t="n"/>
      <c r="N189" s="7">
        <f>IF($D189="","",M189*V189/100)</f>
        <v/>
      </c>
      <c r="O189" s="7" t="n"/>
      <c r="U189" s="7" t="n"/>
      <c r="V189" s="7" t="n"/>
      <c r="Y189">
        <f>IF($D189="","",IF($AN189=1,0,IF($AM189=1,Settings!$C$6,Settings!$C$7))*100)</f>
        <v/>
      </c>
      <c r="Z189" s="7">
        <f>IF($D189="","",V189*Y189/100)</f>
        <v/>
      </c>
      <c r="AA189" s="7">
        <f>IF($D189="","",V189-Z189)</f>
        <v/>
      </c>
      <c r="AB189" s="7">
        <f>IF($D189="","",AA189-N189)</f>
        <v/>
      </c>
      <c r="AF189" s="7" t="n"/>
      <c r="AI189" s="11" t="n"/>
      <c r="AK189">
        <f>IF($D189="","",IF(COUNTIF($D$2:$D189,$D189)=1,1,0))</f>
        <v/>
      </c>
      <c r="AL189">
        <f>IF($AK189=1,SUMPRODUCT(--($AO$2:$AO$3001&lt;$AO189))+1,"")</f>
        <v/>
      </c>
      <c r="AM189">
        <f>IF($D189="","",IF(OR($R189=TRUE(),$R189="TRUE"),1,0))</f>
        <v/>
      </c>
      <c r="AN189">
        <f>IF($D189="","",IF($X189="Yes",1,0))</f>
        <v/>
      </c>
      <c r="AO189">
        <f>IF($AK189=1,IFERROR(IF(VALUE($D189)&lt;100000000,VALUE($D189),1000000000),IFERROR(IF(VALUE(MID($D189,2,20))&lt;100000000,VALUE(MID($D189,2,20)),1000000000),1000000000))+ROW()/100000,"")</f>
        <v/>
      </c>
    </row>
    <row r="190">
      <c r="F190" s="11" t="n"/>
      <c r="N190" s="7">
        <f>IF($D190="","",M190*V190/100)</f>
        <v/>
      </c>
      <c r="O190" s="7" t="n"/>
      <c r="U190" s="7" t="n"/>
      <c r="V190" s="7" t="n"/>
      <c r="Y190">
        <f>IF($D190="","",IF($AN190=1,0,IF($AM190=1,Settings!$C$6,Settings!$C$7))*100)</f>
        <v/>
      </c>
      <c r="Z190" s="7">
        <f>IF($D190="","",V190*Y190/100)</f>
        <v/>
      </c>
      <c r="AA190" s="7">
        <f>IF($D190="","",V190-Z190)</f>
        <v/>
      </c>
      <c r="AB190" s="7">
        <f>IF($D190="","",AA190-N190)</f>
        <v/>
      </c>
      <c r="AF190" s="7" t="n"/>
      <c r="AI190" s="11" t="n"/>
      <c r="AK190">
        <f>IF($D190="","",IF(COUNTIF($D$2:$D190,$D190)=1,1,0))</f>
        <v/>
      </c>
      <c r="AL190">
        <f>IF($AK190=1,SUMPRODUCT(--($AO$2:$AO$3001&lt;$AO190))+1,"")</f>
        <v/>
      </c>
      <c r="AM190">
        <f>IF($D190="","",IF(OR($R190=TRUE(),$R190="TRUE"),1,0))</f>
        <v/>
      </c>
      <c r="AN190">
        <f>IF($D190="","",IF($X190="Yes",1,0))</f>
        <v/>
      </c>
      <c r="AO190">
        <f>IF($AK190=1,IFERROR(IF(VALUE($D190)&lt;100000000,VALUE($D190),1000000000),IFERROR(IF(VALUE(MID($D190,2,20))&lt;100000000,VALUE(MID($D190,2,20)),1000000000),1000000000))+ROW()/100000,"")</f>
        <v/>
      </c>
    </row>
    <row r="191">
      <c r="F191" s="11" t="n"/>
      <c r="N191" s="7">
        <f>IF($D191="","",M191*V191/100)</f>
        <v/>
      </c>
      <c r="O191" s="7" t="n"/>
      <c r="U191" s="7" t="n"/>
      <c r="V191" s="7" t="n"/>
      <c r="Y191">
        <f>IF($D191="","",IF($AN191=1,0,IF($AM191=1,Settings!$C$6,Settings!$C$7))*100)</f>
        <v/>
      </c>
      <c r="Z191" s="7">
        <f>IF($D191="","",V191*Y191/100)</f>
        <v/>
      </c>
      <c r="AA191" s="7">
        <f>IF($D191="","",V191-Z191)</f>
        <v/>
      </c>
      <c r="AB191" s="7">
        <f>IF($D191="","",AA191-N191)</f>
        <v/>
      </c>
      <c r="AF191" s="7" t="n"/>
      <c r="AI191" s="11" t="n"/>
      <c r="AK191">
        <f>IF($D191="","",IF(COUNTIF($D$2:$D191,$D191)=1,1,0))</f>
        <v/>
      </c>
      <c r="AL191">
        <f>IF($AK191=1,SUMPRODUCT(--($AO$2:$AO$3001&lt;$AO191))+1,"")</f>
        <v/>
      </c>
      <c r="AM191">
        <f>IF($D191="","",IF(OR($R191=TRUE(),$R191="TRUE"),1,0))</f>
        <v/>
      </c>
      <c r="AN191">
        <f>IF($D191="","",IF($X191="Yes",1,0))</f>
        <v/>
      </c>
      <c r="AO191">
        <f>IF($AK191=1,IFERROR(IF(VALUE($D191)&lt;100000000,VALUE($D191),1000000000),IFERROR(IF(VALUE(MID($D191,2,20))&lt;100000000,VALUE(MID($D191,2,20)),1000000000),1000000000))+ROW()/100000,"")</f>
        <v/>
      </c>
    </row>
    <row r="192">
      <c r="F192" s="11" t="n"/>
      <c r="N192" s="7">
        <f>IF($D192="","",M192*V192/100)</f>
        <v/>
      </c>
      <c r="O192" s="7" t="n"/>
      <c r="U192" s="7" t="n"/>
      <c r="V192" s="7" t="n"/>
      <c r="Y192">
        <f>IF($D192="","",IF($AN192=1,0,IF($AM192=1,Settings!$C$6,Settings!$C$7))*100)</f>
        <v/>
      </c>
      <c r="Z192" s="7">
        <f>IF($D192="","",V192*Y192/100)</f>
        <v/>
      </c>
      <c r="AA192" s="7">
        <f>IF($D192="","",V192-Z192)</f>
        <v/>
      </c>
      <c r="AB192" s="7">
        <f>IF($D192="","",AA192-N192)</f>
        <v/>
      </c>
      <c r="AF192" s="7" t="n"/>
      <c r="AI192" s="11" t="n"/>
      <c r="AK192">
        <f>IF($D192="","",IF(COUNTIF($D$2:$D192,$D192)=1,1,0))</f>
        <v/>
      </c>
      <c r="AL192">
        <f>IF($AK192=1,SUMPRODUCT(--($AO$2:$AO$3001&lt;$AO192))+1,"")</f>
        <v/>
      </c>
      <c r="AM192">
        <f>IF($D192="","",IF(OR($R192=TRUE(),$R192="TRUE"),1,0))</f>
        <v/>
      </c>
      <c r="AN192">
        <f>IF($D192="","",IF($X192="Yes",1,0))</f>
        <v/>
      </c>
      <c r="AO192">
        <f>IF($AK192=1,IFERROR(IF(VALUE($D192)&lt;100000000,VALUE($D192),1000000000),IFERROR(IF(VALUE(MID($D192,2,20))&lt;100000000,VALUE(MID($D192,2,20)),1000000000),1000000000))+ROW()/100000,"")</f>
        <v/>
      </c>
    </row>
    <row r="193">
      <c r="F193" s="11" t="n"/>
      <c r="N193" s="7">
        <f>IF($D193="","",M193*V193/100)</f>
        <v/>
      </c>
      <c r="O193" s="7" t="n"/>
      <c r="U193" s="7" t="n"/>
      <c r="V193" s="7" t="n"/>
      <c r="Y193">
        <f>IF($D193="","",IF($AN193=1,0,IF($AM193=1,Settings!$C$6,Settings!$C$7))*100)</f>
        <v/>
      </c>
      <c r="Z193" s="7">
        <f>IF($D193="","",V193*Y193/100)</f>
        <v/>
      </c>
      <c r="AA193" s="7">
        <f>IF($D193="","",V193-Z193)</f>
        <v/>
      </c>
      <c r="AB193" s="7">
        <f>IF($D193="","",AA193-N193)</f>
        <v/>
      </c>
      <c r="AF193" s="7" t="n"/>
      <c r="AI193" s="11" t="n"/>
      <c r="AK193">
        <f>IF($D193="","",IF(COUNTIF($D$2:$D193,$D193)=1,1,0))</f>
        <v/>
      </c>
      <c r="AL193">
        <f>IF($AK193=1,SUMPRODUCT(--($AO$2:$AO$3001&lt;$AO193))+1,"")</f>
        <v/>
      </c>
      <c r="AM193">
        <f>IF($D193="","",IF(OR($R193=TRUE(),$R193="TRUE"),1,0))</f>
        <v/>
      </c>
      <c r="AN193">
        <f>IF($D193="","",IF($X193="Yes",1,0))</f>
        <v/>
      </c>
      <c r="AO193">
        <f>IF($AK193=1,IFERROR(IF(VALUE($D193)&lt;100000000,VALUE($D193),1000000000),IFERROR(IF(VALUE(MID($D193,2,20))&lt;100000000,VALUE(MID($D193,2,20)),1000000000),1000000000))+ROW()/100000,"")</f>
        <v/>
      </c>
    </row>
    <row r="194">
      <c r="F194" s="11" t="n"/>
      <c r="N194" s="7">
        <f>IF($D194="","",M194*V194/100)</f>
        <v/>
      </c>
      <c r="O194" s="7" t="n"/>
      <c r="U194" s="7" t="n"/>
      <c r="V194" s="7" t="n"/>
      <c r="Y194">
        <f>IF($D194="","",IF($AN194=1,0,IF($AM194=1,Settings!$C$6,Settings!$C$7))*100)</f>
        <v/>
      </c>
      <c r="Z194" s="7">
        <f>IF($D194="","",V194*Y194/100)</f>
        <v/>
      </c>
      <c r="AA194" s="7">
        <f>IF($D194="","",V194-Z194)</f>
        <v/>
      </c>
      <c r="AB194" s="7">
        <f>IF($D194="","",AA194-N194)</f>
        <v/>
      </c>
      <c r="AF194" s="7" t="n"/>
      <c r="AI194" s="11" t="n"/>
      <c r="AK194">
        <f>IF($D194="","",IF(COUNTIF($D$2:$D194,$D194)=1,1,0))</f>
        <v/>
      </c>
      <c r="AL194">
        <f>IF($AK194=1,SUMPRODUCT(--($AO$2:$AO$3001&lt;$AO194))+1,"")</f>
        <v/>
      </c>
      <c r="AM194">
        <f>IF($D194="","",IF(OR($R194=TRUE(),$R194="TRUE"),1,0))</f>
        <v/>
      </c>
      <c r="AN194">
        <f>IF($D194="","",IF($X194="Yes",1,0))</f>
        <v/>
      </c>
      <c r="AO194">
        <f>IF($AK194=1,IFERROR(IF(VALUE($D194)&lt;100000000,VALUE($D194),1000000000),IFERROR(IF(VALUE(MID($D194,2,20))&lt;100000000,VALUE(MID($D194,2,20)),1000000000),1000000000))+ROW()/100000,"")</f>
        <v/>
      </c>
    </row>
    <row r="195">
      <c r="F195" s="11" t="n"/>
      <c r="N195" s="7">
        <f>IF($D195="","",M195*V195/100)</f>
        <v/>
      </c>
      <c r="O195" s="7" t="n"/>
      <c r="U195" s="7" t="n"/>
      <c r="V195" s="7" t="n"/>
      <c r="Y195">
        <f>IF($D195="","",IF($AN195=1,0,IF($AM195=1,Settings!$C$6,Settings!$C$7))*100)</f>
        <v/>
      </c>
      <c r="Z195" s="7">
        <f>IF($D195="","",V195*Y195/100)</f>
        <v/>
      </c>
      <c r="AA195" s="7">
        <f>IF($D195="","",V195-Z195)</f>
        <v/>
      </c>
      <c r="AB195" s="7">
        <f>IF($D195="","",AA195-N195)</f>
        <v/>
      </c>
      <c r="AF195" s="7" t="n"/>
      <c r="AI195" s="11" t="n"/>
      <c r="AK195">
        <f>IF($D195="","",IF(COUNTIF($D$2:$D195,$D195)=1,1,0))</f>
        <v/>
      </c>
      <c r="AL195">
        <f>IF($AK195=1,SUMPRODUCT(--($AO$2:$AO$3001&lt;$AO195))+1,"")</f>
        <v/>
      </c>
      <c r="AM195">
        <f>IF($D195="","",IF(OR($R195=TRUE(),$R195="TRUE"),1,0))</f>
        <v/>
      </c>
      <c r="AN195">
        <f>IF($D195="","",IF($X195="Yes",1,0))</f>
        <v/>
      </c>
      <c r="AO195">
        <f>IF($AK195=1,IFERROR(IF(VALUE($D195)&lt;100000000,VALUE($D195),1000000000),IFERROR(IF(VALUE(MID($D195,2,20))&lt;100000000,VALUE(MID($D195,2,20)),1000000000),1000000000))+ROW()/100000,"")</f>
        <v/>
      </c>
    </row>
    <row r="196">
      <c r="F196" s="11" t="n"/>
      <c r="N196" s="7">
        <f>IF($D196="","",M196*V196/100)</f>
        <v/>
      </c>
      <c r="O196" s="7" t="n"/>
      <c r="U196" s="7" t="n"/>
      <c r="V196" s="7" t="n"/>
      <c r="Y196">
        <f>IF($D196="","",IF($AN196=1,0,IF($AM196=1,Settings!$C$6,Settings!$C$7))*100)</f>
        <v/>
      </c>
      <c r="Z196" s="7">
        <f>IF($D196="","",V196*Y196/100)</f>
        <v/>
      </c>
      <c r="AA196" s="7">
        <f>IF($D196="","",V196-Z196)</f>
        <v/>
      </c>
      <c r="AB196" s="7">
        <f>IF($D196="","",AA196-N196)</f>
        <v/>
      </c>
      <c r="AF196" s="7" t="n"/>
      <c r="AI196" s="11" t="n"/>
      <c r="AK196">
        <f>IF($D196="","",IF(COUNTIF($D$2:$D196,$D196)=1,1,0))</f>
        <v/>
      </c>
      <c r="AL196">
        <f>IF($AK196=1,SUMPRODUCT(--($AO$2:$AO$3001&lt;$AO196))+1,"")</f>
        <v/>
      </c>
      <c r="AM196">
        <f>IF($D196="","",IF(OR($R196=TRUE(),$R196="TRUE"),1,0))</f>
        <v/>
      </c>
      <c r="AN196">
        <f>IF($D196="","",IF($X196="Yes",1,0))</f>
        <v/>
      </c>
      <c r="AO196">
        <f>IF($AK196=1,IFERROR(IF(VALUE($D196)&lt;100000000,VALUE($D196),1000000000),IFERROR(IF(VALUE(MID($D196,2,20))&lt;100000000,VALUE(MID($D196,2,20)),1000000000),1000000000))+ROW()/100000,"")</f>
        <v/>
      </c>
    </row>
    <row r="197">
      <c r="F197" s="11" t="n"/>
      <c r="N197" s="7">
        <f>IF($D197="","",M197*V197/100)</f>
        <v/>
      </c>
      <c r="O197" s="7" t="n"/>
      <c r="U197" s="7" t="n"/>
      <c r="V197" s="7" t="n"/>
      <c r="Y197">
        <f>IF($D197="","",IF($AN197=1,0,IF($AM197=1,Settings!$C$6,Settings!$C$7))*100)</f>
        <v/>
      </c>
      <c r="Z197" s="7">
        <f>IF($D197="","",V197*Y197/100)</f>
        <v/>
      </c>
      <c r="AA197" s="7">
        <f>IF($D197="","",V197-Z197)</f>
        <v/>
      </c>
      <c r="AB197" s="7">
        <f>IF($D197="","",AA197-N197)</f>
        <v/>
      </c>
      <c r="AF197" s="7" t="n"/>
      <c r="AI197" s="11" t="n"/>
      <c r="AK197">
        <f>IF($D197="","",IF(COUNTIF($D$2:$D197,$D197)=1,1,0))</f>
        <v/>
      </c>
      <c r="AL197">
        <f>IF($AK197=1,SUMPRODUCT(--($AO$2:$AO$3001&lt;$AO197))+1,"")</f>
        <v/>
      </c>
      <c r="AM197">
        <f>IF($D197="","",IF(OR($R197=TRUE(),$R197="TRUE"),1,0))</f>
        <v/>
      </c>
      <c r="AN197">
        <f>IF($D197="","",IF($X197="Yes",1,0))</f>
        <v/>
      </c>
      <c r="AO197">
        <f>IF($AK197=1,IFERROR(IF(VALUE($D197)&lt;100000000,VALUE($D197),1000000000),IFERROR(IF(VALUE(MID($D197,2,20))&lt;100000000,VALUE(MID($D197,2,20)),1000000000),1000000000))+ROW()/100000,"")</f>
        <v/>
      </c>
    </row>
    <row r="198">
      <c r="F198" s="11" t="n"/>
      <c r="N198" s="7">
        <f>IF($D198="","",M198*V198/100)</f>
        <v/>
      </c>
      <c r="O198" s="7" t="n"/>
      <c r="U198" s="7" t="n"/>
      <c r="V198" s="7" t="n"/>
      <c r="Y198">
        <f>IF($D198="","",IF($AN198=1,0,IF($AM198=1,Settings!$C$6,Settings!$C$7))*100)</f>
        <v/>
      </c>
      <c r="Z198" s="7">
        <f>IF($D198="","",V198*Y198/100)</f>
        <v/>
      </c>
      <c r="AA198" s="7">
        <f>IF($D198="","",V198-Z198)</f>
        <v/>
      </c>
      <c r="AB198" s="7">
        <f>IF($D198="","",AA198-N198)</f>
        <v/>
      </c>
      <c r="AF198" s="7" t="n"/>
      <c r="AI198" s="11" t="n"/>
      <c r="AK198">
        <f>IF($D198="","",IF(COUNTIF($D$2:$D198,$D198)=1,1,0))</f>
        <v/>
      </c>
      <c r="AL198">
        <f>IF($AK198=1,SUMPRODUCT(--($AO$2:$AO$3001&lt;$AO198))+1,"")</f>
        <v/>
      </c>
      <c r="AM198">
        <f>IF($D198="","",IF(OR($R198=TRUE(),$R198="TRUE"),1,0))</f>
        <v/>
      </c>
      <c r="AN198">
        <f>IF($D198="","",IF($X198="Yes",1,0))</f>
        <v/>
      </c>
      <c r="AO198">
        <f>IF($AK198=1,IFERROR(IF(VALUE($D198)&lt;100000000,VALUE($D198),1000000000),IFERROR(IF(VALUE(MID($D198,2,20))&lt;100000000,VALUE(MID($D198,2,20)),1000000000),1000000000))+ROW()/100000,"")</f>
        <v/>
      </c>
    </row>
    <row r="199">
      <c r="F199" s="11" t="n"/>
      <c r="N199" s="7">
        <f>IF($D199="","",M199*V199/100)</f>
        <v/>
      </c>
      <c r="O199" s="7" t="n"/>
      <c r="U199" s="7" t="n"/>
      <c r="V199" s="7" t="n"/>
      <c r="Y199">
        <f>IF($D199="","",IF($AN199=1,0,IF($AM199=1,Settings!$C$6,Settings!$C$7))*100)</f>
        <v/>
      </c>
      <c r="Z199" s="7">
        <f>IF($D199="","",V199*Y199/100)</f>
        <v/>
      </c>
      <c r="AA199" s="7">
        <f>IF($D199="","",V199-Z199)</f>
        <v/>
      </c>
      <c r="AB199" s="7">
        <f>IF($D199="","",AA199-N199)</f>
        <v/>
      </c>
      <c r="AF199" s="7" t="n"/>
      <c r="AI199" s="11" t="n"/>
      <c r="AK199">
        <f>IF($D199="","",IF(COUNTIF($D$2:$D199,$D199)=1,1,0))</f>
        <v/>
      </c>
      <c r="AL199">
        <f>IF($AK199=1,SUMPRODUCT(--($AO$2:$AO$3001&lt;$AO199))+1,"")</f>
        <v/>
      </c>
      <c r="AM199">
        <f>IF($D199="","",IF(OR($R199=TRUE(),$R199="TRUE"),1,0))</f>
        <v/>
      </c>
      <c r="AN199">
        <f>IF($D199="","",IF($X199="Yes",1,0))</f>
        <v/>
      </c>
      <c r="AO199">
        <f>IF($AK199=1,IFERROR(IF(VALUE($D199)&lt;100000000,VALUE($D199),1000000000),IFERROR(IF(VALUE(MID($D199,2,20))&lt;100000000,VALUE(MID($D199,2,20)),1000000000),1000000000))+ROW()/100000,"")</f>
        <v/>
      </c>
    </row>
    <row r="200">
      <c r="F200" s="11" t="n"/>
      <c r="N200" s="7">
        <f>IF($D200="","",M200*V200/100)</f>
        <v/>
      </c>
      <c r="O200" s="7" t="n"/>
      <c r="U200" s="7" t="n"/>
      <c r="V200" s="7" t="n"/>
      <c r="Y200">
        <f>IF($D200="","",IF($AN200=1,0,IF($AM200=1,Settings!$C$6,Settings!$C$7))*100)</f>
        <v/>
      </c>
      <c r="Z200" s="7">
        <f>IF($D200="","",V200*Y200/100)</f>
        <v/>
      </c>
      <c r="AA200" s="7">
        <f>IF($D200="","",V200-Z200)</f>
        <v/>
      </c>
      <c r="AB200" s="7">
        <f>IF($D200="","",AA200-N200)</f>
        <v/>
      </c>
      <c r="AF200" s="7" t="n"/>
      <c r="AI200" s="11" t="n"/>
      <c r="AK200">
        <f>IF($D200="","",IF(COUNTIF($D$2:$D200,$D200)=1,1,0))</f>
        <v/>
      </c>
      <c r="AL200">
        <f>IF($AK200=1,SUMPRODUCT(--($AO$2:$AO$3001&lt;$AO200))+1,"")</f>
        <v/>
      </c>
      <c r="AM200">
        <f>IF($D200="","",IF(OR($R200=TRUE(),$R200="TRUE"),1,0))</f>
        <v/>
      </c>
      <c r="AN200">
        <f>IF($D200="","",IF($X200="Yes",1,0))</f>
        <v/>
      </c>
      <c r="AO200">
        <f>IF($AK200=1,IFERROR(IF(VALUE($D200)&lt;100000000,VALUE($D200),1000000000),IFERROR(IF(VALUE(MID($D200,2,20))&lt;100000000,VALUE(MID($D200,2,20)),1000000000),1000000000))+ROW()/100000,"")</f>
        <v/>
      </c>
    </row>
    <row r="201">
      <c r="F201" s="11" t="n"/>
      <c r="N201" s="7">
        <f>IF($D201="","",M201*V201/100)</f>
        <v/>
      </c>
      <c r="O201" s="7" t="n"/>
      <c r="U201" s="7" t="n"/>
      <c r="V201" s="7" t="n"/>
      <c r="Y201">
        <f>IF($D201="","",IF($AN201=1,0,IF($AM201=1,Settings!$C$6,Settings!$C$7))*100)</f>
        <v/>
      </c>
      <c r="Z201" s="7">
        <f>IF($D201="","",V201*Y201/100)</f>
        <v/>
      </c>
      <c r="AA201" s="7">
        <f>IF($D201="","",V201-Z201)</f>
        <v/>
      </c>
      <c r="AB201" s="7">
        <f>IF($D201="","",AA201-N201)</f>
        <v/>
      </c>
      <c r="AF201" s="7" t="n"/>
      <c r="AI201" s="11" t="n"/>
      <c r="AK201">
        <f>IF($D201="","",IF(COUNTIF($D$2:$D201,$D201)=1,1,0))</f>
        <v/>
      </c>
      <c r="AL201">
        <f>IF($AK201=1,SUMPRODUCT(--($AO$2:$AO$3001&lt;$AO201))+1,"")</f>
        <v/>
      </c>
      <c r="AM201">
        <f>IF($D201="","",IF(OR($R201=TRUE(),$R201="TRUE"),1,0))</f>
        <v/>
      </c>
      <c r="AN201">
        <f>IF($D201="","",IF($X201="Yes",1,0))</f>
        <v/>
      </c>
      <c r="AO201">
        <f>IF($AK201=1,IFERROR(IF(VALUE($D201)&lt;100000000,VALUE($D201),1000000000),IFERROR(IF(VALUE(MID($D201,2,20))&lt;100000000,VALUE(MID($D201,2,20)),1000000000),1000000000))+ROW()/100000,"")</f>
        <v/>
      </c>
    </row>
    <row r="202">
      <c r="F202" s="11" t="n"/>
      <c r="N202" s="7">
        <f>IF($D202="","",M202*V202/100)</f>
        <v/>
      </c>
      <c r="O202" s="7" t="n"/>
      <c r="U202" s="7" t="n"/>
      <c r="V202" s="7" t="n"/>
      <c r="Y202">
        <f>IF($D202="","",IF($AN202=1,0,IF($AM202=1,Settings!$C$6,Settings!$C$7))*100)</f>
        <v/>
      </c>
      <c r="Z202" s="7">
        <f>IF($D202="","",V202*Y202/100)</f>
        <v/>
      </c>
      <c r="AA202" s="7">
        <f>IF($D202="","",V202-Z202)</f>
        <v/>
      </c>
      <c r="AB202" s="7">
        <f>IF($D202="","",AA202-N202)</f>
        <v/>
      </c>
      <c r="AF202" s="7" t="n"/>
      <c r="AI202" s="11" t="n"/>
      <c r="AK202">
        <f>IF($D202="","",IF(COUNTIF($D$2:$D202,$D202)=1,1,0))</f>
        <v/>
      </c>
      <c r="AL202">
        <f>IF($AK202=1,SUMPRODUCT(--($AO$2:$AO$3001&lt;$AO202))+1,"")</f>
        <v/>
      </c>
      <c r="AM202">
        <f>IF($D202="","",IF(OR($R202=TRUE(),$R202="TRUE"),1,0))</f>
        <v/>
      </c>
      <c r="AN202">
        <f>IF($D202="","",IF($X202="Yes",1,0))</f>
        <v/>
      </c>
      <c r="AO202">
        <f>IF($AK202=1,IFERROR(IF(VALUE($D202)&lt;100000000,VALUE($D202),1000000000),IFERROR(IF(VALUE(MID($D202,2,20))&lt;100000000,VALUE(MID($D202,2,20)),1000000000),1000000000))+ROW()/100000,"")</f>
        <v/>
      </c>
    </row>
    <row r="203">
      <c r="F203" s="11" t="n"/>
      <c r="N203" s="7">
        <f>IF($D203="","",M203*V203/100)</f>
        <v/>
      </c>
      <c r="O203" s="7" t="n"/>
      <c r="U203" s="7" t="n"/>
      <c r="V203" s="7" t="n"/>
      <c r="Y203">
        <f>IF($D203="","",IF($AN203=1,0,IF($AM203=1,Settings!$C$6,Settings!$C$7))*100)</f>
        <v/>
      </c>
      <c r="Z203" s="7">
        <f>IF($D203="","",V203*Y203/100)</f>
        <v/>
      </c>
      <c r="AA203" s="7">
        <f>IF($D203="","",V203-Z203)</f>
        <v/>
      </c>
      <c r="AB203" s="7">
        <f>IF($D203="","",AA203-N203)</f>
        <v/>
      </c>
      <c r="AF203" s="7" t="n"/>
      <c r="AI203" s="11" t="n"/>
      <c r="AK203">
        <f>IF($D203="","",IF(COUNTIF($D$2:$D203,$D203)=1,1,0))</f>
        <v/>
      </c>
      <c r="AL203">
        <f>IF($AK203=1,SUMPRODUCT(--($AO$2:$AO$3001&lt;$AO203))+1,"")</f>
        <v/>
      </c>
      <c r="AM203">
        <f>IF($D203="","",IF(OR($R203=TRUE(),$R203="TRUE"),1,0))</f>
        <v/>
      </c>
      <c r="AN203">
        <f>IF($D203="","",IF($X203="Yes",1,0))</f>
        <v/>
      </c>
      <c r="AO203">
        <f>IF($AK203=1,IFERROR(IF(VALUE($D203)&lt;100000000,VALUE($D203),1000000000),IFERROR(IF(VALUE(MID($D203,2,20))&lt;100000000,VALUE(MID($D203,2,20)),1000000000),1000000000))+ROW()/100000,"")</f>
        <v/>
      </c>
    </row>
    <row r="204">
      <c r="F204" s="11" t="n"/>
      <c r="N204" s="7">
        <f>IF($D204="","",M204*V204/100)</f>
        <v/>
      </c>
      <c r="O204" s="7" t="n"/>
      <c r="U204" s="7" t="n"/>
      <c r="V204" s="7" t="n"/>
      <c r="Y204">
        <f>IF($D204="","",IF($AN204=1,0,IF($AM204=1,Settings!$C$6,Settings!$C$7))*100)</f>
        <v/>
      </c>
      <c r="Z204" s="7">
        <f>IF($D204="","",V204*Y204/100)</f>
        <v/>
      </c>
      <c r="AA204" s="7">
        <f>IF($D204="","",V204-Z204)</f>
        <v/>
      </c>
      <c r="AB204" s="7">
        <f>IF($D204="","",AA204-N204)</f>
        <v/>
      </c>
      <c r="AF204" s="7" t="n"/>
      <c r="AI204" s="11" t="n"/>
      <c r="AK204">
        <f>IF($D204="","",IF(COUNTIF($D$2:$D204,$D204)=1,1,0))</f>
        <v/>
      </c>
      <c r="AL204">
        <f>IF($AK204=1,SUMPRODUCT(--($AO$2:$AO$3001&lt;$AO204))+1,"")</f>
        <v/>
      </c>
      <c r="AM204">
        <f>IF($D204="","",IF(OR($R204=TRUE(),$R204="TRUE"),1,0))</f>
        <v/>
      </c>
      <c r="AN204">
        <f>IF($D204="","",IF($X204="Yes",1,0))</f>
        <v/>
      </c>
      <c r="AO204">
        <f>IF($AK204=1,IFERROR(IF(VALUE($D204)&lt;100000000,VALUE($D204),1000000000),IFERROR(IF(VALUE(MID($D204,2,20))&lt;100000000,VALUE(MID($D204,2,20)),1000000000),1000000000))+ROW()/100000,"")</f>
        <v/>
      </c>
    </row>
    <row r="205">
      <c r="F205" s="11" t="n"/>
      <c r="N205" s="7">
        <f>IF($D205="","",M205*V205/100)</f>
        <v/>
      </c>
      <c r="O205" s="7" t="n"/>
      <c r="U205" s="7" t="n"/>
      <c r="V205" s="7" t="n"/>
      <c r="Y205">
        <f>IF($D205="","",IF($AN205=1,0,IF($AM205=1,Settings!$C$6,Settings!$C$7))*100)</f>
        <v/>
      </c>
      <c r="Z205" s="7">
        <f>IF($D205="","",V205*Y205/100)</f>
        <v/>
      </c>
      <c r="AA205" s="7">
        <f>IF($D205="","",V205-Z205)</f>
        <v/>
      </c>
      <c r="AB205" s="7">
        <f>IF($D205="","",AA205-N205)</f>
        <v/>
      </c>
      <c r="AF205" s="7" t="n"/>
      <c r="AI205" s="11" t="n"/>
      <c r="AK205">
        <f>IF($D205="","",IF(COUNTIF($D$2:$D205,$D205)=1,1,0))</f>
        <v/>
      </c>
      <c r="AL205">
        <f>IF($AK205=1,SUMPRODUCT(--($AO$2:$AO$3001&lt;$AO205))+1,"")</f>
        <v/>
      </c>
      <c r="AM205">
        <f>IF($D205="","",IF(OR($R205=TRUE(),$R205="TRUE"),1,0))</f>
        <v/>
      </c>
      <c r="AN205">
        <f>IF($D205="","",IF($X205="Yes",1,0))</f>
        <v/>
      </c>
      <c r="AO205">
        <f>IF($AK205=1,IFERROR(IF(VALUE($D205)&lt;100000000,VALUE($D205),1000000000),IFERROR(IF(VALUE(MID($D205,2,20))&lt;100000000,VALUE(MID($D205,2,20)),1000000000),1000000000))+ROW()/100000,"")</f>
        <v/>
      </c>
    </row>
    <row r="206">
      <c r="F206" s="11" t="n"/>
      <c r="N206" s="7">
        <f>IF($D206="","",M206*V206/100)</f>
        <v/>
      </c>
      <c r="O206" s="7" t="n"/>
      <c r="U206" s="7" t="n"/>
      <c r="V206" s="7" t="n"/>
      <c r="Y206">
        <f>IF($D206="","",IF($AN206=1,0,IF($AM206=1,Settings!$C$6,Settings!$C$7))*100)</f>
        <v/>
      </c>
      <c r="Z206" s="7">
        <f>IF($D206="","",V206*Y206/100)</f>
        <v/>
      </c>
      <c r="AA206" s="7">
        <f>IF($D206="","",V206-Z206)</f>
        <v/>
      </c>
      <c r="AB206" s="7">
        <f>IF($D206="","",AA206-N206)</f>
        <v/>
      </c>
      <c r="AF206" s="7" t="n"/>
      <c r="AI206" s="11" t="n"/>
      <c r="AK206">
        <f>IF($D206="","",IF(COUNTIF($D$2:$D206,$D206)=1,1,0))</f>
        <v/>
      </c>
      <c r="AL206">
        <f>IF($AK206=1,SUMPRODUCT(--($AO$2:$AO$3001&lt;$AO206))+1,"")</f>
        <v/>
      </c>
      <c r="AM206">
        <f>IF($D206="","",IF(OR($R206=TRUE(),$R206="TRUE"),1,0))</f>
        <v/>
      </c>
      <c r="AN206">
        <f>IF($D206="","",IF($X206="Yes",1,0))</f>
        <v/>
      </c>
      <c r="AO206">
        <f>IF($AK206=1,IFERROR(IF(VALUE($D206)&lt;100000000,VALUE($D206),1000000000),IFERROR(IF(VALUE(MID($D206,2,20))&lt;100000000,VALUE(MID($D206,2,20)),1000000000),1000000000))+ROW()/100000,"")</f>
        <v/>
      </c>
    </row>
    <row r="207">
      <c r="F207" s="11" t="n"/>
      <c r="N207" s="7">
        <f>IF($D207="","",M207*V207/100)</f>
        <v/>
      </c>
      <c r="O207" s="7" t="n"/>
      <c r="U207" s="7" t="n"/>
      <c r="V207" s="7" t="n"/>
      <c r="Y207">
        <f>IF($D207="","",IF($AN207=1,0,IF($AM207=1,Settings!$C$6,Settings!$C$7))*100)</f>
        <v/>
      </c>
      <c r="Z207" s="7">
        <f>IF($D207="","",V207*Y207/100)</f>
        <v/>
      </c>
      <c r="AA207" s="7">
        <f>IF($D207="","",V207-Z207)</f>
        <v/>
      </c>
      <c r="AB207" s="7">
        <f>IF($D207="","",AA207-N207)</f>
        <v/>
      </c>
      <c r="AF207" s="7" t="n"/>
      <c r="AI207" s="11" t="n"/>
      <c r="AK207">
        <f>IF($D207="","",IF(COUNTIF($D$2:$D207,$D207)=1,1,0))</f>
        <v/>
      </c>
      <c r="AL207">
        <f>IF($AK207=1,SUMPRODUCT(--($AO$2:$AO$3001&lt;$AO207))+1,"")</f>
        <v/>
      </c>
      <c r="AM207">
        <f>IF($D207="","",IF(OR($R207=TRUE(),$R207="TRUE"),1,0))</f>
        <v/>
      </c>
      <c r="AN207">
        <f>IF($D207="","",IF($X207="Yes",1,0))</f>
        <v/>
      </c>
      <c r="AO207">
        <f>IF($AK207=1,IFERROR(IF(VALUE($D207)&lt;100000000,VALUE($D207),1000000000),IFERROR(IF(VALUE(MID($D207,2,20))&lt;100000000,VALUE(MID($D207,2,20)),1000000000),1000000000))+ROW()/100000,"")</f>
        <v/>
      </c>
    </row>
    <row r="208">
      <c r="F208" s="11" t="n"/>
      <c r="N208" s="7">
        <f>IF($D208="","",M208*V208/100)</f>
        <v/>
      </c>
      <c r="O208" s="7" t="n"/>
      <c r="U208" s="7" t="n"/>
      <c r="V208" s="7" t="n"/>
      <c r="Y208">
        <f>IF($D208="","",IF($AN208=1,0,IF($AM208=1,Settings!$C$6,Settings!$C$7))*100)</f>
        <v/>
      </c>
      <c r="Z208" s="7">
        <f>IF($D208="","",V208*Y208/100)</f>
        <v/>
      </c>
      <c r="AA208" s="7">
        <f>IF($D208="","",V208-Z208)</f>
        <v/>
      </c>
      <c r="AB208" s="7">
        <f>IF($D208="","",AA208-N208)</f>
        <v/>
      </c>
      <c r="AF208" s="7" t="n"/>
      <c r="AI208" s="11" t="n"/>
      <c r="AK208">
        <f>IF($D208="","",IF(COUNTIF($D$2:$D208,$D208)=1,1,0))</f>
        <v/>
      </c>
      <c r="AL208">
        <f>IF($AK208=1,SUMPRODUCT(--($AO$2:$AO$3001&lt;$AO208))+1,"")</f>
        <v/>
      </c>
      <c r="AM208">
        <f>IF($D208="","",IF(OR($R208=TRUE(),$R208="TRUE"),1,0))</f>
        <v/>
      </c>
      <c r="AN208">
        <f>IF($D208="","",IF($X208="Yes",1,0))</f>
        <v/>
      </c>
      <c r="AO208">
        <f>IF($AK208=1,IFERROR(IF(VALUE($D208)&lt;100000000,VALUE($D208),1000000000),IFERROR(IF(VALUE(MID($D208,2,20))&lt;100000000,VALUE(MID($D208,2,20)),1000000000),1000000000))+ROW()/100000,"")</f>
        <v/>
      </c>
    </row>
    <row r="209">
      <c r="F209" s="11" t="n"/>
      <c r="N209" s="7">
        <f>IF($D209="","",M209*V209/100)</f>
        <v/>
      </c>
      <c r="O209" s="7" t="n"/>
      <c r="U209" s="7" t="n"/>
      <c r="V209" s="7" t="n"/>
      <c r="Y209">
        <f>IF($D209="","",IF($AN209=1,0,IF($AM209=1,Settings!$C$6,Settings!$C$7))*100)</f>
        <v/>
      </c>
      <c r="Z209" s="7">
        <f>IF($D209="","",V209*Y209/100)</f>
        <v/>
      </c>
      <c r="AA209" s="7">
        <f>IF($D209="","",V209-Z209)</f>
        <v/>
      </c>
      <c r="AB209" s="7">
        <f>IF($D209="","",AA209-N209)</f>
        <v/>
      </c>
      <c r="AF209" s="7" t="n"/>
      <c r="AI209" s="11" t="n"/>
      <c r="AK209">
        <f>IF($D209="","",IF(COUNTIF($D$2:$D209,$D209)=1,1,0))</f>
        <v/>
      </c>
      <c r="AL209">
        <f>IF($AK209=1,SUMPRODUCT(--($AO$2:$AO$3001&lt;$AO209))+1,"")</f>
        <v/>
      </c>
      <c r="AM209">
        <f>IF($D209="","",IF(OR($R209=TRUE(),$R209="TRUE"),1,0))</f>
        <v/>
      </c>
      <c r="AN209">
        <f>IF($D209="","",IF($X209="Yes",1,0))</f>
        <v/>
      </c>
      <c r="AO209">
        <f>IF($AK209=1,IFERROR(IF(VALUE($D209)&lt;100000000,VALUE($D209),1000000000),IFERROR(IF(VALUE(MID($D209,2,20))&lt;100000000,VALUE(MID($D209,2,20)),1000000000),1000000000))+ROW()/100000,"")</f>
        <v/>
      </c>
    </row>
    <row r="210">
      <c r="F210" s="11" t="n"/>
      <c r="N210" s="7">
        <f>IF($D210="","",M210*V210/100)</f>
        <v/>
      </c>
      <c r="O210" s="7" t="n"/>
      <c r="U210" s="7" t="n"/>
      <c r="V210" s="7" t="n"/>
      <c r="Y210">
        <f>IF($D210="","",IF($AN210=1,0,IF($AM210=1,Settings!$C$6,Settings!$C$7))*100)</f>
        <v/>
      </c>
      <c r="Z210" s="7">
        <f>IF($D210="","",V210*Y210/100)</f>
        <v/>
      </c>
      <c r="AA210" s="7">
        <f>IF($D210="","",V210-Z210)</f>
        <v/>
      </c>
      <c r="AB210" s="7">
        <f>IF($D210="","",AA210-N210)</f>
        <v/>
      </c>
      <c r="AF210" s="7" t="n"/>
      <c r="AI210" s="11" t="n"/>
      <c r="AK210">
        <f>IF($D210="","",IF(COUNTIF($D$2:$D210,$D210)=1,1,0))</f>
        <v/>
      </c>
      <c r="AL210">
        <f>IF($AK210=1,SUMPRODUCT(--($AO$2:$AO$3001&lt;$AO210))+1,"")</f>
        <v/>
      </c>
      <c r="AM210">
        <f>IF($D210="","",IF(OR($R210=TRUE(),$R210="TRUE"),1,0))</f>
        <v/>
      </c>
      <c r="AN210">
        <f>IF($D210="","",IF($X210="Yes",1,0))</f>
        <v/>
      </c>
      <c r="AO210">
        <f>IF($AK210=1,IFERROR(IF(VALUE($D210)&lt;100000000,VALUE($D210),1000000000),IFERROR(IF(VALUE(MID($D210,2,20))&lt;100000000,VALUE(MID($D210,2,20)),1000000000),1000000000))+ROW()/100000,"")</f>
        <v/>
      </c>
    </row>
    <row r="211">
      <c r="F211" s="11" t="n"/>
      <c r="N211" s="7">
        <f>IF($D211="","",M211*V211/100)</f>
        <v/>
      </c>
      <c r="O211" s="7" t="n"/>
      <c r="U211" s="7" t="n"/>
      <c r="V211" s="7" t="n"/>
      <c r="Y211">
        <f>IF($D211="","",IF($AN211=1,0,IF($AM211=1,Settings!$C$6,Settings!$C$7))*100)</f>
        <v/>
      </c>
      <c r="Z211" s="7">
        <f>IF($D211="","",V211*Y211/100)</f>
        <v/>
      </c>
      <c r="AA211" s="7">
        <f>IF($D211="","",V211-Z211)</f>
        <v/>
      </c>
      <c r="AB211" s="7">
        <f>IF($D211="","",AA211-N211)</f>
        <v/>
      </c>
      <c r="AF211" s="7" t="n"/>
      <c r="AI211" s="11" t="n"/>
      <c r="AK211">
        <f>IF($D211="","",IF(COUNTIF($D$2:$D211,$D211)=1,1,0))</f>
        <v/>
      </c>
      <c r="AL211">
        <f>IF($AK211=1,SUMPRODUCT(--($AO$2:$AO$3001&lt;$AO211))+1,"")</f>
        <v/>
      </c>
      <c r="AM211">
        <f>IF($D211="","",IF(OR($R211=TRUE(),$R211="TRUE"),1,0))</f>
        <v/>
      </c>
      <c r="AN211">
        <f>IF($D211="","",IF($X211="Yes",1,0))</f>
        <v/>
      </c>
      <c r="AO211">
        <f>IF($AK211=1,IFERROR(IF(VALUE($D211)&lt;100000000,VALUE($D211),1000000000),IFERROR(IF(VALUE(MID($D211,2,20))&lt;100000000,VALUE(MID($D211,2,20)),1000000000),1000000000))+ROW()/100000,"")</f>
        <v/>
      </c>
    </row>
    <row r="212">
      <c r="F212" s="11" t="n"/>
      <c r="N212" s="7">
        <f>IF($D212="","",M212*V212/100)</f>
        <v/>
      </c>
      <c r="O212" s="7" t="n"/>
      <c r="U212" s="7" t="n"/>
      <c r="V212" s="7" t="n"/>
      <c r="Y212">
        <f>IF($D212="","",IF($AN212=1,0,IF($AM212=1,Settings!$C$6,Settings!$C$7))*100)</f>
        <v/>
      </c>
      <c r="Z212" s="7">
        <f>IF($D212="","",V212*Y212/100)</f>
        <v/>
      </c>
      <c r="AA212" s="7">
        <f>IF($D212="","",V212-Z212)</f>
        <v/>
      </c>
      <c r="AB212" s="7">
        <f>IF($D212="","",AA212-N212)</f>
        <v/>
      </c>
      <c r="AF212" s="7" t="n"/>
      <c r="AI212" s="11" t="n"/>
      <c r="AK212">
        <f>IF($D212="","",IF(COUNTIF($D$2:$D212,$D212)=1,1,0))</f>
        <v/>
      </c>
      <c r="AL212">
        <f>IF($AK212=1,SUMPRODUCT(--($AO$2:$AO$3001&lt;$AO212))+1,"")</f>
        <v/>
      </c>
      <c r="AM212">
        <f>IF($D212="","",IF(OR($R212=TRUE(),$R212="TRUE"),1,0))</f>
        <v/>
      </c>
      <c r="AN212">
        <f>IF($D212="","",IF($X212="Yes",1,0))</f>
        <v/>
      </c>
      <c r="AO212">
        <f>IF($AK212=1,IFERROR(IF(VALUE($D212)&lt;100000000,VALUE($D212),1000000000),IFERROR(IF(VALUE(MID($D212,2,20))&lt;100000000,VALUE(MID($D212,2,20)),1000000000),1000000000))+ROW()/100000,"")</f>
        <v/>
      </c>
    </row>
    <row r="213">
      <c r="F213" s="11" t="n"/>
      <c r="N213" s="7">
        <f>IF($D213="","",M213*V213/100)</f>
        <v/>
      </c>
      <c r="O213" s="7" t="n"/>
      <c r="U213" s="7" t="n"/>
      <c r="V213" s="7" t="n"/>
      <c r="Y213">
        <f>IF($D213="","",IF($AN213=1,0,IF($AM213=1,Settings!$C$6,Settings!$C$7))*100)</f>
        <v/>
      </c>
      <c r="Z213" s="7">
        <f>IF($D213="","",V213*Y213/100)</f>
        <v/>
      </c>
      <c r="AA213" s="7">
        <f>IF($D213="","",V213-Z213)</f>
        <v/>
      </c>
      <c r="AB213" s="7">
        <f>IF($D213="","",AA213-N213)</f>
        <v/>
      </c>
      <c r="AF213" s="7" t="n"/>
      <c r="AI213" s="11" t="n"/>
      <c r="AK213">
        <f>IF($D213="","",IF(COUNTIF($D$2:$D213,$D213)=1,1,0))</f>
        <v/>
      </c>
      <c r="AL213">
        <f>IF($AK213=1,SUMPRODUCT(--($AO$2:$AO$3001&lt;$AO213))+1,"")</f>
        <v/>
      </c>
      <c r="AM213">
        <f>IF($D213="","",IF(OR($R213=TRUE(),$R213="TRUE"),1,0))</f>
        <v/>
      </c>
      <c r="AN213">
        <f>IF($D213="","",IF($X213="Yes",1,0))</f>
        <v/>
      </c>
      <c r="AO213">
        <f>IF($AK213=1,IFERROR(IF(VALUE($D213)&lt;100000000,VALUE($D213),1000000000),IFERROR(IF(VALUE(MID($D213,2,20))&lt;100000000,VALUE(MID($D213,2,20)),1000000000),1000000000))+ROW()/100000,"")</f>
        <v/>
      </c>
    </row>
    <row r="214">
      <c r="F214" s="11" t="n"/>
      <c r="N214" s="7">
        <f>IF($D214="","",M214*V214/100)</f>
        <v/>
      </c>
      <c r="O214" s="7" t="n"/>
      <c r="U214" s="7" t="n"/>
      <c r="V214" s="7" t="n"/>
      <c r="Y214">
        <f>IF($D214="","",IF($AN214=1,0,IF($AM214=1,Settings!$C$6,Settings!$C$7))*100)</f>
        <v/>
      </c>
      <c r="Z214" s="7">
        <f>IF($D214="","",V214*Y214/100)</f>
        <v/>
      </c>
      <c r="AA214" s="7">
        <f>IF($D214="","",V214-Z214)</f>
        <v/>
      </c>
      <c r="AB214" s="7">
        <f>IF($D214="","",AA214-N214)</f>
        <v/>
      </c>
      <c r="AF214" s="7" t="n"/>
      <c r="AI214" s="11" t="n"/>
      <c r="AK214">
        <f>IF($D214="","",IF(COUNTIF($D$2:$D214,$D214)=1,1,0))</f>
        <v/>
      </c>
      <c r="AL214">
        <f>IF($AK214=1,SUMPRODUCT(--($AO$2:$AO$3001&lt;$AO214))+1,"")</f>
        <v/>
      </c>
      <c r="AM214">
        <f>IF($D214="","",IF(OR($R214=TRUE(),$R214="TRUE"),1,0))</f>
        <v/>
      </c>
      <c r="AN214">
        <f>IF($D214="","",IF($X214="Yes",1,0))</f>
        <v/>
      </c>
      <c r="AO214">
        <f>IF($AK214=1,IFERROR(IF(VALUE($D214)&lt;100000000,VALUE($D214),1000000000),IFERROR(IF(VALUE(MID($D214,2,20))&lt;100000000,VALUE(MID($D214,2,20)),1000000000),1000000000))+ROW()/100000,"")</f>
        <v/>
      </c>
    </row>
    <row r="215">
      <c r="F215" s="11" t="n"/>
      <c r="N215" s="7">
        <f>IF($D215="","",M215*V215/100)</f>
        <v/>
      </c>
      <c r="O215" s="7" t="n"/>
      <c r="U215" s="7" t="n"/>
      <c r="V215" s="7" t="n"/>
      <c r="Y215">
        <f>IF($D215="","",IF($AN215=1,0,IF($AM215=1,Settings!$C$6,Settings!$C$7))*100)</f>
        <v/>
      </c>
      <c r="Z215" s="7">
        <f>IF($D215="","",V215*Y215/100)</f>
        <v/>
      </c>
      <c r="AA215" s="7">
        <f>IF($D215="","",V215-Z215)</f>
        <v/>
      </c>
      <c r="AB215" s="7">
        <f>IF($D215="","",AA215-N215)</f>
        <v/>
      </c>
      <c r="AF215" s="7" t="n"/>
      <c r="AI215" s="11" t="n"/>
      <c r="AK215">
        <f>IF($D215="","",IF(COUNTIF($D$2:$D215,$D215)=1,1,0))</f>
        <v/>
      </c>
      <c r="AL215">
        <f>IF($AK215=1,SUMPRODUCT(--($AO$2:$AO$3001&lt;$AO215))+1,"")</f>
        <v/>
      </c>
      <c r="AM215">
        <f>IF($D215="","",IF(OR($R215=TRUE(),$R215="TRUE"),1,0))</f>
        <v/>
      </c>
      <c r="AN215">
        <f>IF($D215="","",IF($X215="Yes",1,0))</f>
        <v/>
      </c>
      <c r="AO215">
        <f>IF($AK215=1,IFERROR(IF(VALUE($D215)&lt;100000000,VALUE($D215),1000000000),IFERROR(IF(VALUE(MID($D215,2,20))&lt;100000000,VALUE(MID($D215,2,20)),1000000000),1000000000))+ROW()/100000,"")</f>
        <v/>
      </c>
    </row>
    <row r="216">
      <c r="F216" s="11" t="n"/>
      <c r="N216" s="7">
        <f>IF($D216="","",M216*V216/100)</f>
        <v/>
      </c>
      <c r="O216" s="7" t="n"/>
      <c r="U216" s="7" t="n"/>
      <c r="V216" s="7" t="n"/>
      <c r="Y216">
        <f>IF($D216="","",IF($AN216=1,0,IF($AM216=1,Settings!$C$6,Settings!$C$7))*100)</f>
        <v/>
      </c>
      <c r="Z216" s="7">
        <f>IF($D216="","",V216*Y216/100)</f>
        <v/>
      </c>
      <c r="AA216" s="7">
        <f>IF($D216="","",V216-Z216)</f>
        <v/>
      </c>
      <c r="AB216" s="7">
        <f>IF($D216="","",AA216-N216)</f>
        <v/>
      </c>
      <c r="AF216" s="7" t="n"/>
      <c r="AI216" s="11" t="n"/>
      <c r="AK216">
        <f>IF($D216="","",IF(COUNTIF($D$2:$D216,$D216)=1,1,0))</f>
        <v/>
      </c>
      <c r="AL216">
        <f>IF($AK216=1,SUMPRODUCT(--($AO$2:$AO$3001&lt;$AO216))+1,"")</f>
        <v/>
      </c>
      <c r="AM216">
        <f>IF($D216="","",IF(OR($R216=TRUE(),$R216="TRUE"),1,0))</f>
        <v/>
      </c>
      <c r="AN216">
        <f>IF($D216="","",IF($X216="Yes",1,0))</f>
        <v/>
      </c>
      <c r="AO216">
        <f>IF($AK216=1,IFERROR(IF(VALUE($D216)&lt;100000000,VALUE($D216),1000000000),IFERROR(IF(VALUE(MID($D216,2,20))&lt;100000000,VALUE(MID($D216,2,20)),1000000000),1000000000))+ROW()/100000,"")</f>
        <v/>
      </c>
    </row>
    <row r="217">
      <c r="F217" s="11" t="n"/>
      <c r="N217" s="7">
        <f>IF($D217="","",M217*V217/100)</f>
        <v/>
      </c>
      <c r="O217" s="7" t="n"/>
      <c r="U217" s="7" t="n"/>
      <c r="V217" s="7" t="n"/>
      <c r="Y217">
        <f>IF($D217="","",IF($AN217=1,0,IF($AM217=1,Settings!$C$6,Settings!$C$7))*100)</f>
        <v/>
      </c>
      <c r="Z217" s="7">
        <f>IF($D217="","",V217*Y217/100)</f>
        <v/>
      </c>
      <c r="AA217" s="7">
        <f>IF($D217="","",V217-Z217)</f>
        <v/>
      </c>
      <c r="AB217" s="7">
        <f>IF($D217="","",AA217-N217)</f>
        <v/>
      </c>
      <c r="AF217" s="7" t="n"/>
      <c r="AI217" s="11" t="n"/>
      <c r="AK217">
        <f>IF($D217="","",IF(COUNTIF($D$2:$D217,$D217)=1,1,0))</f>
        <v/>
      </c>
      <c r="AL217">
        <f>IF($AK217=1,SUMPRODUCT(--($AO$2:$AO$3001&lt;$AO217))+1,"")</f>
        <v/>
      </c>
      <c r="AM217">
        <f>IF($D217="","",IF(OR($R217=TRUE(),$R217="TRUE"),1,0))</f>
        <v/>
      </c>
      <c r="AN217">
        <f>IF($D217="","",IF($X217="Yes",1,0))</f>
        <v/>
      </c>
      <c r="AO217">
        <f>IF($AK217=1,IFERROR(IF(VALUE($D217)&lt;100000000,VALUE($D217),1000000000),IFERROR(IF(VALUE(MID($D217,2,20))&lt;100000000,VALUE(MID($D217,2,20)),1000000000),1000000000))+ROW()/100000,"")</f>
        <v/>
      </c>
    </row>
    <row r="218">
      <c r="F218" s="11" t="n"/>
      <c r="N218" s="7">
        <f>IF($D218="","",M218*V218/100)</f>
        <v/>
      </c>
      <c r="O218" s="7" t="n"/>
      <c r="U218" s="7" t="n"/>
      <c r="V218" s="7" t="n"/>
      <c r="Y218">
        <f>IF($D218="","",IF($AN218=1,0,IF($AM218=1,Settings!$C$6,Settings!$C$7))*100)</f>
        <v/>
      </c>
      <c r="Z218" s="7">
        <f>IF($D218="","",V218*Y218/100)</f>
        <v/>
      </c>
      <c r="AA218" s="7">
        <f>IF($D218="","",V218-Z218)</f>
        <v/>
      </c>
      <c r="AB218" s="7">
        <f>IF($D218="","",AA218-N218)</f>
        <v/>
      </c>
      <c r="AF218" s="7" t="n"/>
      <c r="AI218" s="11" t="n"/>
      <c r="AK218">
        <f>IF($D218="","",IF(COUNTIF($D$2:$D218,$D218)=1,1,0))</f>
        <v/>
      </c>
      <c r="AL218">
        <f>IF($AK218=1,SUMPRODUCT(--($AO$2:$AO$3001&lt;$AO218))+1,"")</f>
        <v/>
      </c>
      <c r="AM218">
        <f>IF($D218="","",IF(OR($R218=TRUE(),$R218="TRUE"),1,0))</f>
        <v/>
      </c>
      <c r="AN218">
        <f>IF($D218="","",IF($X218="Yes",1,0))</f>
        <v/>
      </c>
      <c r="AO218">
        <f>IF($AK218=1,IFERROR(IF(VALUE($D218)&lt;100000000,VALUE($D218),1000000000),IFERROR(IF(VALUE(MID($D218,2,20))&lt;100000000,VALUE(MID($D218,2,20)),1000000000),1000000000))+ROW()/100000,"")</f>
        <v/>
      </c>
    </row>
    <row r="219">
      <c r="F219" s="11" t="n"/>
      <c r="N219" s="7">
        <f>IF($D219="","",M219*V219/100)</f>
        <v/>
      </c>
      <c r="O219" s="7" t="n"/>
      <c r="U219" s="7" t="n"/>
      <c r="V219" s="7" t="n"/>
      <c r="Y219">
        <f>IF($D219="","",IF($AN219=1,0,IF($AM219=1,Settings!$C$6,Settings!$C$7))*100)</f>
        <v/>
      </c>
      <c r="Z219" s="7">
        <f>IF($D219="","",V219*Y219/100)</f>
        <v/>
      </c>
      <c r="AA219" s="7">
        <f>IF($D219="","",V219-Z219)</f>
        <v/>
      </c>
      <c r="AB219" s="7">
        <f>IF($D219="","",AA219-N219)</f>
        <v/>
      </c>
      <c r="AF219" s="7" t="n"/>
      <c r="AI219" s="11" t="n"/>
      <c r="AK219">
        <f>IF($D219="","",IF(COUNTIF($D$2:$D219,$D219)=1,1,0))</f>
        <v/>
      </c>
      <c r="AL219">
        <f>IF($AK219=1,SUMPRODUCT(--($AO$2:$AO$3001&lt;$AO219))+1,"")</f>
        <v/>
      </c>
      <c r="AM219">
        <f>IF($D219="","",IF(OR($R219=TRUE(),$R219="TRUE"),1,0))</f>
        <v/>
      </c>
      <c r="AN219">
        <f>IF($D219="","",IF($X219="Yes",1,0))</f>
        <v/>
      </c>
      <c r="AO219">
        <f>IF($AK219=1,IFERROR(IF(VALUE($D219)&lt;100000000,VALUE($D219),1000000000),IFERROR(IF(VALUE(MID($D219,2,20))&lt;100000000,VALUE(MID($D219,2,20)),1000000000),1000000000))+ROW()/100000,"")</f>
        <v/>
      </c>
    </row>
    <row r="220">
      <c r="F220" s="11" t="n"/>
      <c r="N220" s="7">
        <f>IF($D220="","",M220*V220/100)</f>
        <v/>
      </c>
      <c r="O220" s="7" t="n"/>
      <c r="U220" s="7" t="n"/>
      <c r="V220" s="7" t="n"/>
      <c r="Y220">
        <f>IF($D220="","",IF($AN220=1,0,IF($AM220=1,Settings!$C$6,Settings!$C$7))*100)</f>
        <v/>
      </c>
      <c r="Z220" s="7">
        <f>IF($D220="","",V220*Y220/100)</f>
        <v/>
      </c>
      <c r="AA220" s="7">
        <f>IF($D220="","",V220-Z220)</f>
        <v/>
      </c>
      <c r="AB220" s="7">
        <f>IF($D220="","",AA220-N220)</f>
        <v/>
      </c>
      <c r="AF220" s="7" t="n"/>
      <c r="AI220" s="11" t="n"/>
      <c r="AK220">
        <f>IF($D220="","",IF(COUNTIF($D$2:$D220,$D220)=1,1,0))</f>
        <v/>
      </c>
      <c r="AL220">
        <f>IF($AK220=1,SUMPRODUCT(--($AO$2:$AO$3001&lt;$AO220))+1,"")</f>
        <v/>
      </c>
      <c r="AM220">
        <f>IF($D220="","",IF(OR($R220=TRUE(),$R220="TRUE"),1,0))</f>
        <v/>
      </c>
      <c r="AN220">
        <f>IF($D220="","",IF($X220="Yes",1,0))</f>
        <v/>
      </c>
      <c r="AO220">
        <f>IF($AK220=1,IFERROR(IF(VALUE($D220)&lt;100000000,VALUE($D220),1000000000),IFERROR(IF(VALUE(MID($D220,2,20))&lt;100000000,VALUE(MID($D220,2,20)),1000000000),1000000000))+ROW()/100000,"")</f>
        <v/>
      </c>
    </row>
    <row r="221">
      <c r="F221" s="11" t="n"/>
      <c r="N221" s="7">
        <f>IF($D221="","",M221*V221/100)</f>
        <v/>
      </c>
      <c r="O221" s="7" t="n"/>
      <c r="U221" s="7" t="n"/>
      <c r="V221" s="7" t="n"/>
      <c r="Y221">
        <f>IF($D221="","",IF($AN221=1,0,IF($AM221=1,Settings!$C$6,Settings!$C$7))*100)</f>
        <v/>
      </c>
      <c r="Z221" s="7">
        <f>IF($D221="","",V221*Y221/100)</f>
        <v/>
      </c>
      <c r="AA221" s="7">
        <f>IF($D221="","",V221-Z221)</f>
        <v/>
      </c>
      <c r="AB221" s="7">
        <f>IF($D221="","",AA221-N221)</f>
        <v/>
      </c>
      <c r="AF221" s="7" t="n"/>
      <c r="AI221" s="11" t="n"/>
      <c r="AK221">
        <f>IF($D221="","",IF(COUNTIF($D$2:$D221,$D221)=1,1,0))</f>
        <v/>
      </c>
      <c r="AL221">
        <f>IF($AK221=1,SUMPRODUCT(--($AO$2:$AO$3001&lt;$AO221))+1,"")</f>
        <v/>
      </c>
      <c r="AM221">
        <f>IF($D221="","",IF(OR($R221=TRUE(),$R221="TRUE"),1,0))</f>
        <v/>
      </c>
      <c r="AN221">
        <f>IF($D221="","",IF($X221="Yes",1,0))</f>
        <v/>
      </c>
      <c r="AO221">
        <f>IF($AK221=1,IFERROR(IF(VALUE($D221)&lt;100000000,VALUE($D221),1000000000),IFERROR(IF(VALUE(MID($D221,2,20))&lt;100000000,VALUE(MID($D221,2,20)),1000000000),1000000000))+ROW()/100000,"")</f>
        <v/>
      </c>
    </row>
    <row r="222">
      <c r="F222" s="11" t="n"/>
      <c r="N222" s="7">
        <f>IF($D222="","",M222*V222/100)</f>
        <v/>
      </c>
      <c r="O222" s="7" t="n"/>
      <c r="U222" s="7" t="n"/>
      <c r="V222" s="7" t="n"/>
      <c r="Y222">
        <f>IF($D222="","",IF($AN222=1,0,IF($AM222=1,Settings!$C$6,Settings!$C$7))*100)</f>
        <v/>
      </c>
      <c r="Z222" s="7">
        <f>IF($D222="","",V222*Y222/100)</f>
        <v/>
      </c>
      <c r="AA222" s="7">
        <f>IF($D222="","",V222-Z222)</f>
        <v/>
      </c>
      <c r="AB222" s="7">
        <f>IF($D222="","",AA222-N222)</f>
        <v/>
      </c>
      <c r="AF222" s="7" t="n"/>
      <c r="AI222" s="11" t="n"/>
      <c r="AK222">
        <f>IF($D222="","",IF(COUNTIF($D$2:$D222,$D222)=1,1,0))</f>
        <v/>
      </c>
      <c r="AL222">
        <f>IF($AK222=1,SUMPRODUCT(--($AO$2:$AO$3001&lt;$AO222))+1,"")</f>
        <v/>
      </c>
      <c r="AM222">
        <f>IF($D222="","",IF(OR($R222=TRUE(),$R222="TRUE"),1,0))</f>
        <v/>
      </c>
      <c r="AN222">
        <f>IF($D222="","",IF($X222="Yes",1,0))</f>
        <v/>
      </c>
      <c r="AO222">
        <f>IF($AK222=1,IFERROR(IF(VALUE($D222)&lt;100000000,VALUE($D222),1000000000),IFERROR(IF(VALUE(MID($D222,2,20))&lt;100000000,VALUE(MID($D222,2,20)),1000000000),1000000000))+ROW()/100000,"")</f>
        <v/>
      </c>
    </row>
    <row r="223">
      <c r="F223" s="11" t="n"/>
      <c r="N223" s="7">
        <f>IF($D223="","",M223*V223/100)</f>
        <v/>
      </c>
      <c r="O223" s="7" t="n"/>
      <c r="U223" s="7" t="n"/>
      <c r="V223" s="7" t="n"/>
      <c r="Y223">
        <f>IF($D223="","",IF($AN223=1,0,IF($AM223=1,Settings!$C$6,Settings!$C$7))*100)</f>
        <v/>
      </c>
      <c r="Z223" s="7">
        <f>IF($D223="","",V223*Y223/100)</f>
        <v/>
      </c>
      <c r="AA223" s="7">
        <f>IF($D223="","",V223-Z223)</f>
        <v/>
      </c>
      <c r="AB223" s="7">
        <f>IF($D223="","",AA223-N223)</f>
        <v/>
      </c>
      <c r="AF223" s="7" t="n"/>
      <c r="AI223" s="11" t="n"/>
      <c r="AK223">
        <f>IF($D223="","",IF(COUNTIF($D$2:$D223,$D223)=1,1,0))</f>
        <v/>
      </c>
      <c r="AL223">
        <f>IF($AK223=1,SUMPRODUCT(--($AO$2:$AO$3001&lt;$AO223))+1,"")</f>
        <v/>
      </c>
      <c r="AM223">
        <f>IF($D223="","",IF(OR($R223=TRUE(),$R223="TRUE"),1,0))</f>
        <v/>
      </c>
      <c r="AN223">
        <f>IF($D223="","",IF($X223="Yes",1,0))</f>
        <v/>
      </c>
      <c r="AO223">
        <f>IF($AK223=1,IFERROR(IF(VALUE($D223)&lt;100000000,VALUE($D223),1000000000),IFERROR(IF(VALUE(MID($D223,2,20))&lt;100000000,VALUE(MID($D223,2,20)),1000000000),1000000000))+ROW()/100000,"")</f>
        <v/>
      </c>
    </row>
    <row r="224">
      <c r="F224" s="11" t="n"/>
      <c r="N224" s="7">
        <f>IF($D224="","",M224*V224/100)</f>
        <v/>
      </c>
      <c r="O224" s="7" t="n"/>
      <c r="U224" s="7" t="n"/>
      <c r="V224" s="7" t="n"/>
      <c r="Y224">
        <f>IF($D224="","",IF($AN224=1,0,IF($AM224=1,Settings!$C$6,Settings!$C$7))*100)</f>
        <v/>
      </c>
      <c r="Z224" s="7">
        <f>IF($D224="","",V224*Y224/100)</f>
        <v/>
      </c>
      <c r="AA224" s="7">
        <f>IF($D224="","",V224-Z224)</f>
        <v/>
      </c>
      <c r="AB224" s="7">
        <f>IF($D224="","",AA224-N224)</f>
        <v/>
      </c>
      <c r="AF224" s="7" t="n"/>
      <c r="AI224" s="11" t="n"/>
      <c r="AK224">
        <f>IF($D224="","",IF(COUNTIF($D$2:$D224,$D224)=1,1,0))</f>
        <v/>
      </c>
      <c r="AL224">
        <f>IF($AK224=1,SUMPRODUCT(--($AO$2:$AO$3001&lt;$AO224))+1,"")</f>
        <v/>
      </c>
      <c r="AM224">
        <f>IF($D224="","",IF(OR($R224=TRUE(),$R224="TRUE"),1,0))</f>
        <v/>
      </c>
      <c r="AN224">
        <f>IF($D224="","",IF($X224="Yes",1,0))</f>
        <v/>
      </c>
      <c r="AO224">
        <f>IF($AK224=1,IFERROR(IF(VALUE($D224)&lt;100000000,VALUE($D224),1000000000),IFERROR(IF(VALUE(MID($D224,2,20))&lt;100000000,VALUE(MID($D224,2,20)),1000000000),1000000000))+ROW()/100000,"")</f>
        <v/>
      </c>
    </row>
    <row r="225">
      <c r="F225" s="11" t="n"/>
      <c r="N225" s="7">
        <f>IF($D225="","",M225*V225/100)</f>
        <v/>
      </c>
      <c r="O225" s="7" t="n"/>
      <c r="U225" s="7" t="n"/>
      <c r="V225" s="7" t="n"/>
      <c r="Y225">
        <f>IF($D225="","",IF($AN225=1,0,IF($AM225=1,Settings!$C$6,Settings!$C$7))*100)</f>
        <v/>
      </c>
      <c r="Z225" s="7">
        <f>IF($D225="","",V225*Y225/100)</f>
        <v/>
      </c>
      <c r="AA225" s="7">
        <f>IF($D225="","",V225-Z225)</f>
        <v/>
      </c>
      <c r="AB225" s="7">
        <f>IF($D225="","",AA225-N225)</f>
        <v/>
      </c>
      <c r="AF225" s="7" t="n"/>
      <c r="AI225" s="11" t="n"/>
      <c r="AK225">
        <f>IF($D225="","",IF(COUNTIF($D$2:$D225,$D225)=1,1,0))</f>
        <v/>
      </c>
      <c r="AL225">
        <f>IF($AK225=1,SUMPRODUCT(--($AO$2:$AO$3001&lt;$AO225))+1,"")</f>
        <v/>
      </c>
      <c r="AM225">
        <f>IF($D225="","",IF(OR($R225=TRUE(),$R225="TRUE"),1,0))</f>
        <v/>
      </c>
      <c r="AN225">
        <f>IF($D225="","",IF($X225="Yes",1,0))</f>
        <v/>
      </c>
      <c r="AO225">
        <f>IF($AK225=1,IFERROR(IF(VALUE($D225)&lt;100000000,VALUE($D225),1000000000),IFERROR(IF(VALUE(MID($D225,2,20))&lt;100000000,VALUE(MID($D225,2,20)),1000000000),1000000000))+ROW()/100000,"")</f>
        <v/>
      </c>
    </row>
    <row r="226">
      <c r="F226" s="11" t="n"/>
      <c r="N226" s="7">
        <f>IF($D226="","",M226*V226/100)</f>
        <v/>
      </c>
      <c r="O226" s="7" t="n"/>
      <c r="U226" s="7" t="n"/>
      <c r="V226" s="7" t="n"/>
      <c r="Y226">
        <f>IF($D226="","",IF($AN226=1,0,IF($AM226=1,Settings!$C$6,Settings!$C$7))*100)</f>
        <v/>
      </c>
      <c r="Z226" s="7">
        <f>IF($D226="","",V226*Y226/100)</f>
        <v/>
      </c>
      <c r="AA226" s="7">
        <f>IF($D226="","",V226-Z226)</f>
        <v/>
      </c>
      <c r="AB226" s="7">
        <f>IF($D226="","",AA226-N226)</f>
        <v/>
      </c>
      <c r="AF226" s="7" t="n"/>
      <c r="AI226" s="11" t="n"/>
      <c r="AK226">
        <f>IF($D226="","",IF(COUNTIF($D$2:$D226,$D226)=1,1,0))</f>
        <v/>
      </c>
      <c r="AL226">
        <f>IF($AK226=1,SUMPRODUCT(--($AO$2:$AO$3001&lt;$AO226))+1,"")</f>
        <v/>
      </c>
      <c r="AM226">
        <f>IF($D226="","",IF(OR($R226=TRUE(),$R226="TRUE"),1,0))</f>
        <v/>
      </c>
      <c r="AN226">
        <f>IF($D226="","",IF($X226="Yes",1,0))</f>
        <v/>
      </c>
      <c r="AO226">
        <f>IF($AK226=1,IFERROR(IF(VALUE($D226)&lt;100000000,VALUE($D226),1000000000),IFERROR(IF(VALUE(MID($D226,2,20))&lt;100000000,VALUE(MID($D226,2,20)),1000000000),1000000000))+ROW()/100000,"")</f>
        <v/>
      </c>
    </row>
    <row r="227">
      <c r="F227" s="11" t="n"/>
      <c r="N227" s="7">
        <f>IF($D227="","",M227*V227/100)</f>
        <v/>
      </c>
      <c r="O227" s="7" t="n"/>
      <c r="U227" s="7" t="n"/>
      <c r="V227" s="7" t="n"/>
      <c r="Y227">
        <f>IF($D227="","",IF($AN227=1,0,IF($AM227=1,Settings!$C$6,Settings!$C$7))*100)</f>
        <v/>
      </c>
      <c r="Z227" s="7">
        <f>IF($D227="","",V227*Y227/100)</f>
        <v/>
      </c>
      <c r="AA227" s="7">
        <f>IF($D227="","",V227-Z227)</f>
        <v/>
      </c>
      <c r="AB227" s="7">
        <f>IF($D227="","",AA227-N227)</f>
        <v/>
      </c>
      <c r="AF227" s="7" t="n"/>
      <c r="AI227" s="11" t="n"/>
      <c r="AK227">
        <f>IF($D227="","",IF(COUNTIF($D$2:$D227,$D227)=1,1,0))</f>
        <v/>
      </c>
      <c r="AL227">
        <f>IF($AK227=1,SUMPRODUCT(--($AO$2:$AO$3001&lt;$AO227))+1,"")</f>
        <v/>
      </c>
      <c r="AM227">
        <f>IF($D227="","",IF(OR($R227=TRUE(),$R227="TRUE"),1,0))</f>
        <v/>
      </c>
      <c r="AN227">
        <f>IF($D227="","",IF($X227="Yes",1,0))</f>
        <v/>
      </c>
      <c r="AO227">
        <f>IF($AK227=1,IFERROR(IF(VALUE($D227)&lt;100000000,VALUE($D227),1000000000),IFERROR(IF(VALUE(MID($D227,2,20))&lt;100000000,VALUE(MID($D227,2,20)),1000000000),1000000000))+ROW()/100000,"")</f>
        <v/>
      </c>
    </row>
    <row r="228">
      <c r="F228" s="11" t="n"/>
      <c r="N228" s="7">
        <f>IF($D228="","",M228*V228/100)</f>
        <v/>
      </c>
      <c r="O228" s="7" t="n"/>
      <c r="U228" s="7" t="n"/>
      <c r="V228" s="7" t="n"/>
      <c r="Y228">
        <f>IF($D228="","",IF($AN228=1,0,IF($AM228=1,Settings!$C$6,Settings!$C$7))*100)</f>
        <v/>
      </c>
      <c r="Z228" s="7">
        <f>IF($D228="","",V228*Y228/100)</f>
        <v/>
      </c>
      <c r="AA228" s="7">
        <f>IF($D228="","",V228-Z228)</f>
        <v/>
      </c>
      <c r="AB228" s="7">
        <f>IF($D228="","",AA228-N228)</f>
        <v/>
      </c>
      <c r="AF228" s="7" t="n"/>
      <c r="AI228" s="11" t="n"/>
      <c r="AK228">
        <f>IF($D228="","",IF(COUNTIF($D$2:$D228,$D228)=1,1,0))</f>
        <v/>
      </c>
      <c r="AL228">
        <f>IF($AK228=1,SUMPRODUCT(--($AO$2:$AO$3001&lt;$AO228))+1,"")</f>
        <v/>
      </c>
      <c r="AM228">
        <f>IF($D228="","",IF(OR($R228=TRUE(),$R228="TRUE"),1,0))</f>
        <v/>
      </c>
      <c r="AN228">
        <f>IF($D228="","",IF($X228="Yes",1,0))</f>
        <v/>
      </c>
      <c r="AO228">
        <f>IF($AK228=1,IFERROR(IF(VALUE($D228)&lt;100000000,VALUE($D228),1000000000),IFERROR(IF(VALUE(MID($D228,2,20))&lt;100000000,VALUE(MID($D228,2,20)),1000000000),1000000000))+ROW()/100000,"")</f>
        <v/>
      </c>
    </row>
    <row r="229">
      <c r="F229" s="11" t="n"/>
      <c r="N229" s="7">
        <f>IF($D229="","",M229*V229/100)</f>
        <v/>
      </c>
      <c r="O229" s="7" t="n"/>
      <c r="U229" s="7" t="n"/>
      <c r="V229" s="7" t="n"/>
      <c r="Y229">
        <f>IF($D229="","",IF($AN229=1,0,IF($AM229=1,Settings!$C$6,Settings!$C$7))*100)</f>
        <v/>
      </c>
      <c r="Z229" s="7">
        <f>IF($D229="","",V229*Y229/100)</f>
        <v/>
      </c>
      <c r="AA229" s="7">
        <f>IF($D229="","",V229-Z229)</f>
        <v/>
      </c>
      <c r="AB229" s="7">
        <f>IF($D229="","",AA229-N229)</f>
        <v/>
      </c>
      <c r="AF229" s="7" t="n"/>
      <c r="AI229" s="11" t="n"/>
      <c r="AK229">
        <f>IF($D229="","",IF(COUNTIF($D$2:$D229,$D229)=1,1,0))</f>
        <v/>
      </c>
      <c r="AL229">
        <f>IF($AK229=1,SUMPRODUCT(--($AO$2:$AO$3001&lt;$AO229))+1,"")</f>
        <v/>
      </c>
      <c r="AM229">
        <f>IF($D229="","",IF(OR($R229=TRUE(),$R229="TRUE"),1,0))</f>
        <v/>
      </c>
      <c r="AN229">
        <f>IF($D229="","",IF($X229="Yes",1,0))</f>
        <v/>
      </c>
      <c r="AO229">
        <f>IF($AK229=1,IFERROR(IF(VALUE($D229)&lt;100000000,VALUE($D229),1000000000),IFERROR(IF(VALUE(MID($D229,2,20))&lt;100000000,VALUE(MID($D229,2,20)),1000000000),1000000000))+ROW()/100000,"")</f>
        <v/>
      </c>
    </row>
    <row r="230">
      <c r="F230" s="11" t="n"/>
      <c r="N230" s="7">
        <f>IF($D230="","",M230*V230/100)</f>
        <v/>
      </c>
      <c r="O230" s="7" t="n"/>
      <c r="U230" s="7" t="n"/>
      <c r="V230" s="7" t="n"/>
      <c r="Y230">
        <f>IF($D230="","",IF($AN230=1,0,IF($AM230=1,Settings!$C$6,Settings!$C$7))*100)</f>
        <v/>
      </c>
      <c r="Z230" s="7">
        <f>IF($D230="","",V230*Y230/100)</f>
        <v/>
      </c>
      <c r="AA230" s="7">
        <f>IF($D230="","",V230-Z230)</f>
        <v/>
      </c>
      <c r="AB230" s="7">
        <f>IF($D230="","",AA230-N230)</f>
        <v/>
      </c>
      <c r="AF230" s="7" t="n"/>
      <c r="AI230" s="11" t="n"/>
      <c r="AK230">
        <f>IF($D230="","",IF(COUNTIF($D$2:$D230,$D230)=1,1,0))</f>
        <v/>
      </c>
      <c r="AL230">
        <f>IF($AK230=1,SUMPRODUCT(--($AO$2:$AO$3001&lt;$AO230))+1,"")</f>
        <v/>
      </c>
      <c r="AM230">
        <f>IF($D230="","",IF(OR($R230=TRUE(),$R230="TRUE"),1,0))</f>
        <v/>
      </c>
      <c r="AN230">
        <f>IF($D230="","",IF($X230="Yes",1,0))</f>
        <v/>
      </c>
      <c r="AO230">
        <f>IF($AK230=1,IFERROR(IF(VALUE($D230)&lt;100000000,VALUE($D230),1000000000),IFERROR(IF(VALUE(MID($D230,2,20))&lt;100000000,VALUE(MID($D230,2,20)),1000000000),1000000000))+ROW()/100000,"")</f>
        <v/>
      </c>
    </row>
    <row r="231">
      <c r="F231" s="11" t="n"/>
      <c r="N231" s="7">
        <f>IF($D231="","",M231*V231/100)</f>
        <v/>
      </c>
      <c r="O231" s="7" t="n"/>
      <c r="U231" s="7" t="n"/>
      <c r="V231" s="7" t="n"/>
      <c r="Y231">
        <f>IF($D231="","",IF($AN231=1,0,IF($AM231=1,Settings!$C$6,Settings!$C$7))*100)</f>
        <v/>
      </c>
      <c r="Z231" s="7">
        <f>IF($D231="","",V231*Y231/100)</f>
        <v/>
      </c>
      <c r="AA231" s="7">
        <f>IF($D231="","",V231-Z231)</f>
        <v/>
      </c>
      <c r="AB231" s="7">
        <f>IF($D231="","",AA231-N231)</f>
        <v/>
      </c>
      <c r="AF231" s="7" t="n"/>
      <c r="AI231" s="11" t="n"/>
      <c r="AK231">
        <f>IF($D231="","",IF(COUNTIF($D$2:$D231,$D231)=1,1,0))</f>
        <v/>
      </c>
      <c r="AL231">
        <f>IF($AK231=1,SUMPRODUCT(--($AO$2:$AO$3001&lt;$AO231))+1,"")</f>
        <v/>
      </c>
      <c r="AM231">
        <f>IF($D231="","",IF(OR($R231=TRUE(),$R231="TRUE"),1,0))</f>
        <v/>
      </c>
      <c r="AN231">
        <f>IF($D231="","",IF($X231="Yes",1,0))</f>
        <v/>
      </c>
      <c r="AO231">
        <f>IF($AK231=1,IFERROR(IF(VALUE($D231)&lt;100000000,VALUE($D231),1000000000),IFERROR(IF(VALUE(MID($D231,2,20))&lt;100000000,VALUE(MID($D231,2,20)),1000000000),1000000000))+ROW()/100000,"")</f>
        <v/>
      </c>
    </row>
    <row r="232">
      <c r="F232" s="11" t="n"/>
      <c r="N232" s="7">
        <f>IF($D232="","",M232*V232/100)</f>
        <v/>
      </c>
      <c r="O232" s="7" t="n"/>
      <c r="U232" s="7" t="n"/>
      <c r="V232" s="7" t="n"/>
      <c r="Y232">
        <f>IF($D232="","",IF($AN232=1,0,IF($AM232=1,Settings!$C$6,Settings!$C$7))*100)</f>
        <v/>
      </c>
      <c r="Z232" s="7">
        <f>IF($D232="","",V232*Y232/100)</f>
        <v/>
      </c>
      <c r="AA232" s="7">
        <f>IF($D232="","",V232-Z232)</f>
        <v/>
      </c>
      <c r="AB232" s="7">
        <f>IF($D232="","",AA232-N232)</f>
        <v/>
      </c>
      <c r="AF232" s="7" t="n"/>
      <c r="AI232" s="11" t="n"/>
      <c r="AK232">
        <f>IF($D232="","",IF(COUNTIF($D$2:$D232,$D232)=1,1,0))</f>
        <v/>
      </c>
      <c r="AL232">
        <f>IF($AK232=1,SUMPRODUCT(--($AO$2:$AO$3001&lt;$AO232))+1,"")</f>
        <v/>
      </c>
      <c r="AM232">
        <f>IF($D232="","",IF(OR($R232=TRUE(),$R232="TRUE"),1,0))</f>
        <v/>
      </c>
      <c r="AN232">
        <f>IF($D232="","",IF($X232="Yes",1,0))</f>
        <v/>
      </c>
      <c r="AO232">
        <f>IF($AK232=1,IFERROR(IF(VALUE($D232)&lt;100000000,VALUE($D232),1000000000),IFERROR(IF(VALUE(MID($D232,2,20))&lt;100000000,VALUE(MID($D232,2,20)),1000000000),1000000000))+ROW()/100000,"")</f>
        <v/>
      </c>
    </row>
    <row r="233">
      <c r="F233" s="11" t="n"/>
      <c r="N233" s="7">
        <f>IF($D233="","",M233*V233/100)</f>
        <v/>
      </c>
      <c r="O233" s="7" t="n"/>
      <c r="U233" s="7" t="n"/>
      <c r="V233" s="7" t="n"/>
      <c r="Y233">
        <f>IF($D233="","",IF($AN233=1,0,IF($AM233=1,Settings!$C$6,Settings!$C$7))*100)</f>
        <v/>
      </c>
      <c r="Z233" s="7">
        <f>IF($D233="","",V233*Y233/100)</f>
        <v/>
      </c>
      <c r="AA233" s="7">
        <f>IF($D233="","",V233-Z233)</f>
        <v/>
      </c>
      <c r="AB233" s="7">
        <f>IF($D233="","",AA233-N233)</f>
        <v/>
      </c>
      <c r="AF233" s="7" t="n"/>
      <c r="AI233" s="11" t="n"/>
      <c r="AK233">
        <f>IF($D233="","",IF(COUNTIF($D$2:$D233,$D233)=1,1,0))</f>
        <v/>
      </c>
      <c r="AL233">
        <f>IF($AK233=1,SUMPRODUCT(--($AO$2:$AO$3001&lt;$AO233))+1,"")</f>
        <v/>
      </c>
      <c r="AM233">
        <f>IF($D233="","",IF(OR($R233=TRUE(),$R233="TRUE"),1,0))</f>
        <v/>
      </c>
      <c r="AN233">
        <f>IF($D233="","",IF($X233="Yes",1,0))</f>
        <v/>
      </c>
      <c r="AO233">
        <f>IF($AK233=1,IFERROR(IF(VALUE($D233)&lt;100000000,VALUE($D233),1000000000),IFERROR(IF(VALUE(MID($D233,2,20))&lt;100000000,VALUE(MID($D233,2,20)),1000000000),1000000000))+ROW()/100000,"")</f>
        <v/>
      </c>
    </row>
    <row r="234">
      <c r="F234" s="11" t="n"/>
      <c r="N234" s="7">
        <f>IF($D234="","",M234*V234/100)</f>
        <v/>
      </c>
      <c r="O234" s="7" t="n"/>
      <c r="U234" s="7" t="n"/>
      <c r="V234" s="7" t="n"/>
      <c r="Y234">
        <f>IF($D234="","",IF($AN234=1,0,IF($AM234=1,Settings!$C$6,Settings!$C$7))*100)</f>
        <v/>
      </c>
      <c r="Z234" s="7">
        <f>IF($D234="","",V234*Y234/100)</f>
        <v/>
      </c>
      <c r="AA234" s="7">
        <f>IF($D234="","",V234-Z234)</f>
        <v/>
      </c>
      <c r="AB234" s="7">
        <f>IF($D234="","",AA234-N234)</f>
        <v/>
      </c>
      <c r="AF234" s="7" t="n"/>
      <c r="AI234" s="11" t="n"/>
      <c r="AK234">
        <f>IF($D234="","",IF(COUNTIF($D$2:$D234,$D234)=1,1,0))</f>
        <v/>
      </c>
      <c r="AL234">
        <f>IF($AK234=1,SUMPRODUCT(--($AO$2:$AO$3001&lt;$AO234))+1,"")</f>
        <v/>
      </c>
      <c r="AM234">
        <f>IF($D234="","",IF(OR($R234=TRUE(),$R234="TRUE"),1,0))</f>
        <v/>
      </c>
      <c r="AN234">
        <f>IF($D234="","",IF($X234="Yes",1,0))</f>
        <v/>
      </c>
      <c r="AO234">
        <f>IF($AK234=1,IFERROR(IF(VALUE($D234)&lt;100000000,VALUE($D234),1000000000),IFERROR(IF(VALUE(MID($D234,2,20))&lt;100000000,VALUE(MID($D234,2,20)),1000000000),1000000000))+ROW()/100000,"")</f>
        <v/>
      </c>
    </row>
    <row r="235">
      <c r="F235" s="11" t="n"/>
      <c r="N235" s="7">
        <f>IF($D235="","",M235*V235/100)</f>
        <v/>
      </c>
      <c r="O235" s="7" t="n"/>
      <c r="U235" s="7" t="n"/>
      <c r="V235" s="7" t="n"/>
      <c r="Y235">
        <f>IF($D235="","",IF($AN235=1,0,IF($AM235=1,Settings!$C$6,Settings!$C$7))*100)</f>
        <v/>
      </c>
      <c r="Z235" s="7">
        <f>IF($D235="","",V235*Y235/100)</f>
        <v/>
      </c>
      <c r="AA235" s="7">
        <f>IF($D235="","",V235-Z235)</f>
        <v/>
      </c>
      <c r="AB235" s="7">
        <f>IF($D235="","",AA235-N235)</f>
        <v/>
      </c>
      <c r="AF235" s="7" t="n"/>
      <c r="AI235" s="11" t="n"/>
      <c r="AK235">
        <f>IF($D235="","",IF(COUNTIF($D$2:$D235,$D235)=1,1,0))</f>
        <v/>
      </c>
      <c r="AL235">
        <f>IF($AK235=1,SUMPRODUCT(--($AO$2:$AO$3001&lt;$AO235))+1,"")</f>
        <v/>
      </c>
      <c r="AM235">
        <f>IF($D235="","",IF(OR($R235=TRUE(),$R235="TRUE"),1,0))</f>
        <v/>
      </c>
      <c r="AN235">
        <f>IF($D235="","",IF($X235="Yes",1,0))</f>
        <v/>
      </c>
      <c r="AO235">
        <f>IF($AK235=1,IFERROR(IF(VALUE($D235)&lt;100000000,VALUE($D235),1000000000),IFERROR(IF(VALUE(MID($D235,2,20))&lt;100000000,VALUE(MID($D235,2,20)),1000000000),1000000000))+ROW()/100000,"")</f>
        <v/>
      </c>
    </row>
    <row r="236">
      <c r="F236" s="11" t="n"/>
      <c r="N236" s="7">
        <f>IF($D236="","",M236*V236/100)</f>
        <v/>
      </c>
      <c r="O236" s="7" t="n"/>
      <c r="U236" s="7" t="n"/>
      <c r="V236" s="7" t="n"/>
      <c r="Y236">
        <f>IF($D236="","",IF($AN236=1,0,IF($AM236=1,Settings!$C$6,Settings!$C$7))*100)</f>
        <v/>
      </c>
      <c r="Z236" s="7">
        <f>IF($D236="","",V236*Y236/100)</f>
        <v/>
      </c>
      <c r="AA236" s="7">
        <f>IF($D236="","",V236-Z236)</f>
        <v/>
      </c>
      <c r="AB236" s="7">
        <f>IF($D236="","",AA236-N236)</f>
        <v/>
      </c>
      <c r="AF236" s="7" t="n"/>
      <c r="AI236" s="11" t="n"/>
      <c r="AK236">
        <f>IF($D236="","",IF(COUNTIF($D$2:$D236,$D236)=1,1,0))</f>
        <v/>
      </c>
      <c r="AL236">
        <f>IF($AK236=1,SUMPRODUCT(--($AO$2:$AO$3001&lt;$AO236))+1,"")</f>
        <v/>
      </c>
      <c r="AM236">
        <f>IF($D236="","",IF(OR($R236=TRUE(),$R236="TRUE"),1,0))</f>
        <v/>
      </c>
      <c r="AN236">
        <f>IF($D236="","",IF($X236="Yes",1,0))</f>
        <v/>
      </c>
      <c r="AO236">
        <f>IF($AK236=1,IFERROR(IF(VALUE($D236)&lt;100000000,VALUE($D236),1000000000),IFERROR(IF(VALUE(MID($D236,2,20))&lt;100000000,VALUE(MID($D236,2,20)),1000000000),1000000000))+ROW()/100000,"")</f>
        <v/>
      </c>
    </row>
    <row r="237">
      <c r="F237" s="11" t="n"/>
      <c r="N237" s="7">
        <f>IF($D237="","",M237*V237/100)</f>
        <v/>
      </c>
      <c r="O237" s="7" t="n"/>
      <c r="U237" s="7" t="n"/>
      <c r="V237" s="7" t="n"/>
      <c r="Y237">
        <f>IF($D237="","",IF($AN237=1,0,IF($AM237=1,Settings!$C$6,Settings!$C$7))*100)</f>
        <v/>
      </c>
      <c r="Z237" s="7">
        <f>IF($D237="","",V237*Y237/100)</f>
        <v/>
      </c>
      <c r="AA237" s="7">
        <f>IF($D237="","",V237-Z237)</f>
        <v/>
      </c>
      <c r="AB237" s="7">
        <f>IF($D237="","",AA237-N237)</f>
        <v/>
      </c>
      <c r="AF237" s="7" t="n"/>
      <c r="AI237" s="11" t="n"/>
      <c r="AK237">
        <f>IF($D237="","",IF(COUNTIF($D$2:$D237,$D237)=1,1,0))</f>
        <v/>
      </c>
      <c r="AL237">
        <f>IF($AK237=1,SUMPRODUCT(--($AO$2:$AO$3001&lt;$AO237))+1,"")</f>
        <v/>
      </c>
      <c r="AM237">
        <f>IF($D237="","",IF(OR($R237=TRUE(),$R237="TRUE"),1,0))</f>
        <v/>
      </c>
      <c r="AN237">
        <f>IF($D237="","",IF($X237="Yes",1,0))</f>
        <v/>
      </c>
      <c r="AO237">
        <f>IF($AK237=1,IFERROR(IF(VALUE($D237)&lt;100000000,VALUE($D237),1000000000),IFERROR(IF(VALUE(MID($D237,2,20))&lt;100000000,VALUE(MID($D237,2,20)),1000000000),1000000000))+ROW()/100000,"")</f>
        <v/>
      </c>
    </row>
    <row r="238">
      <c r="F238" s="11" t="n"/>
      <c r="N238" s="7">
        <f>IF($D238="","",M238*V238/100)</f>
        <v/>
      </c>
      <c r="O238" s="7" t="n"/>
      <c r="U238" s="7" t="n"/>
      <c r="V238" s="7" t="n"/>
      <c r="Y238">
        <f>IF($D238="","",IF($AN238=1,0,IF($AM238=1,Settings!$C$6,Settings!$C$7))*100)</f>
        <v/>
      </c>
      <c r="Z238" s="7">
        <f>IF($D238="","",V238*Y238/100)</f>
        <v/>
      </c>
      <c r="AA238" s="7">
        <f>IF($D238="","",V238-Z238)</f>
        <v/>
      </c>
      <c r="AB238" s="7">
        <f>IF($D238="","",AA238-N238)</f>
        <v/>
      </c>
      <c r="AF238" s="7" t="n"/>
      <c r="AI238" s="11" t="n"/>
      <c r="AK238">
        <f>IF($D238="","",IF(COUNTIF($D$2:$D238,$D238)=1,1,0))</f>
        <v/>
      </c>
      <c r="AL238">
        <f>IF($AK238=1,SUMPRODUCT(--($AO$2:$AO$3001&lt;$AO238))+1,"")</f>
        <v/>
      </c>
      <c r="AM238">
        <f>IF($D238="","",IF(OR($R238=TRUE(),$R238="TRUE"),1,0))</f>
        <v/>
      </c>
      <c r="AN238">
        <f>IF($D238="","",IF($X238="Yes",1,0))</f>
        <v/>
      </c>
      <c r="AO238">
        <f>IF($AK238=1,IFERROR(IF(VALUE($D238)&lt;100000000,VALUE($D238),1000000000),IFERROR(IF(VALUE(MID($D238,2,20))&lt;100000000,VALUE(MID($D238,2,20)),1000000000),1000000000))+ROW()/100000,"")</f>
        <v/>
      </c>
    </row>
    <row r="239">
      <c r="F239" s="11" t="n"/>
      <c r="N239" s="7">
        <f>IF($D239="","",M239*V239/100)</f>
        <v/>
      </c>
      <c r="O239" s="7" t="n"/>
      <c r="U239" s="7" t="n"/>
      <c r="V239" s="7" t="n"/>
      <c r="Y239">
        <f>IF($D239="","",IF($AN239=1,0,IF($AM239=1,Settings!$C$6,Settings!$C$7))*100)</f>
        <v/>
      </c>
      <c r="Z239" s="7">
        <f>IF($D239="","",V239*Y239/100)</f>
        <v/>
      </c>
      <c r="AA239" s="7">
        <f>IF($D239="","",V239-Z239)</f>
        <v/>
      </c>
      <c r="AB239" s="7">
        <f>IF($D239="","",AA239-N239)</f>
        <v/>
      </c>
      <c r="AF239" s="7" t="n"/>
      <c r="AI239" s="11" t="n"/>
      <c r="AK239">
        <f>IF($D239="","",IF(COUNTIF($D$2:$D239,$D239)=1,1,0))</f>
        <v/>
      </c>
      <c r="AL239">
        <f>IF($AK239=1,SUMPRODUCT(--($AO$2:$AO$3001&lt;$AO239))+1,"")</f>
        <v/>
      </c>
      <c r="AM239">
        <f>IF($D239="","",IF(OR($R239=TRUE(),$R239="TRUE"),1,0))</f>
        <v/>
      </c>
      <c r="AN239">
        <f>IF($D239="","",IF($X239="Yes",1,0))</f>
        <v/>
      </c>
      <c r="AO239">
        <f>IF($AK239=1,IFERROR(IF(VALUE($D239)&lt;100000000,VALUE($D239),1000000000),IFERROR(IF(VALUE(MID($D239,2,20))&lt;100000000,VALUE(MID($D239,2,20)),1000000000),1000000000))+ROW()/100000,"")</f>
        <v/>
      </c>
    </row>
    <row r="240">
      <c r="F240" s="11" t="n"/>
      <c r="N240" s="7">
        <f>IF($D240="","",M240*V240/100)</f>
        <v/>
      </c>
      <c r="O240" s="7" t="n"/>
      <c r="U240" s="7" t="n"/>
      <c r="V240" s="7" t="n"/>
      <c r="Y240">
        <f>IF($D240="","",IF($AN240=1,0,IF($AM240=1,Settings!$C$6,Settings!$C$7))*100)</f>
        <v/>
      </c>
      <c r="Z240" s="7">
        <f>IF($D240="","",V240*Y240/100)</f>
        <v/>
      </c>
      <c r="AA240" s="7">
        <f>IF($D240="","",V240-Z240)</f>
        <v/>
      </c>
      <c r="AB240" s="7">
        <f>IF($D240="","",AA240-N240)</f>
        <v/>
      </c>
      <c r="AF240" s="7" t="n"/>
      <c r="AI240" s="11" t="n"/>
      <c r="AK240">
        <f>IF($D240="","",IF(COUNTIF($D$2:$D240,$D240)=1,1,0))</f>
        <v/>
      </c>
      <c r="AL240">
        <f>IF($AK240=1,SUMPRODUCT(--($AO$2:$AO$3001&lt;$AO240))+1,"")</f>
        <v/>
      </c>
      <c r="AM240">
        <f>IF($D240="","",IF(OR($R240=TRUE(),$R240="TRUE"),1,0))</f>
        <v/>
      </c>
      <c r="AN240">
        <f>IF($D240="","",IF($X240="Yes",1,0))</f>
        <v/>
      </c>
      <c r="AO240">
        <f>IF($AK240=1,IFERROR(IF(VALUE($D240)&lt;100000000,VALUE($D240),1000000000),IFERROR(IF(VALUE(MID($D240,2,20))&lt;100000000,VALUE(MID($D240,2,20)),1000000000),1000000000))+ROW()/100000,"")</f>
        <v/>
      </c>
    </row>
    <row r="241">
      <c r="F241" s="11" t="n"/>
      <c r="N241" s="7">
        <f>IF($D241="","",M241*V241/100)</f>
        <v/>
      </c>
      <c r="O241" s="7" t="n"/>
      <c r="U241" s="7" t="n"/>
      <c r="V241" s="7" t="n"/>
      <c r="Y241">
        <f>IF($D241="","",IF($AN241=1,0,IF($AM241=1,Settings!$C$6,Settings!$C$7))*100)</f>
        <v/>
      </c>
      <c r="Z241" s="7">
        <f>IF($D241="","",V241*Y241/100)</f>
        <v/>
      </c>
      <c r="AA241" s="7">
        <f>IF($D241="","",V241-Z241)</f>
        <v/>
      </c>
      <c r="AB241" s="7">
        <f>IF($D241="","",AA241-N241)</f>
        <v/>
      </c>
      <c r="AF241" s="7" t="n"/>
      <c r="AI241" s="11" t="n"/>
      <c r="AK241">
        <f>IF($D241="","",IF(COUNTIF($D$2:$D241,$D241)=1,1,0))</f>
        <v/>
      </c>
      <c r="AL241">
        <f>IF($AK241=1,SUMPRODUCT(--($AO$2:$AO$3001&lt;$AO241))+1,"")</f>
        <v/>
      </c>
      <c r="AM241">
        <f>IF($D241="","",IF(OR($R241=TRUE(),$R241="TRUE"),1,0))</f>
        <v/>
      </c>
      <c r="AN241">
        <f>IF($D241="","",IF($X241="Yes",1,0))</f>
        <v/>
      </c>
      <c r="AO241">
        <f>IF($AK241=1,IFERROR(IF(VALUE($D241)&lt;100000000,VALUE($D241),1000000000),IFERROR(IF(VALUE(MID($D241,2,20))&lt;100000000,VALUE(MID($D241,2,20)),1000000000),1000000000))+ROW()/100000,"")</f>
        <v/>
      </c>
    </row>
    <row r="242">
      <c r="F242" s="11" t="n"/>
      <c r="N242" s="7">
        <f>IF($D242="","",M242*V242/100)</f>
        <v/>
      </c>
      <c r="O242" s="7" t="n"/>
      <c r="U242" s="7" t="n"/>
      <c r="V242" s="7" t="n"/>
      <c r="Y242">
        <f>IF($D242="","",IF($AN242=1,0,IF($AM242=1,Settings!$C$6,Settings!$C$7))*100)</f>
        <v/>
      </c>
      <c r="Z242" s="7">
        <f>IF($D242="","",V242*Y242/100)</f>
        <v/>
      </c>
      <c r="AA242" s="7">
        <f>IF($D242="","",V242-Z242)</f>
        <v/>
      </c>
      <c r="AB242" s="7">
        <f>IF($D242="","",AA242-N242)</f>
        <v/>
      </c>
      <c r="AF242" s="7" t="n"/>
      <c r="AI242" s="11" t="n"/>
      <c r="AK242">
        <f>IF($D242="","",IF(COUNTIF($D$2:$D242,$D242)=1,1,0))</f>
        <v/>
      </c>
      <c r="AL242">
        <f>IF($AK242=1,SUMPRODUCT(--($AO$2:$AO$3001&lt;$AO242))+1,"")</f>
        <v/>
      </c>
      <c r="AM242">
        <f>IF($D242="","",IF(OR($R242=TRUE(),$R242="TRUE"),1,0))</f>
        <v/>
      </c>
      <c r="AN242">
        <f>IF($D242="","",IF($X242="Yes",1,0))</f>
        <v/>
      </c>
      <c r="AO242">
        <f>IF($AK242=1,IFERROR(IF(VALUE($D242)&lt;100000000,VALUE($D242),1000000000),IFERROR(IF(VALUE(MID($D242,2,20))&lt;100000000,VALUE(MID($D242,2,20)),1000000000),1000000000))+ROW()/100000,"")</f>
        <v/>
      </c>
    </row>
    <row r="243">
      <c r="F243" s="11" t="n"/>
      <c r="N243" s="7">
        <f>IF($D243="","",M243*V243/100)</f>
        <v/>
      </c>
      <c r="O243" s="7" t="n"/>
      <c r="U243" s="7" t="n"/>
      <c r="V243" s="7" t="n"/>
      <c r="Y243">
        <f>IF($D243="","",IF($AN243=1,0,IF($AM243=1,Settings!$C$6,Settings!$C$7))*100)</f>
        <v/>
      </c>
      <c r="Z243" s="7">
        <f>IF($D243="","",V243*Y243/100)</f>
        <v/>
      </c>
      <c r="AA243" s="7">
        <f>IF($D243="","",V243-Z243)</f>
        <v/>
      </c>
      <c r="AB243" s="7">
        <f>IF($D243="","",AA243-N243)</f>
        <v/>
      </c>
      <c r="AF243" s="7" t="n"/>
      <c r="AI243" s="11" t="n"/>
      <c r="AK243">
        <f>IF($D243="","",IF(COUNTIF($D$2:$D243,$D243)=1,1,0))</f>
        <v/>
      </c>
      <c r="AL243">
        <f>IF($AK243=1,SUMPRODUCT(--($AO$2:$AO$3001&lt;$AO243))+1,"")</f>
        <v/>
      </c>
      <c r="AM243">
        <f>IF($D243="","",IF(OR($R243=TRUE(),$R243="TRUE"),1,0))</f>
        <v/>
      </c>
      <c r="AN243">
        <f>IF($D243="","",IF($X243="Yes",1,0))</f>
        <v/>
      </c>
      <c r="AO243">
        <f>IF($AK243=1,IFERROR(IF(VALUE($D243)&lt;100000000,VALUE($D243),1000000000),IFERROR(IF(VALUE(MID($D243,2,20))&lt;100000000,VALUE(MID($D243,2,20)),1000000000),1000000000))+ROW()/100000,"")</f>
        <v/>
      </c>
    </row>
    <row r="244">
      <c r="F244" s="11" t="n"/>
      <c r="N244" s="7">
        <f>IF($D244="","",M244*V244/100)</f>
        <v/>
      </c>
      <c r="O244" s="7" t="n"/>
      <c r="U244" s="7" t="n"/>
      <c r="V244" s="7" t="n"/>
      <c r="Y244">
        <f>IF($D244="","",IF($AN244=1,0,IF($AM244=1,Settings!$C$6,Settings!$C$7))*100)</f>
        <v/>
      </c>
      <c r="Z244" s="7">
        <f>IF($D244="","",V244*Y244/100)</f>
        <v/>
      </c>
      <c r="AA244" s="7">
        <f>IF($D244="","",V244-Z244)</f>
        <v/>
      </c>
      <c r="AB244" s="7">
        <f>IF($D244="","",AA244-N244)</f>
        <v/>
      </c>
      <c r="AF244" s="7" t="n"/>
      <c r="AI244" s="11" t="n"/>
      <c r="AK244">
        <f>IF($D244="","",IF(COUNTIF($D$2:$D244,$D244)=1,1,0))</f>
        <v/>
      </c>
      <c r="AL244">
        <f>IF($AK244=1,SUMPRODUCT(--($AO$2:$AO$3001&lt;$AO244))+1,"")</f>
        <v/>
      </c>
      <c r="AM244">
        <f>IF($D244="","",IF(OR($R244=TRUE(),$R244="TRUE"),1,0))</f>
        <v/>
      </c>
      <c r="AN244">
        <f>IF($D244="","",IF($X244="Yes",1,0))</f>
        <v/>
      </c>
      <c r="AO244">
        <f>IF($AK244=1,IFERROR(IF(VALUE($D244)&lt;100000000,VALUE($D244),1000000000),IFERROR(IF(VALUE(MID($D244,2,20))&lt;100000000,VALUE(MID($D244,2,20)),1000000000),1000000000))+ROW()/100000,"")</f>
        <v/>
      </c>
    </row>
    <row r="245">
      <c r="F245" s="11" t="n"/>
      <c r="N245" s="7">
        <f>IF($D245="","",M245*V245/100)</f>
        <v/>
      </c>
      <c r="O245" s="7" t="n"/>
      <c r="U245" s="7" t="n"/>
      <c r="V245" s="7" t="n"/>
      <c r="Y245">
        <f>IF($D245="","",IF($AN245=1,0,IF($AM245=1,Settings!$C$6,Settings!$C$7))*100)</f>
        <v/>
      </c>
      <c r="Z245" s="7">
        <f>IF($D245="","",V245*Y245/100)</f>
        <v/>
      </c>
      <c r="AA245" s="7">
        <f>IF($D245="","",V245-Z245)</f>
        <v/>
      </c>
      <c r="AB245" s="7">
        <f>IF($D245="","",AA245-N245)</f>
        <v/>
      </c>
      <c r="AF245" s="7" t="n"/>
      <c r="AI245" s="11" t="n"/>
      <c r="AK245">
        <f>IF($D245="","",IF(COUNTIF($D$2:$D245,$D245)=1,1,0))</f>
        <v/>
      </c>
      <c r="AL245">
        <f>IF($AK245=1,SUMPRODUCT(--($AO$2:$AO$3001&lt;$AO245))+1,"")</f>
        <v/>
      </c>
      <c r="AM245">
        <f>IF($D245="","",IF(OR($R245=TRUE(),$R245="TRUE"),1,0))</f>
        <v/>
      </c>
      <c r="AN245">
        <f>IF($D245="","",IF($X245="Yes",1,0))</f>
        <v/>
      </c>
      <c r="AO245">
        <f>IF($AK245=1,IFERROR(IF(VALUE($D245)&lt;100000000,VALUE($D245),1000000000),IFERROR(IF(VALUE(MID($D245,2,20))&lt;100000000,VALUE(MID($D245,2,20)),1000000000),1000000000))+ROW()/100000,"")</f>
        <v/>
      </c>
    </row>
    <row r="246">
      <c r="F246" s="11" t="n"/>
      <c r="N246" s="7">
        <f>IF($D246="","",M246*V246/100)</f>
        <v/>
      </c>
      <c r="O246" s="7" t="n"/>
      <c r="U246" s="7" t="n"/>
      <c r="V246" s="7" t="n"/>
      <c r="Y246">
        <f>IF($D246="","",IF($AN246=1,0,IF($AM246=1,Settings!$C$6,Settings!$C$7))*100)</f>
        <v/>
      </c>
      <c r="Z246" s="7">
        <f>IF($D246="","",V246*Y246/100)</f>
        <v/>
      </c>
      <c r="AA246" s="7">
        <f>IF($D246="","",V246-Z246)</f>
        <v/>
      </c>
      <c r="AB246" s="7">
        <f>IF($D246="","",AA246-N246)</f>
        <v/>
      </c>
      <c r="AF246" s="7" t="n"/>
      <c r="AI246" s="11" t="n"/>
      <c r="AK246">
        <f>IF($D246="","",IF(COUNTIF($D$2:$D246,$D246)=1,1,0))</f>
        <v/>
      </c>
      <c r="AL246">
        <f>IF($AK246=1,SUMPRODUCT(--($AO$2:$AO$3001&lt;$AO246))+1,"")</f>
        <v/>
      </c>
      <c r="AM246">
        <f>IF($D246="","",IF(OR($R246=TRUE(),$R246="TRUE"),1,0))</f>
        <v/>
      </c>
      <c r="AN246">
        <f>IF($D246="","",IF($X246="Yes",1,0))</f>
        <v/>
      </c>
      <c r="AO246">
        <f>IF($AK246=1,IFERROR(IF(VALUE($D246)&lt;100000000,VALUE($D246),1000000000),IFERROR(IF(VALUE(MID($D246,2,20))&lt;100000000,VALUE(MID($D246,2,20)),1000000000),1000000000))+ROW()/100000,"")</f>
        <v/>
      </c>
    </row>
    <row r="247">
      <c r="F247" s="11" t="n"/>
      <c r="N247" s="7">
        <f>IF($D247="","",M247*V247/100)</f>
        <v/>
      </c>
      <c r="O247" s="7" t="n"/>
      <c r="U247" s="7" t="n"/>
      <c r="V247" s="7" t="n"/>
      <c r="Y247">
        <f>IF($D247="","",IF($AN247=1,0,IF($AM247=1,Settings!$C$6,Settings!$C$7))*100)</f>
        <v/>
      </c>
      <c r="Z247" s="7">
        <f>IF($D247="","",V247*Y247/100)</f>
        <v/>
      </c>
      <c r="AA247" s="7">
        <f>IF($D247="","",V247-Z247)</f>
        <v/>
      </c>
      <c r="AB247" s="7">
        <f>IF($D247="","",AA247-N247)</f>
        <v/>
      </c>
      <c r="AF247" s="7" t="n"/>
      <c r="AI247" s="11" t="n"/>
      <c r="AK247">
        <f>IF($D247="","",IF(COUNTIF($D$2:$D247,$D247)=1,1,0))</f>
        <v/>
      </c>
      <c r="AL247">
        <f>IF($AK247=1,SUMPRODUCT(--($AO$2:$AO$3001&lt;$AO247))+1,"")</f>
        <v/>
      </c>
      <c r="AM247">
        <f>IF($D247="","",IF(OR($R247=TRUE(),$R247="TRUE"),1,0))</f>
        <v/>
      </c>
      <c r="AN247">
        <f>IF($D247="","",IF($X247="Yes",1,0))</f>
        <v/>
      </c>
      <c r="AO247">
        <f>IF($AK247=1,IFERROR(IF(VALUE($D247)&lt;100000000,VALUE($D247),1000000000),IFERROR(IF(VALUE(MID($D247,2,20))&lt;100000000,VALUE(MID($D247,2,20)),1000000000),1000000000))+ROW()/100000,"")</f>
        <v/>
      </c>
    </row>
    <row r="248">
      <c r="F248" s="11" t="n"/>
      <c r="N248" s="7">
        <f>IF($D248="","",M248*V248/100)</f>
        <v/>
      </c>
      <c r="O248" s="7" t="n"/>
      <c r="U248" s="7" t="n"/>
      <c r="V248" s="7" t="n"/>
      <c r="Y248">
        <f>IF($D248="","",IF($AN248=1,0,IF($AM248=1,Settings!$C$6,Settings!$C$7))*100)</f>
        <v/>
      </c>
      <c r="Z248" s="7">
        <f>IF($D248="","",V248*Y248/100)</f>
        <v/>
      </c>
      <c r="AA248" s="7">
        <f>IF($D248="","",V248-Z248)</f>
        <v/>
      </c>
      <c r="AB248" s="7">
        <f>IF($D248="","",AA248-N248)</f>
        <v/>
      </c>
      <c r="AF248" s="7" t="n"/>
      <c r="AI248" s="11" t="n"/>
      <c r="AK248">
        <f>IF($D248="","",IF(COUNTIF($D$2:$D248,$D248)=1,1,0))</f>
        <v/>
      </c>
      <c r="AL248">
        <f>IF($AK248=1,SUMPRODUCT(--($AO$2:$AO$3001&lt;$AO248))+1,"")</f>
        <v/>
      </c>
      <c r="AM248">
        <f>IF($D248="","",IF(OR($R248=TRUE(),$R248="TRUE"),1,0))</f>
        <v/>
      </c>
      <c r="AN248">
        <f>IF($D248="","",IF($X248="Yes",1,0))</f>
        <v/>
      </c>
      <c r="AO248">
        <f>IF($AK248=1,IFERROR(IF(VALUE($D248)&lt;100000000,VALUE($D248),1000000000),IFERROR(IF(VALUE(MID($D248,2,20))&lt;100000000,VALUE(MID($D248,2,20)),1000000000),1000000000))+ROW()/100000,"")</f>
        <v/>
      </c>
    </row>
    <row r="249">
      <c r="F249" s="11" t="n"/>
      <c r="N249" s="7">
        <f>IF($D249="","",M249*V249/100)</f>
        <v/>
      </c>
      <c r="O249" s="7" t="n"/>
      <c r="U249" s="7" t="n"/>
      <c r="V249" s="7" t="n"/>
      <c r="Y249">
        <f>IF($D249="","",IF($AN249=1,0,IF($AM249=1,Settings!$C$6,Settings!$C$7))*100)</f>
        <v/>
      </c>
      <c r="Z249" s="7">
        <f>IF($D249="","",V249*Y249/100)</f>
        <v/>
      </c>
      <c r="AA249" s="7">
        <f>IF($D249="","",V249-Z249)</f>
        <v/>
      </c>
      <c r="AB249" s="7">
        <f>IF($D249="","",AA249-N249)</f>
        <v/>
      </c>
      <c r="AF249" s="7" t="n"/>
      <c r="AI249" s="11" t="n"/>
      <c r="AK249">
        <f>IF($D249="","",IF(COUNTIF($D$2:$D249,$D249)=1,1,0))</f>
        <v/>
      </c>
      <c r="AL249">
        <f>IF($AK249=1,SUMPRODUCT(--($AO$2:$AO$3001&lt;$AO249))+1,"")</f>
        <v/>
      </c>
      <c r="AM249">
        <f>IF($D249="","",IF(OR($R249=TRUE(),$R249="TRUE"),1,0))</f>
        <v/>
      </c>
      <c r="AN249">
        <f>IF($D249="","",IF($X249="Yes",1,0))</f>
        <v/>
      </c>
      <c r="AO249">
        <f>IF($AK249=1,IFERROR(IF(VALUE($D249)&lt;100000000,VALUE($D249),1000000000),IFERROR(IF(VALUE(MID($D249,2,20))&lt;100000000,VALUE(MID($D249,2,20)),1000000000),1000000000))+ROW()/100000,"")</f>
        <v/>
      </c>
    </row>
    <row r="250">
      <c r="F250" s="11" t="n"/>
      <c r="N250" s="7">
        <f>IF($D250="","",M250*V250/100)</f>
        <v/>
      </c>
      <c r="O250" s="7" t="n"/>
      <c r="U250" s="7" t="n"/>
      <c r="V250" s="7" t="n"/>
      <c r="Y250">
        <f>IF($D250="","",IF($AN250=1,0,IF($AM250=1,Settings!$C$6,Settings!$C$7))*100)</f>
        <v/>
      </c>
      <c r="Z250" s="7">
        <f>IF($D250="","",V250*Y250/100)</f>
        <v/>
      </c>
      <c r="AA250" s="7">
        <f>IF($D250="","",V250-Z250)</f>
        <v/>
      </c>
      <c r="AB250" s="7">
        <f>IF($D250="","",AA250-N250)</f>
        <v/>
      </c>
      <c r="AF250" s="7" t="n"/>
      <c r="AI250" s="11" t="n"/>
      <c r="AK250">
        <f>IF($D250="","",IF(COUNTIF($D$2:$D250,$D250)=1,1,0))</f>
        <v/>
      </c>
      <c r="AL250">
        <f>IF($AK250=1,SUMPRODUCT(--($AO$2:$AO$3001&lt;$AO250))+1,"")</f>
        <v/>
      </c>
      <c r="AM250">
        <f>IF($D250="","",IF(OR($R250=TRUE(),$R250="TRUE"),1,0))</f>
        <v/>
      </c>
      <c r="AN250">
        <f>IF($D250="","",IF($X250="Yes",1,0))</f>
        <v/>
      </c>
      <c r="AO250">
        <f>IF($AK250=1,IFERROR(IF(VALUE($D250)&lt;100000000,VALUE($D250),1000000000),IFERROR(IF(VALUE(MID($D250,2,20))&lt;100000000,VALUE(MID($D250,2,20)),1000000000),1000000000))+ROW()/100000,"")</f>
        <v/>
      </c>
    </row>
    <row r="251">
      <c r="F251" s="11" t="n"/>
      <c r="N251" s="7">
        <f>IF($D251="","",M251*V251/100)</f>
        <v/>
      </c>
      <c r="O251" s="7" t="n"/>
      <c r="U251" s="7" t="n"/>
      <c r="V251" s="7" t="n"/>
      <c r="Y251">
        <f>IF($D251="","",IF($AN251=1,0,IF($AM251=1,Settings!$C$6,Settings!$C$7))*100)</f>
        <v/>
      </c>
      <c r="Z251" s="7">
        <f>IF($D251="","",V251*Y251/100)</f>
        <v/>
      </c>
      <c r="AA251" s="7">
        <f>IF($D251="","",V251-Z251)</f>
        <v/>
      </c>
      <c r="AB251" s="7">
        <f>IF($D251="","",AA251-N251)</f>
        <v/>
      </c>
      <c r="AF251" s="7" t="n"/>
      <c r="AI251" s="11" t="n"/>
      <c r="AK251">
        <f>IF($D251="","",IF(COUNTIF($D$2:$D251,$D251)=1,1,0))</f>
        <v/>
      </c>
      <c r="AL251">
        <f>IF($AK251=1,SUMPRODUCT(--($AO$2:$AO$3001&lt;$AO251))+1,"")</f>
        <v/>
      </c>
      <c r="AM251">
        <f>IF($D251="","",IF(OR($R251=TRUE(),$R251="TRUE"),1,0))</f>
        <v/>
      </c>
      <c r="AN251">
        <f>IF($D251="","",IF($X251="Yes",1,0))</f>
        <v/>
      </c>
      <c r="AO251">
        <f>IF($AK251=1,IFERROR(IF(VALUE($D251)&lt;100000000,VALUE($D251),1000000000),IFERROR(IF(VALUE(MID($D251,2,20))&lt;100000000,VALUE(MID($D251,2,20)),1000000000),1000000000))+ROW()/100000,"")</f>
        <v/>
      </c>
    </row>
    <row r="252">
      <c r="F252" s="11" t="n"/>
      <c r="N252" s="7">
        <f>IF($D252="","",M252*V252/100)</f>
        <v/>
      </c>
      <c r="O252" s="7" t="n"/>
      <c r="U252" s="7" t="n"/>
      <c r="V252" s="7" t="n"/>
      <c r="Y252">
        <f>IF($D252="","",IF($AN252=1,0,IF($AM252=1,Settings!$C$6,Settings!$C$7))*100)</f>
        <v/>
      </c>
      <c r="Z252" s="7">
        <f>IF($D252="","",V252*Y252/100)</f>
        <v/>
      </c>
      <c r="AA252" s="7">
        <f>IF($D252="","",V252-Z252)</f>
        <v/>
      </c>
      <c r="AB252" s="7">
        <f>IF($D252="","",AA252-N252)</f>
        <v/>
      </c>
      <c r="AF252" s="7" t="n"/>
      <c r="AI252" s="11" t="n"/>
      <c r="AK252">
        <f>IF($D252="","",IF(COUNTIF($D$2:$D252,$D252)=1,1,0))</f>
        <v/>
      </c>
      <c r="AL252">
        <f>IF($AK252=1,SUMPRODUCT(--($AO$2:$AO$3001&lt;$AO252))+1,"")</f>
        <v/>
      </c>
      <c r="AM252">
        <f>IF($D252="","",IF(OR($R252=TRUE(),$R252="TRUE"),1,0))</f>
        <v/>
      </c>
      <c r="AN252">
        <f>IF($D252="","",IF($X252="Yes",1,0))</f>
        <v/>
      </c>
      <c r="AO252">
        <f>IF($AK252=1,IFERROR(IF(VALUE($D252)&lt;100000000,VALUE($D252),1000000000),IFERROR(IF(VALUE(MID($D252,2,20))&lt;100000000,VALUE(MID($D252,2,20)),1000000000),1000000000))+ROW()/100000,"")</f>
        <v/>
      </c>
    </row>
    <row r="253">
      <c r="F253" s="11" t="n"/>
      <c r="N253" s="7">
        <f>IF($D253="","",M253*V253/100)</f>
        <v/>
      </c>
      <c r="O253" s="7" t="n"/>
      <c r="U253" s="7" t="n"/>
      <c r="V253" s="7" t="n"/>
      <c r="Y253">
        <f>IF($D253="","",IF($AN253=1,0,IF($AM253=1,Settings!$C$6,Settings!$C$7))*100)</f>
        <v/>
      </c>
      <c r="Z253" s="7">
        <f>IF($D253="","",V253*Y253/100)</f>
        <v/>
      </c>
      <c r="AA253" s="7">
        <f>IF($D253="","",V253-Z253)</f>
        <v/>
      </c>
      <c r="AB253" s="7">
        <f>IF($D253="","",AA253-N253)</f>
        <v/>
      </c>
      <c r="AF253" s="7" t="n"/>
      <c r="AI253" s="11" t="n"/>
      <c r="AK253">
        <f>IF($D253="","",IF(COUNTIF($D$2:$D253,$D253)=1,1,0))</f>
        <v/>
      </c>
      <c r="AL253">
        <f>IF($AK253=1,SUMPRODUCT(--($AO$2:$AO$3001&lt;$AO253))+1,"")</f>
        <v/>
      </c>
      <c r="AM253">
        <f>IF($D253="","",IF(OR($R253=TRUE(),$R253="TRUE"),1,0))</f>
        <v/>
      </c>
      <c r="AN253">
        <f>IF($D253="","",IF($X253="Yes",1,0))</f>
        <v/>
      </c>
      <c r="AO253">
        <f>IF($AK253=1,IFERROR(IF(VALUE($D253)&lt;100000000,VALUE($D253),1000000000),IFERROR(IF(VALUE(MID($D253,2,20))&lt;100000000,VALUE(MID($D253,2,20)),1000000000),1000000000))+ROW()/100000,"")</f>
        <v/>
      </c>
    </row>
    <row r="254">
      <c r="F254" s="11" t="n"/>
      <c r="N254" s="7">
        <f>IF($D254="","",M254*V254/100)</f>
        <v/>
      </c>
      <c r="O254" s="7" t="n"/>
      <c r="U254" s="7" t="n"/>
      <c r="V254" s="7" t="n"/>
      <c r="Y254">
        <f>IF($D254="","",IF($AN254=1,0,IF($AM254=1,Settings!$C$6,Settings!$C$7))*100)</f>
        <v/>
      </c>
      <c r="Z254" s="7">
        <f>IF($D254="","",V254*Y254/100)</f>
        <v/>
      </c>
      <c r="AA254" s="7">
        <f>IF($D254="","",V254-Z254)</f>
        <v/>
      </c>
      <c r="AB254" s="7">
        <f>IF($D254="","",AA254-N254)</f>
        <v/>
      </c>
      <c r="AF254" s="7" t="n"/>
      <c r="AI254" s="11" t="n"/>
      <c r="AK254">
        <f>IF($D254="","",IF(COUNTIF($D$2:$D254,$D254)=1,1,0))</f>
        <v/>
      </c>
      <c r="AL254">
        <f>IF($AK254=1,SUMPRODUCT(--($AO$2:$AO$3001&lt;$AO254))+1,"")</f>
        <v/>
      </c>
      <c r="AM254">
        <f>IF($D254="","",IF(OR($R254=TRUE(),$R254="TRUE"),1,0))</f>
        <v/>
      </c>
      <c r="AN254">
        <f>IF($D254="","",IF($X254="Yes",1,0))</f>
        <v/>
      </c>
      <c r="AO254">
        <f>IF($AK254=1,IFERROR(IF(VALUE($D254)&lt;100000000,VALUE($D254),1000000000),IFERROR(IF(VALUE(MID($D254,2,20))&lt;100000000,VALUE(MID($D254,2,20)),1000000000),1000000000))+ROW()/100000,"")</f>
        <v/>
      </c>
    </row>
    <row r="255">
      <c r="F255" s="11" t="n"/>
      <c r="N255" s="7">
        <f>IF($D255="","",M255*V255/100)</f>
        <v/>
      </c>
      <c r="O255" s="7" t="n"/>
      <c r="U255" s="7" t="n"/>
      <c r="V255" s="7" t="n"/>
      <c r="Y255">
        <f>IF($D255="","",IF($AN255=1,0,IF($AM255=1,Settings!$C$6,Settings!$C$7))*100)</f>
        <v/>
      </c>
      <c r="Z255" s="7">
        <f>IF($D255="","",V255*Y255/100)</f>
        <v/>
      </c>
      <c r="AA255" s="7">
        <f>IF($D255="","",V255-Z255)</f>
        <v/>
      </c>
      <c r="AB255" s="7">
        <f>IF($D255="","",AA255-N255)</f>
        <v/>
      </c>
      <c r="AF255" s="7" t="n"/>
      <c r="AI255" s="11" t="n"/>
      <c r="AK255">
        <f>IF($D255="","",IF(COUNTIF($D$2:$D255,$D255)=1,1,0))</f>
        <v/>
      </c>
      <c r="AL255">
        <f>IF($AK255=1,SUMPRODUCT(--($AO$2:$AO$3001&lt;$AO255))+1,"")</f>
        <v/>
      </c>
      <c r="AM255">
        <f>IF($D255="","",IF(OR($R255=TRUE(),$R255="TRUE"),1,0))</f>
        <v/>
      </c>
      <c r="AN255">
        <f>IF($D255="","",IF($X255="Yes",1,0))</f>
        <v/>
      </c>
      <c r="AO255">
        <f>IF($AK255=1,IFERROR(IF(VALUE($D255)&lt;100000000,VALUE($D255),1000000000),IFERROR(IF(VALUE(MID($D255,2,20))&lt;100000000,VALUE(MID($D255,2,20)),1000000000),1000000000))+ROW()/100000,"")</f>
        <v/>
      </c>
    </row>
    <row r="256">
      <c r="F256" s="11" t="n"/>
      <c r="N256" s="7">
        <f>IF($D256="","",M256*V256/100)</f>
        <v/>
      </c>
      <c r="O256" s="7" t="n"/>
      <c r="U256" s="7" t="n"/>
      <c r="V256" s="7" t="n"/>
      <c r="Y256">
        <f>IF($D256="","",IF($AN256=1,0,IF($AM256=1,Settings!$C$6,Settings!$C$7))*100)</f>
        <v/>
      </c>
      <c r="Z256" s="7">
        <f>IF($D256="","",V256*Y256/100)</f>
        <v/>
      </c>
      <c r="AA256" s="7">
        <f>IF($D256="","",V256-Z256)</f>
        <v/>
      </c>
      <c r="AB256" s="7">
        <f>IF($D256="","",AA256-N256)</f>
        <v/>
      </c>
      <c r="AF256" s="7" t="n"/>
      <c r="AI256" s="11" t="n"/>
      <c r="AK256">
        <f>IF($D256="","",IF(COUNTIF($D$2:$D256,$D256)=1,1,0))</f>
        <v/>
      </c>
      <c r="AL256">
        <f>IF($AK256=1,SUMPRODUCT(--($AO$2:$AO$3001&lt;$AO256))+1,"")</f>
        <v/>
      </c>
      <c r="AM256">
        <f>IF($D256="","",IF(OR($R256=TRUE(),$R256="TRUE"),1,0))</f>
        <v/>
      </c>
      <c r="AN256">
        <f>IF($D256="","",IF($X256="Yes",1,0))</f>
        <v/>
      </c>
      <c r="AO256">
        <f>IF($AK256=1,IFERROR(IF(VALUE($D256)&lt;100000000,VALUE($D256),1000000000),IFERROR(IF(VALUE(MID($D256,2,20))&lt;100000000,VALUE(MID($D256,2,20)),1000000000),1000000000))+ROW()/100000,"")</f>
        <v/>
      </c>
    </row>
    <row r="257">
      <c r="F257" s="11" t="n"/>
      <c r="N257" s="7">
        <f>IF($D257="","",M257*V257/100)</f>
        <v/>
      </c>
      <c r="O257" s="7" t="n"/>
      <c r="U257" s="7" t="n"/>
      <c r="V257" s="7" t="n"/>
      <c r="Y257">
        <f>IF($D257="","",IF($AN257=1,0,IF($AM257=1,Settings!$C$6,Settings!$C$7))*100)</f>
        <v/>
      </c>
      <c r="Z257" s="7">
        <f>IF($D257="","",V257*Y257/100)</f>
        <v/>
      </c>
      <c r="AA257" s="7">
        <f>IF($D257="","",V257-Z257)</f>
        <v/>
      </c>
      <c r="AB257" s="7">
        <f>IF($D257="","",AA257-N257)</f>
        <v/>
      </c>
      <c r="AF257" s="7" t="n"/>
      <c r="AI257" s="11" t="n"/>
      <c r="AK257">
        <f>IF($D257="","",IF(COUNTIF($D$2:$D257,$D257)=1,1,0))</f>
        <v/>
      </c>
      <c r="AL257">
        <f>IF($AK257=1,SUMPRODUCT(--($AO$2:$AO$3001&lt;$AO257))+1,"")</f>
        <v/>
      </c>
      <c r="AM257">
        <f>IF($D257="","",IF(OR($R257=TRUE(),$R257="TRUE"),1,0))</f>
        <v/>
      </c>
      <c r="AN257">
        <f>IF($D257="","",IF($X257="Yes",1,0))</f>
        <v/>
      </c>
      <c r="AO257">
        <f>IF($AK257=1,IFERROR(IF(VALUE($D257)&lt;100000000,VALUE($D257),1000000000),IFERROR(IF(VALUE(MID($D257,2,20))&lt;100000000,VALUE(MID($D257,2,20)),1000000000),1000000000))+ROW()/100000,"")</f>
        <v/>
      </c>
    </row>
    <row r="258">
      <c r="F258" s="11" t="n"/>
      <c r="N258" s="7">
        <f>IF($D258="","",M258*V258/100)</f>
        <v/>
      </c>
      <c r="O258" s="7" t="n"/>
      <c r="U258" s="7" t="n"/>
      <c r="V258" s="7" t="n"/>
      <c r="Y258">
        <f>IF($D258="","",IF($AN258=1,0,IF($AM258=1,Settings!$C$6,Settings!$C$7))*100)</f>
        <v/>
      </c>
      <c r="Z258" s="7">
        <f>IF($D258="","",V258*Y258/100)</f>
        <v/>
      </c>
      <c r="AA258" s="7">
        <f>IF($D258="","",V258-Z258)</f>
        <v/>
      </c>
      <c r="AB258" s="7">
        <f>IF($D258="","",AA258-N258)</f>
        <v/>
      </c>
      <c r="AF258" s="7" t="n"/>
      <c r="AI258" s="11" t="n"/>
      <c r="AK258">
        <f>IF($D258="","",IF(COUNTIF($D$2:$D258,$D258)=1,1,0))</f>
        <v/>
      </c>
      <c r="AL258">
        <f>IF($AK258=1,SUMPRODUCT(--($AO$2:$AO$3001&lt;$AO258))+1,"")</f>
        <v/>
      </c>
      <c r="AM258">
        <f>IF($D258="","",IF(OR($R258=TRUE(),$R258="TRUE"),1,0))</f>
        <v/>
      </c>
      <c r="AN258">
        <f>IF($D258="","",IF($X258="Yes",1,0))</f>
        <v/>
      </c>
      <c r="AO258">
        <f>IF($AK258=1,IFERROR(IF(VALUE($D258)&lt;100000000,VALUE($D258),1000000000),IFERROR(IF(VALUE(MID($D258,2,20))&lt;100000000,VALUE(MID($D258,2,20)),1000000000),1000000000))+ROW()/100000,"")</f>
        <v/>
      </c>
    </row>
    <row r="259">
      <c r="F259" s="11" t="n"/>
      <c r="N259" s="7">
        <f>IF($D259="","",M259*V259/100)</f>
        <v/>
      </c>
      <c r="O259" s="7" t="n"/>
      <c r="U259" s="7" t="n"/>
      <c r="V259" s="7" t="n"/>
      <c r="Y259">
        <f>IF($D259="","",IF($AN259=1,0,IF($AM259=1,Settings!$C$6,Settings!$C$7))*100)</f>
        <v/>
      </c>
      <c r="Z259" s="7">
        <f>IF($D259="","",V259*Y259/100)</f>
        <v/>
      </c>
      <c r="AA259" s="7">
        <f>IF($D259="","",V259-Z259)</f>
        <v/>
      </c>
      <c r="AB259" s="7">
        <f>IF($D259="","",AA259-N259)</f>
        <v/>
      </c>
      <c r="AF259" s="7" t="n"/>
      <c r="AI259" s="11" t="n"/>
      <c r="AK259">
        <f>IF($D259="","",IF(COUNTIF($D$2:$D259,$D259)=1,1,0))</f>
        <v/>
      </c>
      <c r="AL259">
        <f>IF($AK259=1,SUMPRODUCT(--($AO$2:$AO$3001&lt;$AO259))+1,"")</f>
        <v/>
      </c>
      <c r="AM259">
        <f>IF($D259="","",IF(OR($R259=TRUE(),$R259="TRUE"),1,0))</f>
        <v/>
      </c>
      <c r="AN259">
        <f>IF($D259="","",IF($X259="Yes",1,0))</f>
        <v/>
      </c>
      <c r="AO259">
        <f>IF($AK259=1,IFERROR(IF(VALUE($D259)&lt;100000000,VALUE($D259),1000000000),IFERROR(IF(VALUE(MID($D259,2,20))&lt;100000000,VALUE(MID($D259,2,20)),1000000000),1000000000))+ROW()/100000,"")</f>
        <v/>
      </c>
    </row>
    <row r="260">
      <c r="F260" s="11" t="n"/>
      <c r="N260" s="7">
        <f>IF($D260="","",M260*V260/100)</f>
        <v/>
      </c>
      <c r="O260" s="7" t="n"/>
      <c r="U260" s="7" t="n"/>
      <c r="V260" s="7" t="n"/>
      <c r="Y260">
        <f>IF($D260="","",IF($AN260=1,0,IF($AM260=1,Settings!$C$6,Settings!$C$7))*100)</f>
        <v/>
      </c>
      <c r="Z260" s="7">
        <f>IF($D260="","",V260*Y260/100)</f>
        <v/>
      </c>
      <c r="AA260" s="7">
        <f>IF($D260="","",V260-Z260)</f>
        <v/>
      </c>
      <c r="AB260" s="7">
        <f>IF($D260="","",AA260-N260)</f>
        <v/>
      </c>
      <c r="AF260" s="7" t="n"/>
      <c r="AI260" s="11" t="n"/>
      <c r="AK260">
        <f>IF($D260="","",IF(COUNTIF($D$2:$D260,$D260)=1,1,0))</f>
        <v/>
      </c>
      <c r="AL260">
        <f>IF($AK260=1,SUMPRODUCT(--($AO$2:$AO$3001&lt;$AO260))+1,"")</f>
        <v/>
      </c>
      <c r="AM260">
        <f>IF($D260="","",IF(OR($R260=TRUE(),$R260="TRUE"),1,0))</f>
        <v/>
      </c>
      <c r="AN260">
        <f>IF($D260="","",IF($X260="Yes",1,0))</f>
        <v/>
      </c>
      <c r="AO260">
        <f>IF($AK260=1,IFERROR(IF(VALUE($D260)&lt;100000000,VALUE($D260),1000000000),IFERROR(IF(VALUE(MID($D260,2,20))&lt;100000000,VALUE(MID($D260,2,20)),1000000000),1000000000))+ROW()/100000,"")</f>
        <v/>
      </c>
    </row>
    <row r="261">
      <c r="F261" s="11" t="n"/>
      <c r="N261" s="7">
        <f>IF($D261="","",M261*V261/100)</f>
        <v/>
      </c>
      <c r="O261" s="7" t="n"/>
      <c r="U261" s="7" t="n"/>
      <c r="V261" s="7" t="n"/>
      <c r="Y261">
        <f>IF($D261="","",IF($AN261=1,0,IF($AM261=1,Settings!$C$6,Settings!$C$7))*100)</f>
        <v/>
      </c>
      <c r="Z261" s="7">
        <f>IF($D261="","",V261*Y261/100)</f>
        <v/>
      </c>
      <c r="AA261" s="7">
        <f>IF($D261="","",V261-Z261)</f>
        <v/>
      </c>
      <c r="AB261" s="7">
        <f>IF($D261="","",AA261-N261)</f>
        <v/>
      </c>
      <c r="AF261" s="7" t="n"/>
      <c r="AI261" s="11" t="n"/>
      <c r="AK261">
        <f>IF($D261="","",IF(COUNTIF($D$2:$D261,$D261)=1,1,0))</f>
        <v/>
      </c>
      <c r="AL261">
        <f>IF($AK261=1,SUMPRODUCT(--($AO$2:$AO$3001&lt;$AO261))+1,"")</f>
        <v/>
      </c>
      <c r="AM261">
        <f>IF($D261="","",IF(OR($R261=TRUE(),$R261="TRUE"),1,0))</f>
        <v/>
      </c>
      <c r="AN261">
        <f>IF($D261="","",IF($X261="Yes",1,0))</f>
        <v/>
      </c>
      <c r="AO261">
        <f>IF($AK261=1,IFERROR(IF(VALUE($D261)&lt;100000000,VALUE($D261),1000000000),IFERROR(IF(VALUE(MID($D261,2,20))&lt;100000000,VALUE(MID($D261,2,20)),1000000000),1000000000))+ROW()/100000,"")</f>
        <v/>
      </c>
    </row>
    <row r="262">
      <c r="F262" s="11" t="n"/>
      <c r="N262" s="7">
        <f>IF($D262="","",M262*V262/100)</f>
        <v/>
      </c>
      <c r="O262" s="7" t="n"/>
      <c r="U262" s="7" t="n"/>
      <c r="V262" s="7" t="n"/>
      <c r="Y262">
        <f>IF($D262="","",IF($AN262=1,0,IF($AM262=1,Settings!$C$6,Settings!$C$7))*100)</f>
        <v/>
      </c>
      <c r="Z262" s="7">
        <f>IF($D262="","",V262*Y262/100)</f>
        <v/>
      </c>
      <c r="AA262" s="7">
        <f>IF($D262="","",V262-Z262)</f>
        <v/>
      </c>
      <c r="AB262" s="7">
        <f>IF($D262="","",AA262-N262)</f>
        <v/>
      </c>
      <c r="AF262" s="7" t="n"/>
      <c r="AI262" s="11" t="n"/>
      <c r="AK262">
        <f>IF($D262="","",IF(COUNTIF($D$2:$D262,$D262)=1,1,0))</f>
        <v/>
      </c>
      <c r="AL262">
        <f>IF($AK262=1,SUMPRODUCT(--($AO$2:$AO$3001&lt;$AO262))+1,"")</f>
        <v/>
      </c>
      <c r="AM262">
        <f>IF($D262="","",IF(OR($R262=TRUE(),$R262="TRUE"),1,0))</f>
        <v/>
      </c>
      <c r="AN262">
        <f>IF($D262="","",IF($X262="Yes",1,0))</f>
        <v/>
      </c>
      <c r="AO262">
        <f>IF($AK262=1,IFERROR(IF(VALUE($D262)&lt;100000000,VALUE($D262),1000000000),IFERROR(IF(VALUE(MID($D262,2,20))&lt;100000000,VALUE(MID($D262,2,20)),1000000000),1000000000))+ROW()/100000,"")</f>
        <v/>
      </c>
    </row>
    <row r="263">
      <c r="F263" s="11" t="n"/>
      <c r="N263" s="7">
        <f>IF($D263="","",M263*V263/100)</f>
        <v/>
      </c>
      <c r="O263" s="7" t="n"/>
      <c r="U263" s="7" t="n"/>
      <c r="V263" s="7" t="n"/>
      <c r="Y263">
        <f>IF($D263="","",IF($AN263=1,0,IF($AM263=1,Settings!$C$6,Settings!$C$7))*100)</f>
        <v/>
      </c>
      <c r="Z263" s="7">
        <f>IF($D263="","",V263*Y263/100)</f>
        <v/>
      </c>
      <c r="AA263" s="7">
        <f>IF($D263="","",V263-Z263)</f>
        <v/>
      </c>
      <c r="AB263" s="7">
        <f>IF($D263="","",AA263-N263)</f>
        <v/>
      </c>
      <c r="AF263" s="7" t="n"/>
      <c r="AI263" s="11" t="n"/>
      <c r="AK263">
        <f>IF($D263="","",IF(COUNTIF($D$2:$D263,$D263)=1,1,0))</f>
        <v/>
      </c>
      <c r="AL263">
        <f>IF($AK263=1,SUMPRODUCT(--($AO$2:$AO$3001&lt;$AO263))+1,"")</f>
        <v/>
      </c>
      <c r="AM263">
        <f>IF($D263="","",IF(OR($R263=TRUE(),$R263="TRUE"),1,0))</f>
        <v/>
      </c>
      <c r="AN263">
        <f>IF($D263="","",IF($X263="Yes",1,0))</f>
        <v/>
      </c>
      <c r="AO263">
        <f>IF($AK263=1,IFERROR(IF(VALUE($D263)&lt;100000000,VALUE($D263),1000000000),IFERROR(IF(VALUE(MID($D263,2,20))&lt;100000000,VALUE(MID($D263,2,20)),1000000000),1000000000))+ROW()/100000,"")</f>
        <v/>
      </c>
    </row>
    <row r="264">
      <c r="F264" s="11" t="n"/>
      <c r="N264" s="7">
        <f>IF($D264="","",M264*V264/100)</f>
        <v/>
      </c>
      <c r="O264" s="7" t="n"/>
      <c r="U264" s="7" t="n"/>
      <c r="V264" s="7" t="n"/>
      <c r="Y264">
        <f>IF($D264="","",IF($AN264=1,0,IF($AM264=1,Settings!$C$6,Settings!$C$7))*100)</f>
        <v/>
      </c>
      <c r="Z264" s="7">
        <f>IF($D264="","",V264*Y264/100)</f>
        <v/>
      </c>
      <c r="AA264" s="7">
        <f>IF($D264="","",V264-Z264)</f>
        <v/>
      </c>
      <c r="AB264" s="7">
        <f>IF($D264="","",AA264-N264)</f>
        <v/>
      </c>
      <c r="AF264" s="7" t="n"/>
      <c r="AI264" s="11" t="n"/>
      <c r="AK264">
        <f>IF($D264="","",IF(COUNTIF($D$2:$D264,$D264)=1,1,0))</f>
        <v/>
      </c>
      <c r="AL264">
        <f>IF($AK264=1,SUMPRODUCT(--($AO$2:$AO$3001&lt;$AO264))+1,"")</f>
        <v/>
      </c>
      <c r="AM264">
        <f>IF($D264="","",IF(OR($R264=TRUE(),$R264="TRUE"),1,0))</f>
        <v/>
      </c>
      <c r="AN264">
        <f>IF($D264="","",IF($X264="Yes",1,0))</f>
        <v/>
      </c>
      <c r="AO264">
        <f>IF($AK264=1,IFERROR(IF(VALUE($D264)&lt;100000000,VALUE($D264),1000000000),IFERROR(IF(VALUE(MID($D264,2,20))&lt;100000000,VALUE(MID($D264,2,20)),1000000000),1000000000))+ROW()/100000,"")</f>
        <v/>
      </c>
    </row>
    <row r="265">
      <c r="F265" s="11" t="n"/>
      <c r="N265" s="7">
        <f>IF($D265="","",M265*V265/100)</f>
        <v/>
      </c>
      <c r="O265" s="7" t="n"/>
      <c r="U265" s="7" t="n"/>
      <c r="V265" s="7" t="n"/>
      <c r="Y265">
        <f>IF($D265="","",IF($AN265=1,0,IF($AM265=1,Settings!$C$6,Settings!$C$7))*100)</f>
        <v/>
      </c>
      <c r="Z265" s="7">
        <f>IF($D265="","",V265*Y265/100)</f>
        <v/>
      </c>
      <c r="AA265" s="7">
        <f>IF($D265="","",V265-Z265)</f>
        <v/>
      </c>
      <c r="AB265" s="7">
        <f>IF($D265="","",AA265-N265)</f>
        <v/>
      </c>
      <c r="AF265" s="7" t="n"/>
      <c r="AI265" s="11" t="n"/>
      <c r="AK265">
        <f>IF($D265="","",IF(COUNTIF($D$2:$D265,$D265)=1,1,0))</f>
        <v/>
      </c>
      <c r="AL265">
        <f>IF($AK265=1,SUMPRODUCT(--($AO$2:$AO$3001&lt;$AO265))+1,"")</f>
        <v/>
      </c>
      <c r="AM265">
        <f>IF($D265="","",IF(OR($R265=TRUE(),$R265="TRUE"),1,0))</f>
        <v/>
      </c>
      <c r="AN265">
        <f>IF($D265="","",IF($X265="Yes",1,0))</f>
        <v/>
      </c>
      <c r="AO265">
        <f>IF($AK265=1,IFERROR(IF(VALUE($D265)&lt;100000000,VALUE($D265),1000000000),IFERROR(IF(VALUE(MID($D265,2,20))&lt;100000000,VALUE(MID($D265,2,20)),1000000000),1000000000))+ROW()/100000,"")</f>
        <v/>
      </c>
    </row>
    <row r="266">
      <c r="F266" s="11" t="n"/>
      <c r="N266" s="7">
        <f>IF($D266="","",M266*V266/100)</f>
        <v/>
      </c>
      <c r="O266" s="7" t="n"/>
      <c r="U266" s="7" t="n"/>
      <c r="V266" s="7" t="n"/>
      <c r="Y266">
        <f>IF($D266="","",IF($AN266=1,0,IF($AM266=1,Settings!$C$6,Settings!$C$7))*100)</f>
        <v/>
      </c>
      <c r="Z266" s="7">
        <f>IF($D266="","",V266*Y266/100)</f>
        <v/>
      </c>
      <c r="AA266" s="7">
        <f>IF($D266="","",V266-Z266)</f>
        <v/>
      </c>
      <c r="AB266" s="7">
        <f>IF($D266="","",AA266-N266)</f>
        <v/>
      </c>
      <c r="AF266" s="7" t="n"/>
      <c r="AI266" s="11" t="n"/>
      <c r="AK266">
        <f>IF($D266="","",IF(COUNTIF($D$2:$D266,$D266)=1,1,0))</f>
        <v/>
      </c>
      <c r="AL266">
        <f>IF($AK266=1,SUMPRODUCT(--($AO$2:$AO$3001&lt;$AO266))+1,"")</f>
        <v/>
      </c>
      <c r="AM266">
        <f>IF($D266="","",IF(OR($R266=TRUE(),$R266="TRUE"),1,0))</f>
        <v/>
      </c>
      <c r="AN266">
        <f>IF($D266="","",IF($X266="Yes",1,0))</f>
        <v/>
      </c>
      <c r="AO266">
        <f>IF($AK266=1,IFERROR(IF(VALUE($D266)&lt;100000000,VALUE($D266),1000000000),IFERROR(IF(VALUE(MID($D266,2,20))&lt;100000000,VALUE(MID($D266,2,20)),1000000000),1000000000))+ROW()/100000,"")</f>
        <v/>
      </c>
    </row>
    <row r="267">
      <c r="F267" s="11" t="n"/>
      <c r="N267" s="7">
        <f>IF($D267="","",M267*V267/100)</f>
        <v/>
      </c>
      <c r="O267" s="7" t="n"/>
      <c r="U267" s="7" t="n"/>
      <c r="V267" s="7" t="n"/>
      <c r="Y267">
        <f>IF($D267="","",IF($AN267=1,0,IF($AM267=1,Settings!$C$6,Settings!$C$7))*100)</f>
        <v/>
      </c>
      <c r="Z267" s="7">
        <f>IF($D267="","",V267*Y267/100)</f>
        <v/>
      </c>
      <c r="AA267" s="7">
        <f>IF($D267="","",V267-Z267)</f>
        <v/>
      </c>
      <c r="AB267" s="7">
        <f>IF($D267="","",AA267-N267)</f>
        <v/>
      </c>
      <c r="AF267" s="7" t="n"/>
      <c r="AI267" s="11" t="n"/>
      <c r="AK267">
        <f>IF($D267="","",IF(COUNTIF($D$2:$D267,$D267)=1,1,0))</f>
        <v/>
      </c>
      <c r="AL267">
        <f>IF($AK267=1,SUMPRODUCT(--($AO$2:$AO$3001&lt;$AO267))+1,"")</f>
        <v/>
      </c>
      <c r="AM267">
        <f>IF($D267="","",IF(OR($R267=TRUE(),$R267="TRUE"),1,0))</f>
        <v/>
      </c>
      <c r="AN267">
        <f>IF($D267="","",IF($X267="Yes",1,0))</f>
        <v/>
      </c>
      <c r="AO267">
        <f>IF($AK267=1,IFERROR(IF(VALUE($D267)&lt;100000000,VALUE($D267),1000000000),IFERROR(IF(VALUE(MID($D267,2,20))&lt;100000000,VALUE(MID($D267,2,20)),1000000000),1000000000))+ROW()/100000,"")</f>
        <v/>
      </c>
    </row>
    <row r="268">
      <c r="F268" s="11" t="n"/>
      <c r="N268" s="7">
        <f>IF($D268="","",M268*V268/100)</f>
        <v/>
      </c>
      <c r="O268" s="7" t="n"/>
      <c r="U268" s="7" t="n"/>
      <c r="V268" s="7" t="n"/>
      <c r="Y268">
        <f>IF($D268="","",IF($AN268=1,0,IF($AM268=1,Settings!$C$6,Settings!$C$7))*100)</f>
        <v/>
      </c>
      <c r="Z268" s="7">
        <f>IF($D268="","",V268*Y268/100)</f>
        <v/>
      </c>
      <c r="AA268" s="7">
        <f>IF($D268="","",V268-Z268)</f>
        <v/>
      </c>
      <c r="AB268" s="7">
        <f>IF($D268="","",AA268-N268)</f>
        <v/>
      </c>
      <c r="AF268" s="7" t="n"/>
      <c r="AI268" s="11" t="n"/>
      <c r="AK268">
        <f>IF($D268="","",IF(COUNTIF($D$2:$D268,$D268)=1,1,0))</f>
        <v/>
      </c>
      <c r="AL268">
        <f>IF($AK268=1,SUMPRODUCT(--($AO$2:$AO$3001&lt;$AO268))+1,"")</f>
        <v/>
      </c>
      <c r="AM268">
        <f>IF($D268="","",IF(OR($R268=TRUE(),$R268="TRUE"),1,0))</f>
        <v/>
      </c>
      <c r="AN268">
        <f>IF($D268="","",IF($X268="Yes",1,0))</f>
        <v/>
      </c>
      <c r="AO268">
        <f>IF($AK268=1,IFERROR(IF(VALUE($D268)&lt;100000000,VALUE($D268),1000000000),IFERROR(IF(VALUE(MID($D268,2,20))&lt;100000000,VALUE(MID($D268,2,20)),1000000000),1000000000))+ROW()/100000,"")</f>
        <v/>
      </c>
    </row>
    <row r="269">
      <c r="F269" s="11" t="n"/>
      <c r="N269" s="7">
        <f>IF($D269="","",M269*V269/100)</f>
        <v/>
      </c>
      <c r="O269" s="7" t="n"/>
      <c r="U269" s="7" t="n"/>
      <c r="V269" s="7" t="n"/>
      <c r="Y269">
        <f>IF($D269="","",IF($AN269=1,0,IF($AM269=1,Settings!$C$6,Settings!$C$7))*100)</f>
        <v/>
      </c>
      <c r="Z269" s="7">
        <f>IF($D269="","",V269*Y269/100)</f>
        <v/>
      </c>
      <c r="AA269" s="7">
        <f>IF($D269="","",V269-Z269)</f>
        <v/>
      </c>
      <c r="AB269" s="7">
        <f>IF($D269="","",AA269-N269)</f>
        <v/>
      </c>
      <c r="AF269" s="7" t="n"/>
      <c r="AI269" s="11" t="n"/>
      <c r="AK269">
        <f>IF($D269="","",IF(COUNTIF($D$2:$D269,$D269)=1,1,0))</f>
        <v/>
      </c>
      <c r="AL269">
        <f>IF($AK269=1,SUMPRODUCT(--($AO$2:$AO$3001&lt;$AO269))+1,"")</f>
        <v/>
      </c>
      <c r="AM269">
        <f>IF($D269="","",IF(OR($R269=TRUE(),$R269="TRUE"),1,0))</f>
        <v/>
      </c>
      <c r="AN269">
        <f>IF($D269="","",IF($X269="Yes",1,0))</f>
        <v/>
      </c>
      <c r="AO269">
        <f>IF($AK269=1,IFERROR(IF(VALUE($D269)&lt;100000000,VALUE($D269),1000000000),IFERROR(IF(VALUE(MID($D269,2,20))&lt;100000000,VALUE(MID($D269,2,20)),1000000000),1000000000))+ROW()/100000,"")</f>
        <v/>
      </c>
    </row>
    <row r="270">
      <c r="F270" s="11" t="n"/>
      <c r="N270" s="7">
        <f>IF($D270="","",M270*V270/100)</f>
        <v/>
      </c>
      <c r="O270" s="7" t="n"/>
      <c r="U270" s="7" t="n"/>
      <c r="V270" s="7" t="n"/>
      <c r="Y270">
        <f>IF($D270="","",IF($AN270=1,0,IF($AM270=1,Settings!$C$6,Settings!$C$7))*100)</f>
        <v/>
      </c>
      <c r="Z270" s="7">
        <f>IF($D270="","",V270*Y270/100)</f>
        <v/>
      </c>
      <c r="AA270" s="7">
        <f>IF($D270="","",V270-Z270)</f>
        <v/>
      </c>
      <c r="AB270" s="7">
        <f>IF($D270="","",AA270-N270)</f>
        <v/>
      </c>
      <c r="AF270" s="7" t="n"/>
      <c r="AI270" s="11" t="n"/>
      <c r="AK270">
        <f>IF($D270="","",IF(COUNTIF($D$2:$D270,$D270)=1,1,0))</f>
        <v/>
      </c>
      <c r="AL270">
        <f>IF($AK270=1,SUMPRODUCT(--($AO$2:$AO$3001&lt;$AO270))+1,"")</f>
        <v/>
      </c>
      <c r="AM270">
        <f>IF($D270="","",IF(OR($R270=TRUE(),$R270="TRUE"),1,0))</f>
        <v/>
      </c>
      <c r="AN270">
        <f>IF($D270="","",IF($X270="Yes",1,0))</f>
        <v/>
      </c>
      <c r="AO270">
        <f>IF($AK270=1,IFERROR(IF(VALUE($D270)&lt;100000000,VALUE($D270),1000000000),IFERROR(IF(VALUE(MID($D270,2,20))&lt;100000000,VALUE(MID($D270,2,20)),1000000000),1000000000))+ROW()/100000,"")</f>
        <v/>
      </c>
    </row>
    <row r="271">
      <c r="F271" s="11" t="n"/>
      <c r="N271" s="7">
        <f>IF($D271="","",M271*V271/100)</f>
        <v/>
      </c>
      <c r="O271" s="7" t="n"/>
      <c r="U271" s="7" t="n"/>
      <c r="V271" s="7" t="n"/>
      <c r="Y271">
        <f>IF($D271="","",IF($AN271=1,0,IF($AM271=1,Settings!$C$6,Settings!$C$7))*100)</f>
        <v/>
      </c>
      <c r="Z271" s="7">
        <f>IF($D271="","",V271*Y271/100)</f>
        <v/>
      </c>
      <c r="AA271" s="7">
        <f>IF($D271="","",V271-Z271)</f>
        <v/>
      </c>
      <c r="AB271" s="7">
        <f>IF($D271="","",AA271-N271)</f>
        <v/>
      </c>
      <c r="AF271" s="7" t="n"/>
      <c r="AI271" s="11" t="n"/>
      <c r="AK271">
        <f>IF($D271="","",IF(COUNTIF($D$2:$D271,$D271)=1,1,0))</f>
        <v/>
      </c>
      <c r="AL271">
        <f>IF($AK271=1,SUMPRODUCT(--($AO$2:$AO$3001&lt;$AO271))+1,"")</f>
        <v/>
      </c>
      <c r="AM271">
        <f>IF($D271="","",IF(OR($R271=TRUE(),$R271="TRUE"),1,0))</f>
        <v/>
      </c>
      <c r="AN271">
        <f>IF($D271="","",IF($X271="Yes",1,0))</f>
        <v/>
      </c>
      <c r="AO271">
        <f>IF($AK271=1,IFERROR(IF(VALUE($D271)&lt;100000000,VALUE($D271),1000000000),IFERROR(IF(VALUE(MID($D271,2,20))&lt;100000000,VALUE(MID($D271,2,20)),1000000000),1000000000))+ROW()/100000,"")</f>
        <v/>
      </c>
    </row>
    <row r="272">
      <c r="F272" s="11" t="n"/>
      <c r="N272" s="7">
        <f>IF($D272="","",M272*V272/100)</f>
        <v/>
      </c>
      <c r="O272" s="7" t="n"/>
      <c r="U272" s="7" t="n"/>
      <c r="V272" s="7" t="n"/>
      <c r="Y272">
        <f>IF($D272="","",IF($AN272=1,0,IF($AM272=1,Settings!$C$6,Settings!$C$7))*100)</f>
        <v/>
      </c>
      <c r="Z272" s="7">
        <f>IF($D272="","",V272*Y272/100)</f>
        <v/>
      </c>
      <c r="AA272" s="7">
        <f>IF($D272="","",V272-Z272)</f>
        <v/>
      </c>
      <c r="AB272" s="7">
        <f>IF($D272="","",AA272-N272)</f>
        <v/>
      </c>
      <c r="AF272" s="7" t="n"/>
      <c r="AI272" s="11" t="n"/>
      <c r="AK272">
        <f>IF($D272="","",IF(COUNTIF($D$2:$D272,$D272)=1,1,0))</f>
        <v/>
      </c>
      <c r="AL272">
        <f>IF($AK272=1,SUMPRODUCT(--($AO$2:$AO$3001&lt;$AO272))+1,"")</f>
        <v/>
      </c>
      <c r="AM272">
        <f>IF($D272="","",IF(OR($R272=TRUE(),$R272="TRUE"),1,0))</f>
        <v/>
      </c>
      <c r="AN272">
        <f>IF($D272="","",IF($X272="Yes",1,0))</f>
        <v/>
      </c>
      <c r="AO272">
        <f>IF($AK272=1,IFERROR(IF(VALUE($D272)&lt;100000000,VALUE($D272),1000000000),IFERROR(IF(VALUE(MID($D272,2,20))&lt;100000000,VALUE(MID($D272,2,20)),1000000000),1000000000))+ROW()/100000,"")</f>
        <v/>
      </c>
    </row>
    <row r="273">
      <c r="F273" s="11" t="n"/>
      <c r="N273" s="7">
        <f>IF($D273="","",M273*V273/100)</f>
        <v/>
      </c>
      <c r="O273" s="7" t="n"/>
      <c r="U273" s="7" t="n"/>
      <c r="V273" s="7" t="n"/>
      <c r="Y273">
        <f>IF($D273="","",IF($AN273=1,0,IF($AM273=1,Settings!$C$6,Settings!$C$7))*100)</f>
        <v/>
      </c>
      <c r="Z273" s="7">
        <f>IF($D273="","",V273*Y273/100)</f>
        <v/>
      </c>
      <c r="AA273" s="7">
        <f>IF($D273="","",V273-Z273)</f>
        <v/>
      </c>
      <c r="AB273" s="7">
        <f>IF($D273="","",AA273-N273)</f>
        <v/>
      </c>
      <c r="AF273" s="7" t="n"/>
      <c r="AI273" s="11" t="n"/>
      <c r="AK273">
        <f>IF($D273="","",IF(COUNTIF($D$2:$D273,$D273)=1,1,0))</f>
        <v/>
      </c>
      <c r="AL273">
        <f>IF($AK273=1,SUMPRODUCT(--($AO$2:$AO$3001&lt;$AO273))+1,"")</f>
        <v/>
      </c>
      <c r="AM273">
        <f>IF($D273="","",IF(OR($R273=TRUE(),$R273="TRUE"),1,0))</f>
        <v/>
      </c>
      <c r="AN273">
        <f>IF($D273="","",IF($X273="Yes",1,0))</f>
        <v/>
      </c>
      <c r="AO273">
        <f>IF($AK273=1,IFERROR(IF(VALUE($D273)&lt;100000000,VALUE($D273),1000000000),IFERROR(IF(VALUE(MID($D273,2,20))&lt;100000000,VALUE(MID($D273,2,20)),1000000000),1000000000))+ROW()/100000,"")</f>
        <v/>
      </c>
    </row>
    <row r="274">
      <c r="F274" s="11" t="n"/>
      <c r="N274" s="7">
        <f>IF($D274="","",M274*V274/100)</f>
        <v/>
      </c>
      <c r="O274" s="7" t="n"/>
      <c r="U274" s="7" t="n"/>
      <c r="V274" s="7" t="n"/>
      <c r="Y274">
        <f>IF($D274="","",IF($AN274=1,0,IF($AM274=1,Settings!$C$6,Settings!$C$7))*100)</f>
        <v/>
      </c>
      <c r="Z274" s="7">
        <f>IF($D274="","",V274*Y274/100)</f>
        <v/>
      </c>
      <c r="AA274" s="7">
        <f>IF($D274="","",V274-Z274)</f>
        <v/>
      </c>
      <c r="AB274" s="7">
        <f>IF($D274="","",AA274-N274)</f>
        <v/>
      </c>
      <c r="AF274" s="7" t="n"/>
      <c r="AI274" s="11" t="n"/>
      <c r="AK274">
        <f>IF($D274="","",IF(COUNTIF($D$2:$D274,$D274)=1,1,0))</f>
        <v/>
      </c>
      <c r="AL274">
        <f>IF($AK274=1,SUMPRODUCT(--($AO$2:$AO$3001&lt;$AO274))+1,"")</f>
        <v/>
      </c>
      <c r="AM274">
        <f>IF($D274="","",IF(OR($R274=TRUE(),$R274="TRUE"),1,0))</f>
        <v/>
      </c>
      <c r="AN274">
        <f>IF($D274="","",IF($X274="Yes",1,0))</f>
        <v/>
      </c>
      <c r="AO274">
        <f>IF($AK274=1,IFERROR(IF(VALUE($D274)&lt;100000000,VALUE($D274),1000000000),IFERROR(IF(VALUE(MID($D274,2,20))&lt;100000000,VALUE(MID($D274,2,20)),1000000000),1000000000))+ROW()/100000,"")</f>
        <v/>
      </c>
    </row>
    <row r="275">
      <c r="F275" s="11" t="n"/>
      <c r="N275" s="7">
        <f>IF($D275="","",M275*V275/100)</f>
        <v/>
      </c>
      <c r="O275" s="7" t="n"/>
      <c r="U275" s="7" t="n"/>
      <c r="V275" s="7" t="n"/>
      <c r="Y275">
        <f>IF($D275="","",IF($AN275=1,0,IF($AM275=1,Settings!$C$6,Settings!$C$7))*100)</f>
        <v/>
      </c>
      <c r="Z275" s="7">
        <f>IF($D275="","",V275*Y275/100)</f>
        <v/>
      </c>
      <c r="AA275" s="7">
        <f>IF($D275="","",V275-Z275)</f>
        <v/>
      </c>
      <c r="AB275" s="7">
        <f>IF($D275="","",AA275-N275)</f>
        <v/>
      </c>
      <c r="AF275" s="7" t="n"/>
      <c r="AI275" s="11" t="n"/>
      <c r="AK275">
        <f>IF($D275="","",IF(COUNTIF($D$2:$D275,$D275)=1,1,0))</f>
        <v/>
      </c>
      <c r="AL275">
        <f>IF($AK275=1,SUMPRODUCT(--($AO$2:$AO$3001&lt;$AO275))+1,"")</f>
        <v/>
      </c>
      <c r="AM275">
        <f>IF($D275="","",IF(OR($R275=TRUE(),$R275="TRUE"),1,0))</f>
        <v/>
      </c>
      <c r="AN275">
        <f>IF($D275="","",IF($X275="Yes",1,0))</f>
        <v/>
      </c>
      <c r="AO275">
        <f>IF($AK275=1,IFERROR(IF(VALUE($D275)&lt;100000000,VALUE($D275),1000000000),IFERROR(IF(VALUE(MID($D275,2,20))&lt;100000000,VALUE(MID($D275,2,20)),1000000000),1000000000))+ROW()/100000,"")</f>
        <v/>
      </c>
    </row>
    <row r="276">
      <c r="F276" s="11" t="n"/>
      <c r="N276" s="7">
        <f>IF($D276="","",M276*V276/100)</f>
        <v/>
      </c>
      <c r="O276" s="7" t="n"/>
      <c r="U276" s="7" t="n"/>
      <c r="V276" s="7" t="n"/>
      <c r="Y276">
        <f>IF($D276="","",IF($AN276=1,0,IF($AM276=1,Settings!$C$6,Settings!$C$7))*100)</f>
        <v/>
      </c>
      <c r="Z276" s="7">
        <f>IF($D276="","",V276*Y276/100)</f>
        <v/>
      </c>
      <c r="AA276" s="7">
        <f>IF($D276="","",V276-Z276)</f>
        <v/>
      </c>
      <c r="AB276" s="7">
        <f>IF($D276="","",AA276-N276)</f>
        <v/>
      </c>
      <c r="AF276" s="7" t="n"/>
      <c r="AI276" s="11" t="n"/>
      <c r="AK276">
        <f>IF($D276="","",IF(COUNTIF($D$2:$D276,$D276)=1,1,0))</f>
        <v/>
      </c>
      <c r="AL276">
        <f>IF($AK276=1,SUMPRODUCT(--($AO$2:$AO$3001&lt;$AO276))+1,"")</f>
        <v/>
      </c>
      <c r="AM276">
        <f>IF($D276="","",IF(OR($R276=TRUE(),$R276="TRUE"),1,0))</f>
        <v/>
      </c>
      <c r="AN276">
        <f>IF($D276="","",IF($X276="Yes",1,0))</f>
        <v/>
      </c>
      <c r="AO276">
        <f>IF($AK276=1,IFERROR(IF(VALUE($D276)&lt;100000000,VALUE($D276),1000000000),IFERROR(IF(VALUE(MID($D276,2,20))&lt;100000000,VALUE(MID($D276,2,20)),1000000000),1000000000))+ROW()/100000,"")</f>
        <v/>
      </c>
    </row>
    <row r="277">
      <c r="F277" s="11" t="n"/>
      <c r="N277" s="7">
        <f>IF($D277="","",M277*V277/100)</f>
        <v/>
      </c>
      <c r="O277" s="7" t="n"/>
      <c r="U277" s="7" t="n"/>
      <c r="V277" s="7" t="n"/>
      <c r="Y277">
        <f>IF($D277="","",IF($AN277=1,0,IF($AM277=1,Settings!$C$6,Settings!$C$7))*100)</f>
        <v/>
      </c>
      <c r="Z277" s="7">
        <f>IF($D277="","",V277*Y277/100)</f>
        <v/>
      </c>
      <c r="AA277" s="7">
        <f>IF($D277="","",V277-Z277)</f>
        <v/>
      </c>
      <c r="AB277" s="7">
        <f>IF($D277="","",AA277-N277)</f>
        <v/>
      </c>
      <c r="AF277" s="7" t="n"/>
      <c r="AI277" s="11" t="n"/>
      <c r="AK277">
        <f>IF($D277="","",IF(COUNTIF($D$2:$D277,$D277)=1,1,0))</f>
        <v/>
      </c>
      <c r="AL277">
        <f>IF($AK277=1,SUMPRODUCT(--($AO$2:$AO$3001&lt;$AO277))+1,"")</f>
        <v/>
      </c>
      <c r="AM277">
        <f>IF($D277="","",IF(OR($R277=TRUE(),$R277="TRUE"),1,0))</f>
        <v/>
      </c>
      <c r="AN277">
        <f>IF($D277="","",IF($X277="Yes",1,0))</f>
        <v/>
      </c>
      <c r="AO277">
        <f>IF($AK277=1,IFERROR(IF(VALUE($D277)&lt;100000000,VALUE($D277),1000000000),IFERROR(IF(VALUE(MID($D277,2,20))&lt;100000000,VALUE(MID($D277,2,20)),1000000000),1000000000))+ROW()/100000,"")</f>
        <v/>
      </c>
    </row>
    <row r="278">
      <c r="F278" s="11" t="n"/>
      <c r="N278" s="7">
        <f>IF($D278="","",M278*V278/100)</f>
        <v/>
      </c>
      <c r="O278" s="7" t="n"/>
      <c r="U278" s="7" t="n"/>
      <c r="V278" s="7" t="n"/>
      <c r="Y278">
        <f>IF($D278="","",IF($AN278=1,0,IF($AM278=1,Settings!$C$6,Settings!$C$7))*100)</f>
        <v/>
      </c>
      <c r="Z278" s="7">
        <f>IF($D278="","",V278*Y278/100)</f>
        <v/>
      </c>
      <c r="AA278" s="7">
        <f>IF($D278="","",V278-Z278)</f>
        <v/>
      </c>
      <c r="AB278" s="7">
        <f>IF($D278="","",AA278-N278)</f>
        <v/>
      </c>
      <c r="AF278" s="7" t="n"/>
      <c r="AI278" s="11" t="n"/>
      <c r="AK278">
        <f>IF($D278="","",IF(COUNTIF($D$2:$D278,$D278)=1,1,0))</f>
        <v/>
      </c>
      <c r="AL278">
        <f>IF($AK278=1,SUMPRODUCT(--($AO$2:$AO$3001&lt;$AO278))+1,"")</f>
        <v/>
      </c>
      <c r="AM278">
        <f>IF($D278="","",IF(OR($R278=TRUE(),$R278="TRUE"),1,0))</f>
        <v/>
      </c>
      <c r="AN278">
        <f>IF($D278="","",IF($X278="Yes",1,0))</f>
        <v/>
      </c>
      <c r="AO278">
        <f>IF($AK278=1,IFERROR(IF(VALUE($D278)&lt;100000000,VALUE($D278),1000000000),IFERROR(IF(VALUE(MID($D278,2,20))&lt;100000000,VALUE(MID($D278,2,20)),1000000000),1000000000))+ROW()/100000,"")</f>
        <v/>
      </c>
    </row>
    <row r="279">
      <c r="F279" s="11" t="n"/>
      <c r="N279" s="7">
        <f>IF($D279="","",M279*V279/100)</f>
        <v/>
      </c>
      <c r="O279" s="7" t="n"/>
      <c r="U279" s="7" t="n"/>
      <c r="V279" s="7" t="n"/>
      <c r="Y279">
        <f>IF($D279="","",IF($AN279=1,0,IF($AM279=1,Settings!$C$6,Settings!$C$7))*100)</f>
        <v/>
      </c>
      <c r="Z279" s="7">
        <f>IF($D279="","",V279*Y279/100)</f>
        <v/>
      </c>
      <c r="AA279" s="7">
        <f>IF($D279="","",V279-Z279)</f>
        <v/>
      </c>
      <c r="AB279" s="7">
        <f>IF($D279="","",AA279-N279)</f>
        <v/>
      </c>
      <c r="AF279" s="7" t="n"/>
      <c r="AI279" s="11" t="n"/>
      <c r="AK279">
        <f>IF($D279="","",IF(COUNTIF($D$2:$D279,$D279)=1,1,0))</f>
        <v/>
      </c>
      <c r="AL279">
        <f>IF($AK279=1,SUMPRODUCT(--($AO$2:$AO$3001&lt;$AO279))+1,"")</f>
        <v/>
      </c>
      <c r="AM279">
        <f>IF($D279="","",IF(OR($R279=TRUE(),$R279="TRUE"),1,0))</f>
        <v/>
      </c>
      <c r="AN279">
        <f>IF($D279="","",IF($X279="Yes",1,0))</f>
        <v/>
      </c>
      <c r="AO279">
        <f>IF($AK279=1,IFERROR(IF(VALUE($D279)&lt;100000000,VALUE($D279),1000000000),IFERROR(IF(VALUE(MID($D279,2,20))&lt;100000000,VALUE(MID($D279,2,20)),1000000000),1000000000))+ROW()/100000,"")</f>
        <v/>
      </c>
    </row>
    <row r="280">
      <c r="F280" s="11" t="n"/>
      <c r="N280" s="7">
        <f>IF($D280="","",M280*V280/100)</f>
        <v/>
      </c>
      <c r="O280" s="7" t="n"/>
      <c r="U280" s="7" t="n"/>
      <c r="V280" s="7" t="n"/>
      <c r="Y280">
        <f>IF($D280="","",IF($AN280=1,0,IF($AM280=1,Settings!$C$6,Settings!$C$7))*100)</f>
        <v/>
      </c>
      <c r="Z280" s="7">
        <f>IF($D280="","",V280*Y280/100)</f>
        <v/>
      </c>
      <c r="AA280" s="7">
        <f>IF($D280="","",V280-Z280)</f>
        <v/>
      </c>
      <c r="AB280" s="7">
        <f>IF($D280="","",AA280-N280)</f>
        <v/>
      </c>
      <c r="AF280" s="7" t="n"/>
      <c r="AI280" s="11" t="n"/>
      <c r="AK280">
        <f>IF($D280="","",IF(COUNTIF($D$2:$D280,$D280)=1,1,0))</f>
        <v/>
      </c>
      <c r="AL280">
        <f>IF($AK280=1,SUMPRODUCT(--($AO$2:$AO$3001&lt;$AO280))+1,"")</f>
        <v/>
      </c>
      <c r="AM280">
        <f>IF($D280="","",IF(OR($R280=TRUE(),$R280="TRUE"),1,0))</f>
        <v/>
      </c>
      <c r="AN280">
        <f>IF($D280="","",IF($X280="Yes",1,0))</f>
        <v/>
      </c>
      <c r="AO280">
        <f>IF($AK280=1,IFERROR(IF(VALUE($D280)&lt;100000000,VALUE($D280),1000000000),IFERROR(IF(VALUE(MID($D280,2,20))&lt;100000000,VALUE(MID($D280,2,20)),1000000000),1000000000))+ROW()/100000,"")</f>
        <v/>
      </c>
    </row>
    <row r="281">
      <c r="F281" s="11" t="n"/>
      <c r="N281" s="7">
        <f>IF($D281="","",M281*V281/100)</f>
        <v/>
      </c>
      <c r="O281" s="7" t="n"/>
      <c r="U281" s="7" t="n"/>
      <c r="V281" s="7" t="n"/>
      <c r="Y281">
        <f>IF($D281="","",IF($AN281=1,0,IF($AM281=1,Settings!$C$6,Settings!$C$7))*100)</f>
        <v/>
      </c>
      <c r="Z281" s="7">
        <f>IF($D281="","",V281*Y281/100)</f>
        <v/>
      </c>
      <c r="AA281" s="7">
        <f>IF($D281="","",V281-Z281)</f>
        <v/>
      </c>
      <c r="AB281" s="7">
        <f>IF($D281="","",AA281-N281)</f>
        <v/>
      </c>
      <c r="AF281" s="7" t="n"/>
      <c r="AI281" s="11" t="n"/>
      <c r="AK281">
        <f>IF($D281="","",IF(COUNTIF($D$2:$D281,$D281)=1,1,0))</f>
        <v/>
      </c>
      <c r="AL281">
        <f>IF($AK281=1,SUMPRODUCT(--($AO$2:$AO$3001&lt;$AO281))+1,"")</f>
        <v/>
      </c>
      <c r="AM281">
        <f>IF($D281="","",IF(OR($R281=TRUE(),$R281="TRUE"),1,0))</f>
        <v/>
      </c>
      <c r="AN281">
        <f>IF($D281="","",IF($X281="Yes",1,0))</f>
        <v/>
      </c>
      <c r="AO281">
        <f>IF($AK281=1,IFERROR(IF(VALUE($D281)&lt;100000000,VALUE($D281),1000000000),IFERROR(IF(VALUE(MID($D281,2,20))&lt;100000000,VALUE(MID($D281,2,20)),1000000000),1000000000))+ROW()/100000,"")</f>
        <v/>
      </c>
    </row>
    <row r="282">
      <c r="F282" s="11" t="n"/>
      <c r="N282" s="7">
        <f>IF($D282="","",M282*V282/100)</f>
        <v/>
      </c>
      <c r="O282" s="7" t="n"/>
      <c r="U282" s="7" t="n"/>
      <c r="V282" s="7" t="n"/>
      <c r="Y282">
        <f>IF($D282="","",IF($AN282=1,0,IF($AM282=1,Settings!$C$6,Settings!$C$7))*100)</f>
        <v/>
      </c>
      <c r="Z282" s="7">
        <f>IF($D282="","",V282*Y282/100)</f>
        <v/>
      </c>
      <c r="AA282" s="7">
        <f>IF($D282="","",V282-Z282)</f>
        <v/>
      </c>
      <c r="AB282" s="7">
        <f>IF($D282="","",AA282-N282)</f>
        <v/>
      </c>
      <c r="AF282" s="7" t="n"/>
      <c r="AI282" s="11" t="n"/>
      <c r="AK282">
        <f>IF($D282="","",IF(COUNTIF($D$2:$D282,$D282)=1,1,0))</f>
        <v/>
      </c>
      <c r="AL282">
        <f>IF($AK282=1,SUMPRODUCT(--($AO$2:$AO$3001&lt;$AO282))+1,"")</f>
        <v/>
      </c>
      <c r="AM282">
        <f>IF($D282="","",IF(OR($R282=TRUE(),$R282="TRUE"),1,0))</f>
        <v/>
      </c>
      <c r="AN282">
        <f>IF($D282="","",IF($X282="Yes",1,0))</f>
        <v/>
      </c>
      <c r="AO282">
        <f>IF($AK282=1,IFERROR(IF(VALUE($D282)&lt;100000000,VALUE($D282),1000000000),IFERROR(IF(VALUE(MID($D282,2,20))&lt;100000000,VALUE(MID($D282,2,20)),1000000000),1000000000))+ROW()/100000,"")</f>
        <v/>
      </c>
    </row>
    <row r="283">
      <c r="F283" s="11" t="n"/>
      <c r="N283" s="7">
        <f>IF($D283="","",M283*V283/100)</f>
        <v/>
      </c>
      <c r="O283" s="7" t="n"/>
      <c r="U283" s="7" t="n"/>
      <c r="V283" s="7" t="n"/>
      <c r="Y283">
        <f>IF($D283="","",IF($AN283=1,0,IF($AM283=1,Settings!$C$6,Settings!$C$7))*100)</f>
        <v/>
      </c>
      <c r="Z283" s="7">
        <f>IF($D283="","",V283*Y283/100)</f>
        <v/>
      </c>
      <c r="AA283" s="7">
        <f>IF($D283="","",V283-Z283)</f>
        <v/>
      </c>
      <c r="AB283" s="7">
        <f>IF($D283="","",AA283-N283)</f>
        <v/>
      </c>
      <c r="AF283" s="7" t="n"/>
      <c r="AI283" s="11" t="n"/>
      <c r="AK283">
        <f>IF($D283="","",IF(COUNTIF($D$2:$D283,$D283)=1,1,0))</f>
        <v/>
      </c>
      <c r="AL283">
        <f>IF($AK283=1,SUMPRODUCT(--($AO$2:$AO$3001&lt;$AO283))+1,"")</f>
        <v/>
      </c>
      <c r="AM283">
        <f>IF($D283="","",IF(OR($R283=TRUE(),$R283="TRUE"),1,0))</f>
        <v/>
      </c>
      <c r="AN283">
        <f>IF($D283="","",IF($X283="Yes",1,0))</f>
        <v/>
      </c>
      <c r="AO283">
        <f>IF($AK283=1,IFERROR(IF(VALUE($D283)&lt;100000000,VALUE($D283),1000000000),IFERROR(IF(VALUE(MID($D283,2,20))&lt;100000000,VALUE(MID($D283,2,20)),1000000000),1000000000))+ROW()/100000,"")</f>
        <v/>
      </c>
    </row>
    <row r="284">
      <c r="F284" s="11" t="n"/>
      <c r="N284" s="7">
        <f>IF($D284="","",M284*V284/100)</f>
        <v/>
      </c>
      <c r="O284" s="7" t="n"/>
      <c r="U284" s="7" t="n"/>
      <c r="V284" s="7" t="n"/>
      <c r="Y284">
        <f>IF($D284="","",IF($AN284=1,0,IF($AM284=1,Settings!$C$6,Settings!$C$7))*100)</f>
        <v/>
      </c>
      <c r="Z284" s="7">
        <f>IF($D284="","",V284*Y284/100)</f>
        <v/>
      </c>
      <c r="AA284" s="7">
        <f>IF($D284="","",V284-Z284)</f>
        <v/>
      </c>
      <c r="AB284" s="7">
        <f>IF($D284="","",AA284-N284)</f>
        <v/>
      </c>
      <c r="AF284" s="7" t="n"/>
      <c r="AI284" s="11" t="n"/>
      <c r="AK284">
        <f>IF($D284="","",IF(COUNTIF($D$2:$D284,$D284)=1,1,0))</f>
        <v/>
      </c>
      <c r="AL284">
        <f>IF($AK284=1,SUMPRODUCT(--($AO$2:$AO$3001&lt;$AO284))+1,"")</f>
        <v/>
      </c>
      <c r="AM284">
        <f>IF($D284="","",IF(OR($R284=TRUE(),$R284="TRUE"),1,0))</f>
        <v/>
      </c>
      <c r="AN284">
        <f>IF($D284="","",IF($X284="Yes",1,0))</f>
        <v/>
      </c>
      <c r="AO284">
        <f>IF($AK284=1,IFERROR(IF(VALUE($D284)&lt;100000000,VALUE($D284),1000000000),IFERROR(IF(VALUE(MID($D284,2,20))&lt;100000000,VALUE(MID($D284,2,20)),1000000000),1000000000))+ROW()/100000,"")</f>
        <v/>
      </c>
    </row>
    <row r="285">
      <c r="F285" s="11" t="n"/>
      <c r="N285" s="7">
        <f>IF($D285="","",M285*V285/100)</f>
        <v/>
      </c>
      <c r="O285" s="7" t="n"/>
      <c r="U285" s="7" t="n"/>
      <c r="V285" s="7" t="n"/>
      <c r="Y285">
        <f>IF($D285="","",IF($AN285=1,0,IF($AM285=1,Settings!$C$6,Settings!$C$7))*100)</f>
        <v/>
      </c>
      <c r="Z285" s="7">
        <f>IF($D285="","",V285*Y285/100)</f>
        <v/>
      </c>
      <c r="AA285" s="7">
        <f>IF($D285="","",V285-Z285)</f>
        <v/>
      </c>
      <c r="AB285" s="7">
        <f>IF($D285="","",AA285-N285)</f>
        <v/>
      </c>
      <c r="AF285" s="7" t="n"/>
      <c r="AI285" s="11" t="n"/>
      <c r="AK285">
        <f>IF($D285="","",IF(COUNTIF($D$2:$D285,$D285)=1,1,0))</f>
        <v/>
      </c>
      <c r="AL285">
        <f>IF($AK285=1,SUMPRODUCT(--($AO$2:$AO$3001&lt;$AO285))+1,"")</f>
        <v/>
      </c>
      <c r="AM285">
        <f>IF($D285="","",IF(OR($R285=TRUE(),$R285="TRUE"),1,0))</f>
        <v/>
      </c>
      <c r="AN285">
        <f>IF($D285="","",IF($X285="Yes",1,0))</f>
        <v/>
      </c>
      <c r="AO285">
        <f>IF($AK285=1,IFERROR(IF(VALUE($D285)&lt;100000000,VALUE($D285),1000000000),IFERROR(IF(VALUE(MID($D285,2,20))&lt;100000000,VALUE(MID($D285,2,20)),1000000000),1000000000))+ROW()/100000,"")</f>
        <v/>
      </c>
    </row>
    <row r="286">
      <c r="F286" s="11" t="n"/>
      <c r="N286" s="7">
        <f>IF($D286="","",M286*V286/100)</f>
        <v/>
      </c>
      <c r="O286" s="7" t="n"/>
      <c r="U286" s="7" t="n"/>
      <c r="V286" s="7" t="n"/>
      <c r="Y286">
        <f>IF($D286="","",IF($AN286=1,0,IF($AM286=1,Settings!$C$6,Settings!$C$7))*100)</f>
        <v/>
      </c>
      <c r="Z286" s="7">
        <f>IF($D286="","",V286*Y286/100)</f>
        <v/>
      </c>
      <c r="AA286" s="7">
        <f>IF($D286="","",V286-Z286)</f>
        <v/>
      </c>
      <c r="AB286" s="7">
        <f>IF($D286="","",AA286-N286)</f>
        <v/>
      </c>
      <c r="AF286" s="7" t="n"/>
      <c r="AI286" s="11" t="n"/>
      <c r="AK286">
        <f>IF($D286="","",IF(COUNTIF($D$2:$D286,$D286)=1,1,0))</f>
        <v/>
      </c>
      <c r="AL286">
        <f>IF($AK286=1,SUMPRODUCT(--($AO$2:$AO$3001&lt;$AO286))+1,"")</f>
        <v/>
      </c>
      <c r="AM286">
        <f>IF($D286="","",IF(OR($R286=TRUE(),$R286="TRUE"),1,0))</f>
        <v/>
      </c>
      <c r="AN286">
        <f>IF($D286="","",IF($X286="Yes",1,0))</f>
        <v/>
      </c>
      <c r="AO286">
        <f>IF($AK286=1,IFERROR(IF(VALUE($D286)&lt;100000000,VALUE($D286),1000000000),IFERROR(IF(VALUE(MID($D286,2,20))&lt;100000000,VALUE(MID($D286,2,20)),1000000000),1000000000))+ROW()/100000,"")</f>
        <v/>
      </c>
    </row>
    <row r="287">
      <c r="F287" s="11" t="n"/>
      <c r="N287" s="7">
        <f>IF($D287="","",M287*V287/100)</f>
        <v/>
      </c>
      <c r="O287" s="7" t="n"/>
      <c r="U287" s="7" t="n"/>
      <c r="V287" s="7" t="n"/>
      <c r="Y287">
        <f>IF($D287="","",IF($AN287=1,0,IF($AM287=1,Settings!$C$6,Settings!$C$7))*100)</f>
        <v/>
      </c>
      <c r="Z287" s="7">
        <f>IF($D287="","",V287*Y287/100)</f>
        <v/>
      </c>
      <c r="AA287" s="7">
        <f>IF($D287="","",V287-Z287)</f>
        <v/>
      </c>
      <c r="AB287" s="7">
        <f>IF($D287="","",AA287-N287)</f>
        <v/>
      </c>
      <c r="AF287" s="7" t="n"/>
      <c r="AI287" s="11" t="n"/>
      <c r="AK287">
        <f>IF($D287="","",IF(COUNTIF($D$2:$D287,$D287)=1,1,0))</f>
        <v/>
      </c>
      <c r="AL287">
        <f>IF($AK287=1,SUMPRODUCT(--($AO$2:$AO$3001&lt;$AO287))+1,"")</f>
        <v/>
      </c>
      <c r="AM287">
        <f>IF($D287="","",IF(OR($R287=TRUE(),$R287="TRUE"),1,0))</f>
        <v/>
      </c>
      <c r="AN287">
        <f>IF($D287="","",IF($X287="Yes",1,0))</f>
        <v/>
      </c>
      <c r="AO287">
        <f>IF($AK287=1,IFERROR(IF(VALUE($D287)&lt;100000000,VALUE($D287),1000000000),IFERROR(IF(VALUE(MID($D287,2,20))&lt;100000000,VALUE(MID($D287,2,20)),1000000000),1000000000))+ROW()/100000,"")</f>
        <v/>
      </c>
    </row>
    <row r="288">
      <c r="F288" s="11" t="n"/>
      <c r="N288" s="7">
        <f>IF($D288="","",M288*V288/100)</f>
        <v/>
      </c>
      <c r="O288" s="7" t="n"/>
      <c r="U288" s="7" t="n"/>
      <c r="V288" s="7" t="n"/>
      <c r="Y288">
        <f>IF($D288="","",IF($AN288=1,0,IF($AM288=1,Settings!$C$6,Settings!$C$7))*100)</f>
        <v/>
      </c>
      <c r="Z288" s="7">
        <f>IF($D288="","",V288*Y288/100)</f>
        <v/>
      </c>
      <c r="AA288" s="7">
        <f>IF($D288="","",V288-Z288)</f>
        <v/>
      </c>
      <c r="AB288" s="7">
        <f>IF($D288="","",AA288-N288)</f>
        <v/>
      </c>
      <c r="AF288" s="7" t="n"/>
      <c r="AI288" s="11" t="n"/>
      <c r="AK288">
        <f>IF($D288="","",IF(COUNTIF($D$2:$D288,$D288)=1,1,0))</f>
        <v/>
      </c>
      <c r="AL288">
        <f>IF($AK288=1,SUMPRODUCT(--($AO$2:$AO$3001&lt;$AO288))+1,"")</f>
        <v/>
      </c>
      <c r="AM288">
        <f>IF($D288="","",IF(OR($R288=TRUE(),$R288="TRUE"),1,0))</f>
        <v/>
      </c>
      <c r="AN288">
        <f>IF($D288="","",IF($X288="Yes",1,0))</f>
        <v/>
      </c>
      <c r="AO288">
        <f>IF($AK288=1,IFERROR(IF(VALUE($D288)&lt;100000000,VALUE($D288),1000000000),IFERROR(IF(VALUE(MID($D288,2,20))&lt;100000000,VALUE(MID($D288,2,20)),1000000000),1000000000))+ROW()/100000,"")</f>
        <v/>
      </c>
    </row>
    <row r="289">
      <c r="F289" s="11" t="n"/>
      <c r="N289" s="7">
        <f>IF($D289="","",M289*V289/100)</f>
        <v/>
      </c>
      <c r="O289" s="7" t="n"/>
      <c r="U289" s="7" t="n"/>
      <c r="V289" s="7" t="n"/>
      <c r="Y289">
        <f>IF($D289="","",IF($AN289=1,0,IF($AM289=1,Settings!$C$6,Settings!$C$7))*100)</f>
        <v/>
      </c>
      <c r="Z289" s="7">
        <f>IF($D289="","",V289*Y289/100)</f>
        <v/>
      </c>
      <c r="AA289" s="7">
        <f>IF($D289="","",V289-Z289)</f>
        <v/>
      </c>
      <c r="AB289" s="7">
        <f>IF($D289="","",AA289-N289)</f>
        <v/>
      </c>
      <c r="AF289" s="7" t="n"/>
      <c r="AI289" s="11" t="n"/>
      <c r="AK289">
        <f>IF($D289="","",IF(COUNTIF($D$2:$D289,$D289)=1,1,0))</f>
        <v/>
      </c>
      <c r="AL289">
        <f>IF($AK289=1,SUMPRODUCT(--($AO$2:$AO$3001&lt;$AO289))+1,"")</f>
        <v/>
      </c>
      <c r="AM289">
        <f>IF($D289="","",IF(OR($R289=TRUE(),$R289="TRUE"),1,0))</f>
        <v/>
      </c>
      <c r="AN289">
        <f>IF($D289="","",IF($X289="Yes",1,0))</f>
        <v/>
      </c>
      <c r="AO289">
        <f>IF($AK289=1,IFERROR(IF(VALUE($D289)&lt;100000000,VALUE($D289),1000000000),IFERROR(IF(VALUE(MID($D289,2,20))&lt;100000000,VALUE(MID($D289,2,20)),1000000000),1000000000))+ROW()/100000,"")</f>
        <v/>
      </c>
    </row>
    <row r="290">
      <c r="F290" s="11" t="n"/>
      <c r="N290" s="7">
        <f>IF($D290="","",M290*V290/100)</f>
        <v/>
      </c>
      <c r="O290" s="7" t="n"/>
      <c r="U290" s="7" t="n"/>
      <c r="V290" s="7" t="n"/>
      <c r="Y290">
        <f>IF($D290="","",IF($AN290=1,0,IF($AM290=1,Settings!$C$6,Settings!$C$7))*100)</f>
        <v/>
      </c>
      <c r="Z290" s="7">
        <f>IF($D290="","",V290*Y290/100)</f>
        <v/>
      </c>
      <c r="AA290" s="7">
        <f>IF($D290="","",V290-Z290)</f>
        <v/>
      </c>
      <c r="AB290" s="7">
        <f>IF($D290="","",AA290-N290)</f>
        <v/>
      </c>
      <c r="AF290" s="7" t="n"/>
      <c r="AI290" s="11" t="n"/>
      <c r="AK290">
        <f>IF($D290="","",IF(COUNTIF($D$2:$D290,$D290)=1,1,0))</f>
        <v/>
      </c>
      <c r="AL290">
        <f>IF($AK290=1,SUMPRODUCT(--($AO$2:$AO$3001&lt;$AO290))+1,"")</f>
        <v/>
      </c>
      <c r="AM290">
        <f>IF($D290="","",IF(OR($R290=TRUE(),$R290="TRUE"),1,0))</f>
        <v/>
      </c>
      <c r="AN290">
        <f>IF($D290="","",IF($X290="Yes",1,0))</f>
        <v/>
      </c>
      <c r="AO290">
        <f>IF($AK290=1,IFERROR(IF(VALUE($D290)&lt;100000000,VALUE($D290),1000000000),IFERROR(IF(VALUE(MID($D290,2,20))&lt;100000000,VALUE(MID($D290,2,20)),1000000000),1000000000))+ROW()/100000,"")</f>
        <v/>
      </c>
    </row>
    <row r="291">
      <c r="F291" s="11" t="n"/>
      <c r="N291" s="7">
        <f>IF($D291="","",M291*V291/100)</f>
        <v/>
      </c>
      <c r="O291" s="7" t="n"/>
      <c r="U291" s="7" t="n"/>
      <c r="V291" s="7" t="n"/>
      <c r="Y291">
        <f>IF($D291="","",IF($AN291=1,0,IF($AM291=1,Settings!$C$6,Settings!$C$7))*100)</f>
        <v/>
      </c>
      <c r="Z291" s="7">
        <f>IF($D291="","",V291*Y291/100)</f>
        <v/>
      </c>
      <c r="AA291" s="7">
        <f>IF($D291="","",V291-Z291)</f>
        <v/>
      </c>
      <c r="AB291" s="7">
        <f>IF($D291="","",AA291-N291)</f>
        <v/>
      </c>
      <c r="AF291" s="7" t="n"/>
      <c r="AI291" s="11" t="n"/>
      <c r="AK291">
        <f>IF($D291="","",IF(COUNTIF($D$2:$D291,$D291)=1,1,0))</f>
        <v/>
      </c>
      <c r="AL291">
        <f>IF($AK291=1,SUMPRODUCT(--($AO$2:$AO$3001&lt;$AO291))+1,"")</f>
        <v/>
      </c>
      <c r="AM291">
        <f>IF($D291="","",IF(OR($R291=TRUE(),$R291="TRUE"),1,0))</f>
        <v/>
      </c>
      <c r="AN291">
        <f>IF($D291="","",IF($X291="Yes",1,0))</f>
        <v/>
      </c>
      <c r="AO291">
        <f>IF($AK291=1,IFERROR(IF(VALUE($D291)&lt;100000000,VALUE($D291),1000000000),IFERROR(IF(VALUE(MID($D291,2,20))&lt;100000000,VALUE(MID($D291,2,20)),1000000000),1000000000))+ROW()/100000,"")</f>
        <v/>
      </c>
    </row>
    <row r="292">
      <c r="F292" s="11" t="n"/>
      <c r="N292" s="7">
        <f>IF($D292="","",M292*V292/100)</f>
        <v/>
      </c>
      <c r="O292" s="7" t="n"/>
      <c r="U292" s="7" t="n"/>
      <c r="V292" s="7" t="n"/>
      <c r="Y292">
        <f>IF($D292="","",IF($AN292=1,0,IF($AM292=1,Settings!$C$6,Settings!$C$7))*100)</f>
        <v/>
      </c>
      <c r="Z292" s="7">
        <f>IF($D292="","",V292*Y292/100)</f>
        <v/>
      </c>
      <c r="AA292" s="7">
        <f>IF($D292="","",V292-Z292)</f>
        <v/>
      </c>
      <c r="AB292" s="7">
        <f>IF($D292="","",AA292-N292)</f>
        <v/>
      </c>
      <c r="AF292" s="7" t="n"/>
      <c r="AI292" s="11" t="n"/>
      <c r="AK292">
        <f>IF($D292="","",IF(COUNTIF($D$2:$D292,$D292)=1,1,0))</f>
        <v/>
      </c>
      <c r="AL292">
        <f>IF($AK292=1,SUMPRODUCT(--($AO$2:$AO$3001&lt;$AO292))+1,"")</f>
        <v/>
      </c>
      <c r="AM292">
        <f>IF($D292="","",IF(OR($R292=TRUE(),$R292="TRUE"),1,0))</f>
        <v/>
      </c>
      <c r="AN292">
        <f>IF($D292="","",IF($X292="Yes",1,0))</f>
        <v/>
      </c>
      <c r="AO292">
        <f>IF($AK292=1,IFERROR(IF(VALUE($D292)&lt;100000000,VALUE($D292),1000000000),IFERROR(IF(VALUE(MID($D292,2,20))&lt;100000000,VALUE(MID($D292,2,20)),1000000000),1000000000))+ROW()/100000,"")</f>
        <v/>
      </c>
    </row>
    <row r="293">
      <c r="F293" s="11" t="n"/>
      <c r="N293" s="7">
        <f>IF($D293="","",M293*V293/100)</f>
        <v/>
      </c>
      <c r="O293" s="7" t="n"/>
      <c r="U293" s="7" t="n"/>
      <c r="V293" s="7" t="n"/>
      <c r="Y293">
        <f>IF($D293="","",IF($AN293=1,0,IF($AM293=1,Settings!$C$6,Settings!$C$7))*100)</f>
        <v/>
      </c>
      <c r="Z293" s="7">
        <f>IF($D293="","",V293*Y293/100)</f>
        <v/>
      </c>
      <c r="AA293" s="7">
        <f>IF($D293="","",V293-Z293)</f>
        <v/>
      </c>
      <c r="AB293" s="7">
        <f>IF($D293="","",AA293-N293)</f>
        <v/>
      </c>
      <c r="AF293" s="7" t="n"/>
      <c r="AI293" s="11" t="n"/>
      <c r="AK293">
        <f>IF($D293="","",IF(COUNTIF($D$2:$D293,$D293)=1,1,0))</f>
        <v/>
      </c>
      <c r="AL293">
        <f>IF($AK293=1,SUMPRODUCT(--($AO$2:$AO$3001&lt;$AO293))+1,"")</f>
        <v/>
      </c>
      <c r="AM293">
        <f>IF($D293="","",IF(OR($R293=TRUE(),$R293="TRUE"),1,0))</f>
        <v/>
      </c>
      <c r="AN293">
        <f>IF($D293="","",IF($X293="Yes",1,0))</f>
        <v/>
      </c>
      <c r="AO293">
        <f>IF($AK293=1,IFERROR(IF(VALUE($D293)&lt;100000000,VALUE($D293),1000000000),IFERROR(IF(VALUE(MID($D293,2,20))&lt;100000000,VALUE(MID($D293,2,20)),1000000000),1000000000))+ROW()/100000,"")</f>
        <v/>
      </c>
    </row>
    <row r="294">
      <c r="F294" s="11" t="n"/>
      <c r="N294" s="7">
        <f>IF($D294="","",M294*V294/100)</f>
        <v/>
      </c>
      <c r="O294" s="7" t="n"/>
      <c r="U294" s="7" t="n"/>
      <c r="V294" s="7" t="n"/>
      <c r="Y294">
        <f>IF($D294="","",IF($AN294=1,0,IF($AM294=1,Settings!$C$6,Settings!$C$7))*100)</f>
        <v/>
      </c>
      <c r="Z294" s="7">
        <f>IF($D294="","",V294*Y294/100)</f>
        <v/>
      </c>
      <c r="AA294" s="7">
        <f>IF($D294="","",V294-Z294)</f>
        <v/>
      </c>
      <c r="AB294" s="7">
        <f>IF($D294="","",AA294-N294)</f>
        <v/>
      </c>
      <c r="AF294" s="7" t="n"/>
      <c r="AI294" s="11" t="n"/>
      <c r="AK294">
        <f>IF($D294="","",IF(COUNTIF($D$2:$D294,$D294)=1,1,0))</f>
        <v/>
      </c>
      <c r="AL294">
        <f>IF($AK294=1,SUMPRODUCT(--($AO$2:$AO$3001&lt;$AO294))+1,"")</f>
        <v/>
      </c>
      <c r="AM294">
        <f>IF($D294="","",IF(OR($R294=TRUE(),$R294="TRUE"),1,0))</f>
        <v/>
      </c>
      <c r="AN294">
        <f>IF($D294="","",IF($X294="Yes",1,0))</f>
        <v/>
      </c>
      <c r="AO294">
        <f>IF($AK294=1,IFERROR(IF(VALUE($D294)&lt;100000000,VALUE($D294),1000000000),IFERROR(IF(VALUE(MID($D294,2,20))&lt;100000000,VALUE(MID($D294,2,20)),1000000000),1000000000))+ROW()/100000,"")</f>
        <v/>
      </c>
    </row>
    <row r="295">
      <c r="F295" s="11" t="n"/>
      <c r="N295" s="7">
        <f>IF($D295="","",M295*V295/100)</f>
        <v/>
      </c>
      <c r="O295" s="7" t="n"/>
      <c r="U295" s="7" t="n"/>
      <c r="V295" s="7" t="n"/>
      <c r="Y295">
        <f>IF($D295="","",IF($AN295=1,0,IF($AM295=1,Settings!$C$6,Settings!$C$7))*100)</f>
        <v/>
      </c>
      <c r="Z295" s="7">
        <f>IF($D295="","",V295*Y295/100)</f>
        <v/>
      </c>
      <c r="AA295" s="7">
        <f>IF($D295="","",V295-Z295)</f>
        <v/>
      </c>
      <c r="AB295" s="7">
        <f>IF($D295="","",AA295-N295)</f>
        <v/>
      </c>
      <c r="AF295" s="7" t="n"/>
      <c r="AI295" s="11" t="n"/>
      <c r="AK295">
        <f>IF($D295="","",IF(COUNTIF($D$2:$D295,$D295)=1,1,0))</f>
        <v/>
      </c>
      <c r="AL295">
        <f>IF($AK295=1,SUMPRODUCT(--($AO$2:$AO$3001&lt;$AO295))+1,"")</f>
        <v/>
      </c>
      <c r="AM295">
        <f>IF($D295="","",IF(OR($R295=TRUE(),$R295="TRUE"),1,0))</f>
        <v/>
      </c>
      <c r="AN295">
        <f>IF($D295="","",IF($X295="Yes",1,0))</f>
        <v/>
      </c>
      <c r="AO295">
        <f>IF($AK295=1,IFERROR(IF(VALUE($D295)&lt;100000000,VALUE($D295),1000000000),IFERROR(IF(VALUE(MID($D295,2,20))&lt;100000000,VALUE(MID($D295,2,20)),1000000000),1000000000))+ROW()/100000,"")</f>
        <v/>
      </c>
    </row>
    <row r="296">
      <c r="F296" s="11" t="n"/>
      <c r="N296" s="7">
        <f>IF($D296="","",M296*V296/100)</f>
        <v/>
      </c>
      <c r="O296" s="7" t="n"/>
      <c r="U296" s="7" t="n"/>
      <c r="V296" s="7" t="n"/>
      <c r="Y296">
        <f>IF($D296="","",IF($AN296=1,0,IF($AM296=1,Settings!$C$6,Settings!$C$7))*100)</f>
        <v/>
      </c>
      <c r="Z296" s="7">
        <f>IF($D296="","",V296*Y296/100)</f>
        <v/>
      </c>
      <c r="AA296" s="7">
        <f>IF($D296="","",V296-Z296)</f>
        <v/>
      </c>
      <c r="AB296" s="7">
        <f>IF($D296="","",AA296-N296)</f>
        <v/>
      </c>
      <c r="AF296" s="7" t="n"/>
      <c r="AI296" s="11" t="n"/>
      <c r="AK296">
        <f>IF($D296="","",IF(COUNTIF($D$2:$D296,$D296)=1,1,0))</f>
        <v/>
      </c>
      <c r="AL296">
        <f>IF($AK296=1,SUMPRODUCT(--($AO$2:$AO$3001&lt;$AO296))+1,"")</f>
        <v/>
      </c>
      <c r="AM296">
        <f>IF($D296="","",IF(OR($R296=TRUE(),$R296="TRUE"),1,0))</f>
        <v/>
      </c>
      <c r="AN296">
        <f>IF($D296="","",IF($X296="Yes",1,0))</f>
        <v/>
      </c>
      <c r="AO296">
        <f>IF($AK296=1,IFERROR(IF(VALUE($D296)&lt;100000000,VALUE($D296),1000000000),IFERROR(IF(VALUE(MID($D296,2,20))&lt;100000000,VALUE(MID($D296,2,20)),1000000000),1000000000))+ROW()/100000,"")</f>
        <v/>
      </c>
    </row>
    <row r="297">
      <c r="F297" s="11" t="n"/>
      <c r="N297" s="7">
        <f>IF($D297="","",M297*V297/100)</f>
        <v/>
      </c>
      <c r="O297" s="7" t="n"/>
      <c r="U297" s="7" t="n"/>
      <c r="V297" s="7" t="n"/>
      <c r="Y297">
        <f>IF($D297="","",IF($AN297=1,0,IF($AM297=1,Settings!$C$6,Settings!$C$7))*100)</f>
        <v/>
      </c>
      <c r="Z297" s="7">
        <f>IF($D297="","",V297*Y297/100)</f>
        <v/>
      </c>
      <c r="AA297" s="7">
        <f>IF($D297="","",V297-Z297)</f>
        <v/>
      </c>
      <c r="AB297" s="7">
        <f>IF($D297="","",AA297-N297)</f>
        <v/>
      </c>
      <c r="AF297" s="7" t="n"/>
      <c r="AI297" s="11" t="n"/>
      <c r="AK297">
        <f>IF($D297="","",IF(COUNTIF($D$2:$D297,$D297)=1,1,0))</f>
        <v/>
      </c>
      <c r="AL297">
        <f>IF($AK297=1,SUMPRODUCT(--($AO$2:$AO$3001&lt;$AO297))+1,"")</f>
        <v/>
      </c>
      <c r="AM297">
        <f>IF($D297="","",IF(OR($R297=TRUE(),$R297="TRUE"),1,0))</f>
        <v/>
      </c>
      <c r="AN297">
        <f>IF($D297="","",IF($X297="Yes",1,0))</f>
        <v/>
      </c>
      <c r="AO297">
        <f>IF($AK297=1,IFERROR(IF(VALUE($D297)&lt;100000000,VALUE($D297),1000000000),IFERROR(IF(VALUE(MID($D297,2,20))&lt;100000000,VALUE(MID($D297,2,20)),1000000000),1000000000))+ROW()/100000,"")</f>
        <v/>
      </c>
    </row>
    <row r="298">
      <c r="F298" s="11" t="n"/>
      <c r="N298" s="7">
        <f>IF($D298="","",M298*V298/100)</f>
        <v/>
      </c>
      <c r="O298" s="7" t="n"/>
      <c r="U298" s="7" t="n"/>
      <c r="V298" s="7" t="n"/>
      <c r="Y298">
        <f>IF($D298="","",IF($AN298=1,0,IF($AM298=1,Settings!$C$6,Settings!$C$7))*100)</f>
        <v/>
      </c>
      <c r="Z298" s="7">
        <f>IF($D298="","",V298*Y298/100)</f>
        <v/>
      </c>
      <c r="AA298" s="7">
        <f>IF($D298="","",V298-Z298)</f>
        <v/>
      </c>
      <c r="AB298" s="7">
        <f>IF($D298="","",AA298-N298)</f>
        <v/>
      </c>
      <c r="AF298" s="7" t="n"/>
      <c r="AI298" s="11" t="n"/>
      <c r="AK298">
        <f>IF($D298="","",IF(COUNTIF($D$2:$D298,$D298)=1,1,0))</f>
        <v/>
      </c>
      <c r="AL298">
        <f>IF($AK298=1,SUMPRODUCT(--($AO$2:$AO$3001&lt;$AO298))+1,"")</f>
        <v/>
      </c>
      <c r="AM298">
        <f>IF($D298="","",IF(OR($R298=TRUE(),$R298="TRUE"),1,0))</f>
        <v/>
      </c>
      <c r="AN298">
        <f>IF($D298="","",IF($X298="Yes",1,0))</f>
        <v/>
      </c>
      <c r="AO298">
        <f>IF($AK298=1,IFERROR(IF(VALUE($D298)&lt;100000000,VALUE($D298),1000000000),IFERROR(IF(VALUE(MID($D298,2,20))&lt;100000000,VALUE(MID($D298,2,20)),1000000000),1000000000))+ROW()/100000,"")</f>
        <v/>
      </c>
    </row>
    <row r="299">
      <c r="F299" s="11" t="n"/>
      <c r="N299" s="7">
        <f>IF($D299="","",M299*V299/100)</f>
        <v/>
      </c>
      <c r="O299" s="7" t="n"/>
      <c r="U299" s="7" t="n"/>
      <c r="V299" s="7" t="n"/>
      <c r="Y299">
        <f>IF($D299="","",IF($AN299=1,0,IF($AM299=1,Settings!$C$6,Settings!$C$7))*100)</f>
        <v/>
      </c>
      <c r="Z299" s="7">
        <f>IF($D299="","",V299*Y299/100)</f>
        <v/>
      </c>
      <c r="AA299" s="7">
        <f>IF($D299="","",V299-Z299)</f>
        <v/>
      </c>
      <c r="AB299" s="7">
        <f>IF($D299="","",AA299-N299)</f>
        <v/>
      </c>
      <c r="AF299" s="7" t="n"/>
      <c r="AI299" s="11" t="n"/>
      <c r="AK299">
        <f>IF($D299="","",IF(COUNTIF($D$2:$D299,$D299)=1,1,0))</f>
        <v/>
      </c>
      <c r="AL299">
        <f>IF($AK299=1,SUMPRODUCT(--($AO$2:$AO$3001&lt;$AO299))+1,"")</f>
        <v/>
      </c>
      <c r="AM299">
        <f>IF($D299="","",IF(OR($R299=TRUE(),$R299="TRUE"),1,0))</f>
        <v/>
      </c>
      <c r="AN299">
        <f>IF($D299="","",IF($X299="Yes",1,0))</f>
        <v/>
      </c>
      <c r="AO299">
        <f>IF($AK299=1,IFERROR(IF(VALUE($D299)&lt;100000000,VALUE($D299),1000000000),IFERROR(IF(VALUE(MID($D299,2,20))&lt;100000000,VALUE(MID($D299,2,20)),1000000000),1000000000))+ROW()/100000,"")</f>
        <v/>
      </c>
    </row>
    <row r="300">
      <c r="F300" s="11" t="n"/>
      <c r="N300" s="7">
        <f>IF($D300="","",M300*V300/100)</f>
        <v/>
      </c>
      <c r="O300" s="7" t="n"/>
      <c r="U300" s="7" t="n"/>
      <c r="V300" s="7" t="n"/>
      <c r="Y300">
        <f>IF($D300="","",IF($AN300=1,0,IF($AM300=1,Settings!$C$6,Settings!$C$7))*100)</f>
        <v/>
      </c>
      <c r="Z300" s="7">
        <f>IF($D300="","",V300*Y300/100)</f>
        <v/>
      </c>
      <c r="AA300" s="7">
        <f>IF($D300="","",V300-Z300)</f>
        <v/>
      </c>
      <c r="AB300" s="7">
        <f>IF($D300="","",AA300-N300)</f>
        <v/>
      </c>
      <c r="AF300" s="7" t="n"/>
      <c r="AI300" s="11" t="n"/>
      <c r="AK300">
        <f>IF($D300="","",IF(COUNTIF($D$2:$D300,$D300)=1,1,0))</f>
        <v/>
      </c>
      <c r="AL300">
        <f>IF($AK300=1,SUMPRODUCT(--($AO$2:$AO$3001&lt;$AO300))+1,"")</f>
        <v/>
      </c>
      <c r="AM300">
        <f>IF($D300="","",IF(OR($R300=TRUE(),$R300="TRUE"),1,0))</f>
        <v/>
      </c>
      <c r="AN300">
        <f>IF($D300="","",IF($X300="Yes",1,0))</f>
        <v/>
      </c>
      <c r="AO300">
        <f>IF($AK300=1,IFERROR(IF(VALUE($D300)&lt;100000000,VALUE($D300),1000000000),IFERROR(IF(VALUE(MID($D300,2,20))&lt;100000000,VALUE(MID($D300,2,20)),1000000000),1000000000))+ROW()/100000,"")</f>
        <v/>
      </c>
    </row>
    <row r="301">
      <c r="F301" s="11" t="n"/>
      <c r="N301" s="7">
        <f>IF($D301="","",M301*V301/100)</f>
        <v/>
      </c>
      <c r="O301" s="7" t="n"/>
      <c r="U301" s="7" t="n"/>
      <c r="V301" s="7" t="n"/>
      <c r="Y301">
        <f>IF($D301="","",IF($AN301=1,0,IF($AM301=1,Settings!$C$6,Settings!$C$7))*100)</f>
        <v/>
      </c>
      <c r="Z301" s="7">
        <f>IF($D301="","",V301*Y301/100)</f>
        <v/>
      </c>
      <c r="AA301" s="7">
        <f>IF($D301="","",V301-Z301)</f>
        <v/>
      </c>
      <c r="AB301" s="7">
        <f>IF($D301="","",AA301-N301)</f>
        <v/>
      </c>
      <c r="AF301" s="7" t="n"/>
      <c r="AI301" s="11" t="n"/>
      <c r="AK301">
        <f>IF($D301="","",IF(COUNTIF($D$2:$D301,$D301)=1,1,0))</f>
        <v/>
      </c>
      <c r="AL301">
        <f>IF($AK301=1,SUMPRODUCT(--($AO$2:$AO$3001&lt;$AO301))+1,"")</f>
        <v/>
      </c>
      <c r="AM301">
        <f>IF($D301="","",IF(OR($R301=TRUE(),$R301="TRUE"),1,0))</f>
        <v/>
      </c>
      <c r="AN301">
        <f>IF($D301="","",IF($X301="Yes",1,0))</f>
        <v/>
      </c>
      <c r="AO301">
        <f>IF($AK301=1,IFERROR(IF(VALUE($D301)&lt;100000000,VALUE($D301),1000000000),IFERROR(IF(VALUE(MID($D301,2,20))&lt;100000000,VALUE(MID($D301,2,20)),1000000000),1000000000))+ROW()/100000,"")</f>
        <v/>
      </c>
    </row>
    <row r="302">
      <c r="F302" s="11" t="n"/>
      <c r="N302" s="7">
        <f>IF($D302="","",M302*V302/100)</f>
        <v/>
      </c>
      <c r="O302" s="7" t="n"/>
      <c r="U302" s="7" t="n"/>
      <c r="V302" s="7" t="n"/>
      <c r="Y302">
        <f>IF($D302="","",IF($AN302=1,0,IF($AM302=1,Settings!$C$6,Settings!$C$7))*100)</f>
        <v/>
      </c>
      <c r="Z302" s="7">
        <f>IF($D302="","",V302*Y302/100)</f>
        <v/>
      </c>
      <c r="AA302" s="7">
        <f>IF($D302="","",V302-Z302)</f>
        <v/>
      </c>
      <c r="AB302" s="7">
        <f>IF($D302="","",AA302-N302)</f>
        <v/>
      </c>
      <c r="AF302" s="7" t="n"/>
      <c r="AI302" s="11" t="n"/>
      <c r="AK302">
        <f>IF($D302="","",IF(COUNTIF($D$2:$D302,$D302)=1,1,0))</f>
        <v/>
      </c>
      <c r="AL302">
        <f>IF($AK302=1,SUMPRODUCT(--($AO$2:$AO$3001&lt;$AO302))+1,"")</f>
        <v/>
      </c>
      <c r="AM302">
        <f>IF($D302="","",IF(OR($R302=TRUE(),$R302="TRUE"),1,0))</f>
        <v/>
      </c>
      <c r="AN302">
        <f>IF($D302="","",IF($X302="Yes",1,0))</f>
        <v/>
      </c>
      <c r="AO302">
        <f>IF($AK302=1,IFERROR(IF(VALUE($D302)&lt;100000000,VALUE($D302),1000000000),IFERROR(IF(VALUE(MID($D302,2,20))&lt;100000000,VALUE(MID($D302,2,20)),1000000000),1000000000))+ROW()/100000,"")</f>
        <v/>
      </c>
    </row>
    <row r="303">
      <c r="F303" s="11" t="n"/>
      <c r="N303" s="7">
        <f>IF($D303="","",M303*V303/100)</f>
        <v/>
      </c>
      <c r="O303" s="7" t="n"/>
      <c r="U303" s="7" t="n"/>
      <c r="V303" s="7" t="n"/>
      <c r="Y303">
        <f>IF($D303="","",IF($AN303=1,0,IF($AM303=1,Settings!$C$6,Settings!$C$7))*100)</f>
        <v/>
      </c>
      <c r="Z303" s="7">
        <f>IF($D303="","",V303*Y303/100)</f>
        <v/>
      </c>
      <c r="AA303" s="7">
        <f>IF($D303="","",V303-Z303)</f>
        <v/>
      </c>
      <c r="AB303" s="7">
        <f>IF($D303="","",AA303-N303)</f>
        <v/>
      </c>
      <c r="AF303" s="7" t="n"/>
      <c r="AI303" s="11" t="n"/>
      <c r="AK303">
        <f>IF($D303="","",IF(COUNTIF($D$2:$D303,$D303)=1,1,0))</f>
        <v/>
      </c>
      <c r="AL303">
        <f>IF($AK303=1,SUMPRODUCT(--($AO$2:$AO$3001&lt;$AO303))+1,"")</f>
        <v/>
      </c>
      <c r="AM303">
        <f>IF($D303="","",IF(OR($R303=TRUE(),$R303="TRUE"),1,0))</f>
        <v/>
      </c>
      <c r="AN303">
        <f>IF($D303="","",IF($X303="Yes",1,0))</f>
        <v/>
      </c>
      <c r="AO303">
        <f>IF($AK303=1,IFERROR(IF(VALUE($D303)&lt;100000000,VALUE($D303),1000000000),IFERROR(IF(VALUE(MID($D303,2,20))&lt;100000000,VALUE(MID($D303,2,20)),1000000000),1000000000))+ROW()/100000,"")</f>
        <v/>
      </c>
    </row>
    <row r="304">
      <c r="F304" s="11" t="n"/>
      <c r="N304" s="7">
        <f>IF($D304="","",M304*V304/100)</f>
        <v/>
      </c>
      <c r="O304" s="7" t="n"/>
      <c r="U304" s="7" t="n"/>
      <c r="V304" s="7" t="n"/>
      <c r="Y304">
        <f>IF($D304="","",IF($AN304=1,0,IF($AM304=1,Settings!$C$6,Settings!$C$7))*100)</f>
        <v/>
      </c>
      <c r="Z304" s="7">
        <f>IF($D304="","",V304*Y304/100)</f>
        <v/>
      </c>
      <c r="AA304" s="7">
        <f>IF($D304="","",V304-Z304)</f>
        <v/>
      </c>
      <c r="AB304" s="7">
        <f>IF($D304="","",AA304-N304)</f>
        <v/>
      </c>
      <c r="AF304" s="7" t="n"/>
      <c r="AI304" s="11" t="n"/>
      <c r="AK304">
        <f>IF($D304="","",IF(COUNTIF($D$2:$D304,$D304)=1,1,0))</f>
        <v/>
      </c>
      <c r="AL304">
        <f>IF($AK304=1,SUMPRODUCT(--($AO$2:$AO$3001&lt;$AO304))+1,"")</f>
        <v/>
      </c>
      <c r="AM304">
        <f>IF($D304="","",IF(OR($R304=TRUE(),$R304="TRUE"),1,0))</f>
        <v/>
      </c>
      <c r="AN304">
        <f>IF($D304="","",IF($X304="Yes",1,0))</f>
        <v/>
      </c>
      <c r="AO304">
        <f>IF($AK304=1,IFERROR(IF(VALUE($D304)&lt;100000000,VALUE($D304),1000000000),IFERROR(IF(VALUE(MID($D304,2,20))&lt;100000000,VALUE(MID($D304,2,20)),1000000000),1000000000))+ROW()/100000,"")</f>
        <v/>
      </c>
    </row>
    <row r="305">
      <c r="F305" s="11" t="n"/>
      <c r="N305" s="7">
        <f>IF($D305="","",M305*V305/100)</f>
        <v/>
      </c>
      <c r="O305" s="7" t="n"/>
      <c r="U305" s="7" t="n"/>
      <c r="V305" s="7" t="n"/>
      <c r="Y305">
        <f>IF($D305="","",IF($AN305=1,0,IF($AM305=1,Settings!$C$6,Settings!$C$7))*100)</f>
        <v/>
      </c>
      <c r="Z305" s="7">
        <f>IF($D305="","",V305*Y305/100)</f>
        <v/>
      </c>
      <c r="AA305" s="7">
        <f>IF($D305="","",V305-Z305)</f>
        <v/>
      </c>
      <c r="AB305" s="7">
        <f>IF($D305="","",AA305-N305)</f>
        <v/>
      </c>
      <c r="AF305" s="7" t="n"/>
      <c r="AI305" s="11" t="n"/>
      <c r="AK305">
        <f>IF($D305="","",IF(COUNTIF($D$2:$D305,$D305)=1,1,0))</f>
        <v/>
      </c>
      <c r="AL305">
        <f>IF($AK305=1,SUMPRODUCT(--($AO$2:$AO$3001&lt;$AO305))+1,"")</f>
        <v/>
      </c>
      <c r="AM305">
        <f>IF($D305="","",IF(OR($R305=TRUE(),$R305="TRUE"),1,0))</f>
        <v/>
      </c>
      <c r="AN305">
        <f>IF($D305="","",IF($X305="Yes",1,0))</f>
        <v/>
      </c>
      <c r="AO305">
        <f>IF($AK305=1,IFERROR(IF(VALUE($D305)&lt;100000000,VALUE($D305),1000000000),IFERROR(IF(VALUE(MID($D305,2,20))&lt;100000000,VALUE(MID($D305,2,20)),1000000000),1000000000))+ROW()/100000,"")</f>
        <v/>
      </c>
    </row>
    <row r="306">
      <c r="F306" s="11" t="n"/>
      <c r="N306" s="7">
        <f>IF($D306="","",M306*V306/100)</f>
        <v/>
      </c>
      <c r="O306" s="7" t="n"/>
      <c r="U306" s="7" t="n"/>
      <c r="V306" s="7" t="n"/>
      <c r="Y306">
        <f>IF($D306="","",IF($AN306=1,0,IF($AM306=1,Settings!$C$6,Settings!$C$7))*100)</f>
        <v/>
      </c>
      <c r="Z306" s="7">
        <f>IF($D306="","",V306*Y306/100)</f>
        <v/>
      </c>
      <c r="AA306" s="7">
        <f>IF($D306="","",V306-Z306)</f>
        <v/>
      </c>
      <c r="AB306" s="7">
        <f>IF($D306="","",AA306-N306)</f>
        <v/>
      </c>
      <c r="AF306" s="7" t="n"/>
      <c r="AI306" s="11" t="n"/>
      <c r="AK306">
        <f>IF($D306="","",IF(COUNTIF($D$2:$D306,$D306)=1,1,0))</f>
        <v/>
      </c>
      <c r="AL306">
        <f>IF($AK306=1,SUMPRODUCT(--($AO$2:$AO$3001&lt;$AO306))+1,"")</f>
        <v/>
      </c>
      <c r="AM306">
        <f>IF($D306="","",IF(OR($R306=TRUE(),$R306="TRUE"),1,0))</f>
        <v/>
      </c>
      <c r="AN306">
        <f>IF($D306="","",IF($X306="Yes",1,0))</f>
        <v/>
      </c>
      <c r="AO306">
        <f>IF($AK306=1,IFERROR(IF(VALUE($D306)&lt;100000000,VALUE($D306),1000000000),IFERROR(IF(VALUE(MID($D306,2,20))&lt;100000000,VALUE(MID($D306,2,20)),1000000000),1000000000))+ROW()/100000,"")</f>
        <v/>
      </c>
    </row>
    <row r="307">
      <c r="F307" s="11" t="n"/>
      <c r="N307" s="7">
        <f>IF($D307="","",M307*V307/100)</f>
        <v/>
      </c>
      <c r="O307" s="7" t="n"/>
      <c r="U307" s="7" t="n"/>
      <c r="V307" s="7" t="n"/>
      <c r="Y307">
        <f>IF($D307="","",IF($AN307=1,0,IF($AM307=1,Settings!$C$6,Settings!$C$7))*100)</f>
        <v/>
      </c>
      <c r="Z307" s="7">
        <f>IF($D307="","",V307*Y307/100)</f>
        <v/>
      </c>
      <c r="AA307" s="7">
        <f>IF($D307="","",V307-Z307)</f>
        <v/>
      </c>
      <c r="AB307" s="7">
        <f>IF($D307="","",AA307-N307)</f>
        <v/>
      </c>
      <c r="AF307" s="7" t="n"/>
      <c r="AI307" s="11" t="n"/>
      <c r="AK307">
        <f>IF($D307="","",IF(COUNTIF($D$2:$D307,$D307)=1,1,0))</f>
        <v/>
      </c>
      <c r="AL307">
        <f>IF($AK307=1,SUMPRODUCT(--($AO$2:$AO$3001&lt;$AO307))+1,"")</f>
        <v/>
      </c>
      <c r="AM307">
        <f>IF($D307="","",IF(OR($R307=TRUE(),$R307="TRUE"),1,0))</f>
        <v/>
      </c>
      <c r="AN307">
        <f>IF($D307="","",IF($X307="Yes",1,0))</f>
        <v/>
      </c>
      <c r="AO307">
        <f>IF($AK307=1,IFERROR(IF(VALUE($D307)&lt;100000000,VALUE($D307),1000000000),IFERROR(IF(VALUE(MID($D307,2,20))&lt;100000000,VALUE(MID($D307,2,20)),1000000000),1000000000))+ROW()/100000,"")</f>
        <v/>
      </c>
    </row>
    <row r="308">
      <c r="F308" s="11" t="n"/>
      <c r="N308" s="7">
        <f>IF($D308="","",M308*V308/100)</f>
        <v/>
      </c>
      <c r="O308" s="7" t="n"/>
      <c r="U308" s="7" t="n"/>
      <c r="V308" s="7" t="n"/>
      <c r="Y308">
        <f>IF($D308="","",IF($AN308=1,0,IF($AM308=1,Settings!$C$6,Settings!$C$7))*100)</f>
        <v/>
      </c>
      <c r="Z308" s="7">
        <f>IF($D308="","",V308*Y308/100)</f>
        <v/>
      </c>
      <c r="AA308" s="7">
        <f>IF($D308="","",V308-Z308)</f>
        <v/>
      </c>
      <c r="AB308" s="7">
        <f>IF($D308="","",AA308-N308)</f>
        <v/>
      </c>
      <c r="AF308" s="7" t="n"/>
      <c r="AI308" s="11" t="n"/>
      <c r="AK308">
        <f>IF($D308="","",IF(COUNTIF($D$2:$D308,$D308)=1,1,0))</f>
        <v/>
      </c>
      <c r="AL308">
        <f>IF($AK308=1,SUMPRODUCT(--($AO$2:$AO$3001&lt;$AO308))+1,"")</f>
        <v/>
      </c>
      <c r="AM308">
        <f>IF($D308="","",IF(OR($R308=TRUE(),$R308="TRUE"),1,0))</f>
        <v/>
      </c>
      <c r="AN308">
        <f>IF($D308="","",IF($X308="Yes",1,0))</f>
        <v/>
      </c>
      <c r="AO308">
        <f>IF($AK308=1,IFERROR(IF(VALUE($D308)&lt;100000000,VALUE($D308),1000000000),IFERROR(IF(VALUE(MID($D308,2,20))&lt;100000000,VALUE(MID($D308,2,20)),1000000000),1000000000))+ROW()/100000,"")</f>
        <v/>
      </c>
    </row>
    <row r="309">
      <c r="F309" s="11" t="n"/>
      <c r="N309" s="7">
        <f>IF($D309="","",M309*V309/100)</f>
        <v/>
      </c>
      <c r="O309" s="7" t="n"/>
      <c r="U309" s="7" t="n"/>
      <c r="V309" s="7" t="n"/>
      <c r="Y309">
        <f>IF($D309="","",IF($AN309=1,0,IF($AM309=1,Settings!$C$6,Settings!$C$7))*100)</f>
        <v/>
      </c>
      <c r="Z309" s="7">
        <f>IF($D309="","",V309*Y309/100)</f>
        <v/>
      </c>
      <c r="AA309" s="7">
        <f>IF($D309="","",V309-Z309)</f>
        <v/>
      </c>
      <c r="AB309" s="7">
        <f>IF($D309="","",AA309-N309)</f>
        <v/>
      </c>
      <c r="AF309" s="7" t="n"/>
      <c r="AI309" s="11" t="n"/>
      <c r="AK309">
        <f>IF($D309="","",IF(COUNTIF($D$2:$D309,$D309)=1,1,0))</f>
        <v/>
      </c>
      <c r="AL309">
        <f>IF($AK309=1,SUMPRODUCT(--($AO$2:$AO$3001&lt;$AO309))+1,"")</f>
        <v/>
      </c>
      <c r="AM309">
        <f>IF($D309="","",IF(OR($R309=TRUE(),$R309="TRUE"),1,0))</f>
        <v/>
      </c>
      <c r="AN309">
        <f>IF($D309="","",IF($X309="Yes",1,0))</f>
        <v/>
      </c>
      <c r="AO309">
        <f>IF($AK309=1,IFERROR(IF(VALUE($D309)&lt;100000000,VALUE($D309),1000000000),IFERROR(IF(VALUE(MID($D309,2,20))&lt;100000000,VALUE(MID($D309,2,20)),1000000000),1000000000))+ROW()/100000,"")</f>
        <v/>
      </c>
    </row>
    <row r="310">
      <c r="F310" s="11" t="n"/>
      <c r="N310" s="7">
        <f>IF($D310="","",M310*V310/100)</f>
        <v/>
      </c>
      <c r="O310" s="7" t="n"/>
      <c r="U310" s="7" t="n"/>
      <c r="V310" s="7" t="n"/>
      <c r="Y310">
        <f>IF($D310="","",IF($AN310=1,0,IF($AM310=1,Settings!$C$6,Settings!$C$7))*100)</f>
        <v/>
      </c>
      <c r="Z310" s="7">
        <f>IF($D310="","",V310*Y310/100)</f>
        <v/>
      </c>
      <c r="AA310" s="7">
        <f>IF($D310="","",V310-Z310)</f>
        <v/>
      </c>
      <c r="AB310" s="7">
        <f>IF($D310="","",AA310-N310)</f>
        <v/>
      </c>
      <c r="AF310" s="7" t="n"/>
      <c r="AI310" s="11" t="n"/>
      <c r="AK310">
        <f>IF($D310="","",IF(COUNTIF($D$2:$D310,$D310)=1,1,0))</f>
        <v/>
      </c>
      <c r="AL310">
        <f>IF($AK310=1,SUMPRODUCT(--($AO$2:$AO$3001&lt;$AO310))+1,"")</f>
        <v/>
      </c>
      <c r="AM310">
        <f>IF($D310="","",IF(OR($R310=TRUE(),$R310="TRUE"),1,0))</f>
        <v/>
      </c>
      <c r="AN310">
        <f>IF($D310="","",IF($X310="Yes",1,0))</f>
        <v/>
      </c>
      <c r="AO310">
        <f>IF($AK310=1,IFERROR(IF(VALUE($D310)&lt;100000000,VALUE($D310),1000000000),IFERROR(IF(VALUE(MID($D310,2,20))&lt;100000000,VALUE(MID($D310,2,20)),1000000000),1000000000))+ROW()/100000,"")</f>
        <v/>
      </c>
    </row>
    <row r="311">
      <c r="F311" s="11" t="n"/>
      <c r="N311" s="7">
        <f>IF($D311="","",M311*V311/100)</f>
        <v/>
      </c>
      <c r="O311" s="7" t="n"/>
      <c r="U311" s="7" t="n"/>
      <c r="V311" s="7" t="n"/>
      <c r="Y311">
        <f>IF($D311="","",IF($AN311=1,0,IF($AM311=1,Settings!$C$6,Settings!$C$7))*100)</f>
        <v/>
      </c>
      <c r="Z311" s="7">
        <f>IF($D311="","",V311*Y311/100)</f>
        <v/>
      </c>
      <c r="AA311" s="7">
        <f>IF($D311="","",V311-Z311)</f>
        <v/>
      </c>
      <c r="AB311" s="7">
        <f>IF($D311="","",AA311-N311)</f>
        <v/>
      </c>
      <c r="AF311" s="7" t="n"/>
      <c r="AI311" s="11" t="n"/>
      <c r="AK311">
        <f>IF($D311="","",IF(COUNTIF($D$2:$D311,$D311)=1,1,0))</f>
        <v/>
      </c>
      <c r="AL311">
        <f>IF($AK311=1,SUMPRODUCT(--($AO$2:$AO$3001&lt;$AO311))+1,"")</f>
        <v/>
      </c>
      <c r="AM311">
        <f>IF($D311="","",IF(OR($R311=TRUE(),$R311="TRUE"),1,0))</f>
        <v/>
      </c>
      <c r="AN311">
        <f>IF($D311="","",IF($X311="Yes",1,0))</f>
        <v/>
      </c>
      <c r="AO311">
        <f>IF($AK311=1,IFERROR(IF(VALUE($D311)&lt;100000000,VALUE($D311),1000000000),IFERROR(IF(VALUE(MID($D311,2,20))&lt;100000000,VALUE(MID($D311,2,20)),1000000000),1000000000))+ROW()/100000,"")</f>
        <v/>
      </c>
    </row>
    <row r="312">
      <c r="F312" s="11" t="n"/>
      <c r="N312" s="7">
        <f>IF($D312="","",M312*V312/100)</f>
        <v/>
      </c>
      <c r="O312" s="7" t="n"/>
      <c r="U312" s="7" t="n"/>
      <c r="V312" s="7" t="n"/>
      <c r="Y312">
        <f>IF($D312="","",IF($AN312=1,0,IF($AM312=1,Settings!$C$6,Settings!$C$7))*100)</f>
        <v/>
      </c>
      <c r="Z312" s="7">
        <f>IF($D312="","",V312*Y312/100)</f>
        <v/>
      </c>
      <c r="AA312" s="7">
        <f>IF($D312="","",V312-Z312)</f>
        <v/>
      </c>
      <c r="AB312" s="7">
        <f>IF($D312="","",AA312-N312)</f>
        <v/>
      </c>
      <c r="AF312" s="7" t="n"/>
      <c r="AI312" s="11" t="n"/>
      <c r="AK312">
        <f>IF($D312="","",IF(COUNTIF($D$2:$D312,$D312)=1,1,0))</f>
        <v/>
      </c>
      <c r="AL312">
        <f>IF($AK312=1,SUMPRODUCT(--($AO$2:$AO$3001&lt;$AO312))+1,"")</f>
        <v/>
      </c>
      <c r="AM312">
        <f>IF($D312="","",IF(OR($R312=TRUE(),$R312="TRUE"),1,0))</f>
        <v/>
      </c>
      <c r="AN312">
        <f>IF($D312="","",IF($X312="Yes",1,0))</f>
        <v/>
      </c>
      <c r="AO312">
        <f>IF($AK312=1,IFERROR(IF(VALUE($D312)&lt;100000000,VALUE($D312),1000000000),IFERROR(IF(VALUE(MID($D312,2,20))&lt;100000000,VALUE(MID($D312,2,20)),1000000000),1000000000))+ROW()/100000,"")</f>
        <v/>
      </c>
    </row>
    <row r="313">
      <c r="F313" s="11" t="n"/>
      <c r="N313" s="7">
        <f>IF($D313="","",M313*V313/100)</f>
        <v/>
      </c>
      <c r="O313" s="7" t="n"/>
      <c r="U313" s="7" t="n"/>
      <c r="V313" s="7" t="n"/>
      <c r="Y313">
        <f>IF($D313="","",IF($AN313=1,0,IF($AM313=1,Settings!$C$6,Settings!$C$7))*100)</f>
        <v/>
      </c>
      <c r="Z313" s="7">
        <f>IF($D313="","",V313*Y313/100)</f>
        <v/>
      </c>
      <c r="AA313" s="7">
        <f>IF($D313="","",V313-Z313)</f>
        <v/>
      </c>
      <c r="AB313" s="7">
        <f>IF($D313="","",AA313-N313)</f>
        <v/>
      </c>
      <c r="AF313" s="7" t="n"/>
      <c r="AI313" s="11" t="n"/>
      <c r="AK313">
        <f>IF($D313="","",IF(COUNTIF($D$2:$D313,$D313)=1,1,0))</f>
        <v/>
      </c>
      <c r="AL313">
        <f>IF($AK313=1,SUMPRODUCT(--($AO$2:$AO$3001&lt;$AO313))+1,"")</f>
        <v/>
      </c>
      <c r="AM313">
        <f>IF($D313="","",IF(OR($R313=TRUE(),$R313="TRUE"),1,0))</f>
        <v/>
      </c>
      <c r="AN313">
        <f>IF($D313="","",IF($X313="Yes",1,0))</f>
        <v/>
      </c>
      <c r="AO313">
        <f>IF($AK313=1,IFERROR(IF(VALUE($D313)&lt;100000000,VALUE($D313),1000000000),IFERROR(IF(VALUE(MID($D313,2,20))&lt;100000000,VALUE(MID($D313,2,20)),1000000000),1000000000))+ROW()/100000,"")</f>
        <v/>
      </c>
    </row>
    <row r="314">
      <c r="F314" s="11" t="n"/>
      <c r="N314" s="7">
        <f>IF($D314="","",M314*V314/100)</f>
        <v/>
      </c>
      <c r="O314" s="7" t="n"/>
      <c r="U314" s="7" t="n"/>
      <c r="V314" s="7" t="n"/>
      <c r="Y314">
        <f>IF($D314="","",IF($AN314=1,0,IF($AM314=1,Settings!$C$6,Settings!$C$7))*100)</f>
        <v/>
      </c>
      <c r="Z314" s="7">
        <f>IF($D314="","",V314*Y314/100)</f>
        <v/>
      </c>
      <c r="AA314" s="7">
        <f>IF($D314="","",V314-Z314)</f>
        <v/>
      </c>
      <c r="AB314" s="7">
        <f>IF($D314="","",AA314-N314)</f>
        <v/>
      </c>
      <c r="AF314" s="7" t="n"/>
      <c r="AI314" s="11" t="n"/>
      <c r="AK314">
        <f>IF($D314="","",IF(COUNTIF($D$2:$D314,$D314)=1,1,0))</f>
        <v/>
      </c>
      <c r="AL314">
        <f>IF($AK314=1,SUMPRODUCT(--($AO$2:$AO$3001&lt;$AO314))+1,"")</f>
        <v/>
      </c>
      <c r="AM314">
        <f>IF($D314="","",IF(OR($R314=TRUE(),$R314="TRUE"),1,0))</f>
        <v/>
      </c>
      <c r="AN314">
        <f>IF($D314="","",IF($X314="Yes",1,0))</f>
        <v/>
      </c>
      <c r="AO314">
        <f>IF($AK314=1,IFERROR(IF(VALUE($D314)&lt;100000000,VALUE($D314),1000000000),IFERROR(IF(VALUE(MID($D314,2,20))&lt;100000000,VALUE(MID($D314,2,20)),1000000000),1000000000))+ROW()/100000,"")</f>
        <v/>
      </c>
    </row>
    <row r="315">
      <c r="F315" s="11" t="n"/>
      <c r="N315" s="7">
        <f>IF($D315="","",M315*V315/100)</f>
        <v/>
      </c>
      <c r="O315" s="7" t="n"/>
      <c r="U315" s="7" t="n"/>
      <c r="V315" s="7" t="n"/>
      <c r="Y315">
        <f>IF($D315="","",IF($AN315=1,0,IF($AM315=1,Settings!$C$6,Settings!$C$7))*100)</f>
        <v/>
      </c>
      <c r="Z315" s="7">
        <f>IF($D315="","",V315*Y315/100)</f>
        <v/>
      </c>
      <c r="AA315" s="7">
        <f>IF($D315="","",V315-Z315)</f>
        <v/>
      </c>
      <c r="AB315" s="7">
        <f>IF($D315="","",AA315-N315)</f>
        <v/>
      </c>
      <c r="AF315" s="7" t="n"/>
      <c r="AI315" s="11" t="n"/>
      <c r="AK315">
        <f>IF($D315="","",IF(COUNTIF($D$2:$D315,$D315)=1,1,0))</f>
        <v/>
      </c>
      <c r="AL315">
        <f>IF($AK315=1,SUMPRODUCT(--($AO$2:$AO$3001&lt;$AO315))+1,"")</f>
        <v/>
      </c>
      <c r="AM315">
        <f>IF($D315="","",IF(OR($R315=TRUE(),$R315="TRUE"),1,0))</f>
        <v/>
      </c>
      <c r="AN315">
        <f>IF($D315="","",IF($X315="Yes",1,0))</f>
        <v/>
      </c>
      <c r="AO315">
        <f>IF($AK315=1,IFERROR(IF(VALUE($D315)&lt;100000000,VALUE($D315),1000000000),IFERROR(IF(VALUE(MID($D315,2,20))&lt;100000000,VALUE(MID($D315,2,20)),1000000000),1000000000))+ROW()/100000,"")</f>
        <v/>
      </c>
    </row>
    <row r="316">
      <c r="F316" s="11" t="n"/>
      <c r="N316" s="7">
        <f>IF($D316="","",M316*V316/100)</f>
        <v/>
      </c>
      <c r="O316" s="7" t="n"/>
      <c r="U316" s="7" t="n"/>
      <c r="V316" s="7" t="n"/>
      <c r="Y316">
        <f>IF($D316="","",IF($AN316=1,0,IF($AM316=1,Settings!$C$6,Settings!$C$7))*100)</f>
        <v/>
      </c>
      <c r="Z316" s="7">
        <f>IF($D316="","",V316*Y316/100)</f>
        <v/>
      </c>
      <c r="AA316" s="7">
        <f>IF($D316="","",V316-Z316)</f>
        <v/>
      </c>
      <c r="AB316" s="7">
        <f>IF($D316="","",AA316-N316)</f>
        <v/>
      </c>
      <c r="AF316" s="7" t="n"/>
      <c r="AI316" s="11" t="n"/>
      <c r="AK316">
        <f>IF($D316="","",IF(COUNTIF($D$2:$D316,$D316)=1,1,0))</f>
        <v/>
      </c>
      <c r="AL316">
        <f>IF($AK316=1,SUMPRODUCT(--($AO$2:$AO$3001&lt;$AO316))+1,"")</f>
        <v/>
      </c>
      <c r="AM316">
        <f>IF($D316="","",IF(OR($R316=TRUE(),$R316="TRUE"),1,0))</f>
        <v/>
      </c>
      <c r="AN316">
        <f>IF($D316="","",IF($X316="Yes",1,0))</f>
        <v/>
      </c>
      <c r="AO316">
        <f>IF($AK316=1,IFERROR(IF(VALUE($D316)&lt;100000000,VALUE($D316),1000000000),IFERROR(IF(VALUE(MID($D316,2,20))&lt;100000000,VALUE(MID($D316,2,20)),1000000000),1000000000))+ROW()/100000,"")</f>
        <v/>
      </c>
    </row>
    <row r="317">
      <c r="F317" s="11" t="n"/>
      <c r="N317" s="7">
        <f>IF($D317="","",M317*V317/100)</f>
        <v/>
      </c>
      <c r="O317" s="7" t="n"/>
      <c r="U317" s="7" t="n"/>
      <c r="V317" s="7" t="n"/>
      <c r="Y317">
        <f>IF($D317="","",IF($AN317=1,0,IF($AM317=1,Settings!$C$6,Settings!$C$7))*100)</f>
        <v/>
      </c>
      <c r="Z317" s="7">
        <f>IF($D317="","",V317*Y317/100)</f>
        <v/>
      </c>
      <c r="AA317" s="7">
        <f>IF($D317="","",V317-Z317)</f>
        <v/>
      </c>
      <c r="AB317" s="7">
        <f>IF($D317="","",AA317-N317)</f>
        <v/>
      </c>
      <c r="AF317" s="7" t="n"/>
      <c r="AI317" s="11" t="n"/>
      <c r="AK317">
        <f>IF($D317="","",IF(COUNTIF($D$2:$D317,$D317)=1,1,0))</f>
        <v/>
      </c>
      <c r="AL317">
        <f>IF($AK317=1,SUMPRODUCT(--($AO$2:$AO$3001&lt;$AO317))+1,"")</f>
        <v/>
      </c>
      <c r="AM317">
        <f>IF($D317="","",IF(OR($R317=TRUE(),$R317="TRUE"),1,0))</f>
        <v/>
      </c>
      <c r="AN317">
        <f>IF($D317="","",IF($X317="Yes",1,0))</f>
        <v/>
      </c>
      <c r="AO317">
        <f>IF($AK317=1,IFERROR(IF(VALUE($D317)&lt;100000000,VALUE($D317),1000000000),IFERROR(IF(VALUE(MID($D317,2,20))&lt;100000000,VALUE(MID($D317,2,20)),1000000000),1000000000))+ROW()/100000,"")</f>
        <v/>
      </c>
    </row>
    <row r="318">
      <c r="F318" s="11" t="n"/>
      <c r="N318" s="7">
        <f>IF($D318="","",M318*V318/100)</f>
        <v/>
      </c>
      <c r="O318" s="7" t="n"/>
      <c r="U318" s="7" t="n"/>
      <c r="V318" s="7" t="n"/>
      <c r="Y318">
        <f>IF($D318="","",IF($AN318=1,0,IF($AM318=1,Settings!$C$6,Settings!$C$7))*100)</f>
        <v/>
      </c>
      <c r="Z318" s="7">
        <f>IF($D318="","",V318*Y318/100)</f>
        <v/>
      </c>
      <c r="AA318" s="7">
        <f>IF($D318="","",V318-Z318)</f>
        <v/>
      </c>
      <c r="AB318" s="7">
        <f>IF($D318="","",AA318-N318)</f>
        <v/>
      </c>
      <c r="AF318" s="7" t="n"/>
      <c r="AI318" s="11" t="n"/>
      <c r="AK318">
        <f>IF($D318="","",IF(COUNTIF($D$2:$D318,$D318)=1,1,0))</f>
        <v/>
      </c>
      <c r="AL318">
        <f>IF($AK318=1,SUMPRODUCT(--($AO$2:$AO$3001&lt;$AO318))+1,"")</f>
        <v/>
      </c>
      <c r="AM318">
        <f>IF($D318="","",IF(OR($R318=TRUE(),$R318="TRUE"),1,0))</f>
        <v/>
      </c>
      <c r="AN318">
        <f>IF($D318="","",IF($X318="Yes",1,0))</f>
        <v/>
      </c>
      <c r="AO318">
        <f>IF($AK318=1,IFERROR(IF(VALUE($D318)&lt;100000000,VALUE($D318),1000000000),IFERROR(IF(VALUE(MID($D318,2,20))&lt;100000000,VALUE(MID($D318,2,20)),1000000000),1000000000))+ROW()/100000,"")</f>
        <v/>
      </c>
    </row>
    <row r="319">
      <c r="F319" s="11" t="n"/>
      <c r="N319" s="7">
        <f>IF($D319="","",M319*V319/100)</f>
        <v/>
      </c>
      <c r="O319" s="7" t="n"/>
      <c r="U319" s="7" t="n"/>
      <c r="V319" s="7" t="n"/>
      <c r="Y319">
        <f>IF($D319="","",IF($AN319=1,0,IF($AM319=1,Settings!$C$6,Settings!$C$7))*100)</f>
        <v/>
      </c>
      <c r="Z319" s="7">
        <f>IF($D319="","",V319*Y319/100)</f>
        <v/>
      </c>
      <c r="AA319" s="7">
        <f>IF($D319="","",V319-Z319)</f>
        <v/>
      </c>
      <c r="AB319" s="7">
        <f>IF($D319="","",AA319-N319)</f>
        <v/>
      </c>
      <c r="AF319" s="7" t="n"/>
      <c r="AI319" s="11" t="n"/>
      <c r="AK319">
        <f>IF($D319="","",IF(COUNTIF($D$2:$D319,$D319)=1,1,0))</f>
        <v/>
      </c>
      <c r="AL319">
        <f>IF($AK319=1,SUMPRODUCT(--($AO$2:$AO$3001&lt;$AO319))+1,"")</f>
        <v/>
      </c>
      <c r="AM319">
        <f>IF($D319="","",IF(OR($R319=TRUE(),$R319="TRUE"),1,0))</f>
        <v/>
      </c>
      <c r="AN319">
        <f>IF($D319="","",IF($X319="Yes",1,0))</f>
        <v/>
      </c>
      <c r="AO319">
        <f>IF($AK319=1,IFERROR(IF(VALUE($D319)&lt;100000000,VALUE($D319),1000000000),IFERROR(IF(VALUE(MID($D319,2,20))&lt;100000000,VALUE(MID($D319,2,20)),1000000000),1000000000))+ROW()/100000,"")</f>
        <v/>
      </c>
    </row>
    <row r="320">
      <c r="F320" s="11" t="n"/>
      <c r="N320" s="7">
        <f>IF($D320="","",M320*V320/100)</f>
        <v/>
      </c>
      <c r="O320" s="7" t="n"/>
      <c r="U320" s="7" t="n"/>
      <c r="V320" s="7" t="n"/>
      <c r="Y320">
        <f>IF($D320="","",IF($AN320=1,0,IF($AM320=1,Settings!$C$6,Settings!$C$7))*100)</f>
        <v/>
      </c>
      <c r="Z320" s="7">
        <f>IF($D320="","",V320*Y320/100)</f>
        <v/>
      </c>
      <c r="AA320" s="7">
        <f>IF($D320="","",V320-Z320)</f>
        <v/>
      </c>
      <c r="AB320" s="7">
        <f>IF($D320="","",AA320-N320)</f>
        <v/>
      </c>
      <c r="AF320" s="7" t="n"/>
      <c r="AI320" s="11" t="n"/>
      <c r="AK320">
        <f>IF($D320="","",IF(COUNTIF($D$2:$D320,$D320)=1,1,0))</f>
        <v/>
      </c>
      <c r="AL320">
        <f>IF($AK320=1,SUMPRODUCT(--($AO$2:$AO$3001&lt;$AO320))+1,"")</f>
        <v/>
      </c>
      <c r="AM320">
        <f>IF($D320="","",IF(OR($R320=TRUE(),$R320="TRUE"),1,0))</f>
        <v/>
      </c>
      <c r="AN320">
        <f>IF($D320="","",IF($X320="Yes",1,0))</f>
        <v/>
      </c>
      <c r="AO320">
        <f>IF($AK320=1,IFERROR(IF(VALUE($D320)&lt;100000000,VALUE($D320),1000000000),IFERROR(IF(VALUE(MID($D320,2,20))&lt;100000000,VALUE(MID($D320,2,20)),1000000000),1000000000))+ROW()/100000,"")</f>
        <v/>
      </c>
    </row>
    <row r="321">
      <c r="F321" s="11" t="n"/>
      <c r="N321" s="7">
        <f>IF($D321="","",M321*V321/100)</f>
        <v/>
      </c>
      <c r="O321" s="7" t="n"/>
      <c r="U321" s="7" t="n"/>
      <c r="V321" s="7" t="n"/>
      <c r="Y321">
        <f>IF($D321="","",IF($AN321=1,0,IF($AM321=1,Settings!$C$6,Settings!$C$7))*100)</f>
        <v/>
      </c>
      <c r="Z321" s="7">
        <f>IF($D321="","",V321*Y321/100)</f>
        <v/>
      </c>
      <c r="AA321" s="7">
        <f>IF($D321="","",V321-Z321)</f>
        <v/>
      </c>
      <c r="AB321" s="7">
        <f>IF($D321="","",AA321-N321)</f>
        <v/>
      </c>
      <c r="AF321" s="7" t="n"/>
      <c r="AI321" s="11" t="n"/>
      <c r="AK321">
        <f>IF($D321="","",IF(COUNTIF($D$2:$D321,$D321)=1,1,0))</f>
        <v/>
      </c>
      <c r="AL321">
        <f>IF($AK321=1,SUMPRODUCT(--($AO$2:$AO$3001&lt;$AO321))+1,"")</f>
        <v/>
      </c>
      <c r="AM321">
        <f>IF($D321="","",IF(OR($R321=TRUE(),$R321="TRUE"),1,0))</f>
        <v/>
      </c>
      <c r="AN321">
        <f>IF($D321="","",IF($X321="Yes",1,0))</f>
        <v/>
      </c>
      <c r="AO321">
        <f>IF($AK321=1,IFERROR(IF(VALUE($D321)&lt;100000000,VALUE($D321),1000000000),IFERROR(IF(VALUE(MID($D321,2,20))&lt;100000000,VALUE(MID($D321,2,20)),1000000000),1000000000))+ROW()/100000,"")</f>
        <v/>
      </c>
    </row>
    <row r="322">
      <c r="F322" s="11" t="n"/>
      <c r="N322" s="7">
        <f>IF($D322="","",M322*V322/100)</f>
        <v/>
      </c>
      <c r="O322" s="7" t="n"/>
      <c r="U322" s="7" t="n"/>
      <c r="V322" s="7" t="n"/>
      <c r="Y322">
        <f>IF($D322="","",IF($AN322=1,0,IF($AM322=1,Settings!$C$6,Settings!$C$7))*100)</f>
        <v/>
      </c>
      <c r="Z322" s="7">
        <f>IF($D322="","",V322*Y322/100)</f>
        <v/>
      </c>
      <c r="AA322" s="7">
        <f>IF($D322="","",V322-Z322)</f>
        <v/>
      </c>
      <c r="AB322" s="7">
        <f>IF($D322="","",AA322-N322)</f>
        <v/>
      </c>
      <c r="AF322" s="7" t="n"/>
      <c r="AI322" s="11" t="n"/>
      <c r="AK322">
        <f>IF($D322="","",IF(COUNTIF($D$2:$D322,$D322)=1,1,0))</f>
        <v/>
      </c>
      <c r="AL322">
        <f>IF($AK322=1,SUMPRODUCT(--($AO$2:$AO$3001&lt;$AO322))+1,"")</f>
        <v/>
      </c>
      <c r="AM322">
        <f>IF($D322="","",IF(OR($R322=TRUE(),$R322="TRUE"),1,0))</f>
        <v/>
      </c>
      <c r="AN322">
        <f>IF($D322="","",IF($X322="Yes",1,0))</f>
        <v/>
      </c>
      <c r="AO322">
        <f>IF($AK322=1,IFERROR(IF(VALUE($D322)&lt;100000000,VALUE($D322),1000000000),IFERROR(IF(VALUE(MID($D322,2,20))&lt;100000000,VALUE(MID($D322,2,20)),1000000000),1000000000))+ROW()/100000,"")</f>
        <v/>
      </c>
    </row>
    <row r="323">
      <c r="F323" s="11" t="n"/>
      <c r="N323" s="7">
        <f>IF($D323="","",M323*V323/100)</f>
        <v/>
      </c>
      <c r="O323" s="7" t="n"/>
      <c r="U323" s="7" t="n"/>
      <c r="V323" s="7" t="n"/>
      <c r="Y323">
        <f>IF($D323="","",IF($AN323=1,0,IF($AM323=1,Settings!$C$6,Settings!$C$7))*100)</f>
        <v/>
      </c>
      <c r="Z323" s="7">
        <f>IF($D323="","",V323*Y323/100)</f>
        <v/>
      </c>
      <c r="AA323" s="7">
        <f>IF($D323="","",V323-Z323)</f>
        <v/>
      </c>
      <c r="AB323" s="7">
        <f>IF($D323="","",AA323-N323)</f>
        <v/>
      </c>
      <c r="AF323" s="7" t="n"/>
      <c r="AI323" s="11" t="n"/>
      <c r="AK323">
        <f>IF($D323="","",IF(COUNTIF($D$2:$D323,$D323)=1,1,0))</f>
        <v/>
      </c>
      <c r="AL323">
        <f>IF($AK323=1,SUMPRODUCT(--($AO$2:$AO$3001&lt;$AO323))+1,"")</f>
        <v/>
      </c>
      <c r="AM323">
        <f>IF($D323="","",IF(OR($R323=TRUE(),$R323="TRUE"),1,0))</f>
        <v/>
      </c>
      <c r="AN323">
        <f>IF($D323="","",IF($X323="Yes",1,0))</f>
        <v/>
      </c>
      <c r="AO323">
        <f>IF($AK323=1,IFERROR(IF(VALUE($D323)&lt;100000000,VALUE($D323),1000000000),IFERROR(IF(VALUE(MID($D323,2,20))&lt;100000000,VALUE(MID($D323,2,20)),1000000000),1000000000))+ROW()/100000,"")</f>
        <v/>
      </c>
    </row>
    <row r="324">
      <c r="F324" s="11" t="n"/>
      <c r="N324" s="7">
        <f>IF($D324="","",M324*V324/100)</f>
        <v/>
      </c>
      <c r="O324" s="7" t="n"/>
      <c r="U324" s="7" t="n"/>
      <c r="V324" s="7" t="n"/>
      <c r="Y324">
        <f>IF($D324="","",IF($AN324=1,0,IF($AM324=1,Settings!$C$6,Settings!$C$7))*100)</f>
        <v/>
      </c>
      <c r="Z324" s="7">
        <f>IF($D324="","",V324*Y324/100)</f>
        <v/>
      </c>
      <c r="AA324" s="7">
        <f>IF($D324="","",V324-Z324)</f>
        <v/>
      </c>
      <c r="AB324" s="7">
        <f>IF($D324="","",AA324-N324)</f>
        <v/>
      </c>
      <c r="AF324" s="7" t="n"/>
      <c r="AI324" s="11" t="n"/>
      <c r="AK324">
        <f>IF($D324="","",IF(COUNTIF($D$2:$D324,$D324)=1,1,0))</f>
        <v/>
      </c>
      <c r="AL324">
        <f>IF($AK324=1,SUMPRODUCT(--($AO$2:$AO$3001&lt;$AO324))+1,"")</f>
        <v/>
      </c>
      <c r="AM324">
        <f>IF($D324="","",IF(OR($R324=TRUE(),$R324="TRUE"),1,0))</f>
        <v/>
      </c>
      <c r="AN324">
        <f>IF($D324="","",IF($X324="Yes",1,0))</f>
        <v/>
      </c>
      <c r="AO324">
        <f>IF($AK324=1,IFERROR(IF(VALUE($D324)&lt;100000000,VALUE($D324),1000000000),IFERROR(IF(VALUE(MID($D324,2,20))&lt;100000000,VALUE(MID($D324,2,20)),1000000000),1000000000))+ROW()/100000,"")</f>
        <v/>
      </c>
    </row>
    <row r="325">
      <c r="F325" s="11" t="n"/>
      <c r="N325" s="7">
        <f>IF($D325="","",M325*V325/100)</f>
        <v/>
      </c>
      <c r="O325" s="7" t="n"/>
      <c r="U325" s="7" t="n"/>
      <c r="V325" s="7" t="n"/>
      <c r="Y325">
        <f>IF($D325="","",IF($AN325=1,0,IF($AM325=1,Settings!$C$6,Settings!$C$7))*100)</f>
        <v/>
      </c>
      <c r="Z325" s="7">
        <f>IF($D325="","",V325*Y325/100)</f>
        <v/>
      </c>
      <c r="AA325" s="7">
        <f>IF($D325="","",V325-Z325)</f>
        <v/>
      </c>
      <c r="AB325" s="7">
        <f>IF($D325="","",AA325-N325)</f>
        <v/>
      </c>
      <c r="AF325" s="7" t="n"/>
      <c r="AI325" s="11" t="n"/>
      <c r="AK325">
        <f>IF($D325="","",IF(COUNTIF($D$2:$D325,$D325)=1,1,0))</f>
        <v/>
      </c>
      <c r="AL325">
        <f>IF($AK325=1,SUMPRODUCT(--($AO$2:$AO$3001&lt;$AO325))+1,"")</f>
        <v/>
      </c>
      <c r="AM325">
        <f>IF($D325="","",IF(OR($R325=TRUE(),$R325="TRUE"),1,0))</f>
        <v/>
      </c>
      <c r="AN325">
        <f>IF($D325="","",IF($X325="Yes",1,0))</f>
        <v/>
      </c>
      <c r="AO325">
        <f>IF($AK325=1,IFERROR(IF(VALUE($D325)&lt;100000000,VALUE($D325),1000000000),IFERROR(IF(VALUE(MID($D325,2,20))&lt;100000000,VALUE(MID($D325,2,20)),1000000000),1000000000))+ROW()/100000,"")</f>
        <v/>
      </c>
    </row>
    <row r="326">
      <c r="F326" s="11" t="n"/>
      <c r="N326" s="7">
        <f>IF($D326="","",M326*V326/100)</f>
        <v/>
      </c>
      <c r="O326" s="7" t="n"/>
      <c r="U326" s="7" t="n"/>
      <c r="V326" s="7" t="n"/>
      <c r="Y326">
        <f>IF($D326="","",IF($AN326=1,0,IF($AM326=1,Settings!$C$6,Settings!$C$7))*100)</f>
        <v/>
      </c>
      <c r="Z326" s="7">
        <f>IF($D326="","",V326*Y326/100)</f>
        <v/>
      </c>
      <c r="AA326" s="7">
        <f>IF($D326="","",V326-Z326)</f>
        <v/>
      </c>
      <c r="AB326" s="7">
        <f>IF($D326="","",AA326-N326)</f>
        <v/>
      </c>
      <c r="AF326" s="7" t="n"/>
      <c r="AI326" s="11" t="n"/>
      <c r="AK326">
        <f>IF($D326="","",IF(COUNTIF($D$2:$D326,$D326)=1,1,0))</f>
        <v/>
      </c>
      <c r="AL326">
        <f>IF($AK326=1,SUMPRODUCT(--($AO$2:$AO$3001&lt;$AO326))+1,"")</f>
        <v/>
      </c>
      <c r="AM326">
        <f>IF($D326="","",IF(OR($R326=TRUE(),$R326="TRUE"),1,0))</f>
        <v/>
      </c>
      <c r="AN326">
        <f>IF($D326="","",IF($X326="Yes",1,0))</f>
        <v/>
      </c>
      <c r="AO326">
        <f>IF($AK326=1,IFERROR(IF(VALUE($D326)&lt;100000000,VALUE($D326),1000000000),IFERROR(IF(VALUE(MID($D326,2,20))&lt;100000000,VALUE(MID($D326,2,20)),1000000000),1000000000))+ROW()/100000,"")</f>
        <v/>
      </c>
    </row>
    <row r="327">
      <c r="F327" s="11" t="n"/>
      <c r="N327" s="7">
        <f>IF($D327="","",M327*V327/100)</f>
        <v/>
      </c>
      <c r="O327" s="7" t="n"/>
      <c r="U327" s="7" t="n"/>
      <c r="V327" s="7" t="n"/>
      <c r="Y327">
        <f>IF($D327="","",IF($AN327=1,0,IF($AM327=1,Settings!$C$6,Settings!$C$7))*100)</f>
        <v/>
      </c>
      <c r="Z327" s="7">
        <f>IF($D327="","",V327*Y327/100)</f>
        <v/>
      </c>
      <c r="AA327" s="7">
        <f>IF($D327="","",V327-Z327)</f>
        <v/>
      </c>
      <c r="AB327" s="7">
        <f>IF($D327="","",AA327-N327)</f>
        <v/>
      </c>
      <c r="AF327" s="7" t="n"/>
      <c r="AI327" s="11" t="n"/>
      <c r="AK327">
        <f>IF($D327="","",IF(COUNTIF($D$2:$D327,$D327)=1,1,0))</f>
        <v/>
      </c>
      <c r="AL327">
        <f>IF($AK327=1,SUMPRODUCT(--($AO$2:$AO$3001&lt;$AO327))+1,"")</f>
        <v/>
      </c>
      <c r="AM327">
        <f>IF($D327="","",IF(OR($R327=TRUE(),$R327="TRUE"),1,0))</f>
        <v/>
      </c>
      <c r="AN327">
        <f>IF($D327="","",IF($X327="Yes",1,0))</f>
        <v/>
      </c>
      <c r="AO327">
        <f>IF($AK327=1,IFERROR(IF(VALUE($D327)&lt;100000000,VALUE($D327),1000000000),IFERROR(IF(VALUE(MID($D327,2,20))&lt;100000000,VALUE(MID($D327,2,20)),1000000000),1000000000))+ROW()/100000,"")</f>
        <v/>
      </c>
    </row>
    <row r="328">
      <c r="F328" s="11" t="n"/>
      <c r="N328" s="7">
        <f>IF($D328="","",M328*V328/100)</f>
        <v/>
      </c>
      <c r="O328" s="7" t="n"/>
      <c r="U328" s="7" t="n"/>
      <c r="V328" s="7" t="n"/>
      <c r="Y328">
        <f>IF($D328="","",IF($AN328=1,0,IF($AM328=1,Settings!$C$6,Settings!$C$7))*100)</f>
        <v/>
      </c>
      <c r="Z328" s="7">
        <f>IF($D328="","",V328*Y328/100)</f>
        <v/>
      </c>
      <c r="AA328" s="7">
        <f>IF($D328="","",V328-Z328)</f>
        <v/>
      </c>
      <c r="AB328" s="7">
        <f>IF($D328="","",AA328-N328)</f>
        <v/>
      </c>
      <c r="AF328" s="7" t="n"/>
      <c r="AI328" s="11" t="n"/>
      <c r="AK328">
        <f>IF($D328="","",IF(COUNTIF($D$2:$D328,$D328)=1,1,0))</f>
        <v/>
      </c>
      <c r="AL328">
        <f>IF($AK328=1,SUMPRODUCT(--($AO$2:$AO$3001&lt;$AO328))+1,"")</f>
        <v/>
      </c>
      <c r="AM328">
        <f>IF($D328="","",IF(OR($R328=TRUE(),$R328="TRUE"),1,0))</f>
        <v/>
      </c>
      <c r="AN328">
        <f>IF($D328="","",IF($X328="Yes",1,0))</f>
        <v/>
      </c>
      <c r="AO328">
        <f>IF($AK328=1,IFERROR(IF(VALUE($D328)&lt;100000000,VALUE($D328),1000000000),IFERROR(IF(VALUE(MID($D328,2,20))&lt;100000000,VALUE(MID($D328,2,20)),1000000000),1000000000))+ROW()/100000,"")</f>
        <v/>
      </c>
    </row>
    <row r="329">
      <c r="F329" s="11" t="n"/>
      <c r="N329" s="7">
        <f>IF($D329="","",M329*V329/100)</f>
        <v/>
      </c>
      <c r="O329" s="7" t="n"/>
      <c r="U329" s="7" t="n"/>
      <c r="V329" s="7" t="n"/>
      <c r="Y329">
        <f>IF($D329="","",IF($AN329=1,0,IF($AM329=1,Settings!$C$6,Settings!$C$7))*100)</f>
        <v/>
      </c>
      <c r="Z329" s="7">
        <f>IF($D329="","",V329*Y329/100)</f>
        <v/>
      </c>
      <c r="AA329" s="7">
        <f>IF($D329="","",V329-Z329)</f>
        <v/>
      </c>
      <c r="AB329" s="7">
        <f>IF($D329="","",AA329-N329)</f>
        <v/>
      </c>
      <c r="AF329" s="7" t="n"/>
      <c r="AI329" s="11" t="n"/>
      <c r="AK329">
        <f>IF($D329="","",IF(COUNTIF($D$2:$D329,$D329)=1,1,0))</f>
        <v/>
      </c>
      <c r="AL329">
        <f>IF($AK329=1,SUMPRODUCT(--($AO$2:$AO$3001&lt;$AO329))+1,"")</f>
        <v/>
      </c>
      <c r="AM329">
        <f>IF($D329="","",IF(OR($R329=TRUE(),$R329="TRUE"),1,0))</f>
        <v/>
      </c>
      <c r="AN329">
        <f>IF($D329="","",IF($X329="Yes",1,0))</f>
        <v/>
      </c>
      <c r="AO329">
        <f>IF($AK329=1,IFERROR(IF(VALUE($D329)&lt;100000000,VALUE($D329),1000000000),IFERROR(IF(VALUE(MID($D329,2,20))&lt;100000000,VALUE(MID($D329,2,20)),1000000000),1000000000))+ROW()/100000,"")</f>
        <v/>
      </c>
    </row>
    <row r="330">
      <c r="F330" s="11" t="n"/>
      <c r="N330" s="7">
        <f>IF($D330="","",M330*V330/100)</f>
        <v/>
      </c>
      <c r="O330" s="7" t="n"/>
      <c r="U330" s="7" t="n"/>
      <c r="V330" s="7" t="n"/>
      <c r="Y330">
        <f>IF($D330="","",IF($AN330=1,0,IF($AM330=1,Settings!$C$6,Settings!$C$7))*100)</f>
        <v/>
      </c>
      <c r="Z330" s="7">
        <f>IF($D330="","",V330*Y330/100)</f>
        <v/>
      </c>
      <c r="AA330" s="7">
        <f>IF($D330="","",V330-Z330)</f>
        <v/>
      </c>
      <c r="AB330" s="7">
        <f>IF($D330="","",AA330-N330)</f>
        <v/>
      </c>
      <c r="AF330" s="7" t="n"/>
      <c r="AI330" s="11" t="n"/>
      <c r="AK330">
        <f>IF($D330="","",IF(COUNTIF($D$2:$D330,$D330)=1,1,0))</f>
        <v/>
      </c>
      <c r="AL330">
        <f>IF($AK330=1,SUMPRODUCT(--($AO$2:$AO$3001&lt;$AO330))+1,"")</f>
        <v/>
      </c>
      <c r="AM330">
        <f>IF($D330="","",IF(OR($R330=TRUE(),$R330="TRUE"),1,0))</f>
        <v/>
      </c>
      <c r="AN330">
        <f>IF($D330="","",IF($X330="Yes",1,0))</f>
        <v/>
      </c>
      <c r="AO330">
        <f>IF($AK330=1,IFERROR(IF(VALUE($D330)&lt;100000000,VALUE($D330),1000000000),IFERROR(IF(VALUE(MID($D330,2,20))&lt;100000000,VALUE(MID($D330,2,20)),1000000000),1000000000))+ROW()/100000,"")</f>
        <v/>
      </c>
    </row>
    <row r="331">
      <c r="F331" s="11" t="n"/>
      <c r="N331" s="7">
        <f>IF($D331="","",M331*V331/100)</f>
        <v/>
      </c>
      <c r="O331" s="7" t="n"/>
      <c r="U331" s="7" t="n"/>
      <c r="V331" s="7" t="n"/>
      <c r="Y331">
        <f>IF($D331="","",IF($AN331=1,0,IF($AM331=1,Settings!$C$6,Settings!$C$7))*100)</f>
        <v/>
      </c>
      <c r="Z331" s="7">
        <f>IF($D331="","",V331*Y331/100)</f>
        <v/>
      </c>
      <c r="AA331" s="7">
        <f>IF($D331="","",V331-Z331)</f>
        <v/>
      </c>
      <c r="AB331" s="7">
        <f>IF($D331="","",AA331-N331)</f>
        <v/>
      </c>
      <c r="AF331" s="7" t="n"/>
      <c r="AI331" s="11" t="n"/>
      <c r="AK331">
        <f>IF($D331="","",IF(COUNTIF($D$2:$D331,$D331)=1,1,0))</f>
        <v/>
      </c>
      <c r="AL331">
        <f>IF($AK331=1,SUMPRODUCT(--($AO$2:$AO$3001&lt;$AO331))+1,"")</f>
        <v/>
      </c>
      <c r="AM331">
        <f>IF($D331="","",IF(OR($R331=TRUE(),$R331="TRUE"),1,0))</f>
        <v/>
      </c>
      <c r="AN331">
        <f>IF($D331="","",IF($X331="Yes",1,0))</f>
        <v/>
      </c>
      <c r="AO331">
        <f>IF($AK331=1,IFERROR(IF(VALUE($D331)&lt;100000000,VALUE($D331),1000000000),IFERROR(IF(VALUE(MID($D331,2,20))&lt;100000000,VALUE(MID($D331,2,20)),1000000000),1000000000))+ROW()/100000,"")</f>
        <v/>
      </c>
    </row>
    <row r="332">
      <c r="F332" s="11" t="n"/>
      <c r="N332" s="7">
        <f>IF($D332="","",M332*V332/100)</f>
        <v/>
      </c>
      <c r="O332" s="7" t="n"/>
      <c r="U332" s="7" t="n"/>
      <c r="V332" s="7" t="n"/>
      <c r="Y332">
        <f>IF($D332="","",IF($AN332=1,0,IF($AM332=1,Settings!$C$6,Settings!$C$7))*100)</f>
        <v/>
      </c>
      <c r="Z332" s="7">
        <f>IF($D332="","",V332*Y332/100)</f>
        <v/>
      </c>
      <c r="AA332" s="7">
        <f>IF($D332="","",V332-Z332)</f>
        <v/>
      </c>
      <c r="AB332" s="7">
        <f>IF($D332="","",AA332-N332)</f>
        <v/>
      </c>
      <c r="AF332" s="7" t="n"/>
      <c r="AI332" s="11" t="n"/>
      <c r="AK332">
        <f>IF($D332="","",IF(COUNTIF($D$2:$D332,$D332)=1,1,0))</f>
        <v/>
      </c>
      <c r="AL332">
        <f>IF($AK332=1,SUMPRODUCT(--($AO$2:$AO$3001&lt;$AO332))+1,"")</f>
        <v/>
      </c>
      <c r="AM332">
        <f>IF($D332="","",IF(OR($R332=TRUE(),$R332="TRUE"),1,0))</f>
        <v/>
      </c>
      <c r="AN332">
        <f>IF($D332="","",IF($X332="Yes",1,0))</f>
        <v/>
      </c>
      <c r="AO332">
        <f>IF($AK332=1,IFERROR(IF(VALUE($D332)&lt;100000000,VALUE($D332),1000000000),IFERROR(IF(VALUE(MID($D332,2,20))&lt;100000000,VALUE(MID($D332,2,20)),1000000000),1000000000))+ROW()/100000,"")</f>
        <v/>
      </c>
    </row>
    <row r="333">
      <c r="F333" s="11" t="n"/>
      <c r="N333" s="7">
        <f>IF($D333="","",M333*V333/100)</f>
        <v/>
      </c>
      <c r="O333" s="7" t="n"/>
      <c r="U333" s="7" t="n"/>
      <c r="V333" s="7" t="n"/>
      <c r="Y333">
        <f>IF($D333="","",IF($AN333=1,0,IF($AM333=1,Settings!$C$6,Settings!$C$7))*100)</f>
        <v/>
      </c>
      <c r="Z333" s="7">
        <f>IF($D333="","",V333*Y333/100)</f>
        <v/>
      </c>
      <c r="AA333" s="7">
        <f>IF($D333="","",V333-Z333)</f>
        <v/>
      </c>
      <c r="AB333" s="7">
        <f>IF($D333="","",AA333-N333)</f>
        <v/>
      </c>
      <c r="AF333" s="7" t="n"/>
      <c r="AI333" s="11" t="n"/>
      <c r="AK333">
        <f>IF($D333="","",IF(COUNTIF($D$2:$D333,$D333)=1,1,0))</f>
        <v/>
      </c>
      <c r="AL333">
        <f>IF($AK333=1,SUMPRODUCT(--($AO$2:$AO$3001&lt;$AO333))+1,"")</f>
        <v/>
      </c>
      <c r="AM333">
        <f>IF($D333="","",IF(OR($R333=TRUE(),$R333="TRUE"),1,0))</f>
        <v/>
      </c>
      <c r="AN333">
        <f>IF($D333="","",IF($X333="Yes",1,0))</f>
        <v/>
      </c>
      <c r="AO333">
        <f>IF($AK333=1,IFERROR(IF(VALUE($D333)&lt;100000000,VALUE($D333),1000000000),IFERROR(IF(VALUE(MID($D333,2,20))&lt;100000000,VALUE(MID($D333,2,20)),1000000000),1000000000))+ROW()/100000,"")</f>
        <v/>
      </c>
    </row>
    <row r="334">
      <c r="F334" s="11" t="n"/>
      <c r="N334" s="7">
        <f>IF($D334="","",M334*V334/100)</f>
        <v/>
      </c>
      <c r="O334" s="7" t="n"/>
      <c r="U334" s="7" t="n"/>
      <c r="V334" s="7" t="n"/>
      <c r="Y334">
        <f>IF($D334="","",IF($AN334=1,0,IF($AM334=1,Settings!$C$6,Settings!$C$7))*100)</f>
        <v/>
      </c>
      <c r="Z334" s="7">
        <f>IF($D334="","",V334*Y334/100)</f>
        <v/>
      </c>
      <c r="AA334" s="7">
        <f>IF($D334="","",V334-Z334)</f>
        <v/>
      </c>
      <c r="AB334" s="7">
        <f>IF($D334="","",AA334-N334)</f>
        <v/>
      </c>
      <c r="AF334" s="7" t="n"/>
      <c r="AI334" s="11" t="n"/>
      <c r="AK334">
        <f>IF($D334="","",IF(COUNTIF($D$2:$D334,$D334)=1,1,0))</f>
        <v/>
      </c>
      <c r="AL334">
        <f>IF($AK334=1,SUMPRODUCT(--($AO$2:$AO$3001&lt;$AO334))+1,"")</f>
        <v/>
      </c>
      <c r="AM334">
        <f>IF($D334="","",IF(OR($R334=TRUE(),$R334="TRUE"),1,0))</f>
        <v/>
      </c>
      <c r="AN334">
        <f>IF($D334="","",IF($X334="Yes",1,0))</f>
        <v/>
      </c>
      <c r="AO334">
        <f>IF($AK334=1,IFERROR(IF(VALUE($D334)&lt;100000000,VALUE($D334),1000000000),IFERROR(IF(VALUE(MID($D334,2,20))&lt;100000000,VALUE(MID($D334,2,20)),1000000000),1000000000))+ROW()/100000,"")</f>
        <v/>
      </c>
    </row>
    <row r="335">
      <c r="F335" s="11" t="n"/>
      <c r="N335" s="7">
        <f>IF($D335="","",M335*V335/100)</f>
        <v/>
      </c>
      <c r="O335" s="7" t="n"/>
      <c r="U335" s="7" t="n"/>
      <c r="V335" s="7" t="n"/>
      <c r="Y335">
        <f>IF($D335="","",IF($AN335=1,0,IF($AM335=1,Settings!$C$6,Settings!$C$7))*100)</f>
        <v/>
      </c>
      <c r="Z335" s="7">
        <f>IF($D335="","",V335*Y335/100)</f>
        <v/>
      </c>
      <c r="AA335" s="7">
        <f>IF($D335="","",V335-Z335)</f>
        <v/>
      </c>
      <c r="AB335" s="7">
        <f>IF($D335="","",AA335-N335)</f>
        <v/>
      </c>
      <c r="AF335" s="7" t="n"/>
      <c r="AI335" s="11" t="n"/>
      <c r="AK335">
        <f>IF($D335="","",IF(COUNTIF($D$2:$D335,$D335)=1,1,0))</f>
        <v/>
      </c>
      <c r="AL335">
        <f>IF($AK335=1,SUMPRODUCT(--($AO$2:$AO$3001&lt;$AO335))+1,"")</f>
        <v/>
      </c>
      <c r="AM335">
        <f>IF($D335="","",IF(OR($R335=TRUE(),$R335="TRUE"),1,0))</f>
        <v/>
      </c>
      <c r="AN335">
        <f>IF($D335="","",IF($X335="Yes",1,0))</f>
        <v/>
      </c>
      <c r="AO335">
        <f>IF($AK335=1,IFERROR(IF(VALUE($D335)&lt;100000000,VALUE($D335),1000000000),IFERROR(IF(VALUE(MID($D335,2,20))&lt;100000000,VALUE(MID($D335,2,20)),1000000000),1000000000))+ROW()/100000,"")</f>
        <v/>
      </c>
    </row>
    <row r="336">
      <c r="F336" s="11" t="n"/>
      <c r="N336" s="7">
        <f>IF($D336="","",M336*V336/100)</f>
        <v/>
      </c>
      <c r="O336" s="7" t="n"/>
      <c r="U336" s="7" t="n"/>
      <c r="V336" s="7" t="n"/>
      <c r="Y336">
        <f>IF($D336="","",IF($AN336=1,0,IF($AM336=1,Settings!$C$6,Settings!$C$7))*100)</f>
        <v/>
      </c>
      <c r="Z336" s="7">
        <f>IF($D336="","",V336*Y336/100)</f>
        <v/>
      </c>
      <c r="AA336" s="7">
        <f>IF($D336="","",V336-Z336)</f>
        <v/>
      </c>
      <c r="AB336" s="7">
        <f>IF($D336="","",AA336-N336)</f>
        <v/>
      </c>
      <c r="AF336" s="7" t="n"/>
      <c r="AI336" s="11" t="n"/>
      <c r="AK336">
        <f>IF($D336="","",IF(COUNTIF($D$2:$D336,$D336)=1,1,0))</f>
        <v/>
      </c>
      <c r="AL336">
        <f>IF($AK336=1,SUMPRODUCT(--($AO$2:$AO$3001&lt;$AO336))+1,"")</f>
        <v/>
      </c>
      <c r="AM336">
        <f>IF($D336="","",IF(OR($R336=TRUE(),$R336="TRUE"),1,0))</f>
        <v/>
      </c>
      <c r="AN336">
        <f>IF($D336="","",IF($X336="Yes",1,0))</f>
        <v/>
      </c>
      <c r="AO336">
        <f>IF($AK336=1,IFERROR(IF(VALUE($D336)&lt;100000000,VALUE($D336),1000000000),IFERROR(IF(VALUE(MID($D336,2,20))&lt;100000000,VALUE(MID($D336,2,20)),1000000000),1000000000))+ROW()/100000,"")</f>
        <v/>
      </c>
    </row>
    <row r="337">
      <c r="F337" s="11" t="n"/>
      <c r="N337" s="7">
        <f>IF($D337="","",M337*V337/100)</f>
        <v/>
      </c>
      <c r="O337" s="7" t="n"/>
      <c r="U337" s="7" t="n"/>
      <c r="V337" s="7" t="n"/>
      <c r="Y337">
        <f>IF($D337="","",IF($AN337=1,0,IF($AM337=1,Settings!$C$6,Settings!$C$7))*100)</f>
        <v/>
      </c>
      <c r="Z337" s="7">
        <f>IF($D337="","",V337*Y337/100)</f>
        <v/>
      </c>
      <c r="AA337" s="7">
        <f>IF($D337="","",V337-Z337)</f>
        <v/>
      </c>
      <c r="AB337" s="7">
        <f>IF($D337="","",AA337-N337)</f>
        <v/>
      </c>
      <c r="AF337" s="7" t="n"/>
      <c r="AI337" s="11" t="n"/>
      <c r="AK337">
        <f>IF($D337="","",IF(COUNTIF($D$2:$D337,$D337)=1,1,0))</f>
        <v/>
      </c>
      <c r="AL337">
        <f>IF($AK337=1,SUMPRODUCT(--($AO$2:$AO$3001&lt;$AO337))+1,"")</f>
        <v/>
      </c>
      <c r="AM337">
        <f>IF($D337="","",IF(OR($R337=TRUE(),$R337="TRUE"),1,0))</f>
        <v/>
      </c>
      <c r="AN337">
        <f>IF($D337="","",IF($X337="Yes",1,0))</f>
        <v/>
      </c>
      <c r="AO337">
        <f>IF($AK337=1,IFERROR(IF(VALUE($D337)&lt;100000000,VALUE($D337),1000000000),IFERROR(IF(VALUE(MID($D337,2,20))&lt;100000000,VALUE(MID($D337,2,20)),1000000000),1000000000))+ROW()/100000,"")</f>
        <v/>
      </c>
    </row>
    <row r="338">
      <c r="F338" s="11" t="n"/>
      <c r="N338" s="7">
        <f>IF($D338="","",M338*V338/100)</f>
        <v/>
      </c>
      <c r="O338" s="7" t="n"/>
      <c r="U338" s="7" t="n"/>
      <c r="V338" s="7" t="n"/>
      <c r="Y338">
        <f>IF($D338="","",IF($AN338=1,0,IF($AM338=1,Settings!$C$6,Settings!$C$7))*100)</f>
        <v/>
      </c>
      <c r="Z338" s="7">
        <f>IF($D338="","",V338*Y338/100)</f>
        <v/>
      </c>
      <c r="AA338" s="7">
        <f>IF($D338="","",V338-Z338)</f>
        <v/>
      </c>
      <c r="AB338" s="7">
        <f>IF($D338="","",AA338-N338)</f>
        <v/>
      </c>
      <c r="AF338" s="7" t="n"/>
      <c r="AI338" s="11" t="n"/>
      <c r="AK338">
        <f>IF($D338="","",IF(COUNTIF($D$2:$D338,$D338)=1,1,0))</f>
        <v/>
      </c>
      <c r="AL338">
        <f>IF($AK338=1,SUMPRODUCT(--($AO$2:$AO$3001&lt;$AO338))+1,"")</f>
        <v/>
      </c>
      <c r="AM338">
        <f>IF($D338="","",IF(OR($R338=TRUE(),$R338="TRUE"),1,0))</f>
        <v/>
      </c>
      <c r="AN338">
        <f>IF($D338="","",IF($X338="Yes",1,0))</f>
        <v/>
      </c>
      <c r="AO338">
        <f>IF($AK338=1,IFERROR(IF(VALUE($D338)&lt;100000000,VALUE($D338),1000000000),IFERROR(IF(VALUE(MID($D338,2,20))&lt;100000000,VALUE(MID($D338,2,20)),1000000000),1000000000))+ROW()/100000,"")</f>
        <v/>
      </c>
    </row>
    <row r="339">
      <c r="F339" s="11" t="n"/>
      <c r="N339" s="7">
        <f>IF($D339="","",M339*V339/100)</f>
        <v/>
      </c>
      <c r="O339" s="7" t="n"/>
      <c r="U339" s="7" t="n"/>
      <c r="V339" s="7" t="n"/>
      <c r="Y339">
        <f>IF($D339="","",IF($AN339=1,0,IF($AM339=1,Settings!$C$6,Settings!$C$7))*100)</f>
        <v/>
      </c>
      <c r="Z339" s="7">
        <f>IF($D339="","",V339*Y339/100)</f>
        <v/>
      </c>
      <c r="AA339" s="7">
        <f>IF($D339="","",V339-Z339)</f>
        <v/>
      </c>
      <c r="AB339" s="7">
        <f>IF($D339="","",AA339-N339)</f>
        <v/>
      </c>
      <c r="AF339" s="7" t="n"/>
      <c r="AI339" s="11" t="n"/>
      <c r="AK339">
        <f>IF($D339="","",IF(COUNTIF($D$2:$D339,$D339)=1,1,0))</f>
        <v/>
      </c>
      <c r="AL339">
        <f>IF($AK339=1,SUMPRODUCT(--($AO$2:$AO$3001&lt;$AO339))+1,"")</f>
        <v/>
      </c>
      <c r="AM339">
        <f>IF($D339="","",IF(OR($R339=TRUE(),$R339="TRUE"),1,0))</f>
        <v/>
      </c>
      <c r="AN339">
        <f>IF($D339="","",IF($X339="Yes",1,0))</f>
        <v/>
      </c>
      <c r="AO339">
        <f>IF($AK339=1,IFERROR(IF(VALUE($D339)&lt;100000000,VALUE($D339),1000000000),IFERROR(IF(VALUE(MID($D339,2,20))&lt;100000000,VALUE(MID($D339,2,20)),1000000000),1000000000))+ROW()/100000,"")</f>
        <v/>
      </c>
    </row>
    <row r="340">
      <c r="F340" s="11" t="n"/>
      <c r="N340" s="7">
        <f>IF($D340="","",M340*V340/100)</f>
        <v/>
      </c>
      <c r="O340" s="7" t="n"/>
      <c r="U340" s="7" t="n"/>
      <c r="V340" s="7" t="n"/>
      <c r="Y340">
        <f>IF($D340="","",IF($AN340=1,0,IF($AM340=1,Settings!$C$6,Settings!$C$7))*100)</f>
        <v/>
      </c>
      <c r="Z340" s="7">
        <f>IF($D340="","",V340*Y340/100)</f>
        <v/>
      </c>
      <c r="AA340" s="7">
        <f>IF($D340="","",V340-Z340)</f>
        <v/>
      </c>
      <c r="AB340" s="7">
        <f>IF($D340="","",AA340-N340)</f>
        <v/>
      </c>
      <c r="AF340" s="7" t="n"/>
      <c r="AI340" s="11" t="n"/>
      <c r="AK340">
        <f>IF($D340="","",IF(COUNTIF($D$2:$D340,$D340)=1,1,0))</f>
        <v/>
      </c>
      <c r="AL340">
        <f>IF($AK340=1,SUMPRODUCT(--($AO$2:$AO$3001&lt;$AO340))+1,"")</f>
        <v/>
      </c>
      <c r="AM340">
        <f>IF($D340="","",IF(OR($R340=TRUE(),$R340="TRUE"),1,0))</f>
        <v/>
      </c>
      <c r="AN340">
        <f>IF($D340="","",IF($X340="Yes",1,0))</f>
        <v/>
      </c>
      <c r="AO340">
        <f>IF($AK340=1,IFERROR(IF(VALUE($D340)&lt;100000000,VALUE($D340),1000000000),IFERROR(IF(VALUE(MID($D340,2,20))&lt;100000000,VALUE(MID($D340,2,20)),1000000000),1000000000))+ROW()/100000,"")</f>
        <v/>
      </c>
    </row>
    <row r="341">
      <c r="F341" s="11" t="n"/>
      <c r="N341" s="7">
        <f>IF($D341="","",M341*V341/100)</f>
        <v/>
      </c>
      <c r="O341" s="7" t="n"/>
      <c r="U341" s="7" t="n"/>
      <c r="V341" s="7" t="n"/>
      <c r="Y341">
        <f>IF($D341="","",IF($AN341=1,0,IF($AM341=1,Settings!$C$6,Settings!$C$7))*100)</f>
        <v/>
      </c>
      <c r="Z341" s="7">
        <f>IF($D341="","",V341*Y341/100)</f>
        <v/>
      </c>
      <c r="AA341" s="7">
        <f>IF($D341="","",V341-Z341)</f>
        <v/>
      </c>
      <c r="AB341" s="7">
        <f>IF($D341="","",AA341-N341)</f>
        <v/>
      </c>
      <c r="AF341" s="7" t="n"/>
      <c r="AI341" s="11" t="n"/>
      <c r="AK341">
        <f>IF($D341="","",IF(COUNTIF($D$2:$D341,$D341)=1,1,0))</f>
        <v/>
      </c>
      <c r="AL341">
        <f>IF($AK341=1,SUMPRODUCT(--($AO$2:$AO$3001&lt;$AO341))+1,"")</f>
        <v/>
      </c>
      <c r="AM341">
        <f>IF($D341="","",IF(OR($R341=TRUE(),$R341="TRUE"),1,0))</f>
        <v/>
      </c>
      <c r="AN341">
        <f>IF($D341="","",IF($X341="Yes",1,0))</f>
        <v/>
      </c>
      <c r="AO341">
        <f>IF($AK341=1,IFERROR(IF(VALUE($D341)&lt;100000000,VALUE($D341),1000000000),IFERROR(IF(VALUE(MID($D341,2,20))&lt;100000000,VALUE(MID($D341,2,20)),1000000000),1000000000))+ROW()/100000,"")</f>
        <v/>
      </c>
    </row>
    <row r="342">
      <c r="F342" s="11" t="n"/>
      <c r="N342" s="7">
        <f>IF($D342="","",M342*V342/100)</f>
        <v/>
      </c>
      <c r="O342" s="7" t="n"/>
      <c r="U342" s="7" t="n"/>
      <c r="V342" s="7" t="n"/>
      <c r="Y342">
        <f>IF($D342="","",IF($AN342=1,0,IF($AM342=1,Settings!$C$6,Settings!$C$7))*100)</f>
        <v/>
      </c>
      <c r="Z342" s="7">
        <f>IF($D342="","",V342*Y342/100)</f>
        <v/>
      </c>
      <c r="AA342" s="7">
        <f>IF($D342="","",V342-Z342)</f>
        <v/>
      </c>
      <c r="AB342" s="7">
        <f>IF($D342="","",AA342-N342)</f>
        <v/>
      </c>
      <c r="AF342" s="7" t="n"/>
      <c r="AI342" s="11" t="n"/>
      <c r="AK342">
        <f>IF($D342="","",IF(COUNTIF($D$2:$D342,$D342)=1,1,0))</f>
        <v/>
      </c>
      <c r="AL342">
        <f>IF($AK342=1,SUMPRODUCT(--($AO$2:$AO$3001&lt;$AO342))+1,"")</f>
        <v/>
      </c>
      <c r="AM342">
        <f>IF($D342="","",IF(OR($R342=TRUE(),$R342="TRUE"),1,0))</f>
        <v/>
      </c>
      <c r="AN342">
        <f>IF($D342="","",IF($X342="Yes",1,0))</f>
        <v/>
      </c>
      <c r="AO342">
        <f>IF($AK342=1,IFERROR(IF(VALUE($D342)&lt;100000000,VALUE($D342),1000000000),IFERROR(IF(VALUE(MID($D342,2,20))&lt;100000000,VALUE(MID($D342,2,20)),1000000000),1000000000))+ROW()/100000,"")</f>
        <v/>
      </c>
    </row>
    <row r="343">
      <c r="F343" s="11" t="n"/>
      <c r="N343" s="7">
        <f>IF($D343="","",M343*V343/100)</f>
        <v/>
      </c>
      <c r="O343" s="7" t="n"/>
      <c r="U343" s="7" t="n"/>
      <c r="V343" s="7" t="n"/>
      <c r="Y343">
        <f>IF($D343="","",IF($AN343=1,0,IF($AM343=1,Settings!$C$6,Settings!$C$7))*100)</f>
        <v/>
      </c>
      <c r="Z343" s="7">
        <f>IF($D343="","",V343*Y343/100)</f>
        <v/>
      </c>
      <c r="AA343" s="7">
        <f>IF($D343="","",V343-Z343)</f>
        <v/>
      </c>
      <c r="AB343" s="7">
        <f>IF($D343="","",AA343-N343)</f>
        <v/>
      </c>
      <c r="AF343" s="7" t="n"/>
      <c r="AI343" s="11" t="n"/>
      <c r="AK343">
        <f>IF($D343="","",IF(COUNTIF($D$2:$D343,$D343)=1,1,0))</f>
        <v/>
      </c>
      <c r="AL343">
        <f>IF($AK343=1,SUMPRODUCT(--($AO$2:$AO$3001&lt;$AO343))+1,"")</f>
        <v/>
      </c>
      <c r="AM343">
        <f>IF($D343="","",IF(OR($R343=TRUE(),$R343="TRUE"),1,0))</f>
        <v/>
      </c>
      <c r="AN343">
        <f>IF($D343="","",IF($X343="Yes",1,0))</f>
        <v/>
      </c>
      <c r="AO343">
        <f>IF($AK343=1,IFERROR(IF(VALUE($D343)&lt;100000000,VALUE($D343),1000000000),IFERROR(IF(VALUE(MID($D343,2,20))&lt;100000000,VALUE(MID($D343,2,20)),1000000000),1000000000))+ROW()/100000,"")</f>
        <v/>
      </c>
    </row>
    <row r="344">
      <c r="F344" s="11" t="n"/>
      <c r="N344" s="7">
        <f>IF($D344="","",M344*V344/100)</f>
        <v/>
      </c>
      <c r="O344" s="7" t="n"/>
      <c r="U344" s="7" t="n"/>
      <c r="V344" s="7" t="n"/>
      <c r="Y344">
        <f>IF($D344="","",IF($AN344=1,0,IF($AM344=1,Settings!$C$6,Settings!$C$7))*100)</f>
        <v/>
      </c>
      <c r="Z344" s="7">
        <f>IF($D344="","",V344*Y344/100)</f>
        <v/>
      </c>
      <c r="AA344" s="7">
        <f>IF($D344="","",V344-Z344)</f>
        <v/>
      </c>
      <c r="AB344" s="7">
        <f>IF($D344="","",AA344-N344)</f>
        <v/>
      </c>
      <c r="AF344" s="7" t="n"/>
      <c r="AI344" s="11" t="n"/>
      <c r="AK344">
        <f>IF($D344="","",IF(COUNTIF($D$2:$D344,$D344)=1,1,0))</f>
        <v/>
      </c>
      <c r="AL344">
        <f>IF($AK344=1,SUMPRODUCT(--($AO$2:$AO$3001&lt;$AO344))+1,"")</f>
        <v/>
      </c>
      <c r="AM344">
        <f>IF($D344="","",IF(OR($R344=TRUE(),$R344="TRUE"),1,0))</f>
        <v/>
      </c>
      <c r="AN344">
        <f>IF($D344="","",IF($X344="Yes",1,0))</f>
        <v/>
      </c>
      <c r="AO344">
        <f>IF($AK344=1,IFERROR(IF(VALUE($D344)&lt;100000000,VALUE($D344),1000000000),IFERROR(IF(VALUE(MID($D344,2,20))&lt;100000000,VALUE(MID($D344,2,20)),1000000000),1000000000))+ROW()/100000,"")</f>
        <v/>
      </c>
    </row>
    <row r="345">
      <c r="F345" s="11" t="n"/>
      <c r="N345" s="7">
        <f>IF($D345="","",M345*V345/100)</f>
        <v/>
      </c>
      <c r="O345" s="7" t="n"/>
      <c r="U345" s="7" t="n"/>
      <c r="V345" s="7" t="n"/>
      <c r="Y345">
        <f>IF($D345="","",IF($AN345=1,0,IF($AM345=1,Settings!$C$6,Settings!$C$7))*100)</f>
        <v/>
      </c>
      <c r="Z345" s="7">
        <f>IF($D345="","",V345*Y345/100)</f>
        <v/>
      </c>
      <c r="AA345" s="7">
        <f>IF($D345="","",V345-Z345)</f>
        <v/>
      </c>
      <c r="AB345" s="7">
        <f>IF($D345="","",AA345-N345)</f>
        <v/>
      </c>
      <c r="AF345" s="7" t="n"/>
      <c r="AI345" s="11" t="n"/>
      <c r="AK345">
        <f>IF($D345="","",IF(COUNTIF($D$2:$D345,$D345)=1,1,0))</f>
        <v/>
      </c>
      <c r="AL345">
        <f>IF($AK345=1,SUMPRODUCT(--($AO$2:$AO$3001&lt;$AO345))+1,"")</f>
        <v/>
      </c>
      <c r="AM345">
        <f>IF($D345="","",IF(OR($R345=TRUE(),$R345="TRUE"),1,0))</f>
        <v/>
      </c>
      <c r="AN345">
        <f>IF($D345="","",IF($X345="Yes",1,0))</f>
        <v/>
      </c>
      <c r="AO345">
        <f>IF($AK345=1,IFERROR(IF(VALUE($D345)&lt;100000000,VALUE($D345),1000000000),IFERROR(IF(VALUE(MID($D345,2,20))&lt;100000000,VALUE(MID($D345,2,20)),1000000000),1000000000))+ROW()/100000,"")</f>
        <v/>
      </c>
    </row>
    <row r="346">
      <c r="F346" s="11" t="n"/>
      <c r="N346" s="7">
        <f>IF($D346="","",M346*V346/100)</f>
        <v/>
      </c>
      <c r="O346" s="7" t="n"/>
      <c r="U346" s="7" t="n"/>
      <c r="V346" s="7" t="n"/>
      <c r="Y346">
        <f>IF($D346="","",IF($AN346=1,0,IF($AM346=1,Settings!$C$6,Settings!$C$7))*100)</f>
        <v/>
      </c>
      <c r="Z346" s="7">
        <f>IF($D346="","",V346*Y346/100)</f>
        <v/>
      </c>
      <c r="AA346" s="7">
        <f>IF($D346="","",V346-Z346)</f>
        <v/>
      </c>
      <c r="AB346" s="7">
        <f>IF($D346="","",AA346-N346)</f>
        <v/>
      </c>
      <c r="AF346" s="7" t="n"/>
      <c r="AI346" s="11" t="n"/>
      <c r="AK346">
        <f>IF($D346="","",IF(COUNTIF($D$2:$D346,$D346)=1,1,0))</f>
        <v/>
      </c>
      <c r="AL346">
        <f>IF($AK346=1,SUMPRODUCT(--($AO$2:$AO$3001&lt;$AO346))+1,"")</f>
        <v/>
      </c>
      <c r="AM346">
        <f>IF($D346="","",IF(OR($R346=TRUE(),$R346="TRUE"),1,0))</f>
        <v/>
      </c>
      <c r="AN346">
        <f>IF($D346="","",IF($X346="Yes",1,0))</f>
        <v/>
      </c>
      <c r="AO346">
        <f>IF($AK346=1,IFERROR(IF(VALUE($D346)&lt;100000000,VALUE($D346),1000000000),IFERROR(IF(VALUE(MID($D346,2,20))&lt;100000000,VALUE(MID($D346,2,20)),1000000000),1000000000))+ROW()/100000,"")</f>
        <v/>
      </c>
    </row>
    <row r="347">
      <c r="F347" s="11" t="n"/>
      <c r="N347" s="7">
        <f>IF($D347="","",M347*V347/100)</f>
        <v/>
      </c>
      <c r="O347" s="7" t="n"/>
      <c r="U347" s="7" t="n"/>
      <c r="V347" s="7" t="n"/>
      <c r="Y347">
        <f>IF($D347="","",IF($AN347=1,0,IF($AM347=1,Settings!$C$6,Settings!$C$7))*100)</f>
        <v/>
      </c>
      <c r="Z347" s="7">
        <f>IF($D347="","",V347*Y347/100)</f>
        <v/>
      </c>
      <c r="AA347" s="7">
        <f>IF($D347="","",V347-Z347)</f>
        <v/>
      </c>
      <c r="AB347" s="7">
        <f>IF($D347="","",AA347-N347)</f>
        <v/>
      </c>
      <c r="AF347" s="7" t="n"/>
      <c r="AI347" s="11" t="n"/>
      <c r="AK347">
        <f>IF($D347="","",IF(COUNTIF($D$2:$D347,$D347)=1,1,0))</f>
        <v/>
      </c>
      <c r="AL347">
        <f>IF($AK347=1,SUMPRODUCT(--($AO$2:$AO$3001&lt;$AO347))+1,"")</f>
        <v/>
      </c>
      <c r="AM347">
        <f>IF($D347="","",IF(OR($R347=TRUE(),$R347="TRUE"),1,0))</f>
        <v/>
      </c>
      <c r="AN347">
        <f>IF($D347="","",IF($X347="Yes",1,0))</f>
        <v/>
      </c>
      <c r="AO347">
        <f>IF($AK347=1,IFERROR(IF(VALUE($D347)&lt;100000000,VALUE($D347),1000000000),IFERROR(IF(VALUE(MID($D347,2,20))&lt;100000000,VALUE(MID($D347,2,20)),1000000000),1000000000))+ROW()/100000,"")</f>
        <v/>
      </c>
    </row>
    <row r="348">
      <c r="F348" s="11" t="n"/>
      <c r="N348" s="7">
        <f>IF($D348="","",M348*V348/100)</f>
        <v/>
      </c>
      <c r="O348" s="7" t="n"/>
      <c r="U348" s="7" t="n"/>
      <c r="V348" s="7" t="n"/>
      <c r="Y348">
        <f>IF($D348="","",IF($AN348=1,0,IF($AM348=1,Settings!$C$6,Settings!$C$7))*100)</f>
        <v/>
      </c>
      <c r="Z348" s="7">
        <f>IF($D348="","",V348*Y348/100)</f>
        <v/>
      </c>
      <c r="AA348" s="7">
        <f>IF($D348="","",V348-Z348)</f>
        <v/>
      </c>
      <c r="AB348" s="7">
        <f>IF($D348="","",AA348-N348)</f>
        <v/>
      </c>
      <c r="AF348" s="7" t="n"/>
      <c r="AI348" s="11" t="n"/>
      <c r="AK348">
        <f>IF($D348="","",IF(COUNTIF($D$2:$D348,$D348)=1,1,0))</f>
        <v/>
      </c>
      <c r="AL348">
        <f>IF($AK348=1,SUMPRODUCT(--($AO$2:$AO$3001&lt;$AO348))+1,"")</f>
        <v/>
      </c>
      <c r="AM348">
        <f>IF($D348="","",IF(OR($R348=TRUE(),$R348="TRUE"),1,0))</f>
        <v/>
      </c>
      <c r="AN348">
        <f>IF($D348="","",IF($X348="Yes",1,0))</f>
        <v/>
      </c>
      <c r="AO348">
        <f>IF($AK348=1,IFERROR(IF(VALUE($D348)&lt;100000000,VALUE($D348),1000000000),IFERROR(IF(VALUE(MID($D348,2,20))&lt;100000000,VALUE(MID($D348,2,20)),1000000000),1000000000))+ROW()/100000,"")</f>
        <v/>
      </c>
    </row>
    <row r="349">
      <c r="F349" s="11" t="n"/>
      <c r="N349" s="7">
        <f>IF($D349="","",M349*V349/100)</f>
        <v/>
      </c>
      <c r="O349" s="7" t="n"/>
      <c r="U349" s="7" t="n"/>
      <c r="V349" s="7" t="n"/>
      <c r="Y349">
        <f>IF($D349="","",IF($AN349=1,0,IF($AM349=1,Settings!$C$6,Settings!$C$7))*100)</f>
        <v/>
      </c>
      <c r="Z349" s="7">
        <f>IF($D349="","",V349*Y349/100)</f>
        <v/>
      </c>
      <c r="AA349" s="7">
        <f>IF($D349="","",V349-Z349)</f>
        <v/>
      </c>
      <c r="AB349" s="7">
        <f>IF($D349="","",AA349-N349)</f>
        <v/>
      </c>
      <c r="AF349" s="7" t="n"/>
      <c r="AI349" s="11" t="n"/>
      <c r="AK349">
        <f>IF($D349="","",IF(COUNTIF($D$2:$D349,$D349)=1,1,0))</f>
        <v/>
      </c>
      <c r="AL349">
        <f>IF($AK349=1,SUMPRODUCT(--($AO$2:$AO$3001&lt;$AO349))+1,"")</f>
        <v/>
      </c>
      <c r="AM349">
        <f>IF($D349="","",IF(OR($R349=TRUE(),$R349="TRUE"),1,0))</f>
        <v/>
      </c>
      <c r="AN349">
        <f>IF($D349="","",IF($X349="Yes",1,0))</f>
        <v/>
      </c>
      <c r="AO349">
        <f>IF($AK349=1,IFERROR(IF(VALUE($D349)&lt;100000000,VALUE($D349),1000000000),IFERROR(IF(VALUE(MID($D349,2,20))&lt;100000000,VALUE(MID($D349,2,20)),1000000000),1000000000))+ROW()/100000,"")</f>
        <v/>
      </c>
    </row>
    <row r="350">
      <c r="F350" s="11" t="n"/>
      <c r="N350" s="7">
        <f>IF($D350="","",M350*V350/100)</f>
        <v/>
      </c>
      <c r="O350" s="7" t="n"/>
      <c r="U350" s="7" t="n"/>
      <c r="V350" s="7" t="n"/>
      <c r="Y350">
        <f>IF($D350="","",IF($AN350=1,0,IF($AM350=1,Settings!$C$6,Settings!$C$7))*100)</f>
        <v/>
      </c>
      <c r="Z350" s="7">
        <f>IF($D350="","",V350*Y350/100)</f>
        <v/>
      </c>
      <c r="AA350" s="7">
        <f>IF($D350="","",V350-Z350)</f>
        <v/>
      </c>
      <c r="AB350" s="7">
        <f>IF($D350="","",AA350-N350)</f>
        <v/>
      </c>
      <c r="AF350" s="7" t="n"/>
      <c r="AI350" s="11" t="n"/>
      <c r="AK350">
        <f>IF($D350="","",IF(COUNTIF($D$2:$D350,$D350)=1,1,0))</f>
        <v/>
      </c>
      <c r="AL350">
        <f>IF($AK350=1,SUMPRODUCT(--($AO$2:$AO$3001&lt;$AO350))+1,"")</f>
        <v/>
      </c>
      <c r="AM350">
        <f>IF($D350="","",IF(OR($R350=TRUE(),$R350="TRUE"),1,0))</f>
        <v/>
      </c>
      <c r="AN350">
        <f>IF($D350="","",IF($X350="Yes",1,0))</f>
        <v/>
      </c>
      <c r="AO350">
        <f>IF($AK350=1,IFERROR(IF(VALUE($D350)&lt;100000000,VALUE($D350),1000000000),IFERROR(IF(VALUE(MID($D350,2,20))&lt;100000000,VALUE(MID($D350,2,20)),1000000000),1000000000))+ROW()/100000,"")</f>
        <v/>
      </c>
    </row>
    <row r="351">
      <c r="F351" s="11" t="n"/>
      <c r="N351" s="7">
        <f>IF($D351="","",M351*V351/100)</f>
        <v/>
      </c>
      <c r="O351" s="7" t="n"/>
      <c r="U351" s="7" t="n"/>
      <c r="V351" s="7" t="n"/>
      <c r="Y351">
        <f>IF($D351="","",IF($AN351=1,0,IF($AM351=1,Settings!$C$6,Settings!$C$7))*100)</f>
        <v/>
      </c>
      <c r="Z351" s="7">
        <f>IF($D351="","",V351*Y351/100)</f>
        <v/>
      </c>
      <c r="AA351" s="7">
        <f>IF($D351="","",V351-Z351)</f>
        <v/>
      </c>
      <c r="AB351" s="7">
        <f>IF($D351="","",AA351-N351)</f>
        <v/>
      </c>
      <c r="AF351" s="7" t="n"/>
      <c r="AI351" s="11" t="n"/>
      <c r="AK351">
        <f>IF($D351="","",IF(COUNTIF($D$2:$D351,$D351)=1,1,0))</f>
        <v/>
      </c>
      <c r="AL351">
        <f>IF($AK351=1,SUMPRODUCT(--($AO$2:$AO$3001&lt;$AO351))+1,"")</f>
        <v/>
      </c>
      <c r="AM351">
        <f>IF($D351="","",IF(OR($R351=TRUE(),$R351="TRUE"),1,0))</f>
        <v/>
      </c>
      <c r="AN351">
        <f>IF($D351="","",IF($X351="Yes",1,0))</f>
        <v/>
      </c>
      <c r="AO351">
        <f>IF($AK351=1,IFERROR(IF(VALUE($D351)&lt;100000000,VALUE($D351),1000000000),IFERROR(IF(VALUE(MID($D351,2,20))&lt;100000000,VALUE(MID($D351,2,20)),1000000000),1000000000))+ROW()/100000,"")</f>
        <v/>
      </c>
    </row>
    <row r="352">
      <c r="F352" s="11" t="n"/>
      <c r="N352" s="7">
        <f>IF($D352="","",M352*V352/100)</f>
        <v/>
      </c>
      <c r="O352" s="7" t="n"/>
      <c r="U352" s="7" t="n"/>
      <c r="V352" s="7" t="n"/>
      <c r="Y352">
        <f>IF($D352="","",IF($AN352=1,0,IF($AM352=1,Settings!$C$6,Settings!$C$7))*100)</f>
        <v/>
      </c>
      <c r="Z352" s="7">
        <f>IF($D352="","",V352*Y352/100)</f>
        <v/>
      </c>
      <c r="AA352" s="7">
        <f>IF($D352="","",V352-Z352)</f>
        <v/>
      </c>
      <c r="AB352" s="7">
        <f>IF($D352="","",AA352-N352)</f>
        <v/>
      </c>
      <c r="AF352" s="7" t="n"/>
      <c r="AI352" s="11" t="n"/>
      <c r="AK352">
        <f>IF($D352="","",IF(COUNTIF($D$2:$D352,$D352)=1,1,0))</f>
        <v/>
      </c>
      <c r="AL352">
        <f>IF($AK352=1,SUMPRODUCT(--($AO$2:$AO$3001&lt;$AO352))+1,"")</f>
        <v/>
      </c>
      <c r="AM352">
        <f>IF($D352="","",IF(OR($R352=TRUE(),$R352="TRUE"),1,0))</f>
        <v/>
      </c>
      <c r="AN352">
        <f>IF($D352="","",IF($X352="Yes",1,0))</f>
        <v/>
      </c>
      <c r="AO352">
        <f>IF($AK352=1,IFERROR(IF(VALUE($D352)&lt;100000000,VALUE($D352),1000000000),IFERROR(IF(VALUE(MID($D352,2,20))&lt;100000000,VALUE(MID($D352,2,20)),1000000000),1000000000))+ROW()/100000,"")</f>
        <v/>
      </c>
    </row>
    <row r="353">
      <c r="F353" s="11" t="n"/>
      <c r="N353" s="7">
        <f>IF($D353="","",M353*V353/100)</f>
        <v/>
      </c>
      <c r="O353" s="7" t="n"/>
      <c r="U353" s="7" t="n"/>
      <c r="V353" s="7" t="n"/>
      <c r="Y353">
        <f>IF($D353="","",IF($AN353=1,0,IF($AM353=1,Settings!$C$6,Settings!$C$7))*100)</f>
        <v/>
      </c>
      <c r="Z353" s="7">
        <f>IF($D353="","",V353*Y353/100)</f>
        <v/>
      </c>
      <c r="AA353" s="7">
        <f>IF($D353="","",V353-Z353)</f>
        <v/>
      </c>
      <c r="AB353" s="7">
        <f>IF($D353="","",AA353-N353)</f>
        <v/>
      </c>
      <c r="AF353" s="7" t="n"/>
      <c r="AI353" s="11" t="n"/>
      <c r="AK353">
        <f>IF($D353="","",IF(COUNTIF($D$2:$D353,$D353)=1,1,0))</f>
        <v/>
      </c>
      <c r="AL353">
        <f>IF($AK353=1,SUMPRODUCT(--($AO$2:$AO$3001&lt;$AO353))+1,"")</f>
        <v/>
      </c>
      <c r="AM353">
        <f>IF($D353="","",IF(OR($R353=TRUE(),$R353="TRUE"),1,0))</f>
        <v/>
      </c>
      <c r="AN353">
        <f>IF($D353="","",IF($X353="Yes",1,0))</f>
        <v/>
      </c>
      <c r="AO353">
        <f>IF($AK353=1,IFERROR(IF(VALUE($D353)&lt;100000000,VALUE($D353),1000000000),IFERROR(IF(VALUE(MID($D353,2,20))&lt;100000000,VALUE(MID($D353,2,20)),1000000000),1000000000))+ROW()/100000,"")</f>
        <v/>
      </c>
    </row>
    <row r="354">
      <c r="F354" s="11" t="n"/>
      <c r="N354" s="7">
        <f>IF($D354="","",M354*V354/100)</f>
        <v/>
      </c>
      <c r="O354" s="7" t="n"/>
      <c r="U354" s="7" t="n"/>
      <c r="V354" s="7" t="n"/>
      <c r="Y354">
        <f>IF($D354="","",IF($AN354=1,0,IF($AM354=1,Settings!$C$6,Settings!$C$7))*100)</f>
        <v/>
      </c>
      <c r="Z354" s="7">
        <f>IF($D354="","",V354*Y354/100)</f>
        <v/>
      </c>
      <c r="AA354" s="7">
        <f>IF($D354="","",V354-Z354)</f>
        <v/>
      </c>
      <c r="AB354" s="7">
        <f>IF($D354="","",AA354-N354)</f>
        <v/>
      </c>
      <c r="AF354" s="7" t="n"/>
      <c r="AI354" s="11" t="n"/>
      <c r="AK354">
        <f>IF($D354="","",IF(COUNTIF($D$2:$D354,$D354)=1,1,0))</f>
        <v/>
      </c>
      <c r="AL354">
        <f>IF($AK354=1,SUMPRODUCT(--($AO$2:$AO$3001&lt;$AO354))+1,"")</f>
        <v/>
      </c>
      <c r="AM354">
        <f>IF($D354="","",IF(OR($R354=TRUE(),$R354="TRUE"),1,0))</f>
        <v/>
      </c>
      <c r="AN354">
        <f>IF($D354="","",IF($X354="Yes",1,0))</f>
        <v/>
      </c>
      <c r="AO354">
        <f>IF($AK354=1,IFERROR(IF(VALUE($D354)&lt;100000000,VALUE($D354),1000000000),IFERROR(IF(VALUE(MID($D354,2,20))&lt;100000000,VALUE(MID($D354,2,20)),1000000000),1000000000))+ROW()/100000,"")</f>
        <v/>
      </c>
    </row>
    <row r="355">
      <c r="F355" s="11" t="n"/>
      <c r="N355" s="7">
        <f>IF($D355="","",M355*V355/100)</f>
        <v/>
      </c>
      <c r="O355" s="7" t="n"/>
      <c r="U355" s="7" t="n"/>
      <c r="V355" s="7" t="n"/>
      <c r="Y355">
        <f>IF($D355="","",IF($AN355=1,0,IF($AM355=1,Settings!$C$6,Settings!$C$7))*100)</f>
        <v/>
      </c>
      <c r="Z355" s="7">
        <f>IF($D355="","",V355*Y355/100)</f>
        <v/>
      </c>
      <c r="AA355" s="7">
        <f>IF($D355="","",V355-Z355)</f>
        <v/>
      </c>
      <c r="AB355" s="7">
        <f>IF($D355="","",AA355-N355)</f>
        <v/>
      </c>
      <c r="AF355" s="7" t="n"/>
      <c r="AI355" s="11" t="n"/>
      <c r="AK355">
        <f>IF($D355="","",IF(COUNTIF($D$2:$D355,$D355)=1,1,0))</f>
        <v/>
      </c>
      <c r="AL355">
        <f>IF($AK355=1,SUMPRODUCT(--($AO$2:$AO$3001&lt;$AO355))+1,"")</f>
        <v/>
      </c>
      <c r="AM355">
        <f>IF($D355="","",IF(OR($R355=TRUE(),$R355="TRUE"),1,0))</f>
        <v/>
      </c>
      <c r="AN355">
        <f>IF($D355="","",IF($X355="Yes",1,0))</f>
        <v/>
      </c>
      <c r="AO355">
        <f>IF($AK355=1,IFERROR(IF(VALUE($D355)&lt;100000000,VALUE($D355),1000000000),IFERROR(IF(VALUE(MID($D355,2,20))&lt;100000000,VALUE(MID($D355,2,20)),1000000000),1000000000))+ROW()/100000,"")</f>
        <v/>
      </c>
    </row>
    <row r="356">
      <c r="F356" s="11" t="n"/>
      <c r="N356" s="7">
        <f>IF($D356="","",M356*V356/100)</f>
        <v/>
      </c>
      <c r="O356" s="7" t="n"/>
      <c r="U356" s="7" t="n"/>
      <c r="V356" s="7" t="n"/>
      <c r="Y356">
        <f>IF($D356="","",IF($AN356=1,0,IF($AM356=1,Settings!$C$6,Settings!$C$7))*100)</f>
        <v/>
      </c>
      <c r="Z356" s="7">
        <f>IF($D356="","",V356*Y356/100)</f>
        <v/>
      </c>
      <c r="AA356" s="7">
        <f>IF($D356="","",V356-Z356)</f>
        <v/>
      </c>
      <c r="AB356" s="7">
        <f>IF($D356="","",AA356-N356)</f>
        <v/>
      </c>
      <c r="AF356" s="7" t="n"/>
      <c r="AI356" s="11" t="n"/>
      <c r="AK356">
        <f>IF($D356="","",IF(COUNTIF($D$2:$D356,$D356)=1,1,0))</f>
        <v/>
      </c>
      <c r="AL356">
        <f>IF($AK356=1,SUMPRODUCT(--($AO$2:$AO$3001&lt;$AO356))+1,"")</f>
        <v/>
      </c>
      <c r="AM356">
        <f>IF($D356="","",IF(OR($R356=TRUE(),$R356="TRUE"),1,0))</f>
        <v/>
      </c>
      <c r="AN356">
        <f>IF($D356="","",IF($X356="Yes",1,0))</f>
        <v/>
      </c>
      <c r="AO356">
        <f>IF($AK356=1,IFERROR(IF(VALUE($D356)&lt;100000000,VALUE($D356),1000000000),IFERROR(IF(VALUE(MID($D356,2,20))&lt;100000000,VALUE(MID($D356,2,20)),1000000000),1000000000))+ROW()/100000,"")</f>
        <v/>
      </c>
    </row>
    <row r="357">
      <c r="F357" s="11" t="n"/>
      <c r="N357" s="7">
        <f>IF($D357="","",M357*V357/100)</f>
        <v/>
      </c>
      <c r="O357" s="7" t="n"/>
      <c r="U357" s="7" t="n"/>
      <c r="V357" s="7" t="n"/>
      <c r="Y357">
        <f>IF($D357="","",IF($AN357=1,0,IF($AM357=1,Settings!$C$6,Settings!$C$7))*100)</f>
        <v/>
      </c>
      <c r="Z357" s="7">
        <f>IF($D357="","",V357*Y357/100)</f>
        <v/>
      </c>
      <c r="AA357" s="7">
        <f>IF($D357="","",V357-Z357)</f>
        <v/>
      </c>
      <c r="AB357" s="7">
        <f>IF($D357="","",AA357-N357)</f>
        <v/>
      </c>
      <c r="AF357" s="7" t="n"/>
      <c r="AI357" s="11" t="n"/>
      <c r="AK357">
        <f>IF($D357="","",IF(COUNTIF($D$2:$D357,$D357)=1,1,0))</f>
        <v/>
      </c>
      <c r="AL357">
        <f>IF($AK357=1,SUMPRODUCT(--($AO$2:$AO$3001&lt;$AO357))+1,"")</f>
        <v/>
      </c>
      <c r="AM357">
        <f>IF($D357="","",IF(OR($R357=TRUE(),$R357="TRUE"),1,0))</f>
        <v/>
      </c>
      <c r="AN357">
        <f>IF($D357="","",IF($X357="Yes",1,0))</f>
        <v/>
      </c>
      <c r="AO357">
        <f>IF($AK357=1,IFERROR(IF(VALUE($D357)&lt;100000000,VALUE($D357),1000000000),IFERROR(IF(VALUE(MID($D357,2,20))&lt;100000000,VALUE(MID($D357,2,20)),1000000000),1000000000))+ROW()/100000,"")</f>
        <v/>
      </c>
    </row>
    <row r="358">
      <c r="F358" s="11" t="n"/>
      <c r="N358" s="7">
        <f>IF($D358="","",M358*V358/100)</f>
        <v/>
      </c>
      <c r="O358" s="7" t="n"/>
      <c r="U358" s="7" t="n"/>
      <c r="V358" s="7" t="n"/>
      <c r="Y358">
        <f>IF($D358="","",IF($AN358=1,0,IF($AM358=1,Settings!$C$6,Settings!$C$7))*100)</f>
        <v/>
      </c>
      <c r="Z358" s="7">
        <f>IF($D358="","",V358*Y358/100)</f>
        <v/>
      </c>
      <c r="AA358" s="7">
        <f>IF($D358="","",V358-Z358)</f>
        <v/>
      </c>
      <c r="AB358" s="7">
        <f>IF($D358="","",AA358-N358)</f>
        <v/>
      </c>
      <c r="AF358" s="7" t="n"/>
      <c r="AI358" s="11" t="n"/>
      <c r="AK358">
        <f>IF($D358="","",IF(COUNTIF($D$2:$D358,$D358)=1,1,0))</f>
        <v/>
      </c>
      <c r="AL358">
        <f>IF($AK358=1,SUMPRODUCT(--($AO$2:$AO$3001&lt;$AO358))+1,"")</f>
        <v/>
      </c>
      <c r="AM358">
        <f>IF($D358="","",IF(OR($R358=TRUE(),$R358="TRUE"),1,0))</f>
        <v/>
      </c>
      <c r="AN358">
        <f>IF($D358="","",IF($X358="Yes",1,0))</f>
        <v/>
      </c>
      <c r="AO358">
        <f>IF($AK358=1,IFERROR(IF(VALUE($D358)&lt;100000000,VALUE($D358),1000000000),IFERROR(IF(VALUE(MID($D358,2,20))&lt;100000000,VALUE(MID($D358,2,20)),1000000000),1000000000))+ROW()/100000,"")</f>
        <v/>
      </c>
    </row>
    <row r="359">
      <c r="F359" s="11" t="n"/>
      <c r="N359" s="7">
        <f>IF($D359="","",M359*V359/100)</f>
        <v/>
      </c>
      <c r="O359" s="7" t="n"/>
      <c r="U359" s="7" t="n"/>
      <c r="V359" s="7" t="n"/>
      <c r="Y359">
        <f>IF($D359="","",IF($AN359=1,0,IF($AM359=1,Settings!$C$6,Settings!$C$7))*100)</f>
        <v/>
      </c>
      <c r="Z359" s="7">
        <f>IF($D359="","",V359*Y359/100)</f>
        <v/>
      </c>
      <c r="AA359" s="7">
        <f>IF($D359="","",V359-Z359)</f>
        <v/>
      </c>
      <c r="AB359" s="7">
        <f>IF($D359="","",AA359-N359)</f>
        <v/>
      </c>
      <c r="AF359" s="7" t="n"/>
      <c r="AI359" s="11" t="n"/>
      <c r="AK359">
        <f>IF($D359="","",IF(COUNTIF($D$2:$D359,$D359)=1,1,0))</f>
        <v/>
      </c>
      <c r="AL359">
        <f>IF($AK359=1,SUMPRODUCT(--($AO$2:$AO$3001&lt;$AO359))+1,"")</f>
        <v/>
      </c>
      <c r="AM359">
        <f>IF($D359="","",IF(OR($R359=TRUE(),$R359="TRUE"),1,0))</f>
        <v/>
      </c>
      <c r="AN359">
        <f>IF($D359="","",IF($X359="Yes",1,0))</f>
        <v/>
      </c>
      <c r="AO359">
        <f>IF($AK359=1,IFERROR(IF(VALUE($D359)&lt;100000000,VALUE($D359),1000000000),IFERROR(IF(VALUE(MID($D359,2,20))&lt;100000000,VALUE(MID($D359,2,20)),1000000000),1000000000))+ROW()/100000,"")</f>
        <v/>
      </c>
    </row>
    <row r="360">
      <c r="F360" s="11" t="n"/>
      <c r="N360" s="7">
        <f>IF($D360="","",M360*V360/100)</f>
        <v/>
      </c>
      <c r="O360" s="7" t="n"/>
      <c r="U360" s="7" t="n"/>
      <c r="V360" s="7" t="n"/>
      <c r="Y360">
        <f>IF($D360="","",IF($AN360=1,0,IF($AM360=1,Settings!$C$6,Settings!$C$7))*100)</f>
        <v/>
      </c>
      <c r="Z360" s="7">
        <f>IF($D360="","",V360*Y360/100)</f>
        <v/>
      </c>
      <c r="AA360" s="7">
        <f>IF($D360="","",V360-Z360)</f>
        <v/>
      </c>
      <c r="AB360" s="7">
        <f>IF($D360="","",AA360-N360)</f>
        <v/>
      </c>
      <c r="AF360" s="7" t="n"/>
      <c r="AI360" s="11" t="n"/>
      <c r="AK360">
        <f>IF($D360="","",IF(COUNTIF($D$2:$D360,$D360)=1,1,0))</f>
        <v/>
      </c>
      <c r="AL360">
        <f>IF($AK360=1,SUMPRODUCT(--($AO$2:$AO$3001&lt;$AO360))+1,"")</f>
        <v/>
      </c>
      <c r="AM360">
        <f>IF($D360="","",IF(OR($R360=TRUE(),$R360="TRUE"),1,0))</f>
        <v/>
      </c>
      <c r="AN360">
        <f>IF($D360="","",IF($X360="Yes",1,0))</f>
        <v/>
      </c>
      <c r="AO360">
        <f>IF($AK360=1,IFERROR(IF(VALUE($D360)&lt;100000000,VALUE($D360),1000000000),IFERROR(IF(VALUE(MID($D360,2,20))&lt;100000000,VALUE(MID($D360,2,20)),1000000000),1000000000))+ROW()/100000,"")</f>
        <v/>
      </c>
    </row>
    <row r="361">
      <c r="F361" s="11" t="n"/>
      <c r="N361" s="7">
        <f>IF($D361="","",M361*V361/100)</f>
        <v/>
      </c>
      <c r="O361" s="7" t="n"/>
      <c r="U361" s="7" t="n"/>
      <c r="V361" s="7" t="n"/>
      <c r="Y361">
        <f>IF($D361="","",IF($AN361=1,0,IF($AM361=1,Settings!$C$6,Settings!$C$7))*100)</f>
        <v/>
      </c>
      <c r="Z361" s="7">
        <f>IF($D361="","",V361*Y361/100)</f>
        <v/>
      </c>
      <c r="AA361" s="7">
        <f>IF($D361="","",V361-Z361)</f>
        <v/>
      </c>
      <c r="AB361" s="7">
        <f>IF($D361="","",AA361-N361)</f>
        <v/>
      </c>
      <c r="AF361" s="7" t="n"/>
      <c r="AI361" s="11" t="n"/>
      <c r="AK361">
        <f>IF($D361="","",IF(COUNTIF($D$2:$D361,$D361)=1,1,0))</f>
        <v/>
      </c>
      <c r="AL361">
        <f>IF($AK361=1,SUMPRODUCT(--($AO$2:$AO$3001&lt;$AO361))+1,"")</f>
        <v/>
      </c>
      <c r="AM361">
        <f>IF($D361="","",IF(OR($R361=TRUE(),$R361="TRUE"),1,0))</f>
        <v/>
      </c>
      <c r="AN361">
        <f>IF($D361="","",IF($X361="Yes",1,0))</f>
        <v/>
      </c>
      <c r="AO361">
        <f>IF($AK361=1,IFERROR(IF(VALUE($D361)&lt;100000000,VALUE($D361),1000000000),IFERROR(IF(VALUE(MID($D361,2,20))&lt;100000000,VALUE(MID($D361,2,20)),1000000000),1000000000))+ROW()/100000,"")</f>
        <v/>
      </c>
    </row>
    <row r="362">
      <c r="F362" s="11" t="n"/>
      <c r="N362" s="7">
        <f>IF($D362="","",M362*V362/100)</f>
        <v/>
      </c>
      <c r="O362" s="7" t="n"/>
      <c r="U362" s="7" t="n"/>
      <c r="V362" s="7" t="n"/>
      <c r="Y362">
        <f>IF($D362="","",IF($AN362=1,0,IF($AM362=1,Settings!$C$6,Settings!$C$7))*100)</f>
        <v/>
      </c>
      <c r="Z362" s="7">
        <f>IF($D362="","",V362*Y362/100)</f>
        <v/>
      </c>
      <c r="AA362" s="7">
        <f>IF($D362="","",V362-Z362)</f>
        <v/>
      </c>
      <c r="AB362" s="7">
        <f>IF($D362="","",AA362-N362)</f>
        <v/>
      </c>
      <c r="AF362" s="7" t="n"/>
      <c r="AI362" s="11" t="n"/>
      <c r="AK362">
        <f>IF($D362="","",IF(COUNTIF($D$2:$D362,$D362)=1,1,0))</f>
        <v/>
      </c>
      <c r="AL362">
        <f>IF($AK362=1,SUMPRODUCT(--($AO$2:$AO$3001&lt;$AO362))+1,"")</f>
        <v/>
      </c>
      <c r="AM362">
        <f>IF($D362="","",IF(OR($R362=TRUE(),$R362="TRUE"),1,0))</f>
        <v/>
      </c>
      <c r="AN362">
        <f>IF($D362="","",IF($X362="Yes",1,0))</f>
        <v/>
      </c>
      <c r="AO362">
        <f>IF($AK362=1,IFERROR(IF(VALUE($D362)&lt;100000000,VALUE($D362),1000000000),IFERROR(IF(VALUE(MID($D362,2,20))&lt;100000000,VALUE(MID($D362,2,20)),1000000000),1000000000))+ROW()/100000,"")</f>
        <v/>
      </c>
    </row>
    <row r="363">
      <c r="F363" s="11" t="n"/>
      <c r="N363" s="7">
        <f>IF($D363="","",M363*V363/100)</f>
        <v/>
      </c>
      <c r="O363" s="7" t="n"/>
      <c r="U363" s="7" t="n"/>
      <c r="V363" s="7" t="n"/>
      <c r="Y363">
        <f>IF($D363="","",IF($AN363=1,0,IF($AM363=1,Settings!$C$6,Settings!$C$7))*100)</f>
        <v/>
      </c>
      <c r="Z363" s="7">
        <f>IF($D363="","",V363*Y363/100)</f>
        <v/>
      </c>
      <c r="AA363" s="7">
        <f>IF($D363="","",V363-Z363)</f>
        <v/>
      </c>
      <c r="AB363" s="7">
        <f>IF($D363="","",AA363-N363)</f>
        <v/>
      </c>
      <c r="AF363" s="7" t="n"/>
      <c r="AI363" s="11" t="n"/>
      <c r="AK363">
        <f>IF($D363="","",IF(COUNTIF($D$2:$D363,$D363)=1,1,0))</f>
        <v/>
      </c>
      <c r="AL363">
        <f>IF($AK363=1,SUMPRODUCT(--($AO$2:$AO$3001&lt;$AO363))+1,"")</f>
        <v/>
      </c>
      <c r="AM363">
        <f>IF($D363="","",IF(OR($R363=TRUE(),$R363="TRUE"),1,0))</f>
        <v/>
      </c>
      <c r="AN363">
        <f>IF($D363="","",IF($X363="Yes",1,0))</f>
        <v/>
      </c>
      <c r="AO363">
        <f>IF($AK363=1,IFERROR(IF(VALUE($D363)&lt;100000000,VALUE($D363),1000000000),IFERROR(IF(VALUE(MID($D363,2,20))&lt;100000000,VALUE(MID($D363,2,20)),1000000000),1000000000))+ROW()/100000,"")</f>
        <v/>
      </c>
    </row>
    <row r="364">
      <c r="F364" s="11" t="n"/>
      <c r="N364" s="7">
        <f>IF($D364="","",M364*V364/100)</f>
        <v/>
      </c>
      <c r="O364" s="7" t="n"/>
      <c r="U364" s="7" t="n"/>
      <c r="V364" s="7" t="n"/>
      <c r="Y364">
        <f>IF($D364="","",IF($AN364=1,0,IF($AM364=1,Settings!$C$6,Settings!$C$7))*100)</f>
        <v/>
      </c>
      <c r="Z364" s="7">
        <f>IF($D364="","",V364*Y364/100)</f>
        <v/>
      </c>
      <c r="AA364" s="7">
        <f>IF($D364="","",V364-Z364)</f>
        <v/>
      </c>
      <c r="AB364" s="7">
        <f>IF($D364="","",AA364-N364)</f>
        <v/>
      </c>
      <c r="AF364" s="7" t="n"/>
      <c r="AI364" s="11" t="n"/>
      <c r="AK364">
        <f>IF($D364="","",IF(COUNTIF($D$2:$D364,$D364)=1,1,0))</f>
        <v/>
      </c>
      <c r="AL364">
        <f>IF($AK364=1,SUMPRODUCT(--($AO$2:$AO$3001&lt;$AO364))+1,"")</f>
        <v/>
      </c>
      <c r="AM364">
        <f>IF($D364="","",IF(OR($R364=TRUE(),$R364="TRUE"),1,0))</f>
        <v/>
      </c>
      <c r="AN364">
        <f>IF($D364="","",IF($X364="Yes",1,0))</f>
        <v/>
      </c>
      <c r="AO364">
        <f>IF($AK364=1,IFERROR(IF(VALUE($D364)&lt;100000000,VALUE($D364),1000000000),IFERROR(IF(VALUE(MID($D364,2,20))&lt;100000000,VALUE(MID($D364,2,20)),1000000000),1000000000))+ROW()/100000,"")</f>
        <v/>
      </c>
    </row>
    <row r="365">
      <c r="F365" s="11" t="n"/>
      <c r="N365" s="7">
        <f>IF($D365="","",M365*V365/100)</f>
        <v/>
      </c>
      <c r="O365" s="7" t="n"/>
      <c r="U365" s="7" t="n"/>
      <c r="V365" s="7" t="n"/>
      <c r="Y365">
        <f>IF($D365="","",IF($AN365=1,0,IF($AM365=1,Settings!$C$6,Settings!$C$7))*100)</f>
        <v/>
      </c>
      <c r="Z365" s="7">
        <f>IF($D365="","",V365*Y365/100)</f>
        <v/>
      </c>
      <c r="AA365" s="7">
        <f>IF($D365="","",V365-Z365)</f>
        <v/>
      </c>
      <c r="AB365" s="7">
        <f>IF($D365="","",AA365-N365)</f>
        <v/>
      </c>
      <c r="AF365" s="7" t="n"/>
      <c r="AI365" s="11" t="n"/>
      <c r="AK365">
        <f>IF($D365="","",IF(COUNTIF($D$2:$D365,$D365)=1,1,0))</f>
        <v/>
      </c>
      <c r="AL365">
        <f>IF($AK365=1,SUMPRODUCT(--($AO$2:$AO$3001&lt;$AO365))+1,"")</f>
        <v/>
      </c>
      <c r="AM365">
        <f>IF($D365="","",IF(OR($R365=TRUE(),$R365="TRUE"),1,0))</f>
        <v/>
      </c>
      <c r="AN365">
        <f>IF($D365="","",IF($X365="Yes",1,0))</f>
        <v/>
      </c>
      <c r="AO365">
        <f>IF($AK365=1,IFERROR(IF(VALUE($D365)&lt;100000000,VALUE($D365),1000000000),IFERROR(IF(VALUE(MID($D365,2,20))&lt;100000000,VALUE(MID($D365,2,20)),1000000000),1000000000))+ROW()/100000,"")</f>
        <v/>
      </c>
    </row>
    <row r="366">
      <c r="F366" s="11" t="n"/>
      <c r="N366" s="7">
        <f>IF($D366="","",M366*V366/100)</f>
        <v/>
      </c>
      <c r="O366" s="7" t="n"/>
      <c r="U366" s="7" t="n"/>
      <c r="V366" s="7" t="n"/>
      <c r="Y366">
        <f>IF($D366="","",IF($AN366=1,0,IF($AM366=1,Settings!$C$6,Settings!$C$7))*100)</f>
        <v/>
      </c>
      <c r="Z366" s="7">
        <f>IF($D366="","",V366*Y366/100)</f>
        <v/>
      </c>
      <c r="AA366" s="7">
        <f>IF($D366="","",V366-Z366)</f>
        <v/>
      </c>
      <c r="AB366" s="7">
        <f>IF($D366="","",AA366-N366)</f>
        <v/>
      </c>
      <c r="AF366" s="7" t="n"/>
      <c r="AI366" s="11" t="n"/>
      <c r="AK366">
        <f>IF($D366="","",IF(COUNTIF($D$2:$D366,$D366)=1,1,0))</f>
        <v/>
      </c>
      <c r="AL366">
        <f>IF($AK366=1,SUMPRODUCT(--($AO$2:$AO$3001&lt;$AO366))+1,"")</f>
        <v/>
      </c>
      <c r="AM366">
        <f>IF($D366="","",IF(OR($R366=TRUE(),$R366="TRUE"),1,0))</f>
        <v/>
      </c>
      <c r="AN366">
        <f>IF($D366="","",IF($X366="Yes",1,0))</f>
        <v/>
      </c>
      <c r="AO366">
        <f>IF($AK366=1,IFERROR(IF(VALUE($D366)&lt;100000000,VALUE($D366),1000000000),IFERROR(IF(VALUE(MID($D366,2,20))&lt;100000000,VALUE(MID($D366,2,20)),1000000000),1000000000))+ROW()/100000,"")</f>
        <v/>
      </c>
    </row>
    <row r="367">
      <c r="F367" s="11" t="n"/>
      <c r="N367" s="7">
        <f>IF($D367="","",M367*V367/100)</f>
        <v/>
      </c>
      <c r="O367" s="7" t="n"/>
      <c r="U367" s="7" t="n"/>
      <c r="V367" s="7" t="n"/>
      <c r="Y367">
        <f>IF($D367="","",IF($AN367=1,0,IF($AM367=1,Settings!$C$6,Settings!$C$7))*100)</f>
        <v/>
      </c>
      <c r="Z367" s="7">
        <f>IF($D367="","",V367*Y367/100)</f>
        <v/>
      </c>
      <c r="AA367" s="7">
        <f>IF($D367="","",V367-Z367)</f>
        <v/>
      </c>
      <c r="AB367" s="7">
        <f>IF($D367="","",AA367-N367)</f>
        <v/>
      </c>
      <c r="AF367" s="7" t="n"/>
      <c r="AI367" s="11" t="n"/>
      <c r="AK367">
        <f>IF($D367="","",IF(COUNTIF($D$2:$D367,$D367)=1,1,0))</f>
        <v/>
      </c>
      <c r="AL367">
        <f>IF($AK367=1,SUMPRODUCT(--($AO$2:$AO$3001&lt;$AO367))+1,"")</f>
        <v/>
      </c>
      <c r="AM367">
        <f>IF($D367="","",IF(OR($R367=TRUE(),$R367="TRUE"),1,0))</f>
        <v/>
      </c>
      <c r="AN367">
        <f>IF($D367="","",IF($X367="Yes",1,0))</f>
        <v/>
      </c>
      <c r="AO367">
        <f>IF($AK367=1,IFERROR(IF(VALUE($D367)&lt;100000000,VALUE($D367),1000000000),IFERROR(IF(VALUE(MID($D367,2,20))&lt;100000000,VALUE(MID($D367,2,20)),1000000000),1000000000))+ROW()/100000,"")</f>
        <v/>
      </c>
    </row>
    <row r="368">
      <c r="F368" s="11" t="n"/>
      <c r="N368" s="7">
        <f>IF($D368="","",M368*V368/100)</f>
        <v/>
      </c>
      <c r="O368" s="7" t="n"/>
      <c r="U368" s="7" t="n"/>
      <c r="V368" s="7" t="n"/>
      <c r="Y368">
        <f>IF($D368="","",IF($AN368=1,0,IF($AM368=1,Settings!$C$6,Settings!$C$7))*100)</f>
        <v/>
      </c>
      <c r="Z368" s="7">
        <f>IF($D368="","",V368*Y368/100)</f>
        <v/>
      </c>
      <c r="AA368" s="7">
        <f>IF($D368="","",V368-Z368)</f>
        <v/>
      </c>
      <c r="AB368" s="7">
        <f>IF($D368="","",AA368-N368)</f>
        <v/>
      </c>
      <c r="AF368" s="7" t="n"/>
      <c r="AI368" s="11" t="n"/>
      <c r="AK368">
        <f>IF($D368="","",IF(COUNTIF($D$2:$D368,$D368)=1,1,0))</f>
        <v/>
      </c>
      <c r="AL368">
        <f>IF($AK368=1,SUMPRODUCT(--($AO$2:$AO$3001&lt;$AO368))+1,"")</f>
        <v/>
      </c>
      <c r="AM368">
        <f>IF($D368="","",IF(OR($R368=TRUE(),$R368="TRUE"),1,0))</f>
        <v/>
      </c>
      <c r="AN368">
        <f>IF($D368="","",IF($X368="Yes",1,0))</f>
        <v/>
      </c>
      <c r="AO368">
        <f>IF($AK368=1,IFERROR(IF(VALUE($D368)&lt;100000000,VALUE($D368),1000000000),IFERROR(IF(VALUE(MID($D368,2,20))&lt;100000000,VALUE(MID($D368,2,20)),1000000000),1000000000))+ROW()/100000,"")</f>
        <v/>
      </c>
    </row>
    <row r="369">
      <c r="F369" s="11" t="n"/>
      <c r="N369" s="7">
        <f>IF($D369="","",M369*V369/100)</f>
        <v/>
      </c>
      <c r="O369" s="7" t="n"/>
      <c r="U369" s="7" t="n"/>
      <c r="V369" s="7" t="n"/>
      <c r="Y369">
        <f>IF($D369="","",IF($AN369=1,0,IF($AM369=1,Settings!$C$6,Settings!$C$7))*100)</f>
        <v/>
      </c>
      <c r="Z369" s="7">
        <f>IF($D369="","",V369*Y369/100)</f>
        <v/>
      </c>
      <c r="AA369" s="7">
        <f>IF($D369="","",V369-Z369)</f>
        <v/>
      </c>
      <c r="AB369" s="7">
        <f>IF($D369="","",AA369-N369)</f>
        <v/>
      </c>
      <c r="AF369" s="7" t="n"/>
      <c r="AI369" s="11" t="n"/>
      <c r="AK369">
        <f>IF($D369="","",IF(COUNTIF($D$2:$D369,$D369)=1,1,0))</f>
        <v/>
      </c>
      <c r="AL369">
        <f>IF($AK369=1,SUMPRODUCT(--($AO$2:$AO$3001&lt;$AO369))+1,"")</f>
        <v/>
      </c>
      <c r="AM369">
        <f>IF($D369="","",IF(OR($R369=TRUE(),$R369="TRUE"),1,0))</f>
        <v/>
      </c>
      <c r="AN369">
        <f>IF($D369="","",IF($X369="Yes",1,0))</f>
        <v/>
      </c>
      <c r="AO369">
        <f>IF($AK369=1,IFERROR(IF(VALUE($D369)&lt;100000000,VALUE($D369),1000000000),IFERROR(IF(VALUE(MID($D369,2,20))&lt;100000000,VALUE(MID($D369,2,20)),1000000000),1000000000))+ROW()/100000,"")</f>
        <v/>
      </c>
    </row>
    <row r="370">
      <c r="F370" s="11" t="n"/>
      <c r="N370" s="7">
        <f>IF($D370="","",M370*V370/100)</f>
        <v/>
      </c>
      <c r="O370" s="7" t="n"/>
      <c r="U370" s="7" t="n"/>
      <c r="V370" s="7" t="n"/>
      <c r="Y370">
        <f>IF($D370="","",IF($AN370=1,0,IF($AM370=1,Settings!$C$6,Settings!$C$7))*100)</f>
        <v/>
      </c>
      <c r="Z370" s="7">
        <f>IF($D370="","",V370*Y370/100)</f>
        <v/>
      </c>
      <c r="AA370" s="7">
        <f>IF($D370="","",V370-Z370)</f>
        <v/>
      </c>
      <c r="AB370" s="7">
        <f>IF($D370="","",AA370-N370)</f>
        <v/>
      </c>
      <c r="AF370" s="7" t="n"/>
      <c r="AI370" s="11" t="n"/>
      <c r="AK370">
        <f>IF($D370="","",IF(COUNTIF($D$2:$D370,$D370)=1,1,0))</f>
        <v/>
      </c>
      <c r="AL370">
        <f>IF($AK370=1,SUMPRODUCT(--($AO$2:$AO$3001&lt;$AO370))+1,"")</f>
        <v/>
      </c>
      <c r="AM370">
        <f>IF($D370="","",IF(OR($R370=TRUE(),$R370="TRUE"),1,0))</f>
        <v/>
      </c>
      <c r="AN370">
        <f>IF($D370="","",IF($X370="Yes",1,0))</f>
        <v/>
      </c>
      <c r="AO370">
        <f>IF($AK370=1,IFERROR(IF(VALUE($D370)&lt;100000000,VALUE($D370),1000000000),IFERROR(IF(VALUE(MID($D370,2,20))&lt;100000000,VALUE(MID($D370,2,20)),1000000000),1000000000))+ROW()/100000,"")</f>
        <v/>
      </c>
    </row>
    <row r="371">
      <c r="F371" s="11" t="n"/>
      <c r="N371" s="7">
        <f>IF($D371="","",M371*V371/100)</f>
        <v/>
      </c>
      <c r="O371" s="7" t="n"/>
      <c r="U371" s="7" t="n"/>
      <c r="V371" s="7" t="n"/>
      <c r="Y371">
        <f>IF($D371="","",IF($AN371=1,0,IF($AM371=1,Settings!$C$6,Settings!$C$7))*100)</f>
        <v/>
      </c>
      <c r="Z371" s="7">
        <f>IF($D371="","",V371*Y371/100)</f>
        <v/>
      </c>
      <c r="AA371" s="7">
        <f>IF($D371="","",V371-Z371)</f>
        <v/>
      </c>
      <c r="AB371" s="7">
        <f>IF($D371="","",AA371-N371)</f>
        <v/>
      </c>
      <c r="AF371" s="7" t="n"/>
      <c r="AI371" s="11" t="n"/>
      <c r="AK371">
        <f>IF($D371="","",IF(COUNTIF($D$2:$D371,$D371)=1,1,0))</f>
        <v/>
      </c>
      <c r="AL371">
        <f>IF($AK371=1,SUMPRODUCT(--($AO$2:$AO$3001&lt;$AO371))+1,"")</f>
        <v/>
      </c>
      <c r="AM371">
        <f>IF($D371="","",IF(OR($R371=TRUE(),$R371="TRUE"),1,0))</f>
        <v/>
      </c>
      <c r="AN371">
        <f>IF($D371="","",IF($X371="Yes",1,0))</f>
        <v/>
      </c>
      <c r="AO371">
        <f>IF($AK371=1,IFERROR(IF(VALUE($D371)&lt;100000000,VALUE($D371),1000000000),IFERROR(IF(VALUE(MID($D371,2,20))&lt;100000000,VALUE(MID($D371,2,20)),1000000000),1000000000))+ROW()/100000,"")</f>
        <v/>
      </c>
    </row>
    <row r="372">
      <c r="F372" s="11" t="n"/>
      <c r="N372" s="7">
        <f>IF($D372="","",M372*V372/100)</f>
        <v/>
      </c>
      <c r="O372" s="7" t="n"/>
      <c r="U372" s="7" t="n"/>
      <c r="V372" s="7" t="n"/>
      <c r="Y372">
        <f>IF($D372="","",IF($AN372=1,0,IF($AM372=1,Settings!$C$6,Settings!$C$7))*100)</f>
        <v/>
      </c>
      <c r="Z372" s="7">
        <f>IF($D372="","",V372*Y372/100)</f>
        <v/>
      </c>
      <c r="AA372" s="7">
        <f>IF($D372="","",V372-Z372)</f>
        <v/>
      </c>
      <c r="AB372" s="7">
        <f>IF($D372="","",AA372-N372)</f>
        <v/>
      </c>
      <c r="AF372" s="7" t="n"/>
      <c r="AI372" s="11" t="n"/>
      <c r="AK372">
        <f>IF($D372="","",IF(COUNTIF($D$2:$D372,$D372)=1,1,0))</f>
        <v/>
      </c>
      <c r="AL372">
        <f>IF($AK372=1,SUMPRODUCT(--($AO$2:$AO$3001&lt;$AO372))+1,"")</f>
        <v/>
      </c>
      <c r="AM372">
        <f>IF($D372="","",IF(OR($R372=TRUE(),$R372="TRUE"),1,0))</f>
        <v/>
      </c>
      <c r="AN372">
        <f>IF($D372="","",IF($X372="Yes",1,0))</f>
        <v/>
      </c>
      <c r="AO372">
        <f>IF($AK372=1,IFERROR(IF(VALUE($D372)&lt;100000000,VALUE($D372),1000000000),IFERROR(IF(VALUE(MID($D372,2,20))&lt;100000000,VALUE(MID($D372,2,20)),1000000000),1000000000))+ROW()/100000,"")</f>
        <v/>
      </c>
    </row>
    <row r="373">
      <c r="F373" s="11" t="n"/>
      <c r="N373" s="7">
        <f>IF($D373="","",M373*V373/100)</f>
        <v/>
      </c>
      <c r="O373" s="7" t="n"/>
      <c r="U373" s="7" t="n"/>
      <c r="V373" s="7" t="n"/>
      <c r="Y373">
        <f>IF($D373="","",IF($AN373=1,0,IF($AM373=1,Settings!$C$6,Settings!$C$7))*100)</f>
        <v/>
      </c>
      <c r="Z373" s="7">
        <f>IF($D373="","",V373*Y373/100)</f>
        <v/>
      </c>
      <c r="AA373" s="7">
        <f>IF($D373="","",V373-Z373)</f>
        <v/>
      </c>
      <c r="AB373" s="7">
        <f>IF($D373="","",AA373-N373)</f>
        <v/>
      </c>
      <c r="AF373" s="7" t="n"/>
      <c r="AI373" s="11" t="n"/>
      <c r="AK373">
        <f>IF($D373="","",IF(COUNTIF($D$2:$D373,$D373)=1,1,0))</f>
        <v/>
      </c>
      <c r="AL373">
        <f>IF($AK373=1,SUMPRODUCT(--($AO$2:$AO$3001&lt;$AO373))+1,"")</f>
        <v/>
      </c>
      <c r="AM373">
        <f>IF($D373="","",IF(OR($R373=TRUE(),$R373="TRUE"),1,0))</f>
        <v/>
      </c>
      <c r="AN373">
        <f>IF($D373="","",IF($X373="Yes",1,0))</f>
        <v/>
      </c>
      <c r="AO373">
        <f>IF($AK373=1,IFERROR(IF(VALUE($D373)&lt;100000000,VALUE($D373),1000000000),IFERROR(IF(VALUE(MID($D373,2,20))&lt;100000000,VALUE(MID($D373,2,20)),1000000000),1000000000))+ROW()/100000,"")</f>
        <v/>
      </c>
    </row>
    <row r="374">
      <c r="F374" s="11" t="n"/>
      <c r="N374" s="7">
        <f>IF($D374="","",M374*V374/100)</f>
        <v/>
      </c>
      <c r="O374" s="7" t="n"/>
      <c r="U374" s="7" t="n"/>
      <c r="V374" s="7" t="n"/>
      <c r="Y374">
        <f>IF($D374="","",IF($AN374=1,0,IF($AM374=1,Settings!$C$6,Settings!$C$7))*100)</f>
        <v/>
      </c>
      <c r="Z374" s="7">
        <f>IF($D374="","",V374*Y374/100)</f>
        <v/>
      </c>
      <c r="AA374" s="7">
        <f>IF($D374="","",V374-Z374)</f>
        <v/>
      </c>
      <c r="AB374" s="7">
        <f>IF($D374="","",AA374-N374)</f>
        <v/>
      </c>
      <c r="AF374" s="7" t="n"/>
      <c r="AI374" s="11" t="n"/>
      <c r="AK374">
        <f>IF($D374="","",IF(COUNTIF($D$2:$D374,$D374)=1,1,0))</f>
        <v/>
      </c>
      <c r="AL374">
        <f>IF($AK374=1,SUMPRODUCT(--($AO$2:$AO$3001&lt;$AO374))+1,"")</f>
        <v/>
      </c>
      <c r="AM374">
        <f>IF($D374="","",IF(OR($R374=TRUE(),$R374="TRUE"),1,0))</f>
        <v/>
      </c>
      <c r="AN374">
        <f>IF($D374="","",IF($X374="Yes",1,0))</f>
        <v/>
      </c>
      <c r="AO374">
        <f>IF($AK374=1,IFERROR(IF(VALUE($D374)&lt;100000000,VALUE($D374),1000000000),IFERROR(IF(VALUE(MID($D374,2,20))&lt;100000000,VALUE(MID($D374,2,20)),1000000000),1000000000))+ROW()/100000,"")</f>
        <v/>
      </c>
    </row>
    <row r="375">
      <c r="F375" s="11" t="n"/>
      <c r="N375" s="7">
        <f>IF($D375="","",M375*V375/100)</f>
        <v/>
      </c>
      <c r="O375" s="7" t="n"/>
      <c r="U375" s="7" t="n"/>
      <c r="V375" s="7" t="n"/>
      <c r="Y375">
        <f>IF($D375="","",IF($AN375=1,0,IF($AM375=1,Settings!$C$6,Settings!$C$7))*100)</f>
        <v/>
      </c>
      <c r="Z375" s="7">
        <f>IF($D375="","",V375*Y375/100)</f>
        <v/>
      </c>
      <c r="AA375" s="7">
        <f>IF($D375="","",V375-Z375)</f>
        <v/>
      </c>
      <c r="AB375" s="7">
        <f>IF($D375="","",AA375-N375)</f>
        <v/>
      </c>
      <c r="AF375" s="7" t="n"/>
      <c r="AI375" s="11" t="n"/>
      <c r="AK375">
        <f>IF($D375="","",IF(COUNTIF($D$2:$D375,$D375)=1,1,0))</f>
        <v/>
      </c>
      <c r="AL375">
        <f>IF($AK375=1,SUMPRODUCT(--($AO$2:$AO$3001&lt;$AO375))+1,"")</f>
        <v/>
      </c>
      <c r="AM375">
        <f>IF($D375="","",IF(OR($R375=TRUE(),$R375="TRUE"),1,0))</f>
        <v/>
      </c>
      <c r="AN375">
        <f>IF($D375="","",IF($X375="Yes",1,0))</f>
        <v/>
      </c>
      <c r="AO375">
        <f>IF($AK375=1,IFERROR(IF(VALUE($D375)&lt;100000000,VALUE($D375),1000000000),IFERROR(IF(VALUE(MID($D375,2,20))&lt;100000000,VALUE(MID($D375,2,20)),1000000000),1000000000))+ROW()/100000,"")</f>
        <v/>
      </c>
    </row>
    <row r="376">
      <c r="F376" s="11" t="n"/>
      <c r="N376" s="7">
        <f>IF($D376="","",M376*V376/100)</f>
        <v/>
      </c>
      <c r="O376" s="7" t="n"/>
      <c r="U376" s="7" t="n"/>
      <c r="V376" s="7" t="n"/>
      <c r="Y376">
        <f>IF($D376="","",IF($AN376=1,0,IF($AM376=1,Settings!$C$6,Settings!$C$7))*100)</f>
        <v/>
      </c>
      <c r="Z376" s="7">
        <f>IF($D376="","",V376*Y376/100)</f>
        <v/>
      </c>
      <c r="AA376" s="7">
        <f>IF($D376="","",V376-Z376)</f>
        <v/>
      </c>
      <c r="AB376" s="7">
        <f>IF($D376="","",AA376-N376)</f>
        <v/>
      </c>
      <c r="AF376" s="7" t="n"/>
      <c r="AI376" s="11" t="n"/>
      <c r="AK376">
        <f>IF($D376="","",IF(COUNTIF($D$2:$D376,$D376)=1,1,0))</f>
        <v/>
      </c>
      <c r="AL376">
        <f>IF($AK376=1,SUMPRODUCT(--($AO$2:$AO$3001&lt;$AO376))+1,"")</f>
        <v/>
      </c>
      <c r="AM376">
        <f>IF($D376="","",IF(OR($R376=TRUE(),$R376="TRUE"),1,0))</f>
        <v/>
      </c>
      <c r="AN376">
        <f>IF($D376="","",IF($X376="Yes",1,0))</f>
        <v/>
      </c>
      <c r="AO376">
        <f>IF($AK376=1,IFERROR(IF(VALUE($D376)&lt;100000000,VALUE($D376),1000000000),IFERROR(IF(VALUE(MID($D376,2,20))&lt;100000000,VALUE(MID($D376,2,20)),1000000000),1000000000))+ROW()/100000,"")</f>
        <v/>
      </c>
    </row>
    <row r="377">
      <c r="F377" s="11" t="n"/>
      <c r="N377" s="7">
        <f>IF($D377="","",M377*V377/100)</f>
        <v/>
      </c>
      <c r="O377" s="7" t="n"/>
      <c r="U377" s="7" t="n"/>
      <c r="V377" s="7" t="n"/>
      <c r="Y377">
        <f>IF($D377="","",IF($AN377=1,0,IF($AM377=1,Settings!$C$6,Settings!$C$7))*100)</f>
        <v/>
      </c>
      <c r="Z377" s="7">
        <f>IF($D377="","",V377*Y377/100)</f>
        <v/>
      </c>
      <c r="AA377" s="7">
        <f>IF($D377="","",V377-Z377)</f>
        <v/>
      </c>
      <c r="AB377" s="7">
        <f>IF($D377="","",AA377-N377)</f>
        <v/>
      </c>
      <c r="AF377" s="7" t="n"/>
      <c r="AI377" s="11" t="n"/>
      <c r="AK377">
        <f>IF($D377="","",IF(COUNTIF($D$2:$D377,$D377)=1,1,0))</f>
        <v/>
      </c>
      <c r="AL377">
        <f>IF($AK377=1,SUMPRODUCT(--($AO$2:$AO$3001&lt;$AO377))+1,"")</f>
        <v/>
      </c>
      <c r="AM377">
        <f>IF($D377="","",IF(OR($R377=TRUE(),$R377="TRUE"),1,0))</f>
        <v/>
      </c>
      <c r="AN377">
        <f>IF($D377="","",IF($X377="Yes",1,0))</f>
        <v/>
      </c>
      <c r="AO377">
        <f>IF($AK377=1,IFERROR(IF(VALUE($D377)&lt;100000000,VALUE($D377),1000000000),IFERROR(IF(VALUE(MID($D377,2,20))&lt;100000000,VALUE(MID($D377,2,20)),1000000000),1000000000))+ROW()/100000,"")</f>
        <v/>
      </c>
    </row>
    <row r="378">
      <c r="F378" s="11" t="n"/>
      <c r="N378" s="7">
        <f>IF($D378="","",M378*V378/100)</f>
        <v/>
      </c>
      <c r="O378" s="7" t="n"/>
      <c r="U378" s="7" t="n"/>
      <c r="V378" s="7" t="n"/>
      <c r="Y378">
        <f>IF($D378="","",IF($AN378=1,0,IF($AM378=1,Settings!$C$6,Settings!$C$7))*100)</f>
        <v/>
      </c>
      <c r="Z378" s="7">
        <f>IF($D378="","",V378*Y378/100)</f>
        <v/>
      </c>
      <c r="AA378" s="7">
        <f>IF($D378="","",V378-Z378)</f>
        <v/>
      </c>
      <c r="AB378" s="7">
        <f>IF($D378="","",AA378-N378)</f>
        <v/>
      </c>
      <c r="AF378" s="7" t="n"/>
      <c r="AI378" s="11" t="n"/>
      <c r="AK378">
        <f>IF($D378="","",IF(COUNTIF($D$2:$D378,$D378)=1,1,0))</f>
        <v/>
      </c>
      <c r="AL378">
        <f>IF($AK378=1,SUMPRODUCT(--($AO$2:$AO$3001&lt;$AO378))+1,"")</f>
        <v/>
      </c>
      <c r="AM378">
        <f>IF($D378="","",IF(OR($R378=TRUE(),$R378="TRUE"),1,0))</f>
        <v/>
      </c>
      <c r="AN378">
        <f>IF($D378="","",IF($X378="Yes",1,0))</f>
        <v/>
      </c>
      <c r="AO378">
        <f>IF($AK378=1,IFERROR(IF(VALUE($D378)&lt;100000000,VALUE($D378),1000000000),IFERROR(IF(VALUE(MID($D378,2,20))&lt;100000000,VALUE(MID($D378,2,20)),1000000000),1000000000))+ROW()/100000,"")</f>
        <v/>
      </c>
    </row>
    <row r="379">
      <c r="F379" s="11" t="n"/>
      <c r="N379" s="7">
        <f>IF($D379="","",M379*V379/100)</f>
        <v/>
      </c>
      <c r="O379" s="7" t="n"/>
      <c r="U379" s="7" t="n"/>
      <c r="V379" s="7" t="n"/>
      <c r="Y379">
        <f>IF($D379="","",IF($AN379=1,0,IF($AM379=1,Settings!$C$6,Settings!$C$7))*100)</f>
        <v/>
      </c>
      <c r="Z379" s="7">
        <f>IF($D379="","",V379*Y379/100)</f>
        <v/>
      </c>
      <c r="AA379" s="7">
        <f>IF($D379="","",V379-Z379)</f>
        <v/>
      </c>
      <c r="AB379" s="7">
        <f>IF($D379="","",AA379-N379)</f>
        <v/>
      </c>
      <c r="AF379" s="7" t="n"/>
      <c r="AI379" s="11" t="n"/>
      <c r="AK379">
        <f>IF($D379="","",IF(COUNTIF($D$2:$D379,$D379)=1,1,0))</f>
        <v/>
      </c>
      <c r="AL379">
        <f>IF($AK379=1,SUMPRODUCT(--($AO$2:$AO$3001&lt;$AO379))+1,"")</f>
        <v/>
      </c>
      <c r="AM379">
        <f>IF($D379="","",IF(OR($R379=TRUE(),$R379="TRUE"),1,0))</f>
        <v/>
      </c>
      <c r="AN379">
        <f>IF($D379="","",IF($X379="Yes",1,0))</f>
        <v/>
      </c>
      <c r="AO379">
        <f>IF($AK379=1,IFERROR(IF(VALUE($D379)&lt;100000000,VALUE($D379),1000000000),IFERROR(IF(VALUE(MID($D379,2,20))&lt;100000000,VALUE(MID($D379,2,20)),1000000000),1000000000))+ROW()/100000,"")</f>
        <v/>
      </c>
    </row>
    <row r="380">
      <c r="F380" s="11" t="n"/>
      <c r="N380" s="7">
        <f>IF($D380="","",M380*V380/100)</f>
        <v/>
      </c>
      <c r="O380" s="7" t="n"/>
      <c r="U380" s="7" t="n"/>
      <c r="V380" s="7" t="n"/>
      <c r="Y380">
        <f>IF($D380="","",IF($AN380=1,0,IF($AM380=1,Settings!$C$6,Settings!$C$7))*100)</f>
        <v/>
      </c>
      <c r="Z380" s="7">
        <f>IF($D380="","",V380*Y380/100)</f>
        <v/>
      </c>
      <c r="AA380" s="7">
        <f>IF($D380="","",V380-Z380)</f>
        <v/>
      </c>
      <c r="AB380" s="7">
        <f>IF($D380="","",AA380-N380)</f>
        <v/>
      </c>
      <c r="AF380" s="7" t="n"/>
      <c r="AI380" s="11" t="n"/>
      <c r="AK380">
        <f>IF($D380="","",IF(COUNTIF($D$2:$D380,$D380)=1,1,0))</f>
        <v/>
      </c>
      <c r="AL380">
        <f>IF($AK380=1,SUMPRODUCT(--($AO$2:$AO$3001&lt;$AO380))+1,"")</f>
        <v/>
      </c>
      <c r="AM380">
        <f>IF($D380="","",IF(OR($R380=TRUE(),$R380="TRUE"),1,0))</f>
        <v/>
      </c>
      <c r="AN380">
        <f>IF($D380="","",IF($X380="Yes",1,0))</f>
        <v/>
      </c>
      <c r="AO380">
        <f>IF($AK380=1,IFERROR(IF(VALUE($D380)&lt;100000000,VALUE($D380),1000000000),IFERROR(IF(VALUE(MID($D380,2,20))&lt;100000000,VALUE(MID($D380,2,20)),1000000000),1000000000))+ROW()/100000,"")</f>
        <v/>
      </c>
    </row>
    <row r="381">
      <c r="F381" s="11" t="n"/>
      <c r="N381" s="7">
        <f>IF($D381="","",M381*V381/100)</f>
        <v/>
      </c>
      <c r="O381" s="7" t="n"/>
      <c r="U381" s="7" t="n"/>
      <c r="V381" s="7" t="n"/>
      <c r="Y381">
        <f>IF($D381="","",IF($AN381=1,0,IF($AM381=1,Settings!$C$6,Settings!$C$7))*100)</f>
        <v/>
      </c>
      <c r="Z381" s="7">
        <f>IF($D381="","",V381*Y381/100)</f>
        <v/>
      </c>
      <c r="AA381" s="7">
        <f>IF($D381="","",V381-Z381)</f>
        <v/>
      </c>
      <c r="AB381" s="7">
        <f>IF($D381="","",AA381-N381)</f>
        <v/>
      </c>
      <c r="AF381" s="7" t="n"/>
      <c r="AI381" s="11" t="n"/>
      <c r="AK381">
        <f>IF($D381="","",IF(COUNTIF($D$2:$D381,$D381)=1,1,0))</f>
        <v/>
      </c>
      <c r="AL381">
        <f>IF($AK381=1,SUMPRODUCT(--($AO$2:$AO$3001&lt;$AO381))+1,"")</f>
        <v/>
      </c>
      <c r="AM381">
        <f>IF($D381="","",IF(OR($R381=TRUE(),$R381="TRUE"),1,0))</f>
        <v/>
      </c>
      <c r="AN381">
        <f>IF($D381="","",IF($X381="Yes",1,0))</f>
        <v/>
      </c>
      <c r="AO381">
        <f>IF($AK381=1,IFERROR(IF(VALUE($D381)&lt;100000000,VALUE($D381),1000000000),IFERROR(IF(VALUE(MID($D381,2,20))&lt;100000000,VALUE(MID($D381,2,20)),1000000000),1000000000))+ROW()/100000,"")</f>
        <v/>
      </c>
    </row>
    <row r="382">
      <c r="F382" s="11" t="n"/>
      <c r="N382" s="7">
        <f>IF($D382="","",M382*V382/100)</f>
        <v/>
      </c>
      <c r="O382" s="7" t="n"/>
      <c r="U382" s="7" t="n"/>
      <c r="V382" s="7" t="n"/>
      <c r="Y382">
        <f>IF($D382="","",IF($AN382=1,0,IF($AM382=1,Settings!$C$6,Settings!$C$7))*100)</f>
        <v/>
      </c>
      <c r="Z382" s="7">
        <f>IF($D382="","",V382*Y382/100)</f>
        <v/>
      </c>
      <c r="AA382" s="7">
        <f>IF($D382="","",V382-Z382)</f>
        <v/>
      </c>
      <c r="AB382" s="7">
        <f>IF($D382="","",AA382-N382)</f>
        <v/>
      </c>
      <c r="AF382" s="7" t="n"/>
      <c r="AI382" s="11" t="n"/>
      <c r="AK382">
        <f>IF($D382="","",IF(COUNTIF($D$2:$D382,$D382)=1,1,0))</f>
        <v/>
      </c>
      <c r="AL382">
        <f>IF($AK382=1,SUMPRODUCT(--($AO$2:$AO$3001&lt;$AO382))+1,"")</f>
        <v/>
      </c>
      <c r="AM382">
        <f>IF($D382="","",IF(OR($R382=TRUE(),$R382="TRUE"),1,0))</f>
        <v/>
      </c>
      <c r="AN382">
        <f>IF($D382="","",IF($X382="Yes",1,0))</f>
        <v/>
      </c>
      <c r="AO382">
        <f>IF($AK382=1,IFERROR(IF(VALUE($D382)&lt;100000000,VALUE($D382),1000000000),IFERROR(IF(VALUE(MID($D382,2,20))&lt;100000000,VALUE(MID($D382,2,20)),1000000000),1000000000))+ROW()/100000,"")</f>
        <v/>
      </c>
    </row>
    <row r="383">
      <c r="F383" s="11" t="n"/>
      <c r="N383" s="7">
        <f>IF($D383="","",M383*V383/100)</f>
        <v/>
      </c>
      <c r="O383" s="7" t="n"/>
      <c r="U383" s="7" t="n"/>
      <c r="V383" s="7" t="n"/>
      <c r="Y383">
        <f>IF($D383="","",IF($AN383=1,0,IF($AM383=1,Settings!$C$6,Settings!$C$7))*100)</f>
        <v/>
      </c>
      <c r="Z383" s="7">
        <f>IF($D383="","",V383*Y383/100)</f>
        <v/>
      </c>
      <c r="AA383" s="7">
        <f>IF($D383="","",V383-Z383)</f>
        <v/>
      </c>
      <c r="AB383" s="7">
        <f>IF($D383="","",AA383-N383)</f>
        <v/>
      </c>
      <c r="AF383" s="7" t="n"/>
      <c r="AI383" s="11" t="n"/>
      <c r="AK383">
        <f>IF($D383="","",IF(COUNTIF($D$2:$D383,$D383)=1,1,0))</f>
        <v/>
      </c>
      <c r="AL383">
        <f>IF($AK383=1,SUMPRODUCT(--($AO$2:$AO$3001&lt;$AO383))+1,"")</f>
        <v/>
      </c>
      <c r="AM383">
        <f>IF($D383="","",IF(OR($R383=TRUE(),$R383="TRUE"),1,0))</f>
        <v/>
      </c>
      <c r="AN383">
        <f>IF($D383="","",IF($X383="Yes",1,0))</f>
        <v/>
      </c>
      <c r="AO383">
        <f>IF($AK383=1,IFERROR(IF(VALUE($D383)&lt;100000000,VALUE($D383),1000000000),IFERROR(IF(VALUE(MID($D383,2,20))&lt;100000000,VALUE(MID($D383,2,20)),1000000000),1000000000))+ROW()/100000,"")</f>
        <v/>
      </c>
    </row>
    <row r="384">
      <c r="F384" s="11" t="n"/>
      <c r="N384" s="7">
        <f>IF($D384="","",M384*V384/100)</f>
        <v/>
      </c>
      <c r="O384" s="7" t="n"/>
      <c r="U384" s="7" t="n"/>
      <c r="V384" s="7" t="n"/>
      <c r="Y384">
        <f>IF($D384="","",IF($AN384=1,0,IF($AM384=1,Settings!$C$6,Settings!$C$7))*100)</f>
        <v/>
      </c>
      <c r="Z384" s="7">
        <f>IF($D384="","",V384*Y384/100)</f>
        <v/>
      </c>
      <c r="AA384" s="7">
        <f>IF($D384="","",V384-Z384)</f>
        <v/>
      </c>
      <c r="AB384" s="7">
        <f>IF($D384="","",AA384-N384)</f>
        <v/>
      </c>
      <c r="AF384" s="7" t="n"/>
      <c r="AI384" s="11" t="n"/>
      <c r="AK384">
        <f>IF($D384="","",IF(COUNTIF($D$2:$D384,$D384)=1,1,0))</f>
        <v/>
      </c>
      <c r="AL384">
        <f>IF($AK384=1,SUMPRODUCT(--($AO$2:$AO$3001&lt;$AO384))+1,"")</f>
        <v/>
      </c>
      <c r="AM384">
        <f>IF($D384="","",IF(OR($R384=TRUE(),$R384="TRUE"),1,0))</f>
        <v/>
      </c>
      <c r="AN384">
        <f>IF($D384="","",IF($X384="Yes",1,0))</f>
        <v/>
      </c>
      <c r="AO384">
        <f>IF($AK384=1,IFERROR(IF(VALUE($D384)&lt;100000000,VALUE($D384),1000000000),IFERROR(IF(VALUE(MID($D384,2,20))&lt;100000000,VALUE(MID($D384,2,20)),1000000000),1000000000))+ROW()/100000,"")</f>
        <v/>
      </c>
    </row>
    <row r="385">
      <c r="F385" s="11" t="n"/>
      <c r="N385" s="7">
        <f>IF($D385="","",M385*V385/100)</f>
        <v/>
      </c>
      <c r="O385" s="7" t="n"/>
      <c r="U385" s="7" t="n"/>
      <c r="V385" s="7" t="n"/>
      <c r="Y385">
        <f>IF($D385="","",IF($AN385=1,0,IF($AM385=1,Settings!$C$6,Settings!$C$7))*100)</f>
        <v/>
      </c>
      <c r="Z385" s="7">
        <f>IF($D385="","",V385*Y385/100)</f>
        <v/>
      </c>
      <c r="AA385" s="7">
        <f>IF($D385="","",V385-Z385)</f>
        <v/>
      </c>
      <c r="AB385" s="7">
        <f>IF($D385="","",AA385-N385)</f>
        <v/>
      </c>
      <c r="AF385" s="7" t="n"/>
      <c r="AI385" s="11" t="n"/>
      <c r="AK385">
        <f>IF($D385="","",IF(COUNTIF($D$2:$D385,$D385)=1,1,0))</f>
        <v/>
      </c>
      <c r="AL385">
        <f>IF($AK385=1,SUMPRODUCT(--($AO$2:$AO$3001&lt;$AO385))+1,"")</f>
        <v/>
      </c>
      <c r="AM385">
        <f>IF($D385="","",IF(OR($R385=TRUE(),$R385="TRUE"),1,0))</f>
        <v/>
      </c>
      <c r="AN385">
        <f>IF($D385="","",IF($X385="Yes",1,0))</f>
        <v/>
      </c>
      <c r="AO385">
        <f>IF($AK385=1,IFERROR(IF(VALUE($D385)&lt;100000000,VALUE($D385),1000000000),IFERROR(IF(VALUE(MID($D385,2,20))&lt;100000000,VALUE(MID($D385,2,20)),1000000000),1000000000))+ROW()/100000,"")</f>
        <v/>
      </c>
    </row>
    <row r="386">
      <c r="F386" s="11" t="n"/>
      <c r="N386" s="7">
        <f>IF($D386="","",M386*V386/100)</f>
        <v/>
      </c>
      <c r="O386" s="7" t="n"/>
      <c r="U386" s="7" t="n"/>
      <c r="V386" s="7" t="n"/>
      <c r="Y386">
        <f>IF($D386="","",IF($AN386=1,0,IF($AM386=1,Settings!$C$6,Settings!$C$7))*100)</f>
        <v/>
      </c>
      <c r="Z386" s="7">
        <f>IF($D386="","",V386*Y386/100)</f>
        <v/>
      </c>
      <c r="AA386" s="7">
        <f>IF($D386="","",V386-Z386)</f>
        <v/>
      </c>
      <c r="AB386" s="7">
        <f>IF($D386="","",AA386-N386)</f>
        <v/>
      </c>
      <c r="AF386" s="7" t="n"/>
      <c r="AI386" s="11" t="n"/>
      <c r="AK386">
        <f>IF($D386="","",IF(COUNTIF($D$2:$D386,$D386)=1,1,0))</f>
        <v/>
      </c>
      <c r="AL386">
        <f>IF($AK386=1,SUMPRODUCT(--($AO$2:$AO$3001&lt;$AO386))+1,"")</f>
        <v/>
      </c>
      <c r="AM386">
        <f>IF($D386="","",IF(OR($R386=TRUE(),$R386="TRUE"),1,0))</f>
        <v/>
      </c>
      <c r="AN386">
        <f>IF($D386="","",IF($X386="Yes",1,0))</f>
        <v/>
      </c>
      <c r="AO386">
        <f>IF($AK386=1,IFERROR(IF(VALUE($D386)&lt;100000000,VALUE($D386),1000000000),IFERROR(IF(VALUE(MID($D386,2,20))&lt;100000000,VALUE(MID($D386,2,20)),1000000000),1000000000))+ROW()/100000,"")</f>
        <v/>
      </c>
    </row>
    <row r="387">
      <c r="F387" s="11" t="n"/>
      <c r="N387" s="7">
        <f>IF($D387="","",M387*V387/100)</f>
        <v/>
      </c>
      <c r="O387" s="7" t="n"/>
      <c r="U387" s="7" t="n"/>
      <c r="V387" s="7" t="n"/>
      <c r="Y387">
        <f>IF($D387="","",IF($AN387=1,0,IF($AM387=1,Settings!$C$6,Settings!$C$7))*100)</f>
        <v/>
      </c>
      <c r="Z387" s="7">
        <f>IF($D387="","",V387*Y387/100)</f>
        <v/>
      </c>
      <c r="AA387" s="7">
        <f>IF($D387="","",V387-Z387)</f>
        <v/>
      </c>
      <c r="AB387" s="7">
        <f>IF($D387="","",AA387-N387)</f>
        <v/>
      </c>
      <c r="AF387" s="7" t="n"/>
      <c r="AI387" s="11" t="n"/>
      <c r="AK387">
        <f>IF($D387="","",IF(COUNTIF($D$2:$D387,$D387)=1,1,0))</f>
        <v/>
      </c>
      <c r="AL387">
        <f>IF($AK387=1,SUMPRODUCT(--($AO$2:$AO$3001&lt;$AO387))+1,"")</f>
        <v/>
      </c>
      <c r="AM387">
        <f>IF($D387="","",IF(OR($R387=TRUE(),$R387="TRUE"),1,0))</f>
        <v/>
      </c>
      <c r="AN387">
        <f>IF($D387="","",IF($X387="Yes",1,0))</f>
        <v/>
      </c>
      <c r="AO387">
        <f>IF($AK387=1,IFERROR(IF(VALUE($D387)&lt;100000000,VALUE($D387),1000000000),IFERROR(IF(VALUE(MID($D387,2,20))&lt;100000000,VALUE(MID($D387,2,20)),1000000000),1000000000))+ROW()/100000,"")</f>
        <v/>
      </c>
    </row>
    <row r="388">
      <c r="F388" s="11" t="n"/>
      <c r="N388" s="7">
        <f>IF($D388="","",M388*V388/100)</f>
        <v/>
      </c>
      <c r="O388" s="7" t="n"/>
      <c r="U388" s="7" t="n"/>
      <c r="V388" s="7" t="n"/>
      <c r="Y388">
        <f>IF($D388="","",IF($AN388=1,0,IF($AM388=1,Settings!$C$6,Settings!$C$7))*100)</f>
        <v/>
      </c>
      <c r="Z388" s="7">
        <f>IF($D388="","",V388*Y388/100)</f>
        <v/>
      </c>
      <c r="AA388" s="7">
        <f>IF($D388="","",V388-Z388)</f>
        <v/>
      </c>
      <c r="AB388" s="7">
        <f>IF($D388="","",AA388-N388)</f>
        <v/>
      </c>
      <c r="AF388" s="7" t="n"/>
      <c r="AI388" s="11" t="n"/>
      <c r="AK388">
        <f>IF($D388="","",IF(COUNTIF($D$2:$D388,$D388)=1,1,0))</f>
        <v/>
      </c>
      <c r="AL388">
        <f>IF($AK388=1,SUMPRODUCT(--($AO$2:$AO$3001&lt;$AO388))+1,"")</f>
        <v/>
      </c>
      <c r="AM388">
        <f>IF($D388="","",IF(OR($R388=TRUE(),$R388="TRUE"),1,0))</f>
        <v/>
      </c>
      <c r="AN388">
        <f>IF($D388="","",IF($X388="Yes",1,0))</f>
        <v/>
      </c>
      <c r="AO388">
        <f>IF($AK388=1,IFERROR(IF(VALUE($D388)&lt;100000000,VALUE($D388),1000000000),IFERROR(IF(VALUE(MID($D388,2,20))&lt;100000000,VALUE(MID($D388,2,20)),1000000000),1000000000))+ROW()/100000,"")</f>
        <v/>
      </c>
    </row>
    <row r="389">
      <c r="F389" s="11" t="n"/>
      <c r="N389" s="7">
        <f>IF($D389="","",M389*V389/100)</f>
        <v/>
      </c>
      <c r="O389" s="7" t="n"/>
      <c r="U389" s="7" t="n"/>
      <c r="V389" s="7" t="n"/>
      <c r="Y389">
        <f>IF($D389="","",IF($AN389=1,0,IF($AM389=1,Settings!$C$6,Settings!$C$7))*100)</f>
        <v/>
      </c>
      <c r="Z389" s="7">
        <f>IF($D389="","",V389*Y389/100)</f>
        <v/>
      </c>
      <c r="AA389" s="7">
        <f>IF($D389="","",V389-Z389)</f>
        <v/>
      </c>
      <c r="AB389" s="7">
        <f>IF($D389="","",AA389-N389)</f>
        <v/>
      </c>
      <c r="AF389" s="7" t="n"/>
      <c r="AI389" s="11" t="n"/>
      <c r="AK389">
        <f>IF($D389="","",IF(COUNTIF($D$2:$D389,$D389)=1,1,0))</f>
        <v/>
      </c>
      <c r="AL389">
        <f>IF($AK389=1,SUMPRODUCT(--($AO$2:$AO$3001&lt;$AO389))+1,"")</f>
        <v/>
      </c>
      <c r="AM389">
        <f>IF($D389="","",IF(OR($R389=TRUE(),$R389="TRUE"),1,0))</f>
        <v/>
      </c>
      <c r="AN389">
        <f>IF($D389="","",IF($X389="Yes",1,0))</f>
        <v/>
      </c>
      <c r="AO389">
        <f>IF($AK389=1,IFERROR(IF(VALUE($D389)&lt;100000000,VALUE($D389),1000000000),IFERROR(IF(VALUE(MID($D389,2,20))&lt;100000000,VALUE(MID($D389,2,20)),1000000000),1000000000))+ROW()/100000,"")</f>
        <v/>
      </c>
    </row>
    <row r="390">
      <c r="F390" s="11" t="n"/>
      <c r="N390" s="7">
        <f>IF($D390="","",M390*V390/100)</f>
        <v/>
      </c>
      <c r="O390" s="7" t="n"/>
      <c r="U390" s="7" t="n"/>
      <c r="V390" s="7" t="n"/>
      <c r="Y390">
        <f>IF($D390="","",IF($AN390=1,0,IF($AM390=1,Settings!$C$6,Settings!$C$7))*100)</f>
        <v/>
      </c>
      <c r="Z390" s="7">
        <f>IF($D390="","",V390*Y390/100)</f>
        <v/>
      </c>
      <c r="AA390" s="7">
        <f>IF($D390="","",V390-Z390)</f>
        <v/>
      </c>
      <c r="AB390" s="7">
        <f>IF($D390="","",AA390-N390)</f>
        <v/>
      </c>
      <c r="AF390" s="7" t="n"/>
      <c r="AI390" s="11" t="n"/>
      <c r="AK390">
        <f>IF($D390="","",IF(COUNTIF($D$2:$D390,$D390)=1,1,0))</f>
        <v/>
      </c>
      <c r="AL390">
        <f>IF($AK390=1,SUMPRODUCT(--($AO$2:$AO$3001&lt;$AO390))+1,"")</f>
        <v/>
      </c>
      <c r="AM390">
        <f>IF($D390="","",IF(OR($R390=TRUE(),$R390="TRUE"),1,0))</f>
        <v/>
      </c>
      <c r="AN390">
        <f>IF($D390="","",IF($X390="Yes",1,0))</f>
        <v/>
      </c>
      <c r="AO390">
        <f>IF($AK390=1,IFERROR(IF(VALUE($D390)&lt;100000000,VALUE($D390),1000000000),IFERROR(IF(VALUE(MID($D390,2,20))&lt;100000000,VALUE(MID($D390,2,20)),1000000000),1000000000))+ROW()/100000,"")</f>
        <v/>
      </c>
    </row>
    <row r="391">
      <c r="F391" s="11" t="n"/>
      <c r="N391" s="7">
        <f>IF($D391="","",M391*V391/100)</f>
        <v/>
      </c>
      <c r="O391" s="7" t="n"/>
      <c r="U391" s="7" t="n"/>
      <c r="V391" s="7" t="n"/>
      <c r="Y391">
        <f>IF($D391="","",IF($AN391=1,0,IF($AM391=1,Settings!$C$6,Settings!$C$7))*100)</f>
        <v/>
      </c>
      <c r="Z391" s="7">
        <f>IF($D391="","",V391*Y391/100)</f>
        <v/>
      </c>
      <c r="AA391" s="7">
        <f>IF($D391="","",V391-Z391)</f>
        <v/>
      </c>
      <c r="AB391" s="7">
        <f>IF($D391="","",AA391-N391)</f>
        <v/>
      </c>
      <c r="AF391" s="7" t="n"/>
      <c r="AI391" s="11" t="n"/>
      <c r="AK391">
        <f>IF($D391="","",IF(COUNTIF($D$2:$D391,$D391)=1,1,0))</f>
        <v/>
      </c>
      <c r="AL391">
        <f>IF($AK391=1,SUMPRODUCT(--($AO$2:$AO$3001&lt;$AO391))+1,"")</f>
        <v/>
      </c>
      <c r="AM391">
        <f>IF($D391="","",IF(OR($R391=TRUE(),$R391="TRUE"),1,0))</f>
        <v/>
      </c>
      <c r="AN391">
        <f>IF($D391="","",IF($X391="Yes",1,0))</f>
        <v/>
      </c>
      <c r="AO391">
        <f>IF($AK391=1,IFERROR(IF(VALUE($D391)&lt;100000000,VALUE($D391),1000000000),IFERROR(IF(VALUE(MID($D391,2,20))&lt;100000000,VALUE(MID($D391,2,20)),1000000000),1000000000))+ROW()/100000,"")</f>
        <v/>
      </c>
    </row>
    <row r="392">
      <c r="F392" s="11" t="n"/>
      <c r="N392" s="7">
        <f>IF($D392="","",M392*V392/100)</f>
        <v/>
      </c>
      <c r="O392" s="7" t="n"/>
      <c r="U392" s="7" t="n"/>
      <c r="V392" s="7" t="n"/>
      <c r="Y392">
        <f>IF($D392="","",IF($AN392=1,0,IF($AM392=1,Settings!$C$6,Settings!$C$7))*100)</f>
        <v/>
      </c>
      <c r="Z392" s="7">
        <f>IF($D392="","",V392*Y392/100)</f>
        <v/>
      </c>
      <c r="AA392" s="7">
        <f>IF($D392="","",V392-Z392)</f>
        <v/>
      </c>
      <c r="AB392" s="7">
        <f>IF($D392="","",AA392-N392)</f>
        <v/>
      </c>
      <c r="AF392" s="7" t="n"/>
      <c r="AI392" s="11" t="n"/>
      <c r="AK392">
        <f>IF($D392="","",IF(COUNTIF($D$2:$D392,$D392)=1,1,0))</f>
        <v/>
      </c>
      <c r="AL392">
        <f>IF($AK392=1,SUMPRODUCT(--($AO$2:$AO$3001&lt;$AO392))+1,"")</f>
        <v/>
      </c>
      <c r="AM392">
        <f>IF($D392="","",IF(OR($R392=TRUE(),$R392="TRUE"),1,0))</f>
        <v/>
      </c>
      <c r="AN392">
        <f>IF($D392="","",IF($X392="Yes",1,0))</f>
        <v/>
      </c>
      <c r="AO392">
        <f>IF($AK392=1,IFERROR(IF(VALUE($D392)&lt;100000000,VALUE($D392),1000000000),IFERROR(IF(VALUE(MID($D392,2,20))&lt;100000000,VALUE(MID($D392,2,20)),1000000000),1000000000))+ROW()/100000,"")</f>
        <v/>
      </c>
    </row>
    <row r="393">
      <c r="F393" s="11" t="n"/>
      <c r="N393" s="7">
        <f>IF($D393="","",M393*V393/100)</f>
        <v/>
      </c>
      <c r="O393" s="7" t="n"/>
      <c r="U393" s="7" t="n"/>
      <c r="V393" s="7" t="n"/>
      <c r="Y393">
        <f>IF($D393="","",IF($AN393=1,0,IF($AM393=1,Settings!$C$6,Settings!$C$7))*100)</f>
        <v/>
      </c>
      <c r="Z393" s="7">
        <f>IF($D393="","",V393*Y393/100)</f>
        <v/>
      </c>
      <c r="AA393" s="7">
        <f>IF($D393="","",V393-Z393)</f>
        <v/>
      </c>
      <c r="AB393" s="7">
        <f>IF($D393="","",AA393-N393)</f>
        <v/>
      </c>
      <c r="AF393" s="7" t="n"/>
      <c r="AI393" s="11" t="n"/>
      <c r="AK393">
        <f>IF($D393="","",IF(COUNTIF($D$2:$D393,$D393)=1,1,0))</f>
        <v/>
      </c>
      <c r="AL393">
        <f>IF($AK393=1,SUMPRODUCT(--($AO$2:$AO$3001&lt;$AO393))+1,"")</f>
        <v/>
      </c>
      <c r="AM393">
        <f>IF($D393="","",IF(OR($R393=TRUE(),$R393="TRUE"),1,0))</f>
        <v/>
      </c>
      <c r="AN393">
        <f>IF($D393="","",IF($X393="Yes",1,0))</f>
        <v/>
      </c>
      <c r="AO393">
        <f>IF($AK393=1,IFERROR(IF(VALUE($D393)&lt;100000000,VALUE($D393),1000000000),IFERROR(IF(VALUE(MID($D393,2,20))&lt;100000000,VALUE(MID($D393,2,20)),1000000000),1000000000))+ROW()/100000,"")</f>
        <v/>
      </c>
    </row>
    <row r="394">
      <c r="F394" s="11" t="n"/>
      <c r="N394" s="7">
        <f>IF($D394="","",M394*V394/100)</f>
        <v/>
      </c>
      <c r="O394" s="7" t="n"/>
      <c r="U394" s="7" t="n"/>
      <c r="V394" s="7" t="n"/>
      <c r="Y394">
        <f>IF($D394="","",IF($AN394=1,0,IF($AM394=1,Settings!$C$6,Settings!$C$7))*100)</f>
        <v/>
      </c>
      <c r="Z394" s="7">
        <f>IF($D394="","",V394*Y394/100)</f>
        <v/>
      </c>
      <c r="AA394" s="7">
        <f>IF($D394="","",V394-Z394)</f>
        <v/>
      </c>
      <c r="AB394" s="7">
        <f>IF($D394="","",AA394-N394)</f>
        <v/>
      </c>
      <c r="AF394" s="7" t="n"/>
      <c r="AI394" s="11" t="n"/>
      <c r="AK394">
        <f>IF($D394="","",IF(COUNTIF($D$2:$D394,$D394)=1,1,0))</f>
        <v/>
      </c>
      <c r="AL394">
        <f>IF($AK394=1,SUMPRODUCT(--($AO$2:$AO$3001&lt;$AO394))+1,"")</f>
        <v/>
      </c>
      <c r="AM394">
        <f>IF($D394="","",IF(OR($R394=TRUE(),$R394="TRUE"),1,0))</f>
        <v/>
      </c>
      <c r="AN394">
        <f>IF($D394="","",IF($X394="Yes",1,0))</f>
        <v/>
      </c>
      <c r="AO394">
        <f>IF($AK394=1,IFERROR(IF(VALUE($D394)&lt;100000000,VALUE($D394),1000000000),IFERROR(IF(VALUE(MID($D394,2,20))&lt;100000000,VALUE(MID($D394,2,20)),1000000000),1000000000))+ROW()/100000,"")</f>
        <v/>
      </c>
    </row>
    <row r="395">
      <c r="F395" s="11" t="n"/>
      <c r="N395" s="7">
        <f>IF($D395="","",M395*V395/100)</f>
        <v/>
      </c>
      <c r="O395" s="7" t="n"/>
      <c r="U395" s="7" t="n"/>
      <c r="V395" s="7" t="n"/>
      <c r="Y395">
        <f>IF($D395="","",IF($AN395=1,0,IF($AM395=1,Settings!$C$6,Settings!$C$7))*100)</f>
        <v/>
      </c>
      <c r="Z395" s="7">
        <f>IF($D395="","",V395*Y395/100)</f>
        <v/>
      </c>
      <c r="AA395" s="7">
        <f>IF($D395="","",V395-Z395)</f>
        <v/>
      </c>
      <c r="AB395" s="7">
        <f>IF($D395="","",AA395-N395)</f>
        <v/>
      </c>
      <c r="AF395" s="7" t="n"/>
      <c r="AI395" s="11" t="n"/>
      <c r="AK395">
        <f>IF($D395="","",IF(COUNTIF($D$2:$D395,$D395)=1,1,0))</f>
        <v/>
      </c>
      <c r="AL395">
        <f>IF($AK395=1,SUMPRODUCT(--($AO$2:$AO$3001&lt;$AO395))+1,"")</f>
        <v/>
      </c>
      <c r="AM395">
        <f>IF($D395="","",IF(OR($R395=TRUE(),$R395="TRUE"),1,0))</f>
        <v/>
      </c>
      <c r="AN395">
        <f>IF($D395="","",IF($X395="Yes",1,0))</f>
        <v/>
      </c>
      <c r="AO395">
        <f>IF($AK395=1,IFERROR(IF(VALUE($D395)&lt;100000000,VALUE($D395),1000000000),IFERROR(IF(VALUE(MID($D395,2,20))&lt;100000000,VALUE(MID($D395,2,20)),1000000000),1000000000))+ROW()/100000,"")</f>
        <v/>
      </c>
    </row>
    <row r="396">
      <c r="F396" s="11" t="n"/>
      <c r="N396" s="7">
        <f>IF($D396="","",M396*V396/100)</f>
        <v/>
      </c>
      <c r="O396" s="7" t="n"/>
      <c r="U396" s="7" t="n"/>
      <c r="V396" s="7" t="n"/>
      <c r="Y396">
        <f>IF($D396="","",IF($AN396=1,0,IF($AM396=1,Settings!$C$6,Settings!$C$7))*100)</f>
        <v/>
      </c>
      <c r="Z396" s="7">
        <f>IF($D396="","",V396*Y396/100)</f>
        <v/>
      </c>
      <c r="AA396" s="7">
        <f>IF($D396="","",V396-Z396)</f>
        <v/>
      </c>
      <c r="AB396" s="7">
        <f>IF($D396="","",AA396-N396)</f>
        <v/>
      </c>
      <c r="AF396" s="7" t="n"/>
      <c r="AI396" s="11" t="n"/>
      <c r="AK396">
        <f>IF($D396="","",IF(COUNTIF($D$2:$D396,$D396)=1,1,0))</f>
        <v/>
      </c>
      <c r="AL396">
        <f>IF($AK396=1,SUMPRODUCT(--($AO$2:$AO$3001&lt;$AO396))+1,"")</f>
        <v/>
      </c>
      <c r="AM396">
        <f>IF($D396="","",IF(OR($R396=TRUE(),$R396="TRUE"),1,0))</f>
        <v/>
      </c>
      <c r="AN396">
        <f>IF($D396="","",IF($X396="Yes",1,0))</f>
        <v/>
      </c>
      <c r="AO396">
        <f>IF($AK396=1,IFERROR(IF(VALUE($D396)&lt;100000000,VALUE($D396),1000000000),IFERROR(IF(VALUE(MID($D396,2,20))&lt;100000000,VALUE(MID($D396,2,20)),1000000000),1000000000))+ROW()/100000,"")</f>
        <v/>
      </c>
    </row>
    <row r="397">
      <c r="F397" s="11" t="n"/>
      <c r="N397" s="7">
        <f>IF($D397="","",M397*V397/100)</f>
        <v/>
      </c>
      <c r="O397" s="7" t="n"/>
      <c r="U397" s="7" t="n"/>
      <c r="V397" s="7" t="n"/>
      <c r="Y397">
        <f>IF($D397="","",IF($AN397=1,0,IF($AM397=1,Settings!$C$6,Settings!$C$7))*100)</f>
        <v/>
      </c>
      <c r="Z397" s="7">
        <f>IF($D397="","",V397*Y397/100)</f>
        <v/>
      </c>
      <c r="AA397" s="7">
        <f>IF($D397="","",V397-Z397)</f>
        <v/>
      </c>
      <c r="AB397" s="7">
        <f>IF($D397="","",AA397-N397)</f>
        <v/>
      </c>
      <c r="AF397" s="7" t="n"/>
      <c r="AI397" s="11" t="n"/>
      <c r="AK397">
        <f>IF($D397="","",IF(COUNTIF($D$2:$D397,$D397)=1,1,0))</f>
        <v/>
      </c>
      <c r="AL397">
        <f>IF($AK397=1,SUMPRODUCT(--($AO$2:$AO$3001&lt;$AO397))+1,"")</f>
        <v/>
      </c>
      <c r="AM397">
        <f>IF($D397="","",IF(OR($R397=TRUE(),$R397="TRUE"),1,0))</f>
        <v/>
      </c>
      <c r="AN397">
        <f>IF($D397="","",IF($X397="Yes",1,0))</f>
        <v/>
      </c>
      <c r="AO397">
        <f>IF($AK397=1,IFERROR(IF(VALUE($D397)&lt;100000000,VALUE($D397),1000000000),IFERROR(IF(VALUE(MID($D397,2,20))&lt;100000000,VALUE(MID($D397,2,20)),1000000000),1000000000))+ROW()/100000,"")</f>
        <v/>
      </c>
    </row>
    <row r="398">
      <c r="F398" s="11" t="n"/>
      <c r="N398" s="7">
        <f>IF($D398="","",M398*V398/100)</f>
        <v/>
      </c>
      <c r="O398" s="7" t="n"/>
      <c r="U398" s="7" t="n"/>
      <c r="V398" s="7" t="n"/>
      <c r="Y398">
        <f>IF($D398="","",IF($AN398=1,0,IF($AM398=1,Settings!$C$6,Settings!$C$7))*100)</f>
        <v/>
      </c>
      <c r="Z398" s="7">
        <f>IF($D398="","",V398*Y398/100)</f>
        <v/>
      </c>
      <c r="AA398" s="7">
        <f>IF($D398="","",V398-Z398)</f>
        <v/>
      </c>
      <c r="AB398" s="7">
        <f>IF($D398="","",AA398-N398)</f>
        <v/>
      </c>
      <c r="AF398" s="7" t="n"/>
      <c r="AI398" s="11" t="n"/>
      <c r="AK398">
        <f>IF($D398="","",IF(COUNTIF($D$2:$D398,$D398)=1,1,0))</f>
        <v/>
      </c>
      <c r="AL398">
        <f>IF($AK398=1,SUMPRODUCT(--($AO$2:$AO$3001&lt;$AO398))+1,"")</f>
        <v/>
      </c>
      <c r="AM398">
        <f>IF($D398="","",IF(OR($R398=TRUE(),$R398="TRUE"),1,0))</f>
        <v/>
      </c>
      <c r="AN398">
        <f>IF($D398="","",IF($X398="Yes",1,0))</f>
        <v/>
      </c>
      <c r="AO398">
        <f>IF($AK398=1,IFERROR(IF(VALUE($D398)&lt;100000000,VALUE($D398),1000000000),IFERROR(IF(VALUE(MID($D398,2,20))&lt;100000000,VALUE(MID($D398,2,20)),1000000000),1000000000))+ROW()/100000,"")</f>
        <v/>
      </c>
    </row>
    <row r="399">
      <c r="F399" s="11" t="n"/>
      <c r="N399" s="7">
        <f>IF($D399="","",M399*V399/100)</f>
        <v/>
      </c>
      <c r="O399" s="7" t="n"/>
      <c r="U399" s="7" t="n"/>
      <c r="V399" s="7" t="n"/>
      <c r="Y399">
        <f>IF($D399="","",IF($AN399=1,0,IF($AM399=1,Settings!$C$6,Settings!$C$7))*100)</f>
        <v/>
      </c>
      <c r="Z399" s="7">
        <f>IF($D399="","",V399*Y399/100)</f>
        <v/>
      </c>
      <c r="AA399" s="7">
        <f>IF($D399="","",V399-Z399)</f>
        <v/>
      </c>
      <c r="AB399" s="7">
        <f>IF($D399="","",AA399-N399)</f>
        <v/>
      </c>
      <c r="AF399" s="7" t="n"/>
      <c r="AI399" s="11" t="n"/>
      <c r="AK399">
        <f>IF($D399="","",IF(COUNTIF($D$2:$D399,$D399)=1,1,0))</f>
        <v/>
      </c>
      <c r="AL399">
        <f>IF($AK399=1,SUMPRODUCT(--($AO$2:$AO$3001&lt;$AO399))+1,"")</f>
        <v/>
      </c>
      <c r="AM399">
        <f>IF($D399="","",IF(OR($R399=TRUE(),$R399="TRUE"),1,0))</f>
        <v/>
      </c>
      <c r="AN399">
        <f>IF($D399="","",IF($X399="Yes",1,0))</f>
        <v/>
      </c>
      <c r="AO399">
        <f>IF($AK399=1,IFERROR(IF(VALUE($D399)&lt;100000000,VALUE($D399),1000000000),IFERROR(IF(VALUE(MID($D399,2,20))&lt;100000000,VALUE(MID($D399,2,20)),1000000000),1000000000))+ROW()/100000,"")</f>
        <v/>
      </c>
    </row>
    <row r="400">
      <c r="F400" s="11" t="n"/>
      <c r="N400" s="7">
        <f>IF($D400="","",M400*V400/100)</f>
        <v/>
      </c>
      <c r="O400" s="7" t="n"/>
      <c r="U400" s="7" t="n"/>
      <c r="V400" s="7" t="n"/>
      <c r="Y400">
        <f>IF($D400="","",IF($AN400=1,0,IF($AM400=1,Settings!$C$6,Settings!$C$7))*100)</f>
        <v/>
      </c>
      <c r="Z400" s="7">
        <f>IF($D400="","",V400*Y400/100)</f>
        <v/>
      </c>
      <c r="AA400" s="7">
        <f>IF($D400="","",V400-Z400)</f>
        <v/>
      </c>
      <c r="AB400" s="7">
        <f>IF($D400="","",AA400-N400)</f>
        <v/>
      </c>
      <c r="AF400" s="7" t="n"/>
      <c r="AI400" s="11" t="n"/>
      <c r="AK400">
        <f>IF($D400="","",IF(COUNTIF($D$2:$D400,$D400)=1,1,0))</f>
        <v/>
      </c>
      <c r="AL400">
        <f>IF($AK400=1,SUMPRODUCT(--($AO$2:$AO$3001&lt;$AO400))+1,"")</f>
        <v/>
      </c>
      <c r="AM400">
        <f>IF($D400="","",IF(OR($R400=TRUE(),$R400="TRUE"),1,0))</f>
        <v/>
      </c>
      <c r="AN400">
        <f>IF($D400="","",IF($X400="Yes",1,0))</f>
        <v/>
      </c>
      <c r="AO400">
        <f>IF($AK400=1,IFERROR(IF(VALUE($D400)&lt;100000000,VALUE($D400),1000000000),IFERROR(IF(VALUE(MID($D400,2,20))&lt;100000000,VALUE(MID($D400,2,20)),1000000000),1000000000))+ROW()/100000,"")</f>
        <v/>
      </c>
    </row>
    <row r="401">
      <c r="F401" s="11" t="n"/>
      <c r="N401" s="7">
        <f>IF($D401="","",M401*V401/100)</f>
        <v/>
      </c>
      <c r="O401" s="7" t="n"/>
      <c r="U401" s="7" t="n"/>
      <c r="V401" s="7" t="n"/>
      <c r="Y401">
        <f>IF($D401="","",IF($AN401=1,0,IF($AM401=1,Settings!$C$6,Settings!$C$7))*100)</f>
        <v/>
      </c>
      <c r="Z401" s="7">
        <f>IF($D401="","",V401*Y401/100)</f>
        <v/>
      </c>
      <c r="AA401" s="7">
        <f>IF($D401="","",V401-Z401)</f>
        <v/>
      </c>
      <c r="AB401" s="7">
        <f>IF($D401="","",AA401-N401)</f>
        <v/>
      </c>
      <c r="AF401" s="7" t="n"/>
      <c r="AI401" s="11" t="n"/>
      <c r="AK401">
        <f>IF($D401="","",IF(COUNTIF($D$2:$D401,$D401)=1,1,0))</f>
        <v/>
      </c>
      <c r="AL401">
        <f>IF($AK401=1,SUMPRODUCT(--($AO$2:$AO$3001&lt;$AO401))+1,"")</f>
        <v/>
      </c>
      <c r="AM401">
        <f>IF($D401="","",IF(OR($R401=TRUE(),$R401="TRUE"),1,0))</f>
        <v/>
      </c>
      <c r="AN401">
        <f>IF($D401="","",IF($X401="Yes",1,0))</f>
        <v/>
      </c>
      <c r="AO401">
        <f>IF($AK401=1,IFERROR(IF(VALUE($D401)&lt;100000000,VALUE($D401),1000000000),IFERROR(IF(VALUE(MID($D401,2,20))&lt;100000000,VALUE(MID($D401,2,20)),1000000000),1000000000))+ROW()/100000,"")</f>
        <v/>
      </c>
    </row>
    <row r="402">
      <c r="F402" s="11" t="n"/>
      <c r="N402" s="7">
        <f>IF($D402="","",M402*V402/100)</f>
        <v/>
      </c>
      <c r="O402" s="7" t="n"/>
      <c r="U402" s="7" t="n"/>
      <c r="V402" s="7" t="n"/>
      <c r="Y402">
        <f>IF($D402="","",IF($AN402=1,0,IF($AM402=1,Settings!$C$6,Settings!$C$7))*100)</f>
        <v/>
      </c>
      <c r="Z402" s="7">
        <f>IF($D402="","",V402*Y402/100)</f>
        <v/>
      </c>
      <c r="AA402" s="7">
        <f>IF($D402="","",V402-Z402)</f>
        <v/>
      </c>
      <c r="AB402" s="7">
        <f>IF($D402="","",AA402-N402)</f>
        <v/>
      </c>
      <c r="AF402" s="7" t="n"/>
      <c r="AI402" s="11" t="n"/>
      <c r="AK402">
        <f>IF($D402="","",IF(COUNTIF($D$2:$D402,$D402)=1,1,0))</f>
        <v/>
      </c>
      <c r="AL402">
        <f>IF($AK402=1,SUMPRODUCT(--($AO$2:$AO$3001&lt;$AO402))+1,"")</f>
        <v/>
      </c>
      <c r="AM402">
        <f>IF($D402="","",IF(OR($R402=TRUE(),$R402="TRUE"),1,0))</f>
        <v/>
      </c>
      <c r="AN402">
        <f>IF($D402="","",IF($X402="Yes",1,0))</f>
        <v/>
      </c>
      <c r="AO402">
        <f>IF($AK402=1,IFERROR(IF(VALUE($D402)&lt;100000000,VALUE($D402),1000000000),IFERROR(IF(VALUE(MID($D402,2,20))&lt;100000000,VALUE(MID($D402,2,20)),1000000000),1000000000))+ROW()/100000,"")</f>
        <v/>
      </c>
    </row>
    <row r="403">
      <c r="F403" s="11" t="n"/>
      <c r="N403" s="7">
        <f>IF($D403="","",M403*V403/100)</f>
        <v/>
      </c>
      <c r="O403" s="7" t="n"/>
      <c r="U403" s="7" t="n"/>
      <c r="V403" s="7" t="n"/>
      <c r="Y403">
        <f>IF($D403="","",IF($AN403=1,0,IF($AM403=1,Settings!$C$6,Settings!$C$7))*100)</f>
        <v/>
      </c>
      <c r="Z403" s="7">
        <f>IF($D403="","",V403*Y403/100)</f>
        <v/>
      </c>
      <c r="AA403" s="7">
        <f>IF($D403="","",V403-Z403)</f>
        <v/>
      </c>
      <c r="AB403" s="7">
        <f>IF($D403="","",AA403-N403)</f>
        <v/>
      </c>
      <c r="AF403" s="7" t="n"/>
      <c r="AI403" s="11" t="n"/>
      <c r="AK403">
        <f>IF($D403="","",IF(COUNTIF($D$2:$D403,$D403)=1,1,0))</f>
        <v/>
      </c>
      <c r="AL403">
        <f>IF($AK403=1,SUMPRODUCT(--($AO$2:$AO$3001&lt;$AO403))+1,"")</f>
        <v/>
      </c>
      <c r="AM403">
        <f>IF($D403="","",IF(OR($R403=TRUE(),$R403="TRUE"),1,0))</f>
        <v/>
      </c>
      <c r="AN403">
        <f>IF($D403="","",IF($X403="Yes",1,0))</f>
        <v/>
      </c>
      <c r="AO403">
        <f>IF($AK403=1,IFERROR(IF(VALUE($D403)&lt;100000000,VALUE($D403),1000000000),IFERROR(IF(VALUE(MID($D403,2,20))&lt;100000000,VALUE(MID($D403,2,20)),1000000000),1000000000))+ROW()/100000,"")</f>
        <v/>
      </c>
    </row>
    <row r="404">
      <c r="F404" s="11" t="n"/>
      <c r="N404" s="7">
        <f>IF($D404="","",M404*V404/100)</f>
        <v/>
      </c>
      <c r="O404" s="7" t="n"/>
      <c r="U404" s="7" t="n"/>
      <c r="V404" s="7" t="n"/>
      <c r="Y404">
        <f>IF($D404="","",IF($AN404=1,0,IF($AM404=1,Settings!$C$6,Settings!$C$7))*100)</f>
        <v/>
      </c>
      <c r="Z404" s="7">
        <f>IF($D404="","",V404*Y404/100)</f>
        <v/>
      </c>
      <c r="AA404" s="7">
        <f>IF($D404="","",V404-Z404)</f>
        <v/>
      </c>
      <c r="AB404" s="7">
        <f>IF($D404="","",AA404-N404)</f>
        <v/>
      </c>
      <c r="AF404" s="7" t="n"/>
      <c r="AI404" s="11" t="n"/>
      <c r="AK404">
        <f>IF($D404="","",IF(COUNTIF($D$2:$D404,$D404)=1,1,0))</f>
        <v/>
      </c>
      <c r="AL404">
        <f>IF($AK404=1,SUMPRODUCT(--($AO$2:$AO$3001&lt;$AO404))+1,"")</f>
        <v/>
      </c>
      <c r="AM404">
        <f>IF($D404="","",IF(OR($R404=TRUE(),$R404="TRUE"),1,0))</f>
        <v/>
      </c>
      <c r="AN404">
        <f>IF($D404="","",IF($X404="Yes",1,0))</f>
        <v/>
      </c>
      <c r="AO404">
        <f>IF($AK404=1,IFERROR(IF(VALUE($D404)&lt;100000000,VALUE($D404),1000000000),IFERROR(IF(VALUE(MID($D404,2,20))&lt;100000000,VALUE(MID($D404,2,20)),1000000000),1000000000))+ROW()/100000,"")</f>
        <v/>
      </c>
    </row>
    <row r="405">
      <c r="F405" s="11" t="n"/>
      <c r="N405" s="7">
        <f>IF($D405="","",M405*V405/100)</f>
        <v/>
      </c>
      <c r="O405" s="7" t="n"/>
      <c r="U405" s="7" t="n"/>
      <c r="V405" s="7" t="n"/>
      <c r="Y405">
        <f>IF($D405="","",IF($AN405=1,0,IF($AM405=1,Settings!$C$6,Settings!$C$7))*100)</f>
        <v/>
      </c>
      <c r="Z405" s="7">
        <f>IF($D405="","",V405*Y405/100)</f>
        <v/>
      </c>
      <c r="AA405" s="7">
        <f>IF($D405="","",V405-Z405)</f>
        <v/>
      </c>
      <c r="AB405" s="7">
        <f>IF($D405="","",AA405-N405)</f>
        <v/>
      </c>
      <c r="AF405" s="7" t="n"/>
      <c r="AI405" s="11" t="n"/>
      <c r="AK405">
        <f>IF($D405="","",IF(COUNTIF($D$2:$D405,$D405)=1,1,0))</f>
        <v/>
      </c>
      <c r="AL405">
        <f>IF($AK405=1,SUMPRODUCT(--($AO$2:$AO$3001&lt;$AO405))+1,"")</f>
        <v/>
      </c>
      <c r="AM405">
        <f>IF($D405="","",IF(OR($R405=TRUE(),$R405="TRUE"),1,0))</f>
        <v/>
      </c>
      <c r="AN405">
        <f>IF($D405="","",IF($X405="Yes",1,0))</f>
        <v/>
      </c>
      <c r="AO405">
        <f>IF($AK405=1,IFERROR(IF(VALUE($D405)&lt;100000000,VALUE($D405),1000000000),IFERROR(IF(VALUE(MID($D405,2,20))&lt;100000000,VALUE(MID($D405,2,20)),1000000000),1000000000))+ROW()/100000,"")</f>
        <v/>
      </c>
    </row>
    <row r="406">
      <c r="F406" s="11" t="n"/>
      <c r="N406" s="7">
        <f>IF($D406="","",M406*V406/100)</f>
        <v/>
      </c>
      <c r="O406" s="7" t="n"/>
      <c r="U406" s="7" t="n"/>
      <c r="V406" s="7" t="n"/>
      <c r="Y406">
        <f>IF($D406="","",IF($AN406=1,0,IF($AM406=1,Settings!$C$6,Settings!$C$7))*100)</f>
        <v/>
      </c>
      <c r="Z406" s="7">
        <f>IF($D406="","",V406*Y406/100)</f>
        <v/>
      </c>
      <c r="AA406" s="7">
        <f>IF($D406="","",V406-Z406)</f>
        <v/>
      </c>
      <c r="AB406" s="7">
        <f>IF($D406="","",AA406-N406)</f>
        <v/>
      </c>
      <c r="AF406" s="7" t="n"/>
      <c r="AI406" s="11" t="n"/>
      <c r="AK406">
        <f>IF($D406="","",IF(COUNTIF($D$2:$D406,$D406)=1,1,0))</f>
        <v/>
      </c>
      <c r="AL406">
        <f>IF($AK406=1,SUMPRODUCT(--($AO$2:$AO$3001&lt;$AO406))+1,"")</f>
        <v/>
      </c>
      <c r="AM406">
        <f>IF($D406="","",IF(OR($R406=TRUE(),$R406="TRUE"),1,0))</f>
        <v/>
      </c>
      <c r="AN406">
        <f>IF($D406="","",IF($X406="Yes",1,0))</f>
        <v/>
      </c>
      <c r="AO406">
        <f>IF($AK406=1,IFERROR(IF(VALUE($D406)&lt;100000000,VALUE($D406),1000000000),IFERROR(IF(VALUE(MID($D406,2,20))&lt;100000000,VALUE(MID($D406,2,20)),1000000000),1000000000))+ROW()/100000,"")</f>
        <v/>
      </c>
    </row>
    <row r="407">
      <c r="F407" s="11" t="n"/>
      <c r="N407" s="7">
        <f>IF($D407="","",M407*V407/100)</f>
        <v/>
      </c>
      <c r="O407" s="7" t="n"/>
      <c r="U407" s="7" t="n"/>
      <c r="V407" s="7" t="n"/>
      <c r="Y407">
        <f>IF($D407="","",IF($AN407=1,0,IF($AM407=1,Settings!$C$6,Settings!$C$7))*100)</f>
        <v/>
      </c>
      <c r="Z407" s="7">
        <f>IF($D407="","",V407*Y407/100)</f>
        <v/>
      </c>
      <c r="AA407" s="7">
        <f>IF($D407="","",V407-Z407)</f>
        <v/>
      </c>
      <c r="AB407" s="7">
        <f>IF($D407="","",AA407-N407)</f>
        <v/>
      </c>
      <c r="AF407" s="7" t="n"/>
      <c r="AI407" s="11" t="n"/>
      <c r="AK407">
        <f>IF($D407="","",IF(COUNTIF($D$2:$D407,$D407)=1,1,0))</f>
        <v/>
      </c>
      <c r="AL407">
        <f>IF($AK407=1,SUMPRODUCT(--($AO$2:$AO$3001&lt;$AO407))+1,"")</f>
        <v/>
      </c>
      <c r="AM407">
        <f>IF($D407="","",IF(OR($R407=TRUE(),$R407="TRUE"),1,0))</f>
        <v/>
      </c>
      <c r="AN407">
        <f>IF($D407="","",IF($X407="Yes",1,0))</f>
        <v/>
      </c>
      <c r="AO407">
        <f>IF($AK407=1,IFERROR(IF(VALUE($D407)&lt;100000000,VALUE($D407),1000000000),IFERROR(IF(VALUE(MID($D407,2,20))&lt;100000000,VALUE(MID($D407,2,20)),1000000000),1000000000))+ROW()/100000,"")</f>
        <v/>
      </c>
    </row>
    <row r="408">
      <c r="F408" s="11" t="n"/>
      <c r="N408" s="7">
        <f>IF($D408="","",M408*V408/100)</f>
        <v/>
      </c>
      <c r="O408" s="7" t="n"/>
      <c r="U408" s="7" t="n"/>
      <c r="V408" s="7" t="n"/>
      <c r="Y408">
        <f>IF($D408="","",IF($AN408=1,0,IF($AM408=1,Settings!$C$6,Settings!$C$7))*100)</f>
        <v/>
      </c>
      <c r="Z408" s="7">
        <f>IF($D408="","",V408*Y408/100)</f>
        <v/>
      </c>
      <c r="AA408" s="7">
        <f>IF($D408="","",V408-Z408)</f>
        <v/>
      </c>
      <c r="AB408" s="7">
        <f>IF($D408="","",AA408-N408)</f>
        <v/>
      </c>
      <c r="AF408" s="7" t="n"/>
      <c r="AI408" s="11" t="n"/>
      <c r="AK408">
        <f>IF($D408="","",IF(COUNTIF($D$2:$D408,$D408)=1,1,0))</f>
        <v/>
      </c>
      <c r="AL408">
        <f>IF($AK408=1,SUMPRODUCT(--($AO$2:$AO$3001&lt;$AO408))+1,"")</f>
        <v/>
      </c>
      <c r="AM408">
        <f>IF($D408="","",IF(OR($R408=TRUE(),$R408="TRUE"),1,0))</f>
        <v/>
      </c>
      <c r="AN408">
        <f>IF($D408="","",IF($X408="Yes",1,0))</f>
        <v/>
      </c>
      <c r="AO408">
        <f>IF($AK408=1,IFERROR(IF(VALUE($D408)&lt;100000000,VALUE($D408),1000000000),IFERROR(IF(VALUE(MID($D408,2,20))&lt;100000000,VALUE(MID($D408,2,20)),1000000000),1000000000))+ROW()/100000,"")</f>
        <v/>
      </c>
    </row>
    <row r="409">
      <c r="F409" s="11" t="n"/>
      <c r="N409" s="7">
        <f>IF($D409="","",M409*V409/100)</f>
        <v/>
      </c>
      <c r="O409" s="7" t="n"/>
      <c r="U409" s="7" t="n"/>
      <c r="V409" s="7" t="n"/>
      <c r="Y409">
        <f>IF($D409="","",IF($AN409=1,0,IF($AM409=1,Settings!$C$6,Settings!$C$7))*100)</f>
        <v/>
      </c>
      <c r="Z409" s="7">
        <f>IF($D409="","",V409*Y409/100)</f>
        <v/>
      </c>
      <c r="AA409" s="7">
        <f>IF($D409="","",V409-Z409)</f>
        <v/>
      </c>
      <c r="AB409" s="7">
        <f>IF($D409="","",AA409-N409)</f>
        <v/>
      </c>
      <c r="AF409" s="7" t="n"/>
      <c r="AI409" s="11" t="n"/>
      <c r="AK409">
        <f>IF($D409="","",IF(COUNTIF($D$2:$D409,$D409)=1,1,0))</f>
        <v/>
      </c>
      <c r="AL409">
        <f>IF($AK409=1,SUMPRODUCT(--($AO$2:$AO$3001&lt;$AO409))+1,"")</f>
        <v/>
      </c>
      <c r="AM409">
        <f>IF($D409="","",IF(OR($R409=TRUE(),$R409="TRUE"),1,0))</f>
        <v/>
      </c>
      <c r="AN409">
        <f>IF($D409="","",IF($X409="Yes",1,0))</f>
        <v/>
      </c>
      <c r="AO409">
        <f>IF($AK409=1,IFERROR(IF(VALUE($D409)&lt;100000000,VALUE($D409),1000000000),IFERROR(IF(VALUE(MID($D409,2,20))&lt;100000000,VALUE(MID($D409,2,20)),1000000000),1000000000))+ROW()/100000,"")</f>
        <v/>
      </c>
    </row>
    <row r="410">
      <c r="F410" s="11" t="n"/>
      <c r="N410" s="7">
        <f>IF($D410="","",M410*V410/100)</f>
        <v/>
      </c>
      <c r="O410" s="7" t="n"/>
      <c r="U410" s="7" t="n"/>
      <c r="V410" s="7" t="n"/>
      <c r="Y410">
        <f>IF($D410="","",IF($AN410=1,0,IF($AM410=1,Settings!$C$6,Settings!$C$7))*100)</f>
        <v/>
      </c>
      <c r="Z410" s="7">
        <f>IF($D410="","",V410*Y410/100)</f>
        <v/>
      </c>
      <c r="AA410" s="7">
        <f>IF($D410="","",V410-Z410)</f>
        <v/>
      </c>
      <c r="AB410" s="7">
        <f>IF($D410="","",AA410-N410)</f>
        <v/>
      </c>
      <c r="AF410" s="7" t="n"/>
      <c r="AI410" s="11" t="n"/>
      <c r="AK410">
        <f>IF($D410="","",IF(COUNTIF($D$2:$D410,$D410)=1,1,0))</f>
        <v/>
      </c>
      <c r="AL410">
        <f>IF($AK410=1,SUMPRODUCT(--($AO$2:$AO$3001&lt;$AO410))+1,"")</f>
        <v/>
      </c>
      <c r="AM410">
        <f>IF($D410="","",IF(OR($R410=TRUE(),$R410="TRUE"),1,0))</f>
        <v/>
      </c>
      <c r="AN410">
        <f>IF($D410="","",IF($X410="Yes",1,0))</f>
        <v/>
      </c>
      <c r="AO410">
        <f>IF($AK410=1,IFERROR(IF(VALUE($D410)&lt;100000000,VALUE($D410),1000000000),IFERROR(IF(VALUE(MID($D410,2,20))&lt;100000000,VALUE(MID($D410,2,20)),1000000000),1000000000))+ROW()/100000,"")</f>
        <v/>
      </c>
    </row>
    <row r="411">
      <c r="F411" s="11" t="n"/>
      <c r="N411" s="7">
        <f>IF($D411="","",M411*V411/100)</f>
        <v/>
      </c>
      <c r="O411" s="7" t="n"/>
      <c r="U411" s="7" t="n"/>
      <c r="V411" s="7" t="n"/>
      <c r="Y411">
        <f>IF($D411="","",IF($AN411=1,0,IF($AM411=1,Settings!$C$6,Settings!$C$7))*100)</f>
        <v/>
      </c>
      <c r="Z411" s="7">
        <f>IF($D411="","",V411*Y411/100)</f>
        <v/>
      </c>
      <c r="AA411" s="7">
        <f>IF($D411="","",V411-Z411)</f>
        <v/>
      </c>
      <c r="AB411" s="7">
        <f>IF($D411="","",AA411-N411)</f>
        <v/>
      </c>
      <c r="AF411" s="7" t="n"/>
      <c r="AI411" s="11" t="n"/>
      <c r="AK411">
        <f>IF($D411="","",IF(COUNTIF($D$2:$D411,$D411)=1,1,0))</f>
        <v/>
      </c>
      <c r="AL411">
        <f>IF($AK411=1,SUMPRODUCT(--($AO$2:$AO$3001&lt;$AO411))+1,"")</f>
        <v/>
      </c>
      <c r="AM411">
        <f>IF($D411="","",IF(OR($R411=TRUE(),$R411="TRUE"),1,0))</f>
        <v/>
      </c>
      <c r="AN411">
        <f>IF($D411="","",IF($X411="Yes",1,0))</f>
        <v/>
      </c>
      <c r="AO411">
        <f>IF($AK411=1,IFERROR(IF(VALUE($D411)&lt;100000000,VALUE($D411),1000000000),IFERROR(IF(VALUE(MID($D411,2,20))&lt;100000000,VALUE(MID($D411,2,20)),1000000000),1000000000))+ROW()/100000,"")</f>
        <v/>
      </c>
    </row>
    <row r="412">
      <c r="F412" s="11" t="n"/>
      <c r="N412" s="7">
        <f>IF($D412="","",M412*V412/100)</f>
        <v/>
      </c>
      <c r="O412" s="7" t="n"/>
      <c r="U412" s="7" t="n"/>
      <c r="V412" s="7" t="n"/>
      <c r="Y412">
        <f>IF($D412="","",IF($AN412=1,0,IF($AM412=1,Settings!$C$6,Settings!$C$7))*100)</f>
        <v/>
      </c>
      <c r="Z412" s="7">
        <f>IF($D412="","",V412*Y412/100)</f>
        <v/>
      </c>
      <c r="AA412" s="7">
        <f>IF($D412="","",V412-Z412)</f>
        <v/>
      </c>
      <c r="AB412" s="7">
        <f>IF($D412="","",AA412-N412)</f>
        <v/>
      </c>
      <c r="AF412" s="7" t="n"/>
      <c r="AI412" s="11" t="n"/>
      <c r="AK412">
        <f>IF($D412="","",IF(COUNTIF($D$2:$D412,$D412)=1,1,0))</f>
        <v/>
      </c>
      <c r="AL412">
        <f>IF($AK412=1,SUMPRODUCT(--($AO$2:$AO$3001&lt;$AO412))+1,"")</f>
        <v/>
      </c>
      <c r="AM412">
        <f>IF($D412="","",IF(OR($R412=TRUE(),$R412="TRUE"),1,0))</f>
        <v/>
      </c>
      <c r="AN412">
        <f>IF($D412="","",IF($X412="Yes",1,0))</f>
        <v/>
      </c>
      <c r="AO412">
        <f>IF($AK412=1,IFERROR(IF(VALUE($D412)&lt;100000000,VALUE($D412),1000000000),IFERROR(IF(VALUE(MID($D412,2,20))&lt;100000000,VALUE(MID($D412,2,20)),1000000000),1000000000))+ROW()/100000,"")</f>
        <v/>
      </c>
    </row>
    <row r="413">
      <c r="F413" s="11" t="n"/>
      <c r="N413" s="7">
        <f>IF($D413="","",M413*V413/100)</f>
        <v/>
      </c>
      <c r="O413" s="7" t="n"/>
      <c r="U413" s="7" t="n"/>
      <c r="V413" s="7" t="n"/>
      <c r="Y413">
        <f>IF($D413="","",IF($AN413=1,0,IF($AM413=1,Settings!$C$6,Settings!$C$7))*100)</f>
        <v/>
      </c>
      <c r="Z413" s="7">
        <f>IF($D413="","",V413*Y413/100)</f>
        <v/>
      </c>
      <c r="AA413" s="7">
        <f>IF($D413="","",V413-Z413)</f>
        <v/>
      </c>
      <c r="AB413" s="7">
        <f>IF($D413="","",AA413-N413)</f>
        <v/>
      </c>
      <c r="AF413" s="7" t="n"/>
      <c r="AI413" s="11" t="n"/>
      <c r="AK413">
        <f>IF($D413="","",IF(COUNTIF($D$2:$D413,$D413)=1,1,0))</f>
        <v/>
      </c>
      <c r="AL413">
        <f>IF($AK413=1,SUMPRODUCT(--($AO$2:$AO$3001&lt;$AO413))+1,"")</f>
        <v/>
      </c>
      <c r="AM413">
        <f>IF($D413="","",IF(OR($R413=TRUE(),$R413="TRUE"),1,0))</f>
        <v/>
      </c>
      <c r="AN413">
        <f>IF($D413="","",IF($X413="Yes",1,0))</f>
        <v/>
      </c>
      <c r="AO413">
        <f>IF($AK413=1,IFERROR(IF(VALUE($D413)&lt;100000000,VALUE($D413),1000000000),IFERROR(IF(VALUE(MID($D413,2,20))&lt;100000000,VALUE(MID($D413,2,20)),1000000000),1000000000))+ROW()/100000,"")</f>
        <v/>
      </c>
    </row>
    <row r="414">
      <c r="F414" s="11" t="n"/>
      <c r="N414" s="7">
        <f>IF($D414="","",M414*V414/100)</f>
        <v/>
      </c>
      <c r="O414" s="7" t="n"/>
      <c r="U414" s="7" t="n"/>
      <c r="V414" s="7" t="n"/>
      <c r="Y414">
        <f>IF($D414="","",IF($AN414=1,0,IF($AM414=1,Settings!$C$6,Settings!$C$7))*100)</f>
        <v/>
      </c>
      <c r="Z414" s="7">
        <f>IF($D414="","",V414*Y414/100)</f>
        <v/>
      </c>
      <c r="AA414" s="7">
        <f>IF($D414="","",V414-Z414)</f>
        <v/>
      </c>
      <c r="AB414" s="7">
        <f>IF($D414="","",AA414-N414)</f>
        <v/>
      </c>
      <c r="AF414" s="7" t="n"/>
      <c r="AI414" s="11" t="n"/>
      <c r="AK414">
        <f>IF($D414="","",IF(COUNTIF($D$2:$D414,$D414)=1,1,0))</f>
        <v/>
      </c>
      <c r="AL414">
        <f>IF($AK414=1,SUMPRODUCT(--($AO$2:$AO$3001&lt;$AO414))+1,"")</f>
        <v/>
      </c>
      <c r="AM414">
        <f>IF($D414="","",IF(OR($R414=TRUE(),$R414="TRUE"),1,0))</f>
        <v/>
      </c>
      <c r="AN414">
        <f>IF($D414="","",IF($X414="Yes",1,0))</f>
        <v/>
      </c>
      <c r="AO414">
        <f>IF($AK414=1,IFERROR(IF(VALUE($D414)&lt;100000000,VALUE($D414),1000000000),IFERROR(IF(VALUE(MID($D414,2,20))&lt;100000000,VALUE(MID($D414,2,20)),1000000000),1000000000))+ROW()/100000,"")</f>
        <v/>
      </c>
    </row>
    <row r="415">
      <c r="F415" s="11" t="n"/>
      <c r="N415" s="7">
        <f>IF($D415="","",M415*V415/100)</f>
        <v/>
      </c>
      <c r="O415" s="7" t="n"/>
      <c r="U415" s="7" t="n"/>
      <c r="V415" s="7" t="n"/>
      <c r="Y415">
        <f>IF($D415="","",IF($AN415=1,0,IF($AM415=1,Settings!$C$6,Settings!$C$7))*100)</f>
        <v/>
      </c>
      <c r="Z415" s="7">
        <f>IF($D415="","",V415*Y415/100)</f>
        <v/>
      </c>
      <c r="AA415" s="7">
        <f>IF($D415="","",V415-Z415)</f>
        <v/>
      </c>
      <c r="AB415" s="7">
        <f>IF($D415="","",AA415-N415)</f>
        <v/>
      </c>
      <c r="AF415" s="7" t="n"/>
      <c r="AI415" s="11" t="n"/>
      <c r="AK415">
        <f>IF($D415="","",IF(COUNTIF($D$2:$D415,$D415)=1,1,0))</f>
        <v/>
      </c>
      <c r="AL415">
        <f>IF($AK415=1,SUMPRODUCT(--($AO$2:$AO$3001&lt;$AO415))+1,"")</f>
        <v/>
      </c>
      <c r="AM415">
        <f>IF($D415="","",IF(OR($R415=TRUE(),$R415="TRUE"),1,0))</f>
        <v/>
      </c>
      <c r="AN415">
        <f>IF($D415="","",IF($X415="Yes",1,0))</f>
        <v/>
      </c>
      <c r="AO415">
        <f>IF($AK415=1,IFERROR(IF(VALUE($D415)&lt;100000000,VALUE($D415),1000000000),IFERROR(IF(VALUE(MID($D415,2,20))&lt;100000000,VALUE(MID($D415,2,20)),1000000000),1000000000))+ROW()/100000,"")</f>
        <v/>
      </c>
    </row>
    <row r="416">
      <c r="F416" s="11" t="n"/>
      <c r="N416" s="7">
        <f>IF($D416="","",M416*V416/100)</f>
        <v/>
      </c>
      <c r="O416" s="7" t="n"/>
      <c r="U416" s="7" t="n"/>
      <c r="V416" s="7" t="n"/>
      <c r="Y416">
        <f>IF($D416="","",IF($AN416=1,0,IF($AM416=1,Settings!$C$6,Settings!$C$7))*100)</f>
        <v/>
      </c>
      <c r="Z416" s="7">
        <f>IF($D416="","",V416*Y416/100)</f>
        <v/>
      </c>
      <c r="AA416" s="7">
        <f>IF($D416="","",V416-Z416)</f>
        <v/>
      </c>
      <c r="AB416" s="7">
        <f>IF($D416="","",AA416-N416)</f>
        <v/>
      </c>
      <c r="AF416" s="7" t="n"/>
      <c r="AI416" s="11" t="n"/>
      <c r="AK416">
        <f>IF($D416="","",IF(COUNTIF($D$2:$D416,$D416)=1,1,0))</f>
        <v/>
      </c>
      <c r="AL416">
        <f>IF($AK416=1,SUMPRODUCT(--($AO$2:$AO$3001&lt;$AO416))+1,"")</f>
        <v/>
      </c>
      <c r="AM416">
        <f>IF($D416="","",IF(OR($R416=TRUE(),$R416="TRUE"),1,0))</f>
        <v/>
      </c>
      <c r="AN416">
        <f>IF($D416="","",IF($X416="Yes",1,0))</f>
        <v/>
      </c>
      <c r="AO416">
        <f>IF($AK416=1,IFERROR(IF(VALUE($D416)&lt;100000000,VALUE($D416),1000000000),IFERROR(IF(VALUE(MID($D416,2,20))&lt;100000000,VALUE(MID($D416,2,20)),1000000000),1000000000))+ROW()/100000,"")</f>
        <v/>
      </c>
    </row>
    <row r="417">
      <c r="F417" s="11" t="n"/>
      <c r="N417" s="7">
        <f>IF($D417="","",M417*V417/100)</f>
        <v/>
      </c>
      <c r="O417" s="7" t="n"/>
      <c r="U417" s="7" t="n"/>
      <c r="V417" s="7" t="n"/>
      <c r="Y417">
        <f>IF($D417="","",IF($AN417=1,0,IF($AM417=1,Settings!$C$6,Settings!$C$7))*100)</f>
        <v/>
      </c>
      <c r="Z417" s="7">
        <f>IF($D417="","",V417*Y417/100)</f>
        <v/>
      </c>
      <c r="AA417" s="7">
        <f>IF($D417="","",V417-Z417)</f>
        <v/>
      </c>
      <c r="AB417" s="7">
        <f>IF($D417="","",AA417-N417)</f>
        <v/>
      </c>
      <c r="AF417" s="7" t="n"/>
      <c r="AI417" s="11" t="n"/>
      <c r="AK417">
        <f>IF($D417="","",IF(COUNTIF($D$2:$D417,$D417)=1,1,0))</f>
        <v/>
      </c>
      <c r="AL417">
        <f>IF($AK417=1,SUMPRODUCT(--($AO$2:$AO$3001&lt;$AO417))+1,"")</f>
        <v/>
      </c>
      <c r="AM417">
        <f>IF($D417="","",IF(OR($R417=TRUE(),$R417="TRUE"),1,0))</f>
        <v/>
      </c>
      <c r="AN417">
        <f>IF($D417="","",IF($X417="Yes",1,0))</f>
        <v/>
      </c>
      <c r="AO417">
        <f>IF($AK417=1,IFERROR(IF(VALUE($D417)&lt;100000000,VALUE($D417),1000000000),IFERROR(IF(VALUE(MID($D417,2,20))&lt;100000000,VALUE(MID($D417,2,20)),1000000000),1000000000))+ROW()/100000,"")</f>
        <v/>
      </c>
    </row>
    <row r="418">
      <c r="F418" s="11" t="n"/>
      <c r="N418" s="7">
        <f>IF($D418="","",M418*V418/100)</f>
        <v/>
      </c>
      <c r="O418" s="7" t="n"/>
      <c r="U418" s="7" t="n"/>
      <c r="V418" s="7" t="n"/>
      <c r="Y418">
        <f>IF($D418="","",IF($AN418=1,0,IF($AM418=1,Settings!$C$6,Settings!$C$7))*100)</f>
        <v/>
      </c>
      <c r="Z418" s="7">
        <f>IF($D418="","",V418*Y418/100)</f>
        <v/>
      </c>
      <c r="AA418" s="7">
        <f>IF($D418="","",V418-Z418)</f>
        <v/>
      </c>
      <c r="AB418" s="7">
        <f>IF($D418="","",AA418-N418)</f>
        <v/>
      </c>
      <c r="AF418" s="7" t="n"/>
      <c r="AI418" s="11" t="n"/>
      <c r="AK418">
        <f>IF($D418="","",IF(COUNTIF($D$2:$D418,$D418)=1,1,0))</f>
        <v/>
      </c>
      <c r="AL418">
        <f>IF($AK418=1,SUMPRODUCT(--($AO$2:$AO$3001&lt;$AO418))+1,"")</f>
        <v/>
      </c>
      <c r="AM418">
        <f>IF($D418="","",IF(OR($R418=TRUE(),$R418="TRUE"),1,0))</f>
        <v/>
      </c>
      <c r="AN418">
        <f>IF($D418="","",IF($X418="Yes",1,0))</f>
        <v/>
      </c>
      <c r="AO418">
        <f>IF($AK418=1,IFERROR(IF(VALUE($D418)&lt;100000000,VALUE($D418),1000000000),IFERROR(IF(VALUE(MID($D418,2,20))&lt;100000000,VALUE(MID($D418,2,20)),1000000000),1000000000))+ROW()/100000,"")</f>
        <v/>
      </c>
    </row>
    <row r="419">
      <c r="F419" s="11" t="n"/>
      <c r="N419" s="7">
        <f>IF($D419="","",M419*V419/100)</f>
        <v/>
      </c>
      <c r="O419" s="7" t="n"/>
      <c r="U419" s="7" t="n"/>
      <c r="V419" s="7" t="n"/>
      <c r="Y419">
        <f>IF($D419="","",IF($AN419=1,0,IF($AM419=1,Settings!$C$6,Settings!$C$7))*100)</f>
        <v/>
      </c>
      <c r="Z419" s="7">
        <f>IF($D419="","",V419*Y419/100)</f>
        <v/>
      </c>
      <c r="AA419" s="7">
        <f>IF($D419="","",V419-Z419)</f>
        <v/>
      </c>
      <c r="AB419" s="7">
        <f>IF($D419="","",AA419-N419)</f>
        <v/>
      </c>
      <c r="AF419" s="7" t="n"/>
      <c r="AI419" s="11" t="n"/>
      <c r="AK419">
        <f>IF($D419="","",IF(COUNTIF($D$2:$D419,$D419)=1,1,0))</f>
        <v/>
      </c>
      <c r="AL419">
        <f>IF($AK419=1,SUMPRODUCT(--($AO$2:$AO$3001&lt;$AO419))+1,"")</f>
        <v/>
      </c>
      <c r="AM419">
        <f>IF($D419="","",IF(OR($R419=TRUE(),$R419="TRUE"),1,0))</f>
        <v/>
      </c>
      <c r="AN419">
        <f>IF($D419="","",IF($X419="Yes",1,0))</f>
        <v/>
      </c>
      <c r="AO419">
        <f>IF($AK419=1,IFERROR(IF(VALUE($D419)&lt;100000000,VALUE($D419),1000000000),IFERROR(IF(VALUE(MID($D419,2,20))&lt;100000000,VALUE(MID($D419,2,20)),1000000000),1000000000))+ROW()/100000,"")</f>
        <v/>
      </c>
    </row>
    <row r="420">
      <c r="F420" s="11" t="n"/>
      <c r="N420" s="7">
        <f>IF($D420="","",M420*V420/100)</f>
        <v/>
      </c>
      <c r="O420" s="7" t="n"/>
      <c r="U420" s="7" t="n"/>
      <c r="V420" s="7" t="n"/>
      <c r="Y420">
        <f>IF($D420="","",IF($AN420=1,0,IF($AM420=1,Settings!$C$6,Settings!$C$7))*100)</f>
        <v/>
      </c>
      <c r="Z420" s="7">
        <f>IF($D420="","",V420*Y420/100)</f>
        <v/>
      </c>
      <c r="AA420" s="7">
        <f>IF($D420="","",V420-Z420)</f>
        <v/>
      </c>
      <c r="AB420" s="7">
        <f>IF($D420="","",AA420-N420)</f>
        <v/>
      </c>
      <c r="AF420" s="7" t="n"/>
      <c r="AI420" s="11" t="n"/>
      <c r="AK420">
        <f>IF($D420="","",IF(COUNTIF($D$2:$D420,$D420)=1,1,0))</f>
        <v/>
      </c>
      <c r="AL420">
        <f>IF($AK420=1,SUMPRODUCT(--($AO$2:$AO$3001&lt;$AO420))+1,"")</f>
        <v/>
      </c>
      <c r="AM420">
        <f>IF($D420="","",IF(OR($R420=TRUE(),$R420="TRUE"),1,0))</f>
        <v/>
      </c>
      <c r="AN420">
        <f>IF($D420="","",IF($X420="Yes",1,0))</f>
        <v/>
      </c>
      <c r="AO420">
        <f>IF($AK420=1,IFERROR(IF(VALUE($D420)&lt;100000000,VALUE($D420),1000000000),IFERROR(IF(VALUE(MID($D420,2,20))&lt;100000000,VALUE(MID($D420,2,20)),1000000000),1000000000))+ROW()/100000,"")</f>
        <v/>
      </c>
    </row>
    <row r="421">
      <c r="F421" s="11" t="n"/>
      <c r="N421" s="7">
        <f>IF($D421="","",M421*V421/100)</f>
        <v/>
      </c>
      <c r="O421" s="7" t="n"/>
      <c r="U421" s="7" t="n"/>
      <c r="V421" s="7" t="n"/>
      <c r="Y421">
        <f>IF($D421="","",IF($AN421=1,0,IF($AM421=1,Settings!$C$6,Settings!$C$7))*100)</f>
        <v/>
      </c>
      <c r="Z421" s="7">
        <f>IF($D421="","",V421*Y421/100)</f>
        <v/>
      </c>
      <c r="AA421" s="7">
        <f>IF($D421="","",V421-Z421)</f>
        <v/>
      </c>
      <c r="AB421" s="7">
        <f>IF($D421="","",AA421-N421)</f>
        <v/>
      </c>
      <c r="AF421" s="7" t="n"/>
      <c r="AI421" s="11" t="n"/>
      <c r="AK421">
        <f>IF($D421="","",IF(COUNTIF($D$2:$D421,$D421)=1,1,0))</f>
        <v/>
      </c>
      <c r="AL421">
        <f>IF($AK421=1,SUMPRODUCT(--($AO$2:$AO$3001&lt;$AO421))+1,"")</f>
        <v/>
      </c>
      <c r="AM421">
        <f>IF($D421="","",IF(OR($R421=TRUE(),$R421="TRUE"),1,0))</f>
        <v/>
      </c>
      <c r="AN421">
        <f>IF($D421="","",IF($X421="Yes",1,0))</f>
        <v/>
      </c>
      <c r="AO421">
        <f>IF($AK421=1,IFERROR(IF(VALUE($D421)&lt;100000000,VALUE($D421),1000000000),IFERROR(IF(VALUE(MID($D421,2,20))&lt;100000000,VALUE(MID($D421,2,20)),1000000000),1000000000))+ROW()/100000,"")</f>
        <v/>
      </c>
    </row>
    <row r="422">
      <c r="F422" s="11" t="n"/>
      <c r="N422" s="7">
        <f>IF($D422="","",M422*V422/100)</f>
        <v/>
      </c>
      <c r="O422" s="7" t="n"/>
      <c r="U422" s="7" t="n"/>
      <c r="V422" s="7" t="n"/>
      <c r="Y422">
        <f>IF($D422="","",IF($AN422=1,0,IF($AM422=1,Settings!$C$6,Settings!$C$7))*100)</f>
        <v/>
      </c>
      <c r="Z422" s="7">
        <f>IF($D422="","",V422*Y422/100)</f>
        <v/>
      </c>
      <c r="AA422" s="7">
        <f>IF($D422="","",V422-Z422)</f>
        <v/>
      </c>
      <c r="AB422" s="7">
        <f>IF($D422="","",AA422-N422)</f>
        <v/>
      </c>
      <c r="AF422" s="7" t="n"/>
      <c r="AI422" s="11" t="n"/>
      <c r="AK422">
        <f>IF($D422="","",IF(COUNTIF($D$2:$D422,$D422)=1,1,0))</f>
        <v/>
      </c>
      <c r="AL422">
        <f>IF($AK422=1,SUMPRODUCT(--($AO$2:$AO$3001&lt;$AO422))+1,"")</f>
        <v/>
      </c>
      <c r="AM422">
        <f>IF($D422="","",IF(OR($R422=TRUE(),$R422="TRUE"),1,0))</f>
        <v/>
      </c>
      <c r="AN422">
        <f>IF($D422="","",IF($X422="Yes",1,0))</f>
        <v/>
      </c>
      <c r="AO422">
        <f>IF($AK422=1,IFERROR(IF(VALUE($D422)&lt;100000000,VALUE($D422),1000000000),IFERROR(IF(VALUE(MID($D422,2,20))&lt;100000000,VALUE(MID($D422,2,20)),1000000000),1000000000))+ROW()/100000,"")</f>
        <v/>
      </c>
    </row>
    <row r="423">
      <c r="F423" s="11" t="n"/>
      <c r="N423" s="7">
        <f>IF($D423="","",M423*V423/100)</f>
        <v/>
      </c>
      <c r="O423" s="7" t="n"/>
      <c r="U423" s="7" t="n"/>
      <c r="V423" s="7" t="n"/>
      <c r="Y423">
        <f>IF($D423="","",IF($AN423=1,0,IF($AM423=1,Settings!$C$6,Settings!$C$7))*100)</f>
        <v/>
      </c>
      <c r="Z423" s="7">
        <f>IF($D423="","",V423*Y423/100)</f>
        <v/>
      </c>
      <c r="AA423" s="7">
        <f>IF($D423="","",V423-Z423)</f>
        <v/>
      </c>
      <c r="AB423" s="7">
        <f>IF($D423="","",AA423-N423)</f>
        <v/>
      </c>
      <c r="AF423" s="7" t="n"/>
      <c r="AI423" s="11" t="n"/>
      <c r="AK423">
        <f>IF($D423="","",IF(COUNTIF($D$2:$D423,$D423)=1,1,0))</f>
        <v/>
      </c>
      <c r="AL423">
        <f>IF($AK423=1,SUMPRODUCT(--($AO$2:$AO$3001&lt;$AO423))+1,"")</f>
        <v/>
      </c>
      <c r="AM423">
        <f>IF($D423="","",IF(OR($R423=TRUE(),$R423="TRUE"),1,0))</f>
        <v/>
      </c>
      <c r="AN423">
        <f>IF($D423="","",IF($X423="Yes",1,0))</f>
        <v/>
      </c>
      <c r="AO423">
        <f>IF($AK423=1,IFERROR(IF(VALUE($D423)&lt;100000000,VALUE($D423),1000000000),IFERROR(IF(VALUE(MID($D423,2,20))&lt;100000000,VALUE(MID($D423,2,20)),1000000000),1000000000))+ROW()/100000,"")</f>
        <v/>
      </c>
    </row>
    <row r="424">
      <c r="F424" s="11" t="n"/>
      <c r="N424" s="7">
        <f>IF($D424="","",M424*V424/100)</f>
        <v/>
      </c>
      <c r="O424" s="7" t="n"/>
      <c r="U424" s="7" t="n"/>
      <c r="V424" s="7" t="n"/>
      <c r="Y424">
        <f>IF($D424="","",IF($AN424=1,0,IF($AM424=1,Settings!$C$6,Settings!$C$7))*100)</f>
        <v/>
      </c>
      <c r="Z424" s="7">
        <f>IF($D424="","",V424*Y424/100)</f>
        <v/>
      </c>
      <c r="AA424" s="7">
        <f>IF($D424="","",V424-Z424)</f>
        <v/>
      </c>
      <c r="AB424" s="7">
        <f>IF($D424="","",AA424-N424)</f>
        <v/>
      </c>
      <c r="AF424" s="7" t="n"/>
      <c r="AI424" s="11" t="n"/>
      <c r="AK424">
        <f>IF($D424="","",IF(COUNTIF($D$2:$D424,$D424)=1,1,0))</f>
        <v/>
      </c>
      <c r="AL424">
        <f>IF($AK424=1,SUMPRODUCT(--($AO$2:$AO$3001&lt;$AO424))+1,"")</f>
        <v/>
      </c>
      <c r="AM424">
        <f>IF($D424="","",IF(OR($R424=TRUE(),$R424="TRUE"),1,0))</f>
        <v/>
      </c>
      <c r="AN424">
        <f>IF($D424="","",IF($X424="Yes",1,0))</f>
        <v/>
      </c>
      <c r="AO424">
        <f>IF($AK424=1,IFERROR(IF(VALUE($D424)&lt;100000000,VALUE($D424),1000000000),IFERROR(IF(VALUE(MID($D424,2,20))&lt;100000000,VALUE(MID($D424,2,20)),1000000000),1000000000))+ROW()/100000,"")</f>
        <v/>
      </c>
    </row>
    <row r="425">
      <c r="F425" s="11" t="n"/>
      <c r="N425" s="7">
        <f>IF($D425="","",M425*V425/100)</f>
        <v/>
      </c>
      <c r="O425" s="7" t="n"/>
      <c r="U425" s="7" t="n"/>
      <c r="V425" s="7" t="n"/>
      <c r="Y425">
        <f>IF($D425="","",IF($AN425=1,0,IF($AM425=1,Settings!$C$6,Settings!$C$7))*100)</f>
        <v/>
      </c>
      <c r="Z425" s="7">
        <f>IF($D425="","",V425*Y425/100)</f>
        <v/>
      </c>
      <c r="AA425" s="7">
        <f>IF($D425="","",V425-Z425)</f>
        <v/>
      </c>
      <c r="AB425" s="7">
        <f>IF($D425="","",AA425-N425)</f>
        <v/>
      </c>
      <c r="AF425" s="7" t="n"/>
      <c r="AI425" s="11" t="n"/>
      <c r="AK425">
        <f>IF($D425="","",IF(COUNTIF($D$2:$D425,$D425)=1,1,0))</f>
        <v/>
      </c>
      <c r="AL425">
        <f>IF($AK425=1,SUMPRODUCT(--($AO$2:$AO$3001&lt;$AO425))+1,"")</f>
        <v/>
      </c>
      <c r="AM425">
        <f>IF($D425="","",IF(OR($R425=TRUE(),$R425="TRUE"),1,0))</f>
        <v/>
      </c>
      <c r="AN425">
        <f>IF($D425="","",IF($X425="Yes",1,0))</f>
        <v/>
      </c>
      <c r="AO425">
        <f>IF($AK425=1,IFERROR(IF(VALUE($D425)&lt;100000000,VALUE($D425),1000000000),IFERROR(IF(VALUE(MID($D425,2,20))&lt;100000000,VALUE(MID($D425,2,20)),1000000000),1000000000))+ROW()/100000,"")</f>
        <v/>
      </c>
    </row>
    <row r="426">
      <c r="F426" s="11" t="n"/>
      <c r="N426" s="7">
        <f>IF($D426="","",M426*V426/100)</f>
        <v/>
      </c>
      <c r="O426" s="7" t="n"/>
      <c r="U426" s="7" t="n"/>
      <c r="V426" s="7" t="n"/>
      <c r="Y426">
        <f>IF($D426="","",IF($AN426=1,0,IF($AM426=1,Settings!$C$6,Settings!$C$7))*100)</f>
        <v/>
      </c>
      <c r="Z426" s="7">
        <f>IF($D426="","",V426*Y426/100)</f>
        <v/>
      </c>
      <c r="AA426" s="7">
        <f>IF($D426="","",V426-Z426)</f>
        <v/>
      </c>
      <c r="AB426" s="7">
        <f>IF($D426="","",AA426-N426)</f>
        <v/>
      </c>
      <c r="AF426" s="7" t="n"/>
      <c r="AI426" s="11" t="n"/>
      <c r="AK426">
        <f>IF($D426="","",IF(COUNTIF($D$2:$D426,$D426)=1,1,0))</f>
        <v/>
      </c>
      <c r="AL426">
        <f>IF($AK426=1,SUMPRODUCT(--($AO$2:$AO$3001&lt;$AO426))+1,"")</f>
        <v/>
      </c>
      <c r="AM426">
        <f>IF($D426="","",IF(OR($R426=TRUE(),$R426="TRUE"),1,0))</f>
        <v/>
      </c>
      <c r="AN426">
        <f>IF($D426="","",IF($X426="Yes",1,0))</f>
        <v/>
      </c>
      <c r="AO426">
        <f>IF($AK426=1,IFERROR(IF(VALUE($D426)&lt;100000000,VALUE($D426),1000000000),IFERROR(IF(VALUE(MID($D426,2,20))&lt;100000000,VALUE(MID($D426,2,20)),1000000000),1000000000))+ROW()/100000,"")</f>
        <v/>
      </c>
    </row>
    <row r="427">
      <c r="F427" s="11" t="n"/>
      <c r="N427" s="7">
        <f>IF($D427="","",M427*V427/100)</f>
        <v/>
      </c>
      <c r="O427" s="7" t="n"/>
      <c r="U427" s="7" t="n"/>
      <c r="V427" s="7" t="n"/>
      <c r="Y427">
        <f>IF($D427="","",IF($AN427=1,0,IF($AM427=1,Settings!$C$6,Settings!$C$7))*100)</f>
        <v/>
      </c>
      <c r="Z427" s="7">
        <f>IF($D427="","",V427*Y427/100)</f>
        <v/>
      </c>
      <c r="AA427" s="7">
        <f>IF($D427="","",V427-Z427)</f>
        <v/>
      </c>
      <c r="AB427" s="7">
        <f>IF($D427="","",AA427-N427)</f>
        <v/>
      </c>
      <c r="AF427" s="7" t="n"/>
      <c r="AI427" s="11" t="n"/>
      <c r="AK427">
        <f>IF($D427="","",IF(COUNTIF($D$2:$D427,$D427)=1,1,0))</f>
        <v/>
      </c>
      <c r="AL427">
        <f>IF($AK427=1,SUMPRODUCT(--($AO$2:$AO$3001&lt;$AO427))+1,"")</f>
        <v/>
      </c>
      <c r="AM427">
        <f>IF($D427="","",IF(OR($R427=TRUE(),$R427="TRUE"),1,0))</f>
        <v/>
      </c>
      <c r="AN427">
        <f>IF($D427="","",IF($X427="Yes",1,0))</f>
        <v/>
      </c>
      <c r="AO427">
        <f>IF($AK427=1,IFERROR(IF(VALUE($D427)&lt;100000000,VALUE($D427),1000000000),IFERROR(IF(VALUE(MID($D427,2,20))&lt;100000000,VALUE(MID($D427,2,20)),1000000000),1000000000))+ROW()/100000,"")</f>
        <v/>
      </c>
    </row>
    <row r="428">
      <c r="F428" s="11" t="n"/>
      <c r="N428" s="7">
        <f>IF($D428="","",M428*V428/100)</f>
        <v/>
      </c>
      <c r="O428" s="7" t="n"/>
      <c r="U428" s="7" t="n"/>
      <c r="V428" s="7" t="n"/>
      <c r="Y428">
        <f>IF($D428="","",IF($AN428=1,0,IF($AM428=1,Settings!$C$6,Settings!$C$7))*100)</f>
        <v/>
      </c>
      <c r="Z428" s="7">
        <f>IF($D428="","",V428*Y428/100)</f>
        <v/>
      </c>
      <c r="AA428" s="7">
        <f>IF($D428="","",V428-Z428)</f>
        <v/>
      </c>
      <c r="AB428" s="7">
        <f>IF($D428="","",AA428-N428)</f>
        <v/>
      </c>
      <c r="AF428" s="7" t="n"/>
      <c r="AI428" s="11" t="n"/>
      <c r="AK428">
        <f>IF($D428="","",IF(COUNTIF($D$2:$D428,$D428)=1,1,0))</f>
        <v/>
      </c>
      <c r="AL428">
        <f>IF($AK428=1,SUMPRODUCT(--($AO$2:$AO$3001&lt;$AO428))+1,"")</f>
        <v/>
      </c>
      <c r="AM428">
        <f>IF($D428="","",IF(OR($R428=TRUE(),$R428="TRUE"),1,0))</f>
        <v/>
      </c>
      <c r="AN428">
        <f>IF($D428="","",IF($X428="Yes",1,0))</f>
        <v/>
      </c>
      <c r="AO428">
        <f>IF($AK428=1,IFERROR(IF(VALUE($D428)&lt;100000000,VALUE($D428),1000000000),IFERROR(IF(VALUE(MID($D428,2,20))&lt;100000000,VALUE(MID($D428,2,20)),1000000000),1000000000))+ROW()/100000,"")</f>
        <v/>
      </c>
    </row>
    <row r="429">
      <c r="F429" s="11" t="n"/>
      <c r="N429" s="7">
        <f>IF($D429="","",M429*V429/100)</f>
        <v/>
      </c>
      <c r="O429" s="7" t="n"/>
      <c r="U429" s="7" t="n"/>
      <c r="V429" s="7" t="n"/>
      <c r="Y429">
        <f>IF($D429="","",IF($AN429=1,0,IF($AM429=1,Settings!$C$6,Settings!$C$7))*100)</f>
        <v/>
      </c>
      <c r="Z429" s="7">
        <f>IF($D429="","",V429*Y429/100)</f>
        <v/>
      </c>
      <c r="AA429" s="7">
        <f>IF($D429="","",V429-Z429)</f>
        <v/>
      </c>
      <c r="AB429" s="7">
        <f>IF($D429="","",AA429-N429)</f>
        <v/>
      </c>
      <c r="AF429" s="7" t="n"/>
      <c r="AI429" s="11" t="n"/>
      <c r="AK429">
        <f>IF($D429="","",IF(COUNTIF($D$2:$D429,$D429)=1,1,0))</f>
        <v/>
      </c>
      <c r="AL429">
        <f>IF($AK429=1,SUMPRODUCT(--($AO$2:$AO$3001&lt;$AO429))+1,"")</f>
        <v/>
      </c>
      <c r="AM429">
        <f>IF($D429="","",IF(OR($R429=TRUE(),$R429="TRUE"),1,0))</f>
        <v/>
      </c>
      <c r="AN429">
        <f>IF($D429="","",IF($X429="Yes",1,0))</f>
        <v/>
      </c>
      <c r="AO429">
        <f>IF($AK429=1,IFERROR(IF(VALUE($D429)&lt;100000000,VALUE($D429),1000000000),IFERROR(IF(VALUE(MID($D429,2,20))&lt;100000000,VALUE(MID($D429,2,20)),1000000000),1000000000))+ROW()/100000,"")</f>
        <v/>
      </c>
    </row>
    <row r="430">
      <c r="F430" s="11" t="n"/>
      <c r="N430" s="7">
        <f>IF($D430="","",M430*V430/100)</f>
        <v/>
      </c>
      <c r="O430" s="7" t="n"/>
      <c r="U430" s="7" t="n"/>
      <c r="V430" s="7" t="n"/>
      <c r="Y430">
        <f>IF($D430="","",IF($AN430=1,0,IF($AM430=1,Settings!$C$6,Settings!$C$7))*100)</f>
        <v/>
      </c>
      <c r="Z430" s="7">
        <f>IF($D430="","",V430*Y430/100)</f>
        <v/>
      </c>
      <c r="AA430" s="7">
        <f>IF($D430="","",V430-Z430)</f>
        <v/>
      </c>
      <c r="AB430" s="7">
        <f>IF($D430="","",AA430-N430)</f>
        <v/>
      </c>
      <c r="AF430" s="7" t="n"/>
      <c r="AI430" s="11" t="n"/>
      <c r="AK430">
        <f>IF($D430="","",IF(COUNTIF($D$2:$D430,$D430)=1,1,0))</f>
        <v/>
      </c>
      <c r="AL430">
        <f>IF($AK430=1,SUMPRODUCT(--($AO$2:$AO$3001&lt;$AO430))+1,"")</f>
        <v/>
      </c>
      <c r="AM430">
        <f>IF($D430="","",IF(OR($R430=TRUE(),$R430="TRUE"),1,0))</f>
        <v/>
      </c>
      <c r="AN430">
        <f>IF($D430="","",IF($X430="Yes",1,0))</f>
        <v/>
      </c>
      <c r="AO430">
        <f>IF($AK430=1,IFERROR(IF(VALUE($D430)&lt;100000000,VALUE($D430),1000000000),IFERROR(IF(VALUE(MID($D430,2,20))&lt;100000000,VALUE(MID($D430,2,20)),1000000000),1000000000))+ROW()/100000,"")</f>
        <v/>
      </c>
    </row>
    <row r="431">
      <c r="F431" s="11" t="n"/>
      <c r="N431" s="7">
        <f>IF($D431="","",M431*V431/100)</f>
        <v/>
      </c>
      <c r="O431" s="7" t="n"/>
      <c r="U431" s="7" t="n"/>
      <c r="V431" s="7" t="n"/>
      <c r="Y431">
        <f>IF($D431="","",IF($AN431=1,0,IF($AM431=1,Settings!$C$6,Settings!$C$7))*100)</f>
        <v/>
      </c>
      <c r="Z431" s="7">
        <f>IF($D431="","",V431*Y431/100)</f>
        <v/>
      </c>
      <c r="AA431" s="7">
        <f>IF($D431="","",V431-Z431)</f>
        <v/>
      </c>
      <c r="AB431" s="7">
        <f>IF($D431="","",AA431-N431)</f>
        <v/>
      </c>
      <c r="AF431" s="7" t="n"/>
      <c r="AI431" s="11" t="n"/>
      <c r="AK431">
        <f>IF($D431="","",IF(COUNTIF($D$2:$D431,$D431)=1,1,0))</f>
        <v/>
      </c>
      <c r="AL431">
        <f>IF($AK431=1,SUMPRODUCT(--($AO$2:$AO$3001&lt;$AO431))+1,"")</f>
        <v/>
      </c>
      <c r="AM431">
        <f>IF($D431="","",IF(OR($R431=TRUE(),$R431="TRUE"),1,0))</f>
        <v/>
      </c>
      <c r="AN431">
        <f>IF($D431="","",IF($X431="Yes",1,0))</f>
        <v/>
      </c>
      <c r="AO431">
        <f>IF($AK431=1,IFERROR(IF(VALUE($D431)&lt;100000000,VALUE($D431),1000000000),IFERROR(IF(VALUE(MID($D431,2,20))&lt;100000000,VALUE(MID($D431,2,20)),1000000000),1000000000))+ROW()/100000,"")</f>
        <v/>
      </c>
    </row>
    <row r="432">
      <c r="F432" s="11" t="n"/>
      <c r="N432" s="7">
        <f>IF($D432="","",M432*V432/100)</f>
        <v/>
      </c>
      <c r="O432" s="7" t="n"/>
      <c r="U432" s="7" t="n"/>
      <c r="V432" s="7" t="n"/>
      <c r="Y432">
        <f>IF($D432="","",IF($AN432=1,0,IF($AM432=1,Settings!$C$6,Settings!$C$7))*100)</f>
        <v/>
      </c>
      <c r="Z432" s="7">
        <f>IF($D432="","",V432*Y432/100)</f>
        <v/>
      </c>
      <c r="AA432" s="7">
        <f>IF($D432="","",V432-Z432)</f>
        <v/>
      </c>
      <c r="AB432" s="7">
        <f>IF($D432="","",AA432-N432)</f>
        <v/>
      </c>
      <c r="AF432" s="7" t="n"/>
      <c r="AI432" s="11" t="n"/>
      <c r="AK432">
        <f>IF($D432="","",IF(COUNTIF($D$2:$D432,$D432)=1,1,0))</f>
        <v/>
      </c>
      <c r="AL432">
        <f>IF($AK432=1,SUMPRODUCT(--($AO$2:$AO$3001&lt;$AO432))+1,"")</f>
        <v/>
      </c>
      <c r="AM432">
        <f>IF($D432="","",IF(OR($R432=TRUE(),$R432="TRUE"),1,0))</f>
        <v/>
      </c>
      <c r="AN432">
        <f>IF($D432="","",IF($X432="Yes",1,0))</f>
        <v/>
      </c>
      <c r="AO432">
        <f>IF($AK432=1,IFERROR(IF(VALUE($D432)&lt;100000000,VALUE($D432),1000000000),IFERROR(IF(VALUE(MID($D432,2,20))&lt;100000000,VALUE(MID($D432,2,20)),1000000000),1000000000))+ROW()/100000,"")</f>
        <v/>
      </c>
    </row>
    <row r="433">
      <c r="F433" s="11" t="n"/>
      <c r="N433" s="7">
        <f>IF($D433="","",M433*V433/100)</f>
        <v/>
      </c>
      <c r="O433" s="7" t="n"/>
      <c r="U433" s="7" t="n"/>
      <c r="V433" s="7" t="n"/>
      <c r="Y433">
        <f>IF($D433="","",IF($AN433=1,0,IF($AM433=1,Settings!$C$6,Settings!$C$7))*100)</f>
        <v/>
      </c>
      <c r="Z433" s="7">
        <f>IF($D433="","",V433*Y433/100)</f>
        <v/>
      </c>
      <c r="AA433" s="7">
        <f>IF($D433="","",V433-Z433)</f>
        <v/>
      </c>
      <c r="AB433" s="7">
        <f>IF($D433="","",AA433-N433)</f>
        <v/>
      </c>
      <c r="AF433" s="7" t="n"/>
      <c r="AI433" s="11" t="n"/>
      <c r="AK433">
        <f>IF($D433="","",IF(COUNTIF($D$2:$D433,$D433)=1,1,0))</f>
        <v/>
      </c>
      <c r="AL433">
        <f>IF($AK433=1,SUMPRODUCT(--($AO$2:$AO$3001&lt;$AO433))+1,"")</f>
        <v/>
      </c>
      <c r="AM433">
        <f>IF($D433="","",IF(OR($R433=TRUE(),$R433="TRUE"),1,0))</f>
        <v/>
      </c>
      <c r="AN433">
        <f>IF($D433="","",IF($X433="Yes",1,0))</f>
        <v/>
      </c>
      <c r="AO433">
        <f>IF($AK433=1,IFERROR(IF(VALUE($D433)&lt;100000000,VALUE($D433),1000000000),IFERROR(IF(VALUE(MID($D433,2,20))&lt;100000000,VALUE(MID($D433,2,20)),1000000000),1000000000))+ROW()/100000,"")</f>
        <v/>
      </c>
    </row>
    <row r="434">
      <c r="F434" s="11" t="n"/>
      <c r="N434" s="7">
        <f>IF($D434="","",M434*V434/100)</f>
        <v/>
      </c>
      <c r="O434" s="7" t="n"/>
      <c r="U434" s="7" t="n"/>
      <c r="V434" s="7" t="n"/>
      <c r="Y434">
        <f>IF($D434="","",IF($AN434=1,0,IF($AM434=1,Settings!$C$6,Settings!$C$7))*100)</f>
        <v/>
      </c>
      <c r="Z434" s="7">
        <f>IF($D434="","",V434*Y434/100)</f>
        <v/>
      </c>
      <c r="AA434" s="7">
        <f>IF($D434="","",V434-Z434)</f>
        <v/>
      </c>
      <c r="AB434" s="7">
        <f>IF($D434="","",AA434-N434)</f>
        <v/>
      </c>
      <c r="AF434" s="7" t="n"/>
      <c r="AI434" s="11" t="n"/>
      <c r="AK434">
        <f>IF($D434="","",IF(COUNTIF($D$2:$D434,$D434)=1,1,0))</f>
        <v/>
      </c>
      <c r="AL434">
        <f>IF($AK434=1,SUMPRODUCT(--($AO$2:$AO$3001&lt;$AO434))+1,"")</f>
        <v/>
      </c>
      <c r="AM434">
        <f>IF($D434="","",IF(OR($R434=TRUE(),$R434="TRUE"),1,0))</f>
        <v/>
      </c>
      <c r="AN434">
        <f>IF($D434="","",IF($X434="Yes",1,0))</f>
        <v/>
      </c>
      <c r="AO434">
        <f>IF($AK434=1,IFERROR(IF(VALUE($D434)&lt;100000000,VALUE($D434),1000000000),IFERROR(IF(VALUE(MID($D434,2,20))&lt;100000000,VALUE(MID($D434,2,20)),1000000000),1000000000))+ROW()/100000,"")</f>
        <v/>
      </c>
    </row>
    <row r="435">
      <c r="F435" s="11" t="n"/>
      <c r="N435" s="7">
        <f>IF($D435="","",M435*V435/100)</f>
        <v/>
      </c>
      <c r="O435" s="7" t="n"/>
      <c r="U435" s="7" t="n"/>
      <c r="V435" s="7" t="n"/>
      <c r="Y435">
        <f>IF($D435="","",IF($AN435=1,0,IF($AM435=1,Settings!$C$6,Settings!$C$7))*100)</f>
        <v/>
      </c>
      <c r="Z435" s="7">
        <f>IF($D435="","",V435*Y435/100)</f>
        <v/>
      </c>
      <c r="AA435" s="7">
        <f>IF($D435="","",V435-Z435)</f>
        <v/>
      </c>
      <c r="AB435" s="7">
        <f>IF($D435="","",AA435-N435)</f>
        <v/>
      </c>
      <c r="AF435" s="7" t="n"/>
      <c r="AI435" s="11" t="n"/>
      <c r="AK435">
        <f>IF($D435="","",IF(COUNTIF($D$2:$D435,$D435)=1,1,0))</f>
        <v/>
      </c>
      <c r="AL435">
        <f>IF($AK435=1,SUMPRODUCT(--($AO$2:$AO$3001&lt;$AO435))+1,"")</f>
        <v/>
      </c>
      <c r="AM435">
        <f>IF($D435="","",IF(OR($R435=TRUE(),$R435="TRUE"),1,0))</f>
        <v/>
      </c>
      <c r="AN435">
        <f>IF($D435="","",IF($X435="Yes",1,0))</f>
        <v/>
      </c>
      <c r="AO435">
        <f>IF($AK435=1,IFERROR(IF(VALUE($D435)&lt;100000000,VALUE($D435),1000000000),IFERROR(IF(VALUE(MID($D435,2,20))&lt;100000000,VALUE(MID($D435,2,20)),1000000000),1000000000))+ROW()/100000,"")</f>
        <v/>
      </c>
    </row>
    <row r="436">
      <c r="F436" s="11" t="n"/>
      <c r="N436" s="7">
        <f>IF($D436="","",M436*V436/100)</f>
        <v/>
      </c>
      <c r="O436" s="7" t="n"/>
      <c r="U436" s="7" t="n"/>
      <c r="V436" s="7" t="n"/>
      <c r="Y436">
        <f>IF($D436="","",IF($AN436=1,0,IF($AM436=1,Settings!$C$6,Settings!$C$7))*100)</f>
        <v/>
      </c>
      <c r="Z436" s="7">
        <f>IF($D436="","",V436*Y436/100)</f>
        <v/>
      </c>
      <c r="AA436" s="7">
        <f>IF($D436="","",V436-Z436)</f>
        <v/>
      </c>
      <c r="AB436" s="7">
        <f>IF($D436="","",AA436-N436)</f>
        <v/>
      </c>
      <c r="AF436" s="7" t="n"/>
      <c r="AI436" s="11" t="n"/>
      <c r="AK436">
        <f>IF($D436="","",IF(COUNTIF($D$2:$D436,$D436)=1,1,0))</f>
        <v/>
      </c>
      <c r="AL436">
        <f>IF($AK436=1,SUMPRODUCT(--($AO$2:$AO$3001&lt;$AO436))+1,"")</f>
        <v/>
      </c>
      <c r="AM436">
        <f>IF($D436="","",IF(OR($R436=TRUE(),$R436="TRUE"),1,0))</f>
        <v/>
      </c>
      <c r="AN436">
        <f>IF($D436="","",IF($X436="Yes",1,0))</f>
        <v/>
      </c>
      <c r="AO436">
        <f>IF($AK436=1,IFERROR(IF(VALUE($D436)&lt;100000000,VALUE($D436),1000000000),IFERROR(IF(VALUE(MID($D436,2,20))&lt;100000000,VALUE(MID($D436,2,20)),1000000000),1000000000))+ROW()/100000,"")</f>
        <v/>
      </c>
    </row>
    <row r="437">
      <c r="F437" s="11" t="n"/>
      <c r="N437" s="7">
        <f>IF($D437="","",M437*V437/100)</f>
        <v/>
      </c>
      <c r="O437" s="7" t="n"/>
      <c r="U437" s="7" t="n"/>
      <c r="V437" s="7" t="n"/>
      <c r="Y437">
        <f>IF($D437="","",IF($AN437=1,0,IF($AM437=1,Settings!$C$6,Settings!$C$7))*100)</f>
        <v/>
      </c>
      <c r="Z437" s="7">
        <f>IF($D437="","",V437*Y437/100)</f>
        <v/>
      </c>
      <c r="AA437" s="7">
        <f>IF($D437="","",V437-Z437)</f>
        <v/>
      </c>
      <c r="AB437" s="7">
        <f>IF($D437="","",AA437-N437)</f>
        <v/>
      </c>
      <c r="AF437" s="7" t="n"/>
      <c r="AI437" s="11" t="n"/>
      <c r="AK437">
        <f>IF($D437="","",IF(COUNTIF($D$2:$D437,$D437)=1,1,0))</f>
        <v/>
      </c>
      <c r="AL437">
        <f>IF($AK437=1,SUMPRODUCT(--($AO$2:$AO$3001&lt;$AO437))+1,"")</f>
        <v/>
      </c>
      <c r="AM437">
        <f>IF($D437="","",IF(OR($R437=TRUE(),$R437="TRUE"),1,0))</f>
        <v/>
      </c>
      <c r="AN437">
        <f>IF($D437="","",IF($X437="Yes",1,0))</f>
        <v/>
      </c>
      <c r="AO437">
        <f>IF($AK437=1,IFERROR(IF(VALUE($D437)&lt;100000000,VALUE($D437),1000000000),IFERROR(IF(VALUE(MID($D437,2,20))&lt;100000000,VALUE(MID($D437,2,20)),1000000000),1000000000))+ROW()/100000,"")</f>
        <v/>
      </c>
    </row>
    <row r="438">
      <c r="F438" s="11" t="n"/>
      <c r="N438" s="7">
        <f>IF($D438="","",M438*V438/100)</f>
        <v/>
      </c>
      <c r="O438" s="7" t="n"/>
      <c r="U438" s="7" t="n"/>
      <c r="V438" s="7" t="n"/>
      <c r="Y438">
        <f>IF($D438="","",IF($AN438=1,0,IF($AM438=1,Settings!$C$6,Settings!$C$7))*100)</f>
        <v/>
      </c>
      <c r="Z438" s="7">
        <f>IF($D438="","",V438*Y438/100)</f>
        <v/>
      </c>
      <c r="AA438" s="7">
        <f>IF($D438="","",V438-Z438)</f>
        <v/>
      </c>
      <c r="AB438" s="7">
        <f>IF($D438="","",AA438-N438)</f>
        <v/>
      </c>
      <c r="AF438" s="7" t="n"/>
      <c r="AI438" s="11" t="n"/>
      <c r="AK438">
        <f>IF($D438="","",IF(COUNTIF($D$2:$D438,$D438)=1,1,0))</f>
        <v/>
      </c>
      <c r="AL438">
        <f>IF($AK438=1,SUMPRODUCT(--($AO$2:$AO$3001&lt;$AO438))+1,"")</f>
        <v/>
      </c>
      <c r="AM438">
        <f>IF($D438="","",IF(OR($R438=TRUE(),$R438="TRUE"),1,0))</f>
        <v/>
      </c>
      <c r="AN438">
        <f>IF($D438="","",IF($X438="Yes",1,0))</f>
        <v/>
      </c>
      <c r="AO438">
        <f>IF($AK438=1,IFERROR(IF(VALUE($D438)&lt;100000000,VALUE($D438),1000000000),IFERROR(IF(VALUE(MID($D438,2,20))&lt;100000000,VALUE(MID($D438,2,20)),1000000000),1000000000))+ROW()/100000,"")</f>
        <v/>
      </c>
    </row>
    <row r="439">
      <c r="F439" s="11" t="n"/>
      <c r="N439" s="7">
        <f>IF($D439="","",M439*V439/100)</f>
        <v/>
      </c>
      <c r="O439" s="7" t="n"/>
      <c r="U439" s="7" t="n"/>
      <c r="V439" s="7" t="n"/>
      <c r="Y439">
        <f>IF($D439="","",IF($AN439=1,0,IF($AM439=1,Settings!$C$6,Settings!$C$7))*100)</f>
        <v/>
      </c>
      <c r="Z439" s="7">
        <f>IF($D439="","",V439*Y439/100)</f>
        <v/>
      </c>
      <c r="AA439" s="7">
        <f>IF($D439="","",V439-Z439)</f>
        <v/>
      </c>
      <c r="AB439" s="7">
        <f>IF($D439="","",AA439-N439)</f>
        <v/>
      </c>
      <c r="AF439" s="7" t="n"/>
      <c r="AI439" s="11" t="n"/>
      <c r="AK439">
        <f>IF($D439="","",IF(COUNTIF($D$2:$D439,$D439)=1,1,0))</f>
        <v/>
      </c>
      <c r="AL439">
        <f>IF($AK439=1,SUMPRODUCT(--($AO$2:$AO$3001&lt;$AO439))+1,"")</f>
        <v/>
      </c>
      <c r="AM439">
        <f>IF($D439="","",IF(OR($R439=TRUE(),$R439="TRUE"),1,0))</f>
        <v/>
      </c>
      <c r="AN439">
        <f>IF($D439="","",IF($X439="Yes",1,0))</f>
        <v/>
      </c>
      <c r="AO439">
        <f>IF($AK439=1,IFERROR(IF(VALUE($D439)&lt;100000000,VALUE($D439),1000000000),IFERROR(IF(VALUE(MID($D439,2,20))&lt;100000000,VALUE(MID($D439,2,20)),1000000000),1000000000))+ROW()/100000,"")</f>
        <v/>
      </c>
    </row>
    <row r="440">
      <c r="F440" s="11" t="n"/>
      <c r="N440" s="7">
        <f>IF($D440="","",M440*V440/100)</f>
        <v/>
      </c>
      <c r="O440" s="7" t="n"/>
      <c r="U440" s="7" t="n"/>
      <c r="V440" s="7" t="n"/>
      <c r="Y440">
        <f>IF($D440="","",IF($AN440=1,0,IF($AM440=1,Settings!$C$6,Settings!$C$7))*100)</f>
        <v/>
      </c>
      <c r="Z440" s="7">
        <f>IF($D440="","",V440*Y440/100)</f>
        <v/>
      </c>
      <c r="AA440" s="7">
        <f>IF($D440="","",V440-Z440)</f>
        <v/>
      </c>
      <c r="AB440" s="7">
        <f>IF($D440="","",AA440-N440)</f>
        <v/>
      </c>
      <c r="AF440" s="7" t="n"/>
      <c r="AI440" s="11" t="n"/>
      <c r="AK440">
        <f>IF($D440="","",IF(COUNTIF($D$2:$D440,$D440)=1,1,0))</f>
        <v/>
      </c>
      <c r="AL440">
        <f>IF($AK440=1,SUMPRODUCT(--($AO$2:$AO$3001&lt;$AO440))+1,"")</f>
        <v/>
      </c>
      <c r="AM440">
        <f>IF($D440="","",IF(OR($R440=TRUE(),$R440="TRUE"),1,0))</f>
        <v/>
      </c>
      <c r="AN440">
        <f>IF($D440="","",IF($X440="Yes",1,0))</f>
        <v/>
      </c>
      <c r="AO440">
        <f>IF($AK440=1,IFERROR(IF(VALUE($D440)&lt;100000000,VALUE($D440),1000000000),IFERROR(IF(VALUE(MID($D440,2,20))&lt;100000000,VALUE(MID($D440,2,20)),1000000000),1000000000))+ROW()/100000,"")</f>
        <v/>
      </c>
    </row>
    <row r="441">
      <c r="F441" s="11" t="n"/>
      <c r="N441" s="7">
        <f>IF($D441="","",M441*V441/100)</f>
        <v/>
      </c>
      <c r="O441" s="7" t="n"/>
      <c r="U441" s="7" t="n"/>
      <c r="V441" s="7" t="n"/>
      <c r="Y441">
        <f>IF($D441="","",IF($AN441=1,0,IF($AM441=1,Settings!$C$6,Settings!$C$7))*100)</f>
        <v/>
      </c>
      <c r="Z441" s="7">
        <f>IF($D441="","",V441*Y441/100)</f>
        <v/>
      </c>
      <c r="AA441" s="7">
        <f>IF($D441="","",V441-Z441)</f>
        <v/>
      </c>
      <c r="AB441" s="7">
        <f>IF($D441="","",AA441-N441)</f>
        <v/>
      </c>
      <c r="AF441" s="7" t="n"/>
      <c r="AI441" s="11" t="n"/>
      <c r="AK441">
        <f>IF($D441="","",IF(COUNTIF($D$2:$D441,$D441)=1,1,0))</f>
        <v/>
      </c>
      <c r="AL441">
        <f>IF($AK441=1,SUMPRODUCT(--($AO$2:$AO$3001&lt;$AO441))+1,"")</f>
        <v/>
      </c>
      <c r="AM441">
        <f>IF($D441="","",IF(OR($R441=TRUE(),$R441="TRUE"),1,0))</f>
        <v/>
      </c>
      <c r="AN441">
        <f>IF($D441="","",IF($X441="Yes",1,0))</f>
        <v/>
      </c>
      <c r="AO441">
        <f>IF($AK441=1,IFERROR(IF(VALUE($D441)&lt;100000000,VALUE($D441),1000000000),IFERROR(IF(VALUE(MID($D441,2,20))&lt;100000000,VALUE(MID($D441,2,20)),1000000000),1000000000))+ROW()/100000,"")</f>
        <v/>
      </c>
    </row>
    <row r="442">
      <c r="F442" s="11" t="n"/>
      <c r="N442" s="7">
        <f>IF($D442="","",M442*V442/100)</f>
        <v/>
      </c>
      <c r="O442" s="7" t="n"/>
      <c r="U442" s="7" t="n"/>
      <c r="V442" s="7" t="n"/>
      <c r="Y442">
        <f>IF($D442="","",IF($AN442=1,0,IF($AM442=1,Settings!$C$6,Settings!$C$7))*100)</f>
        <v/>
      </c>
      <c r="Z442" s="7">
        <f>IF($D442="","",V442*Y442/100)</f>
        <v/>
      </c>
      <c r="AA442" s="7">
        <f>IF($D442="","",V442-Z442)</f>
        <v/>
      </c>
      <c r="AB442" s="7">
        <f>IF($D442="","",AA442-N442)</f>
        <v/>
      </c>
      <c r="AF442" s="7" t="n"/>
      <c r="AI442" s="11" t="n"/>
      <c r="AK442">
        <f>IF($D442="","",IF(COUNTIF($D$2:$D442,$D442)=1,1,0))</f>
        <v/>
      </c>
      <c r="AL442">
        <f>IF($AK442=1,SUMPRODUCT(--($AO$2:$AO$3001&lt;$AO442))+1,"")</f>
        <v/>
      </c>
      <c r="AM442">
        <f>IF($D442="","",IF(OR($R442=TRUE(),$R442="TRUE"),1,0))</f>
        <v/>
      </c>
      <c r="AN442">
        <f>IF($D442="","",IF($X442="Yes",1,0))</f>
        <v/>
      </c>
      <c r="AO442">
        <f>IF($AK442=1,IFERROR(IF(VALUE($D442)&lt;100000000,VALUE($D442),1000000000),IFERROR(IF(VALUE(MID($D442,2,20))&lt;100000000,VALUE(MID($D442,2,20)),1000000000),1000000000))+ROW()/100000,"")</f>
        <v/>
      </c>
    </row>
    <row r="443">
      <c r="F443" s="11" t="n"/>
      <c r="N443" s="7">
        <f>IF($D443="","",M443*V443/100)</f>
        <v/>
      </c>
      <c r="O443" s="7" t="n"/>
      <c r="U443" s="7" t="n"/>
      <c r="V443" s="7" t="n"/>
      <c r="Y443">
        <f>IF($D443="","",IF($AN443=1,0,IF($AM443=1,Settings!$C$6,Settings!$C$7))*100)</f>
        <v/>
      </c>
      <c r="Z443" s="7">
        <f>IF($D443="","",V443*Y443/100)</f>
        <v/>
      </c>
      <c r="AA443" s="7">
        <f>IF($D443="","",V443-Z443)</f>
        <v/>
      </c>
      <c r="AB443" s="7">
        <f>IF($D443="","",AA443-N443)</f>
        <v/>
      </c>
      <c r="AF443" s="7" t="n"/>
      <c r="AI443" s="11" t="n"/>
      <c r="AK443">
        <f>IF($D443="","",IF(COUNTIF($D$2:$D443,$D443)=1,1,0))</f>
        <v/>
      </c>
      <c r="AL443">
        <f>IF($AK443=1,SUMPRODUCT(--($AO$2:$AO$3001&lt;$AO443))+1,"")</f>
        <v/>
      </c>
      <c r="AM443">
        <f>IF($D443="","",IF(OR($R443=TRUE(),$R443="TRUE"),1,0))</f>
        <v/>
      </c>
      <c r="AN443">
        <f>IF($D443="","",IF($X443="Yes",1,0))</f>
        <v/>
      </c>
      <c r="AO443">
        <f>IF($AK443=1,IFERROR(IF(VALUE($D443)&lt;100000000,VALUE($D443),1000000000),IFERROR(IF(VALUE(MID($D443,2,20))&lt;100000000,VALUE(MID($D443,2,20)),1000000000),1000000000))+ROW()/100000,"")</f>
        <v/>
      </c>
    </row>
    <row r="444">
      <c r="F444" s="11" t="n"/>
      <c r="N444" s="7">
        <f>IF($D444="","",M444*V444/100)</f>
        <v/>
      </c>
      <c r="O444" s="7" t="n"/>
      <c r="U444" s="7" t="n"/>
      <c r="V444" s="7" t="n"/>
      <c r="Y444">
        <f>IF($D444="","",IF($AN444=1,0,IF($AM444=1,Settings!$C$6,Settings!$C$7))*100)</f>
        <v/>
      </c>
      <c r="Z444" s="7">
        <f>IF($D444="","",V444*Y444/100)</f>
        <v/>
      </c>
      <c r="AA444" s="7">
        <f>IF($D444="","",V444-Z444)</f>
        <v/>
      </c>
      <c r="AB444" s="7">
        <f>IF($D444="","",AA444-N444)</f>
        <v/>
      </c>
      <c r="AF444" s="7" t="n"/>
      <c r="AI444" s="11" t="n"/>
      <c r="AK444">
        <f>IF($D444="","",IF(COUNTIF($D$2:$D444,$D444)=1,1,0))</f>
        <v/>
      </c>
      <c r="AL444">
        <f>IF($AK444=1,SUMPRODUCT(--($AO$2:$AO$3001&lt;$AO444))+1,"")</f>
        <v/>
      </c>
      <c r="AM444">
        <f>IF($D444="","",IF(OR($R444=TRUE(),$R444="TRUE"),1,0))</f>
        <v/>
      </c>
      <c r="AN444">
        <f>IF($D444="","",IF($X444="Yes",1,0))</f>
        <v/>
      </c>
      <c r="AO444">
        <f>IF($AK444=1,IFERROR(IF(VALUE($D444)&lt;100000000,VALUE($D444),1000000000),IFERROR(IF(VALUE(MID($D444,2,20))&lt;100000000,VALUE(MID($D444,2,20)),1000000000),1000000000))+ROW()/100000,"")</f>
        <v/>
      </c>
    </row>
    <row r="445">
      <c r="F445" s="11" t="n"/>
      <c r="N445" s="7">
        <f>IF($D445="","",M445*V445/100)</f>
        <v/>
      </c>
      <c r="O445" s="7" t="n"/>
      <c r="U445" s="7" t="n"/>
      <c r="V445" s="7" t="n"/>
      <c r="Y445">
        <f>IF($D445="","",IF($AN445=1,0,IF($AM445=1,Settings!$C$6,Settings!$C$7))*100)</f>
        <v/>
      </c>
      <c r="Z445" s="7">
        <f>IF($D445="","",V445*Y445/100)</f>
        <v/>
      </c>
      <c r="AA445" s="7">
        <f>IF($D445="","",V445-Z445)</f>
        <v/>
      </c>
      <c r="AB445" s="7">
        <f>IF($D445="","",AA445-N445)</f>
        <v/>
      </c>
      <c r="AF445" s="7" t="n"/>
      <c r="AI445" s="11" t="n"/>
      <c r="AK445">
        <f>IF($D445="","",IF(COUNTIF($D$2:$D445,$D445)=1,1,0))</f>
        <v/>
      </c>
      <c r="AL445">
        <f>IF($AK445=1,SUMPRODUCT(--($AO$2:$AO$3001&lt;$AO445))+1,"")</f>
        <v/>
      </c>
      <c r="AM445">
        <f>IF($D445="","",IF(OR($R445=TRUE(),$R445="TRUE"),1,0))</f>
        <v/>
      </c>
      <c r="AN445">
        <f>IF($D445="","",IF($X445="Yes",1,0))</f>
        <v/>
      </c>
      <c r="AO445">
        <f>IF($AK445=1,IFERROR(IF(VALUE($D445)&lt;100000000,VALUE($D445),1000000000),IFERROR(IF(VALUE(MID($D445,2,20))&lt;100000000,VALUE(MID($D445,2,20)),1000000000),1000000000))+ROW()/100000,"")</f>
        <v/>
      </c>
    </row>
    <row r="446">
      <c r="F446" s="11" t="n"/>
      <c r="N446" s="7">
        <f>IF($D446="","",M446*V446/100)</f>
        <v/>
      </c>
      <c r="O446" s="7" t="n"/>
      <c r="U446" s="7" t="n"/>
      <c r="V446" s="7" t="n"/>
      <c r="Y446">
        <f>IF($D446="","",IF($AN446=1,0,IF($AM446=1,Settings!$C$6,Settings!$C$7))*100)</f>
        <v/>
      </c>
      <c r="Z446" s="7">
        <f>IF($D446="","",V446*Y446/100)</f>
        <v/>
      </c>
      <c r="AA446" s="7">
        <f>IF($D446="","",V446-Z446)</f>
        <v/>
      </c>
      <c r="AB446" s="7">
        <f>IF($D446="","",AA446-N446)</f>
        <v/>
      </c>
      <c r="AF446" s="7" t="n"/>
      <c r="AI446" s="11" t="n"/>
      <c r="AK446">
        <f>IF($D446="","",IF(COUNTIF($D$2:$D446,$D446)=1,1,0))</f>
        <v/>
      </c>
      <c r="AL446">
        <f>IF($AK446=1,SUMPRODUCT(--($AO$2:$AO$3001&lt;$AO446))+1,"")</f>
        <v/>
      </c>
      <c r="AM446">
        <f>IF($D446="","",IF(OR($R446=TRUE(),$R446="TRUE"),1,0))</f>
        <v/>
      </c>
      <c r="AN446">
        <f>IF($D446="","",IF($X446="Yes",1,0))</f>
        <v/>
      </c>
      <c r="AO446">
        <f>IF($AK446=1,IFERROR(IF(VALUE($D446)&lt;100000000,VALUE($D446),1000000000),IFERROR(IF(VALUE(MID($D446,2,20))&lt;100000000,VALUE(MID($D446,2,20)),1000000000),1000000000))+ROW()/100000,"")</f>
        <v/>
      </c>
    </row>
    <row r="447">
      <c r="F447" s="11" t="n"/>
      <c r="N447" s="7">
        <f>IF($D447="","",M447*V447/100)</f>
        <v/>
      </c>
      <c r="O447" s="7" t="n"/>
      <c r="U447" s="7" t="n"/>
      <c r="V447" s="7" t="n"/>
      <c r="Y447">
        <f>IF($D447="","",IF($AN447=1,0,IF($AM447=1,Settings!$C$6,Settings!$C$7))*100)</f>
        <v/>
      </c>
      <c r="Z447" s="7">
        <f>IF($D447="","",V447*Y447/100)</f>
        <v/>
      </c>
      <c r="AA447" s="7">
        <f>IF($D447="","",V447-Z447)</f>
        <v/>
      </c>
      <c r="AB447" s="7">
        <f>IF($D447="","",AA447-N447)</f>
        <v/>
      </c>
      <c r="AF447" s="7" t="n"/>
      <c r="AI447" s="11" t="n"/>
      <c r="AK447">
        <f>IF($D447="","",IF(COUNTIF($D$2:$D447,$D447)=1,1,0))</f>
        <v/>
      </c>
      <c r="AL447">
        <f>IF($AK447=1,SUMPRODUCT(--($AO$2:$AO$3001&lt;$AO447))+1,"")</f>
        <v/>
      </c>
      <c r="AM447">
        <f>IF($D447="","",IF(OR($R447=TRUE(),$R447="TRUE"),1,0))</f>
        <v/>
      </c>
      <c r="AN447">
        <f>IF($D447="","",IF($X447="Yes",1,0))</f>
        <v/>
      </c>
      <c r="AO447">
        <f>IF($AK447=1,IFERROR(IF(VALUE($D447)&lt;100000000,VALUE($D447),1000000000),IFERROR(IF(VALUE(MID($D447,2,20))&lt;100000000,VALUE(MID($D447,2,20)),1000000000),1000000000))+ROW()/100000,"")</f>
        <v/>
      </c>
    </row>
    <row r="448">
      <c r="F448" s="11" t="n"/>
      <c r="N448" s="7">
        <f>IF($D448="","",M448*V448/100)</f>
        <v/>
      </c>
      <c r="O448" s="7" t="n"/>
      <c r="U448" s="7" t="n"/>
      <c r="V448" s="7" t="n"/>
      <c r="Y448">
        <f>IF($D448="","",IF($AN448=1,0,IF($AM448=1,Settings!$C$6,Settings!$C$7))*100)</f>
        <v/>
      </c>
      <c r="Z448" s="7">
        <f>IF($D448="","",V448*Y448/100)</f>
        <v/>
      </c>
      <c r="AA448" s="7">
        <f>IF($D448="","",V448-Z448)</f>
        <v/>
      </c>
      <c r="AB448" s="7">
        <f>IF($D448="","",AA448-N448)</f>
        <v/>
      </c>
      <c r="AF448" s="7" t="n"/>
      <c r="AI448" s="11" t="n"/>
      <c r="AK448">
        <f>IF($D448="","",IF(COUNTIF($D$2:$D448,$D448)=1,1,0))</f>
        <v/>
      </c>
      <c r="AL448">
        <f>IF($AK448=1,SUMPRODUCT(--($AO$2:$AO$3001&lt;$AO448))+1,"")</f>
        <v/>
      </c>
      <c r="AM448">
        <f>IF($D448="","",IF(OR($R448=TRUE(),$R448="TRUE"),1,0))</f>
        <v/>
      </c>
      <c r="AN448">
        <f>IF($D448="","",IF($X448="Yes",1,0))</f>
        <v/>
      </c>
      <c r="AO448">
        <f>IF($AK448=1,IFERROR(IF(VALUE($D448)&lt;100000000,VALUE($D448),1000000000),IFERROR(IF(VALUE(MID($D448,2,20))&lt;100000000,VALUE(MID($D448,2,20)),1000000000),1000000000))+ROW()/100000,"")</f>
        <v/>
      </c>
    </row>
    <row r="449">
      <c r="F449" s="11" t="n"/>
      <c r="N449" s="7">
        <f>IF($D449="","",M449*V449/100)</f>
        <v/>
      </c>
      <c r="O449" s="7" t="n"/>
      <c r="U449" s="7" t="n"/>
      <c r="V449" s="7" t="n"/>
      <c r="Y449">
        <f>IF($D449="","",IF($AN449=1,0,IF($AM449=1,Settings!$C$6,Settings!$C$7))*100)</f>
        <v/>
      </c>
      <c r="Z449" s="7">
        <f>IF($D449="","",V449*Y449/100)</f>
        <v/>
      </c>
      <c r="AA449" s="7">
        <f>IF($D449="","",V449-Z449)</f>
        <v/>
      </c>
      <c r="AB449" s="7">
        <f>IF($D449="","",AA449-N449)</f>
        <v/>
      </c>
      <c r="AF449" s="7" t="n"/>
      <c r="AI449" s="11" t="n"/>
      <c r="AK449">
        <f>IF($D449="","",IF(COUNTIF($D$2:$D449,$D449)=1,1,0))</f>
        <v/>
      </c>
      <c r="AL449">
        <f>IF($AK449=1,SUMPRODUCT(--($AO$2:$AO$3001&lt;$AO449))+1,"")</f>
        <v/>
      </c>
      <c r="AM449">
        <f>IF($D449="","",IF(OR($R449=TRUE(),$R449="TRUE"),1,0))</f>
        <v/>
      </c>
      <c r="AN449">
        <f>IF($D449="","",IF($X449="Yes",1,0))</f>
        <v/>
      </c>
      <c r="AO449">
        <f>IF($AK449=1,IFERROR(IF(VALUE($D449)&lt;100000000,VALUE($D449),1000000000),IFERROR(IF(VALUE(MID($D449,2,20))&lt;100000000,VALUE(MID($D449,2,20)),1000000000),1000000000))+ROW()/100000,"")</f>
        <v/>
      </c>
    </row>
    <row r="450">
      <c r="F450" s="11" t="n"/>
      <c r="N450" s="7">
        <f>IF($D450="","",M450*V450/100)</f>
        <v/>
      </c>
      <c r="O450" s="7" t="n"/>
      <c r="U450" s="7" t="n"/>
      <c r="V450" s="7" t="n"/>
      <c r="Y450">
        <f>IF($D450="","",IF($AN450=1,0,IF($AM450=1,Settings!$C$6,Settings!$C$7))*100)</f>
        <v/>
      </c>
      <c r="Z450" s="7">
        <f>IF($D450="","",V450*Y450/100)</f>
        <v/>
      </c>
      <c r="AA450" s="7">
        <f>IF($D450="","",V450-Z450)</f>
        <v/>
      </c>
      <c r="AB450" s="7">
        <f>IF($D450="","",AA450-N450)</f>
        <v/>
      </c>
      <c r="AF450" s="7" t="n"/>
      <c r="AI450" s="11" t="n"/>
      <c r="AK450">
        <f>IF($D450="","",IF(COUNTIF($D$2:$D450,$D450)=1,1,0))</f>
        <v/>
      </c>
      <c r="AL450">
        <f>IF($AK450=1,SUMPRODUCT(--($AO$2:$AO$3001&lt;$AO450))+1,"")</f>
        <v/>
      </c>
      <c r="AM450">
        <f>IF($D450="","",IF(OR($R450=TRUE(),$R450="TRUE"),1,0))</f>
        <v/>
      </c>
      <c r="AN450">
        <f>IF($D450="","",IF($X450="Yes",1,0))</f>
        <v/>
      </c>
      <c r="AO450">
        <f>IF($AK450=1,IFERROR(IF(VALUE($D450)&lt;100000000,VALUE($D450),1000000000),IFERROR(IF(VALUE(MID($D450,2,20))&lt;100000000,VALUE(MID($D450,2,20)),1000000000),1000000000))+ROW()/100000,"")</f>
        <v/>
      </c>
    </row>
    <row r="451">
      <c r="F451" s="11" t="n"/>
      <c r="N451" s="7">
        <f>IF($D451="","",M451*V451/100)</f>
        <v/>
      </c>
      <c r="O451" s="7" t="n"/>
      <c r="U451" s="7" t="n"/>
      <c r="V451" s="7" t="n"/>
      <c r="Y451">
        <f>IF($D451="","",IF($AN451=1,0,IF($AM451=1,Settings!$C$6,Settings!$C$7))*100)</f>
        <v/>
      </c>
      <c r="Z451" s="7">
        <f>IF($D451="","",V451*Y451/100)</f>
        <v/>
      </c>
      <c r="AA451" s="7">
        <f>IF($D451="","",V451-Z451)</f>
        <v/>
      </c>
      <c r="AB451" s="7">
        <f>IF($D451="","",AA451-N451)</f>
        <v/>
      </c>
      <c r="AF451" s="7" t="n"/>
      <c r="AI451" s="11" t="n"/>
      <c r="AK451">
        <f>IF($D451="","",IF(COUNTIF($D$2:$D451,$D451)=1,1,0))</f>
        <v/>
      </c>
      <c r="AL451">
        <f>IF($AK451=1,SUMPRODUCT(--($AO$2:$AO$3001&lt;$AO451))+1,"")</f>
        <v/>
      </c>
      <c r="AM451">
        <f>IF($D451="","",IF(OR($R451=TRUE(),$R451="TRUE"),1,0))</f>
        <v/>
      </c>
      <c r="AN451">
        <f>IF($D451="","",IF($X451="Yes",1,0))</f>
        <v/>
      </c>
      <c r="AO451">
        <f>IF($AK451=1,IFERROR(IF(VALUE($D451)&lt;100000000,VALUE($D451),1000000000),IFERROR(IF(VALUE(MID($D451,2,20))&lt;100000000,VALUE(MID($D451,2,20)),1000000000),1000000000))+ROW()/100000,"")</f>
        <v/>
      </c>
    </row>
    <row r="452">
      <c r="F452" s="11" t="n"/>
      <c r="N452" s="7">
        <f>IF($D452="","",M452*V452/100)</f>
        <v/>
      </c>
      <c r="O452" s="7" t="n"/>
      <c r="U452" s="7" t="n"/>
      <c r="V452" s="7" t="n"/>
      <c r="Y452">
        <f>IF($D452="","",IF($AN452=1,0,IF($AM452=1,Settings!$C$6,Settings!$C$7))*100)</f>
        <v/>
      </c>
      <c r="Z452" s="7">
        <f>IF($D452="","",V452*Y452/100)</f>
        <v/>
      </c>
      <c r="AA452" s="7">
        <f>IF($D452="","",V452-Z452)</f>
        <v/>
      </c>
      <c r="AB452" s="7">
        <f>IF($D452="","",AA452-N452)</f>
        <v/>
      </c>
      <c r="AF452" s="7" t="n"/>
      <c r="AI452" s="11" t="n"/>
      <c r="AK452">
        <f>IF($D452="","",IF(COUNTIF($D$2:$D452,$D452)=1,1,0))</f>
        <v/>
      </c>
      <c r="AL452">
        <f>IF($AK452=1,SUMPRODUCT(--($AO$2:$AO$3001&lt;$AO452))+1,"")</f>
        <v/>
      </c>
      <c r="AM452">
        <f>IF($D452="","",IF(OR($R452=TRUE(),$R452="TRUE"),1,0))</f>
        <v/>
      </c>
      <c r="AN452">
        <f>IF($D452="","",IF($X452="Yes",1,0))</f>
        <v/>
      </c>
      <c r="AO452">
        <f>IF($AK452=1,IFERROR(IF(VALUE($D452)&lt;100000000,VALUE($D452),1000000000),IFERROR(IF(VALUE(MID($D452,2,20))&lt;100000000,VALUE(MID($D452,2,20)),1000000000),1000000000))+ROW()/100000,"")</f>
        <v/>
      </c>
    </row>
    <row r="453">
      <c r="F453" s="11" t="n"/>
      <c r="N453" s="7">
        <f>IF($D453="","",M453*V453/100)</f>
        <v/>
      </c>
      <c r="O453" s="7" t="n"/>
      <c r="U453" s="7" t="n"/>
      <c r="V453" s="7" t="n"/>
      <c r="Y453">
        <f>IF($D453="","",IF($AN453=1,0,IF($AM453=1,Settings!$C$6,Settings!$C$7))*100)</f>
        <v/>
      </c>
      <c r="Z453" s="7">
        <f>IF($D453="","",V453*Y453/100)</f>
        <v/>
      </c>
      <c r="AA453" s="7">
        <f>IF($D453="","",V453-Z453)</f>
        <v/>
      </c>
      <c r="AB453" s="7">
        <f>IF($D453="","",AA453-N453)</f>
        <v/>
      </c>
      <c r="AF453" s="7" t="n"/>
      <c r="AI453" s="11" t="n"/>
      <c r="AK453">
        <f>IF($D453="","",IF(COUNTIF($D$2:$D453,$D453)=1,1,0))</f>
        <v/>
      </c>
      <c r="AL453">
        <f>IF($AK453=1,SUMPRODUCT(--($AO$2:$AO$3001&lt;$AO453))+1,"")</f>
        <v/>
      </c>
      <c r="AM453">
        <f>IF($D453="","",IF(OR($R453=TRUE(),$R453="TRUE"),1,0))</f>
        <v/>
      </c>
      <c r="AN453">
        <f>IF($D453="","",IF($X453="Yes",1,0))</f>
        <v/>
      </c>
      <c r="AO453">
        <f>IF($AK453=1,IFERROR(IF(VALUE($D453)&lt;100000000,VALUE($D453),1000000000),IFERROR(IF(VALUE(MID($D453,2,20))&lt;100000000,VALUE(MID($D453,2,20)),1000000000),1000000000))+ROW()/100000,"")</f>
        <v/>
      </c>
    </row>
    <row r="454">
      <c r="F454" s="11" t="n"/>
      <c r="N454" s="7">
        <f>IF($D454="","",M454*V454/100)</f>
        <v/>
      </c>
      <c r="O454" s="7" t="n"/>
      <c r="U454" s="7" t="n"/>
      <c r="V454" s="7" t="n"/>
      <c r="Y454">
        <f>IF($D454="","",IF($AN454=1,0,IF($AM454=1,Settings!$C$6,Settings!$C$7))*100)</f>
        <v/>
      </c>
      <c r="Z454" s="7">
        <f>IF($D454="","",V454*Y454/100)</f>
        <v/>
      </c>
      <c r="AA454" s="7">
        <f>IF($D454="","",V454-Z454)</f>
        <v/>
      </c>
      <c r="AB454" s="7">
        <f>IF($D454="","",AA454-N454)</f>
        <v/>
      </c>
      <c r="AF454" s="7" t="n"/>
      <c r="AI454" s="11" t="n"/>
      <c r="AK454">
        <f>IF($D454="","",IF(COUNTIF($D$2:$D454,$D454)=1,1,0))</f>
        <v/>
      </c>
      <c r="AL454">
        <f>IF($AK454=1,SUMPRODUCT(--($AO$2:$AO$3001&lt;$AO454))+1,"")</f>
        <v/>
      </c>
      <c r="AM454">
        <f>IF($D454="","",IF(OR($R454=TRUE(),$R454="TRUE"),1,0))</f>
        <v/>
      </c>
      <c r="AN454">
        <f>IF($D454="","",IF($X454="Yes",1,0))</f>
        <v/>
      </c>
      <c r="AO454">
        <f>IF($AK454=1,IFERROR(IF(VALUE($D454)&lt;100000000,VALUE($D454),1000000000),IFERROR(IF(VALUE(MID($D454,2,20))&lt;100000000,VALUE(MID($D454,2,20)),1000000000),1000000000))+ROW()/100000,"")</f>
        <v/>
      </c>
    </row>
    <row r="455">
      <c r="F455" s="11" t="n"/>
      <c r="N455" s="7">
        <f>IF($D455="","",M455*V455/100)</f>
        <v/>
      </c>
      <c r="O455" s="7" t="n"/>
      <c r="U455" s="7" t="n"/>
      <c r="V455" s="7" t="n"/>
      <c r="Y455">
        <f>IF($D455="","",IF($AN455=1,0,IF($AM455=1,Settings!$C$6,Settings!$C$7))*100)</f>
        <v/>
      </c>
      <c r="Z455" s="7">
        <f>IF($D455="","",V455*Y455/100)</f>
        <v/>
      </c>
      <c r="AA455" s="7">
        <f>IF($D455="","",V455-Z455)</f>
        <v/>
      </c>
      <c r="AB455" s="7">
        <f>IF($D455="","",AA455-N455)</f>
        <v/>
      </c>
      <c r="AF455" s="7" t="n"/>
      <c r="AI455" s="11" t="n"/>
      <c r="AK455">
        <f>IF($D455="","",IF(COUNTIF($D$2:$D455,$D455)=1,1,0))</f>
        <v/>
      </c>
      <c r="AL455">
        <f>IF($AK455=1,SUMPRODUCT(--($AO$2:$AO$3001&lt;$AO455))+1,"")</f>
        <v/>
      </c>
      <c r="AM455">
        <f>IF($D455="","",IF(OR($R455=TRUE(),$R455="TRUE"),1,0))</f>
        <v/>
      </c>
      <c r="AN455">
        <f>IF($D455="","",IF($X455="Yes",1,0))</f>
        <v/>
      </c>
      <c r="AO455">
        <f>IF($AK455=1,IFERROR(IF(VALUE($D455)&lt;100000000,VALUE($D455),1000000000),IFERROR(IF(VALUE(MID($D455,2,20))&lt;100000000,VALUE(MID($D455,2,20)),1000000000),1000000000))+ROW()/100000,"")</f>
        <v/>
      </c>
    </row>
    <row r="456">
      <c r="F456" s="11" t="n"/>
      <c r="N456" s="7">
        <f>IF($D456="","",M456*V456/100)</f>
        <v/>
      </c>
      <c r="O456" s="7" t="n"/>
      <c r="U456" s="7" t="n"/>
      <c r="V456" s="7" t="n"/>
      <c r="Y456">
        <f>IF($D456="","",IF($AN456=1,0,IF($AM456=1,Settings!$C$6,Settings!$C$7))*100)</f>
        <v/>
      </c>
      <c r="Z456" s="7">
        <f>IF($D456="","",V456*Y456/100)</f>
        <v/>
      </c>
      <c r="AA456" s="7">
        <f>IF($D456="","",V456-Z456)</f>
        <v/>
      </c>
      <c r="AB456" s="7">
        <f>IF($D456="","",AA456-N456)</f>
        <v/>
      </c>
      <c r="AF456" s="7" t="n"/>
      <c r="AI456" s="11" t="n"/>
      <c r="AK456">
        <f>IF($D456="","",IF(COUNTIF($D$2:$D456,$D456)=1,1,0))</f>
        <v/>
      </c>
      <c r="AL456">
        <f>IF($AK456=1,SUMPRODUCT(--($AO$2:$AO$3001&lt;$AO456))+1,"")</f>
        <v/>
      </c>
      <c r="AM456">
        <f>IF($D456="","",IF(OR($R456=TRUE(),$R456="TRUE"),1,0))</f>
        <v/>
      </c>
      <c r="AN456">
        <f>IF($D456="","",IF($X456="Yes",1,0))</f>
        <v/>
      </c>
      <c r="AO456">
        <f>IF($AK456=1,IFERROR(IF(VALUE($D456)&lt;100000000,VALUE($D456),1000000000),IFERROR(IF(VALUE(MID($D456,2,20))&lt;100000000,VALUE(MID($D456,2,20)),1000000000),1000000000))+ROW()/100000,"")</f>
        <v/>
      </c>
    </row>
    <row r="457">
      <c r="F457" s="11" t="n"/>
      <c r="N457" s="7">
        <f>IF($D457="","",M457*V457/100)</f>
        <v/>
      </c>
      <c r="O457" s="7" t="n"/>
      <c r="U457" s="7" t="n"/>
      <c r="V457" s="7" t="n"/>
      <c r="Y457">
        <f>IF($D457="","",IF($AN457=1,0,IF($AM457=1,Settings!$C$6,Settings!$C$7))*100)</f>
        <v/>
      </c>
      <c r="Z457" s="7">
        <f>IF($D457="","",V457*Y457/100)</f>
        <v/>
      </c>
      <c r="AA457" s="7">
        <f>IF($D457="","",V457-Z457)</f>
        <v/>
      </c>
      <c r="AB457" s="7">
        <f>IF($D457="","",AA457-N457)</f>
        <v/>
      </c>
      <c r="AF457" s="7" t="n"/>
      <c r="AI457" s="11" t="n"/>
      <c r="AK457">
        <f>IF($D457="","",IF(COUNTIF($D$2:$D457,$D457)=1,1,0))</f>
        <v/>
      </c>
      <c r="AL457">
        <f>IF($AK457=1,SUMPRODUCT(--($AO$2:$AO$3001&lt;$AO457))+1,"")</f>
        <v/>
      </c>
      <c r="AM457">
        <f>IF($D457="","",IF(OR($R457=TRUE(),$R457="TRUE"),1,0))</f>
        <v/>
      </c>
      <c r="AN457">
        <f>IF($D457="","",IF($X457="Yes",1,0))</f>
        <v/>
      </c>
      <c r="AO457">
        <f>IF($AK457=1,IFERROR(IF(VALUE($D457)&lt;100000000,VALUE($D457),1000000000),IFERROR(IF(VALUE(MID($D457,2,20))&lt;100000000,VALUE(MID($D457,2,20)),1000000000),1000000000))+ROW()/100000,"")</f>
        <v/>
      </c>
    </row>
    <row r="458">
      <c r="F458" s="11" t="n"/>
      <c r="N458" s="7">
        <f>IF($D458="","",M458*V458/100)</f>
        <v/>
      </c>
      <c r="O458" s="7" t="n"/>
      <c r="U458" s="7" t="n"/>
      <c r="V458" s="7" t="n"/>
      <c r="Y458">
        <f>IF($D458="","",IF($AN458=1,0,IF($AM458=1,Settings!$C$6,Settings!$C$7))*100)</f>
        <v/>
      </c>
      <c r="Z458" s="7">
        <f>IF($D458="","",V458*Y458/100)</f>
        <v/>
      </c>
      <c r="AA458" s="7">
        <f>IF($D458="","",V458-Z458)</f>
        <v/>
      </c>
      <c r="AB458" s="7">
        <f>IF($D458="","",AA458-N458)</f>
        <v/>
      </c>
      <c r="AF458" s="7" t="n"/>
      <c r="AI458" s="11" t="n"/>
      <c r="AK458">
        <f>IF($D458="","",IF(COUNTIF($D$2:$D458,$D458)=1,1,0))</f>
        <v/>
      </c>
      <c r="AL458">
        <f>IF($AK458=1,SUMPRODUCT(--($AO$2:$AO$3001&lt;$AO458))+1,"")</f>
        <v/>
      </c>
      <c r="AM458">
        <f>IF($D458="","",IF(OR($R458=TRUE(),$R458="TRUE"),1,0))</f>
        <v/>
      </c>
      <c r="AN458">
        <f>IF($D458="","",IF($X458="Yes",1,0))</f>
        <v/>
      </c>
      <c r="AO458">
        <f>IF($AK458=1,IFERROR(IF(VALUE($D458)&lt;100000000,VALUE($D458),1000000000),IFERROR(IF(VALUE(MID($D458,2,20))&lt;100000000,VALUE(MID($D458,2,20)),1000000000),1000000000))+ROW()/100000,"")</f>
        <v/>
      </c>
    </row>
    <row r="459">
      <c r="F459" s="11" t="n"/>
      <c r="N459" s="7">
        <f>IF($D459="","",M459*V459/100)</f>
        <v/>
      </c>
      <c r="O459" s="7" t="n"/>
      <c r="U459" s="7" t="n"/>
      <c r="V459" s="7" t="n"/>
      <c r="Y459">
        <f>IF($D459="","",IF($AN459=1,0,IF($AM459=1,Settings!$C$6,Settings!$C$7))*100)</f>
        <v/>
      </c>
      <c r="Z459" s="7">
        <f>IF($D459="","",V459*Y459/100)</f>
        <v/>
      </c>
      <c r="AA459" s="7">
        <f>IF($D459="","",V459-Z459)</f>
        <v/>
      </c>
      <c r="AB459" s="7">
        <f>IF($D459="","",AA459-N459)</f>
        <v/>
      </c>
      <c r="AF459" s="7" t="n"/>
      <c r="AI459" s="11" t="n"/>
      <c r="AK459">
        <f>IF($D459="","",IF(COUNTIF($D$2:$D459,$D459)=1,1,0))</f>
        <v/>
      </c>
      <c r="AL459">
        <f>IF($AK459=1,SUMPRODUCT(--($AO$2:$AO$3001&lt;$AO459))+1,"")</f>
        <v/>
      </c>
      <c r="AM459">
        <f>IF($D459="","",IF(OR($R459=TRUE(),$R459="TRUE"),1,0))</f>
        <v/>
      </c>
      <c r="AN459">
        <f>IF($D459="","",IF($X459="Yes",1,0))</f>
        <v/>
      </c>
      <c r="AO459">
        <f>IF($AK459=1,IFERROR(IF(VALUE($D459)&lt;100000000,VALUE($D459),1000000000),IFERROR(IF(VALUE(MID($D459,2,20))&lt;100000000,VALUE(MID($D459,2,20)),1000000000),1000000000))+ROW()/100000,"")</f>
        <v/>
      </c>
    </row>
    <row r="460">
      <c r="F460" s="11" t="n"/>
      <c r="N460" s="7">
        <f>IF($D460="","",M460*V460/100)</f>
        <v/>
      </c>
      <c r="O460" s="7" t="n"/>
      <c r="U460" s="7" t="n"/>
      <c r="V460" s="7" t="n"/>
      <c r="Y460">
        <f>IF($D460="","",IF($AN460=1,0,IF($AM460=1,Settings!$C$6,Settings!$C$7))*100)</f>
        <v/>
      </c>
      <c r="Z460" s="7">
        <f>IF($D460="","",V460*Y460/100)</f>
        <v/>
      </c>
      <c r="AA460" s="7">
        <f>IF($D460="","",V460-Z460)</f>
        <v/>
      </c>
      <c r="AB460" s="7">
        <f>IF($D460="","",AA460-N460)</f>
        <v/>
      </c>
      <c r="AF460" s="7" t="n"/>
      <c r="AI460" s="11" t="n"/>
      <c r="AK460">
        <f>IF($D460="","",IF(COUNTIF($D$2:$D460,$D460)=1,1,0))</f>
        <v/>
      </c>
      <c r="AL460">
        <f>IF($AK460=1,SUMPRODUCT(--($AO$2:$AO$3001&lt;$AO460))+1,"")</f>
        <v/>
      </c>
      <c r="AM460">
        <f>IF($D460="","",IF(OR($R460=TRUE(),$R460="TRUE"),1,0))</f>
        <v/>
      </c>
      <c r="AN460">
        <f>IF($D460="","",IF($X460="Yes",1,0))</f>
        <v/>
      </c>
      <c r="AO460">
        <f>IF($AK460=1,IFERROR(IF(VALUE($D460)&lt;100000000,VALUE($D460),1000000000),IFERROR(IF(VALUE(MID($D460,2,20))&lt;100000000,VALUE(MID($D460,2,20)),1000000000),1000000000))+ROW()/100000,"")</f>
        <v/>
      </c>
    </row>
    <row r="461">
      <c r="F461" s="11" t="n"/>
      <c r="N461" s="7">
        <f>IF($D461="","",M461*V461/100)</f>
        <v/>
      </c>
      <c r="O461" s="7" t="n"/>
      <c r="U461" s="7" t="n"/>
      <c r="V461" s="7" t="n"/>
      <c r="Y461">
        <f>IF($D461="","",IF($AN461=1,0,IF($AM461=1,Settings!$C$6,Settings!$C$7))*100)</f>
        <v/>
      </c>
      <c r="Z461" s="7">
        <f>IF($D461="","",V461*Y461/100)</f>
        <v/>
      </c>
      <c r="AA461" s="7">
        <f>IF($D461="","",V461-Z461)</f>
        <v/>
      </c>
      <c r="AB461" s="7">
        <f>IF($D461="","",AA461-N461)</f>
        <v/>
      </c>
      <c r="AF461" s="7" t="n"/>
      <c r="AI461" s="11" t="n"/>
      <c r="AK461">
        <f>IF($D461="","",IF(COUNTIF($D$2:$D461,$D461)=1,1,0))</f>
        <v/>
      </c>
      <c r="AL461">
        <f>IF($AK461=1,SUMPRODUCT(--($AO$2:$AO$3001&lt;$AO461))+1,"")</f>
        <v/>
      </c>
      <c r="AM461">
        <f>IF($D461="","",IF(OR($R461=TRUE(),$R461="TRUE"),1,0))</f>
        <v/>
      </c>
      <c r="AN461">
        <f>IF($D461="","",IF($X461="Yes",1,0))</f>
        <v/>
      </c>
      <c r="AO461">
        <f>IF($AK461=1,IFERROR(IF(VALUE($D461)&lt;100000000,VALUE($D461),1000000000),IFERROR(IF(VALUE(MID($D461,2,20))&lt;100000000,VALUE(MID($D461,2,20)),1000000000),1000000000))+ROW()/100000,"")</f>
        <v/>
      </c>
    </row>
    <row r="462">
      <c r="F462" s="11" t="n"/>
      <c r="N462" s="7">
        <f>IF($D462="","",M462*V462/100)</f>
        <v/>
      </c>
      <c r="O462" s="7" t="n"/>
      <c r="U462" s="7" t="n"/>
      <c r="V462" s="7" t="n"/>
      <c r="Y462">
        <f>IF($D462="","",IF($AN462=1,0,IF($AM462=1,Settings!$C$6,Settings!$C$7))*100)</f>
        <v/>
      </c>
      <c r="Z462" s="7">
        <f>IF($D462="","",V462*Y462/100)</f>
        <v/>
      </c>
      <c r="AA462" s="7">
        <f>IF($D462="","",V462-Z462)</f>
        <v/>
      </c>
      <c r="AB462" s="7">
        <f>IF($D462="","",AA462-N462)</f>
        <v/>
      </c>
      <c r="AF462" s="7" t="n"/>
      <c r="AI462" s="11" t="n"/>
      <c r="AK462">
        <f>IF($D462="","",IF(COUNTIF($D$2:$D462,$D462)=1,1,0))</f>
        <v/>
      </c>
      <c r="AL462">
        <f>IF($AK462=1,SUMPRODUCT(--($AO$2:$AO$3001&lt;$AO462))+1,"")</f>
        <v/>
      </c>
      <c r="AM462">
        <f>IF($D462="","",IF(OR($R462=TRUE(),$R462="TRUE"),1,0))</f>
        <v/>
      </c>
      <c r="AN462">
        <f>IF($D462="","",IF($X462="Yes",1,0))</f>
        <v/>
      </c>
      <c r="AO462">
        <f>IF($AK462=1,IFERROR(IF(VALUE($D462)&lt;100000000,VALUE($D462),1000000000),IFERROR(IF(VALUE(MID($D462,2,20))&lt;100000000,VALUE(MID($D462,2,20)),1000000000),1000000000))+ROW()/100000,"")</f>
        <v/>
      </c>
    </row>
    <row r="463">
      <c r="F463" s="11" t="n"/>
      <c r="N463" s="7">
        <f>IF($D463="","",M463*V463/100)</f>
        <v/>
      </c>
      <c r="O463" s="7" t="n"/>
      <c r="U463" s="7" t="n"/>
      <c r="V463" s="7" t="n"/>
      <c r="Y463">
        <f>IF($D463="","",IF($AN463=1,0,IF($AM463=1,Settings!$C$6,Settings!$C$7))*100)</f>
        <v/>
      </c>
      <c r="Z463" s="7">
        <f>IF($D463="","",V463*Y463/100)</f>
        <v/>
      </c>
      <c r="AA463" s="7">
        <f>IF($D463="","",V463-Z463)</f>
        <v/>
      </c>
      <c r="AB463" s="7">
        <f>IF($D463="","",AA463-N463)</f>
        <v/>
      </c>
      <c r="AF463" s="7" t="n"/>
      <c r="AI463" s="11" t="n"/>
      <c r="AK463">
        <f>IF($D463="","",IF(COUNTIF($D$2:$D463,$D463)=1,1,0))</f>
        <v/>
      </c>
      <c r="AL463">
        <f>IF($AK463=1,SUMPRODUCT(--($AO$2:$AO$3001&lt;$AO463))+1,"")</f>
        <v/>
      </c>
      <c r="AM463">
        <f>IF($D463="","",IF(OR($R463=TRUE(),$R463="TRUE"),1,0))</f>
        <v/>
      </c>
      <c r="AN463">
        <f>IF($D463="","",IF($X463="Yes",1,0))</f>
        <v/>
      </c>
      <c r="AO463">
        <f>IF($AK463=1,IFERROR(IF(VALUE($D463)&lt;100000000,VALUE($D463),1000000000),IFERROR(IF(VALUE(MID($D463,2,20))&lt;100000000,VALUE(MID($D463,2,20)),1000000000),1000000000))+ROW()/100000,"")</f>
        <v/>
      </c>
    </row>
    <row r="464">
      <c r="F464" s="11" t="n"/>
      <c r="N464" s="7">
        <f>IF($D464="","",M464*V464/100)</f>
        <v/>
      </c>
      <c r="O464" s="7" t="n"/>
      <c r="U464" s="7" t="n"/>
      <c r="V464" s="7" t="n"/>
      <c r="Y464">
        <f>IF($D464="","",IF($AN464=1,0,IF($AM464=1,Settings!$C$6,Settings!$C$7))*100)</f>
        <v/>
      </c>
      <c r="Z464" s="7">
        <f>IF($D464="","",V464*Y464/100)</f>
        <v/>
      </c>
      <c r="AA464" s="7">
        <f>IF($D464="","",V464-Z464)</f>
        <v/>
      </c>
      <c r="AB464" s="7">
        <f>IF($D464="","",AA464-N464)</f>
        <v/>
      </c>
      <c r="AF464" s="7" t="n"/>
      <c r="AI464" s="11" t="n"/>
      <c r="AK464">
        <f>IF($D464="","",IF(COUNTIF($D$2:$D464,$D464)=1,1,0))</f>
        <v/>
      </c>
      <c r="AL464">
        <f>IF($AK464=1,SUMPRODUCT(--($AO$2:$AO$3001&lt;$AO464))+1,"")</f>
        <v/>
      </c>
      <c r="AM464">
        <f>IF($D464="","",IF(OR($R464=TRUE(),$R464="TRUE"),1,0))</f>
        <v/>
      </c>
      <c r="AN464">
        <f>IF($D464="","",IF($X464="Yes",1,0))</f>
        <v/>
      </c>
      <c r="AO464">
        <f>IF($AK464=1,IFERROR(IF(VALUE($D464)&lt;100000000,VALUE($D464),1000000000),IFERROR(IF(VALUE(MID($D464,2,20))&lt;100000000,VALUE(MID($D464,2,20)),1000000000),1000000000))+ROW()/100000,"")</f>
        <v/>
      </c>
    </row>
    <row r="465">
      <c r="F465" s="11" t="n"/>
      <c r="N465" s="7">
        <f>IF($D465="","",M465*V465/100)</f>
        <v/>
      </c>
      <c r="O465" s="7" t="n"/>
      <c r="U465" s="7" t="n"/>
      <c r="V465" s="7" t="n"/>
      <c r="Y465">
        <f>IF($D465="","",IF($AN465=1,0,IF($AM465=1,Settings!$C$6,Settings!$C$7))*100)</f>
        <v/>
      </c>
      <c r="Z465" s="7">
        <f>IF($D465="","",V465*Y465/100)</f>
        <v/>
      </c>
      <c r="AA465" s="7">
        <f>IF($D465="","",V465-Z465)</f>
        <v/>
      </c>
      <c r="AB465" s="7">
        <f>IF($D465="","",AA465-N465)</f>
        <v/>
      </c>
      <c r="AF465" s="7" t="n"/>
      <c r="AI465" s="11" t="n"/>
      <c r="AK465">
        <f>IF($D465="","",IF(COUNTIF($D$2:$D465,$D465)=1,1,0))</f>
        <v/>
      </c>
      <c r="AL465">
        <f>IF($AK465=1,SUMPRODUCT(--($AO$2:$AO$3001&lt;$AO465))+1,"")</f>
        <v/>
      </c>
      <c r="AM465">
        <f>IF($D465="","",IF(OR($R465=TRUE(),$R465="TRUE"),1,0))</f>
        <v/>
      </c>
      <c r="AN465">
        <f>IF($D465="","",IF($X465="Yes",1,0))</f>
        <v/>
      </c>
      <c r="AO465">
        <f>IF($AK465=1,IFERROR(IF(VALUE($D465)&lt;100000000,VALUE($D465),1000000000),IFERROR(IF(VALUE(MID($D465,2,20))&lt;100000000,VALUE(MID($D465,2,20)),1000000000),1000000000))+ROW()/100000,"")</f>
        <v/>
      </c>
    </row>
    <row r="466">
      <c r="F466" s="11" t="n"/>
      <c r="N466" s="7">
        <f>IF($D466="","",M466*V466/100)</f>
        <v/>
      </c>
      <c r="O466" s="7" t="n"/>
      <c r="U466" s="7" t="n"/>
      <c r="V466" s="7" t="n"/>
      <c r="Y466">
        <f>IF($D466="","",IF($AN466=1,0,IF($AM466=1,Settings!$C$6,Settings!$C$7))*100)</f>
        <v/>
      </c>
      <c r="Z466" s="7">
        <f>IF($D466="","",V466*Y466/100)</f>
        <v/>
      </c>
      <c r="AA466" s="7">
        <f>IF($D466="","",V466-Z466)</f>
        <v/>
      </c>
      <c r="AB466" s="7">
        <f>IF($D466="","",AA466-N466)</f>
        <v/>
      </c>
      <c r="AF466" s="7" t="n"/>
      <c r="AI466" s="11" t="n"/>
      <c r="AK466">
        <f>IF($D466="","",IF(COUNTIF($D$2:$D466,$D466)=1,1,0))</f>
        <v/>
      </c>
      <c r="AL466">
        <f>IF($AK466=1,SUMPRODUCT(--($AO$2:$AO$3001&lt;$AO466))+1,"")</f>
        <v/>
      </c>
      <c r="AM466">
        <f>IF($D466="","",IF(OR($R466=TRUE(),$R466="TRUE"),1,0))</f>
        <v/>
      </c>
      <c r="AN466">
        <f>IF($D466="","",IF($X466="Yes",1,0))</f>
        <v/>
      </c>
      <c r="AO466">
        <f>IF($AK466=1,IFERROR(IF(VALUE($D466)&lt;100000000,VALUE($D466),1000000000),IFERROR(IF(VALUE(MID($D466,2,20))&lt;100000000,VALUE(MID($D466,2,20)),1000000000),1000000000))+ROW()/100000,"")</f>
        <v/>
      </c>
    </row>
    <row r="467">
      <c r="F467" s="11" t="n"/>
      <c r="N467" s="7">
        <f>IF($D467="","",M467*V467/100)</f>
        <v/>
      </c>
      <c r="O467" s="7" t="n"/>
      <c r="U467" s="7" t="n"/>
      <c r="V467" s="7" t="n"/>
      <c r="Y467">
        <f>IF($D467="","",IF($AN467=1,0,IF($AM467=1,Settings!$C$6,Settings!$C$7))*100)</f>
        <v/>
      </c>
      <c r="Z467" s="7">
        <f>IF($D467="","",V467*Y467/100)</f>
        <v/>
      </c>
      <c r="AA467" s="7">
        <f>IF($D467="","",V467-Z467)</f>
        <v/>
      </c>
      <c r="AB467" s="7">
        <f>IF($D467="","",AA467-N467)</f>
        <v/>
      </c>
      <c r="AF467" s="7" t="n"/>
      <c r="AI467" s="11" t="n"/>
      <c r="AK467">
        <f>IF($D467="","",IF(COUNTIF($D$2:$D467,$D467)=1,1,0))</f>
        <v/>
      </c>
      <c r="AL467">
        <f>IF($AK467=1,SUMPRODUCT(--($AO$2:$AO$3001&lt;$AO467))+1,"")</f>
        <v/>
      </c>
      <c r="AM467">
        <f>IF($D467="","",IF(OR($R467=TRUE(),$R467="TRUE"),1,0))</f>
        <v/>
      </c>
      <c r="AN467">
        <f>IF($D467="","",IF($X467="Yes",1,0))</f>
        <v/>
      </c>
      <c r="AO467">
        <f>IF($AK467=1,IFERROR(IF(VALUE($D467)&lt;100000000,VALUE($D467),1000000000),IFERROR(IF(VALUE(MID($D467,2,20))&lt;100000000,VALUE(MID($D467,2,20)),1000000000),1000000000))+ROW()/100000,"")</f>
        <v/>
      </c>
    </row>
    <row r="468">
      <c r="F468" s="11" t="n"/>
      <c r="N468" s="7">
        <f>IF($D468="","",M468*V468/100)</f>
        <v/>
      </c>
      <c r="O468" s="7" t="n"/>
      <c r="U468" s="7" t="n"/>
      <c r="V468" s="7" t="n"/>
      <c r="Y468">
        <f>IF($D468="","",IF($AN468=1,0,IF($AM468=1,Settings!$C$6,Settings!$C$7))*100)</f>
        <v/>
      </c>
      <c r="Z468" s="7">
        <f>IF($D468="","",V468*Y468/100)</f>
        <v/>
      </c>
      <c r="AA468" s="7">
        <f>IF($D468="","",V468-Z468)</f>
        <v/>
      </c>
      <c r="AB468" s="7">
        <f>IF($D468="","",AA468-N468)</f>
        <v/>
      </c>
      <c r="AF468" s="7" t="n"/>
      <c r="AI468" s="11" t="n"/>
      <c r="AK468">
        <f>IF($D468="","",IF(COUNTIF($D$2:$D468,$D468)=1,1,0))</f>
        <v/>
      </c>
      <c r="AL468">
        <f>IF($AK468=1,SUMPRODUCT(--($AO$2:$AO$3001&lt;$AO468))+1,"")</f>
        <v/>
      </c>
      <c r="AM468">
        <f>IF($D468="","",IF(OR($R468=TRUE(),$R468="TRUE"),1,0))</f>
        <v/>
      </c>
      <c r="AN468">
        <f>IF($D468="","",IF($X468="Yes",1,0))</f>
        <v/>
      </c>
      <c r="AO468">
        <f>IF($AK468=1,IFERROR(IF(VALUE($D468)&lt;100000000,VALUE($D468),1000000000),IFERROR(IF(VALUE(MID($D468,2,20))&lt;100000000,VALUE(MID($D468,2,20)),1000000000),1000000000))+ROW()/100000,"")</f>
        <v/>
      </c>
    </row>
    <row r="469">
      <c r="F469" s="11" t="n"/>
      <c r="N469" s="7">
        <f>IF($D469="","",M469*V469/100)</f>
        <v/>
      </c>
      <c r="O469" s="7" t="n"/>
      <c r="U469" s="7" t="n"/>
      <c r="V469" s="7" t="n"/>
      <c r="Y469">
        <f>IF($D469="","",IF($AN469=1,0,IF($AM469=1,Settings!$C$6,Settings!$C$7))*100)</f>
        <v/>
      </c>
      <c r="Z469" s="7">
        <f>IF($D469="","",V469*Y469/100)</f>
        <v/>
      </c>
      <c r="AA469" s="7">
        <f>IF($D469="","",V469-Z469)</f>
        <v/>
      </c>
      <c r="AB469" s="7">
        <f>IF($D469="","",AA469-N469)</f>
        <v/>
      </c>
      <c r="AF469" s="7" t="n"/>
      <c r="AI469" s="11" t="n"/>
      <c r="AK469">
        <f>IF($D469="","",IF(COUNTIF($D$2:$D469,$D469)=1,1,0))</f>
        <v/>
      </c>
      <c r="AL469">
        <f>IF($AK469=1,SUMPRODUCT(--($AO$2:$AO$3001&lt;$AO469))+1,"")</f>
        <v/>
      </c>
      <c r="AM469">
        <f>IF($D469="","",IF(OR($R469=TRUE(),$R469="TRUE"),1,0))</f>
        <v/>
      </c>
      <c r="AN469">
        <f>IF($D469="","",IF($X469="Yes",1,0))</f>
        <v/>
      </c>
      <c r="AO469">
        <f>IF($AK469=1,IFERROR(IF(VALUE($D469)&lt;100000000,VALUE($D469),1000000000),IFERROR(IF(VALUE(MID($D469,2,20))&lt;100000000,VALUE(MID($D469,2,20)),1000000000),1000000000))+ROW()/100000,"")</f>
        <v/>
      </c>
    </row>
    <row r="470">
      <c r="F470" s="11" t="n"/>
      <c r="N470" s="7">
        <f>IF($D470="","",M470*V470/100)</f>
        <v/>
      </c>
      <c r="O470" s="7" t="n"/>
      <c r="U470" s="7" t="n"/>
      <c r="V470" s="7" t="n"/>
      <c r="Y470">
        <f>IF($D470="","",IF($AN470=1,0,IF($AM470=1,Settings!$C$6,Settings!$C$7))*100)</f>
        <v/>
      </c>
      <c r="Z470" s="7">
        <f>IF($D470="","",V470*Y470/100)</f>
        <v/>
      </c>
      <c r="AA470" s="7">
        <f>IF($D470="","",V470-Z470)</f>
        <v/>
      </c>
      <c r="AB470" s="7">
        <f>IF($D470="","",AA470-N470)</f>
        <v/>
      </c>
      <c r="AF470" s="7" t="n"/>
      <c r="AI470" s="11" t="n"/>
      <c r="AK470">
        <f>IF($D470="","",IF(COUNTIF($D$2:$D470,$D470)=1,1,0))</f>
        <v/>
      </c>
      <c r="AL470">
        <f>IF($AK470=1,SUMPRODUCT(--($AO$2:$AO$3001&lt;$AO470))+1,"")</f>
        <v/>
      </c>
      <c r="AM470">
        <f>IF($D470="","",IF(OR($R470=TRUE(),$R470="TRUE"),1,0))</f>
        <v/>
      </c>
      <c r="AN470">
        <f>IF($D470="","",IF($X470="Yes",1,0))</f>
        <v/>
      </c>
      <c r="AO470">
        <f>IF($AK470=1,IFERROR(IF(VALUE($D470)&lt;100000000,VALUE($D470),1000000000),IFERROR(IF(VALUE(MID($D470,2,20))&lt;100000000,VALUE(MID($D470,2,20)),1000000000),1000000000))+ROW()/100000,"")</f>
        <v/>
      </c>
    </row>
    <row r="471">
      <c r="F471" s="11" t="n"/>
      <c r="N471" s="7">
        <f>IF($D471="","",M471*V471/100)</f>
        <v/>
      </c>
      <c r="O471" s="7" t="n"/>
      <c r="U471" s="7" t="n"/>
      <c r="V471" s="7" t="n"/>
      <c r="Y471">
        <f>IF($D471="","",IF($AN471=1,0,IF($AM471=1,Settings!$C$6,Settings!$C$7))*100)</f>
        <v/>
      </c>
      <c r="Z471" s="7">
        <f>IF($D471="","",V471*Y471/100)</f>
        <v/>
      </c>
      <c r="AA471" s="7">
        <f>IF($D471="","",V471-Z471)</f>
        <v/>
      </c>
      <c r="AB471" s="7">
        <f>IF($D471="","",AA471-N471)</f>
        <v/>
      </c>
      <c r="AF471" s="7" t="n"/>
      <c r="AI471" s="11" t="n"/>
      <c r="AK471">
        <f>IF($D471="","",IF(COUNTIF($D$2:$D471,$D471)=1,1,0))</f>
        <v/>
      </c>
      <c r="AL471">
        <f>IF($AK471=1,SUMPRODUCT(--($AO$2:$AO$3001&lt;$AO471))+1,"")</f>
        <v/>
      </c>
      <c r="AM471">
        <f>IF($D471="","",IF(OR($R471=TRUE(),$R471="TRUE"),1,0))</f>
        <v/>
      </c>
      <c r="AN471">
        <f>IF($D471="","",IF($X471="Yes",1,0))</f>
        <v/>
      </c>
      <c r="AO471">
        <f>IF($AK471=1,IFERROR(IF(VALUE($D471)&lt;100000000,VALUE($D471),1000000000),IFERROR(IF(VALUE(MID($D471,2,20))&lt;100000000,VALUE(MID($D471,2,20)),1000000000),1000000000))+ROW()/100000,"")</f>
        <v/>
      </c>
    </row>
    <row r="472">
      <c r="F472" s="11" t="n"/>
      <c r="N472" s="7">
        <f>IF($D472="","",M472*V472/100)</f>
        <v/>
      </c>
      <c r="O472" s="7" t="n"/>
      <c r="U472" s="7" t="n"/>
      <c r="V472" s="7" t="n"/>
      <c r="Y472">
        <f>IF($D472="","",IF($AN472=1,0,IF($AM472=1,Settings!$C$6,Settings!$C$7))*100)</f>
        <v/>
      </c>
      <c r="Z472" s="7">
        <f>IF($D472="","",V472*Y472/100)</f>
        <v/>
      </c>
      <c r="AA472" s="7">
        <f>IF($D472="","",V472-Z472)</f>
        <v/>
      </c>
      <c r="AB472" s="7">
        <f>IF($D472="","",AA472-N472)</f>
        <v/>
      </c>
      <c r="AF472" s="7" t="n"/>
      <c r="AI472" s="11" t="n"/>
      <c r="AK472">
        <f>IF($D472="","",IF(COUNTIF($D$2:$D472,$D472)=1,1,0))</f>
        <v/>
      </c>
      <c r="AL472">
        <f>IF($AK472=1,SUMPRODUCT(--($AO$2:$AO$3001&lt;$AO472))+1,"")</f>
        <v/>
      </c>
      <c r="AM472">
        <f>IF($D472="","",IF(OR($R472=TRUE(),$R472="TRUE"),1,0))</f>
        <v/>
      </c>
      <c r="AN472">
        <f>IF($D472="","",IF($X472="Yes",1,0))</f>
        <v/>
      </c>
      <c r="AO472">
        <f>IF($AK472=1,IFERROR(IF(VALUE($D472)&lt;100000000,VALUE($D472),1000000000),IFERROR(IF(VALUE(MID($D472,2,20))&lt;100000000,VALUE(MID($D472,2,20)),1000000000),1000000000))+ROW()/100000,"")</f>
        <v/>
      </c>
    </row>
    <row r="473">
      <c r="F473" s="11" t="n"/>
      <c r="N473" s="7">
        <f>IF($D473="","",M473*V473/100)</f>
        <v/>
      </c>
      <c r="O473" s="7" t="n"/>
      <c r="U473" s="7" t="n"/>
      <c r="V473" s="7" t="n"/>
      <c r="Y473">
        <f>IF($D473="","",IF($AN473=1,0,IF($AM473=1,Settings!$C$6,Settings!$C$7))*100)</f>
        <v/>
      </c>
      <c r="Z473" s="7">
        <f>IF($D473="","",V473*Y473/100)</f>
        <v/>
      </c>
      <c r="AA473" s="7">
        <f>IF($D473="","",V473-Z473)</f>
        <v/>
      </c>
      <c r="AB473" s="7">
        <f>IF($D473="","",AA473-N473)</f>
        <v/>
      </c>
      <c r="AF473" s="7" t="n"/>
      <c r="AI473" s="11" t="n"/>
      <c r="AK473">
        <f>IF($D473="","",IF(COUNTIF($D$2:$D473,$D473)=1,1,0))</f>
        <v/>
      </c>
      <c r="AL473">
        <f>IF($AK473=1,SUMPRODUCT(--($AO$2:$AO$3001&lt;$AO473))+1,"")</f>
        <v/>
      </c>
      <c r="AM473">
        <f>IF($D473="","",IF(OR($R473=TRUE(),$R473="TRUE"),1,0))</f>
        <v/>
      </c>
      <c r="AN473">
        <f>IF($D473="","",IF($X473="Yes",1,0))</f>
        <v/>
      </c>
      <c r="AO473">
        <f>IF($AK473=1,IFERROR(IF(VALUE($D473)&lt;100000000,VALUE($D473),1000000000),IFERROR(IF(VALUE(MID($D473,2,20))&lt;100000000,VALUE(MID($D473,2,20)),1000000000),1000000000))+ROW()/100000,"")</f>
        <v/>
      </c>
    </row>
    <row r="474">
      <c r="F474" s="11" t="n"/>
      <c r="N474" s="7">
        <f>IF($D474="","",M474*V474/100)</f>
        <v/>
      </c>
      <c r="O474" s="7" t="n"/>
      <c r="U474" s="7" t="n"/>
      <c r="V474" s="7" t="n"/>
      <c r="Y474">
        <f>IF($D474="","",IF($AN474=1,0,IF($AM474=1,Settings!$C$6,Settings!$C$7))*100)</f>
        <v/>
      </c>
      <c r="Z474" s="7">
        <f>IF($D474="","",V474*Y474/100)</f>
        <v/>
      </c>
      <c r="AA474" s="7">
        <f>IF($D474="","",V474-Z474)</f>
        <v/>
      </c>
      <c r="AB474" s="7">
        <f>IF($D474="","",AA474-N474)</f>
        <v/>
      </c>
      <c r="AF474" s="7" t="n"/>
      <c r="AI474" s="11" t="n"/>
      <c r="AK474">
        <f>IF($D474="","",IF(COUNTIF($D$2:$D474,$D474)=1,1,0))</f>
        <v/>
      </c>
      <c r="AL474">
        <f>IF($AK474=1,SUMPRODUCT(--($AO$2:$AO$3001&lt;$AO474))+1,"")</f>
        <v/>
      </c>
      <c r="AM474">
        <f>IF($D474="","",IF(OR($R474=TRUE(),$R474="TRUE"),1,0))</f>
        <v/>
      </c>
      <c r="AN474">
        <f>IF($D474="","",IF($X474="Yes",1,0))</f>
        <v/>
      </c>
      <c r="AO474">
        <f>IF($AK474=1,IFERROR(IF(VALUE($D474)&lt;100000000,VALUE($D474),1000000000),IFERROR(IF(VALUE(MID($D474,2,20))&lt;100000000,VALUE(MID($D474,2,20)),1000000000),1000000000))+ROW()/100000,"")</f>
        <v/>
      </c>
    </row>
    <row r="475">
      <c r="F475" s="11" t="n"/>
      <c r="N475" s="7">
        <f>IF($D475="","",M475*V475/100)</f>
        <v/>
      </c>
      <c r="O475" s="7" t="n"/>
      <c r="U475" s="7" t="n"/>
      <c r="V475" s="7" t="n"/>
      <c r="Y475">
        <f>IF($D475="","",IF($AN475=1,0,IF($AM475=1,Settings!$C$6,Settings!$C$7))*100)</f>
        <v/>
      </c>
      <c r="Z475" s="7">
        <f>IF($D475="","",V475*Y475/100)</f>
        <v/>
      </c>
      <c r="AA475" s="7">
        <f>IF($D475="","",V475-Z475)</f>
        <v/>
      </c>
      <c r="AB475" s="7">
        <f>IF($D475="","",AA475-N475)</f>
        <v/>
      </c>
      <c r="AF475" s="7" t="n"/>
      <c r="AI475" s="11" t="n"/>
      <c r="AK475">
        <f>IF($D475="","",IF(COUNTIF($D$2:$D475,$D475)=1,1,0))</f>
        <v/>
      </c>
      <c r="AL475">
        <f>IF($AK475=1,SUMPRODUCT(--($AO$2:$AO$3001&lt;$AO475))+1,"")</f>
        <v/>
      </c>
      <c r="AM475">
        <f>IF($D475="","",IF(OR($R475=TRUE(),$R475="TRUE"),1,0))</f>
        <v/>
      </c>
      <c r="AN475">
        <f>IF($D475="","",IF($X475="Yes",1,0))</f>
        <v/>
      </c>
      <c r="AO475">
        <f>IF($AK475=1,IFERROR(IF(VALUE($D475)&lt;100000000,VALUE($D475),1000000000),IFERROR(IF(VALUE(MID($D475,2,20))&lt;100000000,VALUE(MID($D475,2,20)),1000000000),1000000000))+ROW()/100000,"")</f>
        <v/>
      </c>
    </row>
    <row r="476">
      <c r="F476" s="11" t="n"/>
      <c r="N476" s="7">
        <f>IF($D476="","",M476*V476/100)</f>
        <v/>
      </c>
      <c r="O476" s="7" t="n"/>
      <c r="U476" s="7" t="n"/>
      <c r="V476" s="7" t="n"/>
      <c r="Y476">
        <f>IF($D476="","",IF($AN476=1,0,IF($AM476=1,Settings!$C$6,Settings!$C$7))*100)</f>
        <v/>
      </c>
      <c r="Z476" s="7">
        <f>IF($D476="","",V476*Y476/100)</f>
        <v/>
      </c>
      <c r="AA476" s="7">
        <f>IF($D476="","",V476-Z476)</f>
        <v/>
      </c>
      <c r="AB476" s="7">
        <f>IF($D476="","",AA476-N476)</f>
        <v/>
      </c>
      <c r="AF476" s="7" t="n"/>
      <c r="AI476" s="11" t="n"/>
      <c r="AK476">
        <f>IF($D476="","",IF(COUNTIF($D$2:$D476,$D476)=1,1,0))</f>
        <v/>
      </c>
      <c r="AL476">
        <f>IF($AK476=1,SUMPRODUCT(--($AO$2:$AO$3001&lt;$AO476))+1,"")</f>
        <v/>
      </c>
      <c r="AM476">
        <f>IF($D476="","",IF(OR($R476=TRUE(),$R476="TRUE"),1,0))</f>
        <v/>
      </c>
      <c r="AN476">
        <f>IF($D476="","",IF($X476="Yes",1,0))</f>
        <v/>
      </c>
      <c r="AO476">
        <f>IF($AK476=1,IFERROR(IF(VALUE($D476)&lt;100000000,VALUE($D476),1000000000),IFERROR(IF(VALUE(MID($D476,2,20))&lt;100000000,VALUE(MID($D476,2,20)),1000000000),1000000000))+ROW()/100000,"")</f>
        <v/>
      </c>
    </row>
    <row r="477">
      <c r="F477" s="11" t="n"/>
      <c r="N477" s="7">
        <f>IF($D477="","",M477*V477/100)</f>
        <v/>
      </c>
      <c r="O477" s="7" t="n"/>
      <c r="U477" s="7" t="n"/>
      <c r="V477" s="7" t="n"/>
      <c r="Y477">
        <f>IF($D477="","",IF($AN477=1,0,IF($AM477=1,Settings!$C$6,Settings!$C$7))*100)</f>
        <v/>
      </c>
      <c r="Z477" s="7">
        <f>IF($D477="","",V477*Y477/100)</f>
        <v/>
      </c>
      <c r="AA477" s="7">
        <f>IF($D477="","",V477-Z477)</f>
        <v/>
      </c>
      <c r="AB477" s="7">
        <f>IF($D477="","",AA477-N477)</f>
        <v/>
      </c>
      <c r="AF477" s="7" t="n"/>
      <c r="AI477" s="11" t="n"/>
      <c r="AK477">
        <f>IF($D477="","",IF(COUNTIF($D$2:$D477,$D477)=1,1,0))</f>
        <v/>
      </c>
      <c r="AL477">
        <f>IF($AK477=1,SUMPRODUCT(--($AO$2:$AO$3001&lt;$AO477))+1,"")</f>
        <v/>
      </c>
      <c r="AM477">
        <f>IF($D477="","",IF(OR($R477=TRUE(),$R477="TRUE"),1,0))</f>
        <v/>
      </c>
      <c r="AN477">
        <f>IF($D477="","",IF($X477="Yes",1,0))</f>
        <v/>
      </c>
      <c r="AO477">
        <f>IF($AK477=1,IFERROR(IF(VALUE($D477)&lt;100000000,VALUE($D477),1000000000),IFERROR(IF(VALUE(MID($D477,2,20))&lt;100000000,VALUE(MID($D477,2,20)),1000000000),1000000000))+ROW()/100000,"")</f>
        <v/>
      </c>
    </row>
    <row r="478">
      <c r="F478" s="11" t="n"/>
      <c r="N478" s="7">
        <f>IF($D478="","",M478*V478/100)</f>
        <v/>
      </c>
      <c r="O478" s="7" t="n"/>
      <c r="U478" s="7" t="n"/>
      <c r="V478" s="7" t="n"/>
      <c r="Y478">
        <f>IF($D478="","",IF($AN478=1,0,IF($AM478=1,Settings!$C$6,Settings!$C$7))*100)</f>
        <v/>
      </c>
      <c r="Z478" s="7">
        <f>IF($D478="","",V478*Y478/100)</f>
        <v/>
      </c>
      <c r="AA478" s="7">
        <f>IF($D478="","",V478-Z478)</f>
        <v/>
      </c>
      <c r="AB478" s="7">
        <f>IF($D478="","",AA478-N478)</f>
        <v/>
      </c>
      <c r="AF478" s="7" t="n"/>
      <c r="AI478" s="11" t="n"/>
      <c r="AK478">
        <f>IF($D478="","",IF(COUNTIF($D$2:$D478,$D478)=1,1,0))</f>
        <v/>
      </c>
      <c r="AL478">
        <f>IF($AK478=1,SUMPRODUCT(--($AO$2:$AO$3001&lt;$AO478))+1,"")</f>
        <v/>
      </c>
      <c r="AM478">
        <f>IF($D478="","",IF(OR($R478=TRUE(),$R478="TRUE"),1,0))</f>
        <v/>
      </c>
      <c r="AN478">
        <f>IF($D478="","",IF($X478="Yes",1,0))</f>
        <v/>
      </c>
      <c r="AO478">
        <f>IF($AK478=1,IFERROR(IF(VALUE($D478)&lt;100000000,VALUE($D478),1000000000),IFERROR(IF(VALUE(MID($D478,2,20))&lt;100000000,VALUE(MID($D478,2,20)),1000000000),1000000000))+ROW()/100000,"")</f>
        <v/>
      </c>
    </row>
    <row r="479">
      <c r="F479" s="11" t="n"/>
      <c r="N479" s="7">
        <f>IF($D479="","",M479*V479/100)</f>
        <v/>
      </c>
      <c r="O479" s="7" t="n"/>
      <c r="U479" s="7" t="n"/>
      <c r="V479" s="7" t="n"/>
      <c r="Y479">
        <f>IF($D479="","",IF($AN479=1,0,IF($AM479=1,Settings!$C$6,Settings!$C$7))*100)</f>
        <v/>
      </c>
      <c r="Z479" s="7">
        <f>IF($D479="","",V479*Y479/100)</f>
        <v/>
      </c>
      <c r="AA479" s="7">
        <f>IF($D479="","",V479-Z479)</f>
        <v/>
      </c>
      <c r="AB479" s="7">
        <f>IF($D479="","",AA479-N479)</f>
        <v/>
      </c>
      <c r="AF479" s="7" t="n"/>
      <c r="AI479" s="11" t="n"/>
      <c r="AK479">
        <f>IF($D479="","",IF(COUNTIF($D$2:$D479,$D479)=1,1,0))</f>
        <v/>
      </c>
      <c r="AL479">
        <f>IF($AK479=1,SUMPRODUCT(--($AO$2:$AO$3001&lt;$AO479))+1,"")</f>
        <v/>
      </c>
      <c r="AM479">
        <f>IF($D479="","",IF(OR($R479=TRUE(),$R479="TRUE"),1,0))</f>
        <v/>
      </c>
      <c r="AN479">
        <f>IF($D479="","",IF($X479="Yes",1,0))</f>
        <v/>
      </c>
      <c r="AO479">
        <f>IF($AK479=1,IFERROR(IF(VALUE($D479)&lt;100000000,VALUE($D479),1000000000),IFERROR(IF(VALUE(MID($D479,2,20))&lt;100000000,VALUE(MID($D479,2,20)),1000000000),1000000000))+ROW()/100000,"")</f>
        <v/>
      </c>
    </row>
    <row r="480">
      <c r="F480" s="11" t="n"/>
      <c r="N480" s="7">
        <f>IF($D480="","",M480*V480/100)</f>
        <v/>
      </c>
      <c r="O480" s="7" t="n"/>
      <c r="U480" s="7" t="n"/>
      <c r="V480" s="7" t="n"/>
      <c r="Y480">
        <f>IF($D480="","",IF($AN480=1,0,IF($AM480=1,Settings!$C$6,Settings!$C$7))*100)</f>
        <v/>
      </c>
      <c r="Z480" s="7">
        <f>IF($D480="","",V480*Y480/100)</f>
        <v/>
      </c>
      <c r="AA480" s="7">
        <f>IF($D480="","",V480-Z480)</f>
        <v/>
      </c>
      <c r="AB480" s="7">
        <f>IF($D480="","",AA480-N480)</f>
        <v/>
      </c>
      <c r="AF480" s="7" t="n"/>
      <c r="AI480" s="11" t="n"/>
      <c r="AK480">
        <f>IF($D480="","",IF(COUNTIF($D$2:$D480,$D480)=1,1,0))</f>
        <v/>
      </c>
      <c r="AL480">
        <f>IF($AK480=1,SUMPRODUCT(--($AO$2:$AO$3001&lt;$AO480))+1,"")</f>
        <v/>
      </c>
      <c r="AM480">
        <f>IF($D480="","",IF(OR($R480=TRUE(),$R480="TRUE"),1,0))</f>
        <v/>
      </c>
      <c r="AN480">
        <f>IF($D480="","",IF($X480="Yes",1,0))</f>
        <v/>
      </c>
      <c r="AO480">
        <f>IF($AK480=1,IFERROR(IF(VALUE($D480)&lt;100000000,VALUE($D480),1000000000),IFERROR(IF(VALUE(MID($D480,2,20))&lt;100000000,VALUE(MID($D480,2,20)),1000000000),1000000000))+ROW()/100000,"")</f>
        <v/>
      </c>
    </row>
    <row r="481">
      <c r="F481" s="11" t="n"/>
      <c r="N481" s="7">
        <f>IF($D481="","",M481*V481/100)</f>
        <v/>
      </c>
      <c r="O481" s="7" t="n"/>
      <c r="U481" s="7" t="n"/>
      <c r="V481" s="7" t="n"/>
      <c r="Y481">
        <f>IF($D481="","",IF($AN481=1,0,IF($AM481=1,Settings!$C$6,Settings!$C$7))*100)</f>
        <v/>
      </c>
      <c r="Z481" s="7">
        <f>IF($D481="","",V481*Y481/100)</f>
        <v/>
      </c>
      <c r="AA481" s="7">
        <f>IF($D481="","",V481-Z481)</f>
        <v/>
      </c>
      <c r="AB481" s="7">
        <f>IF($D481="","",AA481-N481)</f>
        <v/>
      </c>
      <c r="AF481" s="7" t="n"/>
      <c r="AI481" s="11" t="n"/>
      <c r="AK481">
        <f>IF($D481="","",IF(COUNTIF($D$2:$D481,$D481)=1,1,0))</f>
        <v/>
      </c>
      <c r="AL481">
        <f>IF($AK481=1,SUMPRODUCT(--($AO$2:$AO$3001&lt;$AO481))+1,"")</f>
        <v/>
      </c>
      <c r="AM481">
        <f>IF($D481="","",IF(OR($R481=TRUE(),$R481="TRUE"),1,0))</f>
        <v/>
      </c>
      <c r="AN481">
        <f>IF($D481="","",IF($X481="Yes",1,0))</f>
        <v/>
      </c>
      <c r="AO481">
        <f>IF($AK481=1,IFERROR(IF(VALUE($D481)&lt;100000000,VALUE($D481),1000000000),IFERROR(IF(VALUE(MID($D481,2,20))&lt;100000000,VALUE(MID($D481,2,20)),1000000000),1000000000))+ROW()/100000,"")</f>
        <v/>
      </c>
    </row>
    <row r="482">
      <c r="F482" s="11" t="n"/>
      <c r="N482" s="7">
        <f>IF($D482="","",M482*V482/100)</f>
        <v/>
      </c>
      <c r="O482" s="7" t="n"/>
      <c r="U482" s="7" t="n"/>
      <c r="V482" s="7" t="n"/>
      <c r="Y482">
        <f>IF($D482="","",IF($AN482=1,0,IF($AM482=1,Settings!$C$6,Settings!$C$7))*100)</f>
        <v/>
      </c>
      <c r="Z482" s="7">
        <f>IF($D482="","",V482*Y482/100)</f>
        <v/>
      </c>
      <c r="AA482" s="7">
        <f>IF($D482="","",V482-Z482)</f>
        <v/>
      </c>
      <c r="AB482" s="7">
        <f>IF($D482="","",AA482-N482)</f>
        <v/>
      </c>
      <c r="AF482" s="7" t="n"/>
      <c r="AI482" s="11" t="n"/>
      <c r="AK482">
        <f>IF($D482="","",IF(COUNTIF($D$2:$D482,$D482)=1,1,0))</f>
        <v/>
      </c>
      <c r="AL482">
        <f>IF($AK482=1,SUMPRODUCT(--($AO$2:$AO$3001&lt;$AO482))+1,"")</f>
        <v/>
      </c>
      <c r="AM482">
        <f>IF($D482="","",IF(OR($R482=TRUE(),$R482="TRUE"),1,0))</f>
        <v/>
      </c>
      <c r="AN482">
        <f>IF($D482="","",IF($X482="Yes",1,0))</f>
        <v/>
      </c>
      <c r="AO482">
        <f>IF($AK482=1,IFERROR(IF(VALUE($D482)&lt;100000000,VALUE($D482),1000000000),IFERROR(IF(VALUE(MID($D482,2,20))&lt;100000000,VALUE(MID($D482,2,20)),1000000000),1000000000))+ROW()/100000,"")</f>
        <v/>
      </c>
    </row>
    <row r="483">
      <c r="F483" s="11" t="n"/>
      <c r="N483" s="7">
        <f>IF($D483="","",M483*V483/100)</f>
        <v/>
      </c>
      <c r="O483" s="7" t="n"/>
      <c r="U483" s="7" t="n"/>
      <c r="V483" s="7" t="n"/>
      <c r="Y483">
        <f>IF($D483="","",IF($AN483=1,0,IF($AM483=1,Settings!$C$6,Settings!$C$7))*100)</f>
        <v/>
      </c>
      <c r="Z483" s="7">
        <f>IF($D483="","",V483*Y483/100)</f>
        <v/>
      </c>
      <c r="AA483" s="7">
        <f>IF($D483="","",V483-Z483)</f>
        <v/>
      </c>
      <c r="AB483" s="7">
        <f>IF($D483="","",AA483-N483)</f>
        <v/>
      </c>
      <c r="AF483" s="7" t="n"/>
      <c r="AI483" s="11" t="n"/>
      <c r="AK483">
        <f>IF($D483="","",IF(COUNTIF($D$2:$D483,$D483)=1,1,0))</f>
        <v/>
      </c>
      <c r="AL483">
        <f>IF($AK483=1,SUMPRODUCT(--($AO$2:$AO$3001&lt;$AO483))+1,"")</f>
        <v/>
      </c>
      <c r="AM483">
        <f>IF($D483="","",IF(OR($R483=TRUE(),$R483="TRUE"),1,0))</f>
        <v/>
      </c>
      <c r="AN483">
        <f>IF($D483="","",IF($X483="Yes",1,0))</f>
        <v/>
      </c>
      <c r="AO483">
        <f>IF($AK483=1,IFERROR(IF(VALUE($D483)&lt;100000000,VALUE($D483),1000000000),IFERROR(IF(VALUE(MID($D483,2,20))&lt;100000000,VALUE(MID($D483,2,20)),1000000000),1000000000))+ROW()/100000,"")</f>
        <v/>
      </c>
    </row>
    <row r="484">
      <c r="F484" s="11" t="n"/>
      <c r="N484" s="7">
        <f>IF($D484="","",M484*V484/100)</f>
        <v/>
      </c>
      <c r="O484" s="7" t="n"/>
      <c r="U484" s="7" t="n"/>
      <c r="V484" s="7" t="n"/>
      <c r="Y484">
        <f>IF($D484="","",IF($AN484=1,0,IF($AM484=1,Settings!$C$6,Settings!$C$7))*100)</f>
        <v/>
      </c>
      <c r="Z484" s="7">
        <f>IF($D484="","",V484*Y484/100)</f>
        <v/>
      </c>
      <c r="AA484" s="7">
        <f>IF($D484="","",V484-Z484)</f>
        <v/>
      </c>
      <c r="AB484" s="7">
        <f>IF($D484="","",AA484-N484)</f>
        <v/>
      </c>
      <c r="AF484" s="7" t="n"/>
      <c r="AI484" s="11" t="n"/>
      <c r="AK484">
        <f>IF($D484="","",IF(COUNTIF($D$2:$D484,$D484)=1,1,0))</f>
        <v/>
      </c>
      <c r="AL484">
        <f>IF($AK484=1,SUMPRODUCT(--($AO$2:$AO$3001&lt;$AO484))+1,"")</f>
        <v/>
      </c>
      <c r="AM484">
        <f>IF($D484="","",IF(OR($R484=TRUE(),$R484="TRUE"),1,0))</f>
        <v/>
      </c>
      <c r="AN484">
        <f>IF($D484="","",IF($X484="Yes",1,0))</f>
        <v/>
      </c>
      <c r="AO484">
        <f>IF($AK484=1,IFERROR(IF(VALUE($D484)&lt;100000000,VALUE($D484),1000000000),IFERROR(IF(VALUE(MID($D484,2,20))&lt;100000000,VALUE(MID($D484,2,20)),1000000000),1000000000))+ROW()/100000,"")</f>
        <v/>
      </c>
    </row>
    <row r="485">
      <c r="F485" s="11" t="n"/>
      <c r="N485" s="7">
        <f>IF($D485="","",M485*V485/100)</f>
        <v/>
      </c>
      <c r="O485" s="7" t="n"/>
      <c r="U485" s="7" t="n"/>
      <c r="V485" s="7" t="n"/>
      <c r="Y485">
        <f>IF($D485="","",IF($AN485=1,0,IF($AM485=1,Settings!$C$6,Settings!$C$7))*100)</f>
        <v/>
      </c>
      <c r="Z485" s="7">
        <f>IF($D485="","",V485*Y485/100)</f>
        <v/>
      </c>
      <c r="AA485" s="7">
        <f>IF($D485="","",V485-Z485)</f>
        <v/>
      </c>
      <c r="AB485" s="7">
        <f>IF($D485="","",AA485-N485)</f>
        <v/>
      </c>
      <c r="AF485" s="7" t="n"/>
      <c r="AI485" s="11" t="n"/>
      <c r="AK485">
        <f>IF($D485="","",IF(COUNTIF($D$2:$D485,$D485)=1,1,0))</f>
        <v/>
      </c>
      <c r="AL485">
        <f>IF($AK485=1,SUMPRODUCT(--($AO$2:$AO$3001&lt;$AO485))+1,"")</f>
        <v/>
      </c>
      <c r="AM485">
        <f>IF($D485="","",IF(OR($R485=TRUE(),$R485="TRUE"),1,0))</f>
        <v/>
      </c>
      <c r="AN485">
        <f>IF($D485="","",IF($X485="Yes",1,0))</f>
        <v/>
      </c>
      <c r="AO485">
        <f>IF($AK485=1,IFERROR(IF(VALUE($D485)&lt;100000000,VALUE($D485),1000000000),IFERROR(IF(VALUE(MID($D485,2,20))&lt;100000000,VALUE(MID($D485,2,20)),1000000000),1000000000))+ROW()/100000,"")</f>
        <v/>
      </c>
    </row>
    <row r="486">
      <c r="F486" s="11" t="n"/>
      <c r="N486" s="7">
        <f>IF($D486="","",M486*V486/100)</f>
        <v/>
      </c>
      <c r="O486" s="7" t="n"/>
      <c r="U486" s="7" t="n"/>
      <c r="V486" s="7" t="n"/>
      <c r="Y486">
        <f>IF($D486="","",IF($AN486=1,0,IF($AM486=1,Settings!$C$6,Settings!$C$7))*100)</f>
        <v/>
      </c>
      <c r="Z486" s="7">
        <f>IF($D486="","",V486*Y486/100)</f>
        <v/>
      </c>
      <c r="AA486" s="7">
        <f>IF($D486="","",V486-Z486)</f>
        <v/>
      </c>
      <c r="AB486" s="7">
        <f>IF($D486="","",AA486-N486)</f>
        <v/>
      </c>
      <c r="AF486" s="7" t="n"/>
      <c r="AI486" s="11" t="n"/>
      <c r="AK486">
        <f>IF($D486="","",IF(COUNTIF($D$2:$D486,$D486)=1,1,0))</f>
        <v/>
      </c>
      <c r="AL486">
        <f>IF($AK486=1,SUMPRODUCT(--($AO$2:$AO$3001&lt;$AO486))+1,"")</f>
        <v/>
      </c>
      <c r="AM486">
        <f>IF($D486="","",IF(OR($R486=TRUE(),$R486="TRUE"),1,0))</f>
        <v/>
      </c>
      <c r="AN486">
        <f>IF($D486="","",IF($X486="Yes",1,0))</f>
        <v/>
      </c>
      <c r="AO486">
        <f>IF($AK486=1,IFERROR(IF(VALUE($D486)&lt;100000000,VALUE($D486),1000000000),IFERROR(IF(VALUE(MID($D486,2,20))&lt;100000000,VALUE(MID($D486,2,20)),1000000000),1000000000))+ROW()/100000,"")</f>
        <v/>
      </c>
    </row>
    <row r="487">
      <c r="F487" s="11" t="n"/>
      <c r="N487" s="7">
        <f>IF($D487="","",M487*V487/100)</f>
        <v/>
      </c>
      <c r="O487" s="7" t="n"/>
      <c r="U487" s="7" t="n"/>
      <c r="V487" s="7" t="n"/>
      <c r="Y487">
        <f>IF($D487="","",IF($AN487=1,0,IF($AM487=1,Settings!$C$6,Settings!$C$7))*100)</f>
        <v/>
      </c>
      <c r="Z487" s="7">
        <f>IF($D487="","",V487*Y487/100)</f>
        <v/>
      </c>
      <c r="AA487" s="7">
        <f>IF($D487="","",V487-Z487)</f>
        <v/>
      </c>
      <c r="AB487" s="7">
        <f>IF($D487="","",AA487-N487)</f>
        <v/>
      </c>
      <c r="AF487" s="7" t="n"/>
      <c r="AI487" s="11" t="n"/>
      <c r="AK487">
        <f>IF($D487="","",IF(COUNTIF($D$2:$D487,$D487)=1,1,0))</f>
        <v/>
      </c>
      <c r="AL487">
        <f>IF($AK487=1,SUMPRODUCT(--($AO$2:$AO$3001&lt;$AO487))+1,"")</f>
        <v/>
      </c>
      <c r="AM487">
        <f>IF($D487="","",IF(OR($R487=TRUE(),$R487="TRUE"),1,0))</f>
        <v/>
      </c>
      <c r="AN487">
        <f>IF($D487="","",IF($X487="Yes",1,0))</f>
        <v/>
      </c>
      <c r="AO487">
        <f>IF($AK487=1,IFERROR(IF(VALUE($D487)&lt;100000000,VALUE($D487),1000000000),IFERROR(IF(VALUE(MID($D487,2,20))&lt;100000000,VALUE(MID($D487,2,20)),1000000000),1000000000))+ROW()/100000,"")</f>
        <v/>
      </c>
    </row>
    <row r="488">
      <c r="F488" s="11" t="n"/>
      <c r="N488" s="7">
        <f>IF($D488="","",M488*V488/100)</f>
        <v/>
      </c>
      <c r="O488" s="7" t="n"/>
      <c r="U488" s="7" t="n"/>
      <c r="V488" s="7" t="n"/>
      <c r="Y488">
        <f>IF($D488="","",IF($AN488=1,0,IF($AM488=1,Settings!$C$6,Settings!$C$7))*100)</f>
        <v/>
      </c>
      <c r="Z488" s="7">
        <f>IF($D488="","",V488*Y488/100)</f>
        <v/>
      </c>
      <c r="AA488" s="7">
        <f>IF($D488="","",V488-Z488)</f>
        <v/>
      </c>
      <c r="AB488" s="7">
        <f>IF($D488="","",AA488-N488)</f>
        <v/>
      </c>
      <c r="AF488" s="7" t="n"/>
      <c r="AI488" s="11" t="n"/>
      <c r="AK488">
        <f>IF($D488="","",IF(COUNTIF($D$2:$D488,$D488)=1,1,0))</f>
        <v/>
      </c>
      <c r="AL488">
        <f>IF($AK488=1,SUMPRODUCT(--($AO$2:$AO$3001&lt;$AO488))+1,"")</f>
        <v/>
      </c>
      <c r="AM488">
        <f>IF($D488="","",IF(OR($R488=TRUE(),$R488="TRUE"),1,0))</f>
        <v/>
      </c>
      <c r="AN488">
        <f>IF($D488="","",IF($X488="Yes",1,0))</f>
        <v/>
      </c>
      <c r="AO488">
        <f>IF($AK488=1,IFERROR(IF(VALUE($D488)&lt;100000000,VALUE($D488),1000000000),IFERROR(IF(VALUE(MID($D488,2,20))&lt;100000000,VALUE(MID($D488,2,20)),1000000000),1000000000))+ROW()/100000,"")</f>
        <v/>
      </c>
    </row>
    <row r="489">
      <c r="F489" s="11" t="n"/>
      <c r="N489" s="7">
        <f>IF($D489="","",M489*V489/100)</f>
        <v/>
      </c>
      <c r="O489" s="7" t="n"/>
      <c r="U489" s="7" t="n"/>
      <c r="V489" s="7" t="n"/>
      <c r="Y489">
        <f>IF($D489="","",IF($AN489=1,0,IF($AM489=1,Settings!$C$6,Settings!$C$7))*100)</f>
        <v/>
      </c>
      <c r="Z489" s="7">
        <f>IF($D489="","",V489*Y489/100)</f>
        <v/>
      </c>
      <c r="AA489" s="7">
        <f>IF($D489="","",V489-Z489)</f>
        <v/>
      </c>
      <c r="AB489" s="7">
        <f>IF($D489="","",AA489-N489)</f>
        <v/>
      </c>
      <c r="AF489" s="7" t="n"/>
      <c r="AI489" s="11" t="n"/>
      <c r="AK489">
        <f>IF($D489="","",IF(COUNTIF($D$2:$D489,$D489)=1,1,0))</f>
        <v/>
      </c>
      <c r="AL489">
        <f>IF($AK489=1,SUMPRODUCT(--($AO$2:$AO$3001&lt;$AO489))+1,"")</f>
        <v/>
      </c>
      <c r="AM489">
        <f>IF($D489="","",IF(OR($R489=TRUE(),$R489="TRUE"),1,0))</f>
        <v/>
      </c>
      <c r="AN489">
        <f>IF($D489="","",IF($X489="Yes",1,0))</f>
        <v/>
      </c>
      <c r="AO489">
        <f>IF($AK489=1,IFERROR(IF(VALUE($D489)&lt;100000000,VALUE($D489),1000000000),IFERROR(IF(VALUE(MID($D489,2,20))&lt;100000000,VALUE(MID($D489,2,20)),1000000000),1000000000))+ROW()/100000,"")</f>
        <v/>
      </c>
    </row>
    <row r="490">
      <c r="F490" s="11" t="n"/>
      <c r="N490" s="7">
        <f>IF($D490="","",M490*V490/100)</f>
        <v/>
      </c>
      <c r="O490" s="7" t="n"/>
      <c r="U490" s="7" t="n"/>
      <c r="V490" s="7" t="n"/>
      <c r="Y490">
        <f>IF($D490="","",IF($AN490=1,0,IF($AM490=1,Settings!$C$6,Settings!$C$7))*100)</f>
        <v/>
      </c>
      <c r="Z490" s="7">
        <f>IF($D490="","",V490*Y490/100)</f>
        <v/>
      </c>
      <c r="AA490" s="7">
        <f>IF($D490="","",V490-Z490)</f>
        <v/>
      </c>
      <c r="AB490" s="7">
        <f>IF($D490="","",AA490-N490)</f>
        <v/>
      </c>
      <c r="AF490" s="7" t="n"/>
      <c r="AI490" s="11" t="n"/>
      <c r="AK490">
        <f>IF($D490="","",IF(COUNTIF($D$2:$D490,$D490)=1,1,0))</f>
        <v/>
      </c>
      <c r="AL490">
        <f>IF($AK490=1,SUMPRODUCT(--($AO$2:$AO$3001&lt;$AO490))+1,"")</f>
        <v/>
      </c>
      <c r="AM490">
        <f>IF($D490="","",IF(OR($R490=TRUE(),$R490="TRUE"),1,0))</f>
        <v/>
      </c>
      <c r="AN490">
        <f>IF($D490="","",IF($X490="Yes",1,0))</f>
        <v/>
      </c>
      <c r="AO490">
        <f>IF($AK490=1,IFERROR(IF(VALUE($D490)&lt;100000000,VALUE($D490),1000000000),IFERROR(IF(VALUE(MID($D490,2,20))&lt;100000000,VALUE(MID($D490,2,20)),1000000000),1000000000))+ROW()/100000,"")</f>
        <v/>
      </c>
    </row>
    <row r="491">
      <c r="F491" s="11" t="n"/>
      <c r="N491" s="7">
        <f>IF($D491="","",M491*V491/100)</f>
        <v/>
      </c>
      <c r="O491" s="7" t="n"/>
      <c r="U491" s="7" t="n"/>
      <c r="V491" s="7" t="n"/>
      <c r="Y491">
        <f>IF($D491="","",IF($AN491=1,0,IF($AM491=1,Settings!$C$6,Settings!$C$7))*100)</f>
        <v/>
      </c>
      <c r="Z491" s="7">
        <f>IF($D491="","",V491*Y491/100)</f>
        <v/>
      </c>
      <c r="AA491" s="7">
        <f>IF($D491="","",V491-Z491)</f>
        <v/>
      </c>
      <c r="AB491" s="7">
        <f>IF($D491="","",AA491-N491)</f>
        <v/>
      </c>
      <c r="AF491" s="7" t="n"/>
      <c r="AI491" s="11" t="n"/>
      <c r="AK491">
        <f>IF($D491="","",IF(COUNTIF($D$2:$D491,$D491)=1,1,0))</f>
        <v/>
      </c>
      <c r="AL491">
        <f>IF($AK491=1,SUMPRODUCT(--($AO$2:$AO$3001&lt;$AO491))+1,"")</f>
        <v/>
      </c>
      <c r="AM491">
        <f>IF($D491="","",IF(OR($R491=TRUE(),$R491="TRUE"),1,0))</f>
        <v/>
      </c>
      <c r="AN491">
        <f>IF($D491="","",IF($X491="Yes",1,0))</f>
        <v/>
      </c>
      <c r="AO491">
        <f>IF($AK491=1,IFERROR(IF(VALUE($D491)&lt;100000000,VALUE($D491),1000000000),IFERROR(IF(VALUE(MID($D491,2,20))&lt;100000000,VALUE(MID($D491,2,20)),1000000000),1000000000))+ROW()/100000,"")</f>
        <v/>
      </c>
    </row>
    <row r="492">
      <c r="F492" s="11" t="n"/>
      <c r="N492" s="7">
        <f>IF($D492="","",M492*V492/100)</f>
        <v/>
      </c>
      <c r="O492" s="7" t="n"/>
      <c r="U492" s="7" t="n"/>
      <c r="V492" s="7" t="n"/>
      <c r="Y492">
        <f>IF($D492="","",IF($AN492=1,0,IF($AM492=1,Settings!$C$6,Settings!$C$7))*100)</f>
        <v/>
      </c>
      <c r="Z492" s="7">
        <f>IF($D492="","",V492*Y492/100)</f>
        <v/>
      </c>
      <c r="AA492" s="7">
        <f>IF($D492="","",V492-Z492)</f>
        <v/>
      </c>
      <c r="AB492" s="7">
        <f>IF($D492="","",AA492-N492)</f>
        <v/>
      </c>
      <c r="AF492" s="7" t="n"/>
      <c r="AI492" s="11" t="n"/>
      <c r="AK492">
        <f>IF($D492="","",IF(COUNTIF($D$2:$D492,$D492)=1,1,0))</f>
        <v/>
      </c>
      <c r="AL492">
        <f>IF($AK492=1,SUMPRODUCT(--($AO$2:$AO$3001&lt;$AO492))+1,"")</f>
        <v/>
      </c>
      <c r="AM492">
        <f>IF($D492="","",IF(OR($R492=TRUE(),$R492="TRUE"),1,0))</f>
        <v/>
      </c>
      <c r="AN492">
        <f>IF($D492="","",IF($X492="Yes",1,0))</f>
        <v/>
      </c>
      <c r="AO492">
        <f>IF($AK492=1,IFERROR(IF(VALUE($D492)&lt;100000000,VALUE($D492),1000000000),IFERROR(IF(VALUE(MID($D492,2,20))&lt;100000000,VALUE(MID($D492,2,20)),1000000000),1000000000))+ROW()/100000,"")</f>
        <v/>
      </c>
    </row>
    <row r="493">
      <c r="F493" s="11" t="n"/>
      <c r="N493" s="7">
        <f>IF($D493="","",M493*V493/100)</f>
        <v/>
      </c>
      <c r="O493" s="7" t="n"/>
      <c r="U493" s="7" t="n"/>
      <c r="V493" s="7" t="n"/>
      <c r="Y493">
        <f>IF($D493="","",IF($AN493=1,0,IF($AM493=1,Settings!$C$6,Settings!$C$7))*100)</f>
        <v/>
      </c>
      <c r="Z493" s="7">
        <f>IF($D493="","",V493*Y493/100)</f>
        <v/>
      </c>
      <c r="AA493" s="7">
        <f>IF($D493="","",V493-Z493)</f>
        <v/>
      </c>
      <c r="AB493" s="7">
        <f>IF($D493="","",AA493-N493)</f>
        <v/>
      </c>
      <c r="AF493" s="7" t="n"/>
      <c r="AI493" s="11" t="n"/>
      <c r="AK493">
        <f>IF($D493="","",IF(COUNTIF($D$2:$D493,$D493)=1,1,0))</f>
        <v/>
      </c>
      <c r="AL493">
        <f>IF($AK493=1,SUMPRODUCT(--($AO$2:$AO$3001&lt;$AO493))+1,"")</f>
        <v/>
      </c>
      <c r="AM493">
        <f>IF($D493="","",IF(OR($R493=TRUE(),$R493="TRUE"),1,0))</f>
        <v/>
      </c>
      <c r="AN493">
        <f>IF($D493="","",IF($X493="Yes",1,0))</f>
        <v/>
      </c>
      <c r="AO493">
        <f>IF($AK493=1,IFERROR(IF(VALUE($D493)&lt;100000000,VALUE($D493),1000000000),IFERROR(IF(VALUE(MID($D493,2,20))&lt;100000000,VALUE(MID($D493,2,20)),1000000000),1000000000))+ROW()/100000,"")</f>
        <v/>
      </c>
    </row>
    <row r="494">
      <c r="F494" s="11" t="n"/>
      <c r="N494" s="7">
        <f>IF($D494="","",M494*V494/100)</f>
        <v/>
      </c>
      <c r="O494" s="7" t="n"/>
      <c r="U494" s="7" t="n"/>
      <c r="V494" s="7" t="n"/>
      <c r="Y494">
        <f>IF($D494="","",IF($AN494=1,0,IF($AM494=1,Settings!$C$6,Settings!$C$7))*100)</f>
        <v/>
      </c>
      <c r="Z494" s="7">
        <f>IF($D494="","",V494*Y494/100)</f>
        <v/>
      </c>
      <c r="AA494" s="7">
        <f>IF($D494="","",V494-Z494)</f>
        <v/>
      </c>
      <c r="AB494" s="7">
        <f>IF($D494="","",AA494-N494)</f>
        <v/>
      </c>
      <c r="AF494" s="7" t="n"/>
      <c r="AI494" s="11" t="n"/>
      <c r="AK494">
        <f>IF($D494="","",IF(COUNTIF($D$2:$D494,$D494)=1,1,0))</f>
        <v/>
      </c>
      <c r="AL494">
        <f>IF($AK494=1,SUMPRODUCT(--($AO$2:$AO$3001&lt;$AO494))+1,"")</f>
        <v/>
      </c>
      <c r="AM494">
        <f>IF($D494="","",IF(OR($R494=TRUE(),$R494="TRUE"),1,0))</f>
        <v/>
      </c>
      <c r="AN494">
        <f>IF($D494="","",IF($X494="Yes",1,0))</f>
        <v/>
      </c>
      <c r="AO494">
        <f>IF($AK494=1,IFERROR(IF(VALUE($D494)&lt;100000000,VALUE($D494),1000000000),IFERROR(IF(VALUE(MID($D494,2,20))&lt;100000000,VALUE(MID($D494,2,20)),1000000000),1000000000))+ROW()/100000,"")</f>
        <v/>
      </c>
    </row>
    <row r="495">
      <c r="F495" s="11" t="n"/>
      <c r="N495" s="7">
        <f>IF($D495="","",M495*V495/100)</f>
        <v/>
      </c>
      <c r="O495" s="7" t="n"/>
      <c r="U495" s="7" t="n"/>
      <c r="V495" s="7" t="n"/>
      <c r="Y495">
        <f>IF($D495="","",IF($AN495=1,0,IF($AM495=1,Settings!$C$6,Settings!$C$7))*100)</f>
        <v/>
      </c>
      <c r="Z495" s="7">
        <f>IF($D495="","",V495*Y495/100)</f>
        <v/>
      </c>
      <c r="AA495" s="7">
        <f>IF($D495="","",V495-Z495)</f>
        <v/>
      </c>
      <c r="AB495" s="7">
        <f>IF($D495="","",AA495-N495)</f>
        <v/>
      </c>
      <c r="AF495" s="7" t="n"/>
      <c r="AI495" s="11" t="n"/>
      <c r="AK495">
        <f>IF($D495="","",IF(COUNTIF($D$2:$D495,$D495)=1,1,0))</f>
        <v/>
      </c>
      <c r="AL495">
        <f>IF($AK495=1,SUMPRODUCT(--($AO$2:$AO$3001&lt;$AO495))+1,"")</f>
        <v/>
      </c>
      <c r="AM495">
        <f>IF($D495="","",IF(OR($R495=TRUE(),$R495="TRUE"),1,0))</f>
        <v/>
      </c>
      <c r="AN495">
        <f>IF($D495="","",IF($X495="Yes",1,0))</f>
        <v/>
      </c>
      <c r="AO495">
        <f>IF($AK495=1,IFERROR(IF(VALUE($D495)&lt;100000000,VALUE($D495),1000000000),IFERROR(IF(VALUE(MID($D495,2,20))&lt;100000000,VALUE(MID($D495,2,20)),1000000000),1000000000))+ROW()/100000,"")</f>
        <v/>
      </c>
    </row>
    <row r="496">
      <c r="F496" s="11" t="n"/>
      <c r="N496" s="7">
        <f>IF($D496="","",M496*V496/100)</f>
        <v/>
      </c>
      <c r="O496" s="7" t="n"/>
      <c r="U496" s="7" t="n"/>
      <c r="V496" s="7" t="n"/>
      <c r="Y496">
        <f>IF($D496="","",IF($AN496=1,0,IF($AM496=1,Settings!$C$6,Settings!$C$7))*100)</f>
        <v/>
      </c>
      <c r="Z496" s="7">
        <f>IF($D496="","",V496*Y496/100)</f>
        <v/>
      </c>
      <c r="AA496" s="7">
        <f>IF($D496="","",V496-Z496)</f>
        <v/>
      </c>
      <c r="AB496" s="7">
        <f>IF($D496="","",AA496-N496)</f>
        <v/>
      </c>
      <c r="AF496" s="7" t="n"/>
      <c r="AI496" s="11" t="n"/>
      <c r="AK496">
        <f>IF($D496="","",IF(COUNTIF($D$2:$D496,$D496)=1,1,0))</f>
        <v/>
      </c>
      <c r="AL496">
        <f>IF($AK496=1,SUMPRODUCT(--($AO$2:$AO$3001&lt;$AO496))+1,"")</f>
        <v/>
      </c>
      <c r="AM496">
        <f>IF($D496="","",IF(OR($R496=TRUE(),$R496="TRUE"),1,0))</f>
        <v/>
      </c>
      <c r="AN496">
        <f>IF($D496="","",IF($X496="Yes",1,0))</f>
        <v/>
      </c>
      <c r="AO496">
        <f>IF($AK496=1,IFERROR(IF(VALUE($D496)&lt;100000000,VALUE($D496),1000000000),IFERROR(IF(VALUE(MID($D496,2,20))&lt;100000000,VALUE(MID($D496,2,20)),1000000000),1000000000))+ROW()/100000,"")</f>
        <v/>
      </c>
    </row>
    <row r="497">
      <c r="F497" s="11" t="n"/>
      <c r="N497" s="7">
        <f>IF($D497="","",M497*V497/100)</f>
        <v/>
      </c>
      <c r="O497" s="7" t="n"/>
      <c r="U497" s="7" t="n"/>
      <c r="V497" s="7" t="n"/>
      <c r="Y497">
        <f>IF($D497="","",IF($AN497=1,0,IF($AM497=1,Settings!$C$6,Settings!$C$7))*100)</f>
        <v/>
      </c>
      <c r="Z497" s="7">
        <f>IF($D497="","",V497*Y497/100)</f>
        <v/>
      </c>
      <c r="AA497" s="7">
        <f>IF($D497="","",V497-Z497)</f>
        <v/>
      </c>
      <c r="AB497" s="7">
        <f>IF($D497="","",AA497-N497)</f>
        <v/>
      </c>
      <c r="AF497" s="7" t="n"/>
      <c r="AI497" s="11" t="n"/>
      <c r="AK497">
        <f>IF($D497="","",IF(COUNTIF($D$2:$D497,$D497)=1,1,0))</f>
        <v/>
      </c>
      <c r="AL497">
        <f>IF($AK497=1,SUMPRODUCT(--($AO$2:$AO$3001&lt;$AO497))+1,"")</f>
        <v/>
      </c>
      <c r="AM497">
        <f>IF($D497="","",IF(OR($R497=TRUE(),$R497="TRUE"),1,0))</f>
        <v/>
      </c>
      <c r="AN497">
        <f>IF($D497="","",IF($X497="Yes",1,0))</f>
        <v/>
      </c>
      <c r="AO497">
        <f>IF($AK497=1,IFERROR(IF(VALUE($D497)&lt;100000000,VALUE($D497),1000000000),IFERROR(IF(VALUE(MID($D497,2,20))&lt;100000000,VALUE(MID($D497,2,20)),1000000000),1000000000))+ROW()/100000,"")</f>
        <v/>
      </c>
    </row>
    <row r="498">
      <c r="F498" s="11" t="n"/>
      <c r="N498" s="7">
        <f>IF($D498="","",M498*V498/100)</f>
        <v/>
      </c>
      <c r="O498" s="7" t="n"/>
      <c r="U498" s="7" t="n"/>
      <c r="V498" s="7" t="n"/>
      <c r="Y498">
        <f>IF($D498="","",IF($AN498=1,0,IF($AM498=1,Settings!$C$6,Settings!$C$7))*100)</f>
        <v/>
      </c>
      <c r="Z498" s="7">
        <f>IF($D498="","",V498*Y498/100)</f>
        <v/>
      </c>
      <c r="AA498" s="7">
        <f>IF($D498="","",V498-Z498)</f>
        <v/>
      </c>
      <c r="AB498" s="7">
        <f>IF($D498="","",AA498-N498)</f>
        <v/>
      </c>
      <c r="AF498" s="7" t="n"/>
      <c r="AI498" s="11" t="n"/>
      <c r="AK498">
        <f>IF($D498="","",IF(COUNTIF($D$2:$D498,$D498)=1,1,0))</f>
        <v/>
      </c>
      <c r="AL498">
        <f>IF($AK498=1,SUMPRODUCT(--($AO$2:$AO$3001&lt;$AO498))+1,"")</f>
        <v/>
      </c>
      <c r="AM498">
        <f>IF($D498="","",IF(OR($R498=TRUE(),$R498="TRUE"),1,0))</f>
        <v/>
      </c>
      <c r="AN498">
        <f>IF($D498="","",IF($X498="Yes",1,0))</f>
        <v/>
      </c>
      <c r="AO498">
        <f>IF($AK498=1,IFERROR(IF(VALUE($D498)&lt;100000000,VALUE($D498),1000000000),IFERROR(IF(VALUE(MID($D498,2,20))&lt;100000000,VALUE(MID($D498,2,20)),1000000000),1000000000))+ROW()/100000,"")</f>
        <v/>
      </c>
    </row>
    <row r="499">
      <c r="F499" s="11" t="n"/>
      <c r="N499" s="7">
        <f>IF($D499="","",M499*V499/100)</f>
        <v/>
      </c>
      <c r="O499" s="7" t="n"/>
      <c r="U499" s="7" t="n"/>
      <c r="V499" s="7" t="n"/>
      <c r="Y499">
        <f>IF($D499="","",IF($AN499=1,0,IF($AM499=1,Settings!$C$6,Settings!$C$7))*100)</f>
        <v/>
      </c>
      <c r="Z499" s="7">
        <f>IF($D499="","",V499*Y499/100)</f>
        <v/>
      </c>
      <c r="AA499" s="7">
        <f>IF($D499="","",V499-Z499)</f>
        <v/>
      </c>
      <c r="AB499" s="7">
        <f>IF($D499="","",AA499-N499)</f>
        <v/>
      </c>
      <c r="AF499" s="7" t="n"/>
      <c r="AI499" s="11" t="n"/>
      <c r="AK499">
        <f>IF($D499="","",IF(COUNTIF($D$2:$D499,$D499)=1,1,0))</f>
        <v/>
      </c>
      <c r="AL499">
        <f>IF($AK499=1,SUMPRODUCT(--($AO$2:$AO$3001&lt;$AO499))+1,"")</f>
        <v/>
      </c>
      <c r="AM499">
        <f>IF($D499="","",IF(OR($R499=TRUE(),$R499="TRUE"),1,0))</f>
        <v/>
      </c>
      <c r="AN499">
        <f>IF($D499="","",IF($X499="Yes",1,0))</f>
        <v/>
      </c>
      <c r="AO499">
        <f>IF($AK499=1,IFERROR(IF(VALUE($D499)&lt;100000000,VALUE($D499),1000000000),IFERROR(IF(VALUE(MID($D499,2,20))&lt;100000000,VALUE(MID($D499,2,20)),1000000000),1000000000))+ROW()/100000,"")</f>
        <v/>
      </c>
    </row>
    <row r="500">
      <c r="F500" s="11" t="n"/>
      <c r="N500" s="7">
        <f>IF($D500="","",M500*V500/100)</f>
        <v/>
      </c>
      <c r="O500" s="7" t="n"/>
      <c r="U500" s="7" t="n"/>
      <c r="V500" s="7" t="n"/>
      <c r="Y500">
        <f>IF($D500="","",IF($AN500=1,0,IF($AM500=1,Settings!$C$6,Settings!$C$7))*100)</f>
        <v/>
      </c>
      <c r="Z500" s="7">
        <f>IF($D500="","",V500*Y500/100)</f>
        <v/>
      </c>
      <c r="AA500" s="7">
        <f>IF($D500="","",V500-Z500)</f>
        <v/>
      </c>
      <c r="AB500" s="7">
        <f>IF($D500="","",AA500-N500)</f>
        <v/>
      </c>
      <c r="AF500" s="7" t="n"/>
      <c r="AI500" s="11" t="n"/>
      <c r="AK500">
        <f>IF($D500="","",IF(COUNTIF($D$2:$D500,$D500)=1,1,0))</f>
        <v/>
      </c>
      <c r="AL500">
        <f>IF($AK500=1,SUMPRODUCT(--($AO$2:$AO$3001&lt;$AO500))+1,"")</f>
        <v/>
      </c>
      <c r="AM500">
        <f>IF($D500="","",IF(OR($R500=TRUE(),$R500="TRUE"),1,0))</f>
        <v/>
      </c>
      <c r="AN500">
        <f>IF($D500="","",IF($X500="Yes",1,0))</f>
        <v/>
      </c>
      <c r="AO500">
        <f>IF($AK500=1,IFERROR(IF(VALUE($D500)&lt;100000000,VALUE($D500),1000000000),IFERROR(IF(VALUE(MID($D500,2,20))&lt;100000000,VALUE(MID($D500,2,20)),1000000000),1000000000))+ROW()/100000,"")</f>
        <v/>
      </c>
    </row>
    <row r="501">
      <c r="F501" s="11" t="n"/>
      <c r="N501" s="7">
        <f>IF($D501="","",M501*V501/100)</f>
        <v/>
      </c>
      <c r="O501" s="7" t="n"/>
      <c r="U501" s="7" t="n"/>
      <c r="V501" s="7" t="n"/>
      <c r="Y501">
        <f>IF($D501="","",IF($AN501=1,0,IF($AM501=1,Settings!$C$6,Settings!$C$7))*100)</f>
        <v/>
      </c>
      <c r="Z501" s="7">
        <f>IF($D501="","",V501*Y501/100)</f>
        <v/>
      </c>
      <c r="AA501" s="7">
        <f>IF($D501="","",V501-Z501)</f>
        <v/>
      </c>
      <c r="AB501" s="7">
        <f>IF($D501="","",AA501-N501)</f>
        <v/>
      </c>
      <c r="AF501" s="7" t="n"/>
      <c r="AI501" s="11" t="n"/>
      <c r="AK501">
        <f>IF($D501="","",IF(COUNTIF($D$2:$D501,$D501)=1,1,0))</f>
        <v/>
      </c>
      <c r="AL501">
        <f>IF($AK501=1,SUMPRODUCT(--($AO$2:$AO$3001&lt;$AO501))+1,"")</f>
        <v/>
      </c>
      <c r="AM501">
        <f>IF($D501="","",IF(OR($R501=TRUE(),$R501="TRUE"),1,0))</f>
        <v/>
      </c>
      <c r="AN501">
        <f>IF($D501="","",IF($X501="Yes",1,0))</f>
        <v/>
      </c>
      <c r="AO501">
        <f>IF($AK501=1,IFERROR(IF(VALUE($D501)&lt;100000000,VALUE($D501),1000000000),IFERROR(IF(VALUE(MID($D501,2,20))&lt;100000000,VALUE(MID($D501,2,20)),1000000000),1000000000))+ROW()/100000,"")</f>
        <v/>
      </c>
    </row>
    <row r="502">
      <c r="F502" s="11" t="n"/>
      <c r="N502" s="7">
        <f>IF($D502="","",M502*V502/100)</f>
        <v/>
      </c>
      <c r="O502" s="7" t="n"/>
      <c r="U502" s="7" t="n"/>
      <c r="V502" s="7" t="n"/>
      <c r="Y502">
        <f>IF($D502="","",IF($AN502=1,0,IF($AM502=1,Settings!$C$6,Settings!$C$7))*100)</f>
        <v/>
      </c>
      <c r="Z502" s="7">
        <f>IF($D502="","",V502*Y502/100)</f>
        <v/>
      </c>
      <c r="AA502" s="7">
        <f>IF($D502="","",V502-Z502)</f>
        <v/>
      </c>
      <c r="AB502" s="7">
        <f>IF($D502="","",AA502-N502)</f>
        <v/>
      </c>
      <c r="AF502" s="7" t="n"/>
      <c r="AI502" s="11" t="n"/>
      <c r="AK502">
        <f>IF($D502="","",IF(COUNTIF($D$2:$D502,$D502)=1,1,0))</f>
        <v/>
      </c>
      <c r="AL502">
        <f>IF($AK502=1,SUMPRODUCT(--($AO$2:$AO$3001&lt;$AO502))+1,"")</f>
        <v/>
      </c>
      <c r="AM502">
        <f>IF($D502="","",IF(OR($R502=TRUE(),$R502="TRUE"),1,0))</f>
        <v/>
      </c>
      <c r="AN502">
        <f>IF($D502="","",IF($X502="Yes",1,0))</f>
        <v/>
      </c>
      <c r="AO502">
        <f>IF($AK502=1,IFERROR(IF(VALUE($D502)&lt;100000000,VALUE($D502),1000000000),IFERROR(IF(VALUE(MID($D502,2,20))&lt;100000000,VALUE(MID($D502,2,20)),1000000000),1000000000))+ROW()/100000,"")</f>
        <v/>
      </c>
    </row>
    <row r="503">
      <c r="F503" s="11" t="n"/>
      <c r="N503" s="7">
        <f>IF($D503="","",M503*V503/100)</f>
        <v/>
      </c>
      <c r="O503" s="7" t="n"/>
      <c r="U503" s="7" t="n"/>
      <c r="V503" s="7" t="n"/>
      <c r="Y503">
        <f>IF($D503="","",IF($AN503=1,0,IF($AM503=1,Settings!$C$6,Settings!$C$7))*100)</f>
        <v/>
      </c>
      <c r="Z503" s="7">
        <f>IF($D503="","",V503*Y503/100)</f>
        <v/>
      </c>
      <c r="AA503" s="7">
        <f>IF($D503="","",V503-Z503)</f>
        <v/>
      </c>
      <c r="AB503" s="7">
        <f>IF($D503="","",AA503-N503)</f>
        <v/>
      </c>
      <c r="AF503" s="7" t="n"/>
      <c r="AI503" s="11" t="n"/>
      <c r="AK503">
        <f>IF($D503="","",IF(COUNTIF($D$2:$D503,$D503)=1,1,0))</f>
        <v/>
      </c>
      <c r="AL503">
        <f>IF($AK503=1,SUMPRODUCT(--($AO$2:$AO$3001&lt;$AO503))+1,"")</f>
        <v/>
      </c>
      <c r="AM503">
        <f>IF($D503="","",IF(OR($R503=TRUE(),$R503="TRUE"),1,0))</f>
        <v/>
      </c>
      <c r="AN503">
        <f>IF($D503="","",IF($X503="Yes",1,0))</f>
        <v/>
      </c>
      <c r="AO503">
        <f>IF($AK503=1,IFERROR(IF(VALUE($D503)&lt;100000000,VALUE($D503),1000000000),IFERROR(IF(VALUE(MID($D503,2,20))&lt;100000000,VALUE(MID($D503,2,20)),1000000000),1000000000))+ROW()/100000,"")</f>
        <v/>
      </c>
    </row>
    <row r="504">
      <c r="F504" s="11" t="n"/>
      <c r="N504" s="7">
        <f>IF($D504="","",M504*V504/100)</f>
        <v/>
      </c>
      <c r="O504" s="7" t="n"/>
      <c r="U504" s="7" t="n"/>
      <c r="V504" s="7" t="n"/>
      <c r="Y504">
        <f>IF($D504="","",IF($AN504=1,0,IF($AM504=1,Settings!$C$6,Settings!$C$7))*100)</f>
        <v/>
      </c>
      <c r="Z504" s="7">
        <f>IF($D504="","",V504*Y504/100)</f>
        <v/>
      </c>
      <c r="AA504" s="7">
        <f>IF($D504="","",V504-Z504)</f>
        <v/>
      </c>
      <c r="AB504" s="7">
        <f>IF($D504="","",AA504-N504)</f>
        <v/>
      </c>
      <c r="AF504" s="7" t="n"/>
      <c r="AI504" s="11" t="n"/>
      <c r="AK504">
        <f>IF($D504="","",IF(COUNTIF($D$2:$D504,$D504)=1,1,0))</f>
        <v/>
      </c>
      <c r="AL504">
        <f>IF($AK504=1,SUMPRODUCT(--($AO$2:$AO$3001&lt;$AO504))+1,"")</f>
        <v/>
      </c>
      <c r="AM504">
        <f>IF($D504="","",IF(OR($R504=TRUE(),$R504="TRUE"),1,0))</f>
        <v/>
      </c>
      <c r="AN504">
        <f>IF($D504="","",IF($X504="Yes",1,0))</f>
        <v/>
      </c>
      <c r="AO504">
        <f>IF($AK504=1,IFERROR(IF(VALUE($D504)&lt;100000000,VALUE($D504),1000000000),IFERROR(IF(VALUE(MID($D504,2,20))&lt;100000000,VALUE(MID($D504,2,20)),1000000000),1000000000))+ROW()/100000,"")</f>
        <v/>
      </c>
    </row>
    <row r="505">
      <c r="F505" s="11" t="n"/>
      <c r="N505" s="7">
        <f>IF($D505="","",M505*V505/100)</f>
        <v/>
      </c>
      <c r="O505" s="7" t="n"/>
      <c r="U505" s="7" t="n"/>
      <c r="V505" s="7" t="n"/>
      <c r="Y505">
        <f>IF($D505="","",IF($AN505=1,0,IF($AM505=1,Settings!$C$6,Settings!$C$7))*100)</f>
        <v/>
      </c>
      <c r="Z505" s="7">
        <f>IF($D505="","",V505*Y505/100)</f>
        <v/>
      </c>
      <c r="AA505" s="7">
        <f>IF($D505="","",V505-Z505)</f>
        <v/>
      </c>
      <c r="AB505" s="7">
        <f>IF($D505="","",AA505-N505)</f>
        <v/>
      </c>
      <c r="AF505" s="7" t="n"/>
      <c r="AI505" s="11" t="n"/>
      <c r="AK505">
        <f>IF($D505="","",IF(COUNTIF($D$2:$D505,$D505)=1,1,0))</f>
        <v/>
      </c>
      <c r="AL505">
        <f>IF($AK505=1,SUMPRODUCT(--($AO$2:$AO$3001&lt;$AO505))+1,"")</f>
        <v/>
      </c>
      <c r="AM505">
        <f>IF($D505="","",IF(OR($R505=TRUE(),$R505="TRUE"),1,0))</f>
        <v/>
      </c>
      <c r="AN505">
        <f>IF($D505="","",IF($X505="Yes",1,0))</f>
        <v/>
      </c>
      <c r="AO505">
        <f>IF($AK505=1,IFERROR(IF(VALUE($D505)&lt;100000000,VALUE($D505),1000000000),IFERROR(IF(VALUE(MID($D505,2,20))&lt;100000000,VALUE(MID($D505,2,20)),1000000000),1000000000))+ROW()/100000,"")</f>
        <v/>
      </c>
    </row>
    <row r="506">
      <c r="F506" s="11" t="n"/>
      <c r="N506" s="7">
        <f>IF($D506="","",M506*V506/100)</f>
        <v/>
      </c>
      <c r="O506" s="7" t="n"/>
      <c r="U506" s="7" t="n"/>
      <c r="V506" s="7" t="n"/>
      <c r="Y506">
        <f>IF($D506="","",IF($AN506=1,0,IF($AM506=1,Settings!$C$6,Settings!$C$7))*100)</f>
        <v/>
      </c>
      <c r="Z506" s="7">
        <f>IF($D506="","",V506*Y506/100)</f>
        <v/>
      </c>
      <c r="AA506" s="7">
        <f>IF($D506="","",V506-Z506)</f>
        <v/>
      </c>
      <c r="AB506" s="7">
        <f>IF($D506="","",AA506-N506)</f>
        <v/>
      </c>
      <c r="AF506" s="7" t="n"/>
      <c r="AI506" s="11" t="n"/>
      <c r="AK506">
        <f>IF($D506="","",IF(COUNTIF($D$2:$D506,$D506)=1,1,0))</f>
        <v/>
      </c>
      <c r="AL506">
        <f>IF($AK506=1,SUMPRODUCT(--($AO$2:$AO$3001&lt;$AO506))+1,"")</f>
        <v/>
      </c>
      <c r="AM506">
        <f>IF($D506="","",IF(OR($R506=TRUE(),$R506="TRUE"),1,0))</f>
        <v/>
      </c>
      <c r="AN506">
        <f>IF($D506="","",IF($X506="Yes",1,0))</f>
        <v/>
      </c>
      <c r="AO506">
        <f>IF($AK506=1,IFERROR(IF(VALUE($D506)&lt;100000000,VALUE($D506),1000000000),IFERROR(IF(VALUE(MID($D506,2,20))&lt;100000000,VALUE(MID($D506,2,20)),1000000000),1000000000))+ROW()/100000,"")</f>
        <v/>
      </c>
    </row>
    <row r="507">
      <c r="F507" s="11" t="n"/>
      <c r="N507" s="7">
        <f>IF($D507="","",M507*V507/100)</f>
        <v/>
      </c>
      <c r="O507" s="7" t="n"/>
      <c r="U507" s="7" t="n"/>
      <c r="V507" s="7" t="n"/>
      <c r="Y507">
        <f>IF($D507="","",IF($AN507=1,0,IF($AM507=1,Settings!$C$6,Settings!$C$7))*100)</f>
        <v/>
      </c>
      <c r="Z507" s="7">
        <f>IF($D507="","",V507*Y507/100)</f>
        <v/>
      </c>
      <c r="AA507" s="7">
        <f>IF($D507="","",V507-Z507)</f>
        <v/>
      </c>
      <c r="AB507" s="7">
        <f>IF($D507="","",AA507-N507)</f>
        <v/>
      </c>
      <c r="AF507" s="7" t="n"/>
      <c r="AI507" s="11" t="n"/>
      <c r="AK507">
        <f>IF($D507="","",IF(COUNTIF($D$2:$D507,$D507)=1,1,0))</f>
        <v/>
      </c>
      <c r="AL507">
        <f>IF($AK507=1,SUMPRODUCT(--($AO$2:$AO$3001&lt;$AO507))+1,"")</f>
        <v/>
      </c>
      <c r="AM507">
        <f>IF($D507="","",IF(OR($R507=TRUE(),$R507="TRUE"),1,0))</f>
        <v/>
      </c>
      <c r="AN507">
        <f>IF($D507="","",IF($X507="Yes",1,0))</f>
        <v/>
      </c>
      <c r="AO507">
        <f>IF($AK507=1,IFERROR(IF(VALUE($D507)&lt;100000000,VALUE($D507),1000000000),IFERROR(IF(VALUE(MID($D507,2,20))&lt;100000000,VALUE(MID($D507,2,20)),1000000000),1000000000))+ROW()/100000,"")</f>
        <v/>
      </c>
    </row>
    <row r="508">
      <c r="F508" s="11" t="n"/>
      <c r="N508" s="7">
        <f>IF($D508="","",M508*V508/100)</f>
        <v/>
      </c>
      <c r="O508" s="7" t="n"/>
      <c r="U508" s="7" t="n"/>
      <c r="V508" s="7" t="n"/>
      <c r="Y508">
        <f>IF($D508="","",IF($AN508=1,0,IF($AM508=1,Settings!$C$6,Settings!$C$7))*100)</f>
        <v/>
      </c>
      <c r="Z508" s="7">
        <f>IF($D508="","",V508*Y508/100)</f>
        <v/>
      </c>
      <c r="AA508" s="7">
        <f>IF($D508="","",V508-Z508)</f>
        <v/>
      </c>
      <c r="AB508" s="7">
        <f>IF($D508="","",AA508-N508)</f>
        <v/>
      </c>
      <c r="AF508" s="7" t="n"/>
      <c r="AI508" s="11" t="n"/>
      <c r="AK508">
        <f>IF($D508="","",IF(COUNTIF($D$2:$D508,$D508)=1,1,0))</f>
        <v/>
      </c>
      <c r="AL508">
        <f>IF($AK508=1,SUMPRODUCT(--($AO$2:$AO$3001&lt;$AO508))+1,"")</f>
        <v/>
      </c>
      <c r="AM508">
        <f>IF($D508="","",IF(OR($R508=TRUE(),$R508="TRUE"),1,0))</f>
        <v/>
      </c>
      <c r="AN508">
        <f>IF($D508="","",IF($X508="Yes",1,0))</f>
        <v/>
      </c>
      <c r="AO508">
        <f>IF($AK508=1,IFERROR(IF(VALUE($D508)&lt;100000000,VALUE($D508),1000000000),IFERROR(IF(VALUE(MID($D508,2,20))&lt;100000000,VALUE(MID($D508,2,20)),1000000000),1000000000))+ROW()/100000,"")</f>
        <v/>
      </c>
    </row>
    <row r="509">
      <c r="F509" s="11" t="n"/>
      <c r="N509" s="7">
        <f>IF($D509="","",M509*V509/100)</f>
        <v/>
      </c>
      <c r="O509" s="7" t="n"/>
      <c r="U509" s="7" t="n"/>
      <c r="V509" s="7" t="n"/>
      <c r="Y509">
        <f>IF($D509="","",IF($AN509=1,0,IF($AM509=1,Settings!$C$6,Settings!$C$7))*100)</f>
        <v/>
      </c>
      <c r="Z509" s="7">
        <f>IF($D509="","",V509*Y509/100)</f>
        <v/>
      </c>
      <c r="AA509" s="7">
        <f>IF($D509="","",V509-Z509)</f>
        <v/>
      </c>
      <c r="AB509" s="7">
        <f>IF($D509="","",AA509-N509)</f>
        <v/>
      </c>
      <c r="AF509" s="7" t="n"/>
      <c r="AI509" s="11" t="n"/>
      <c r="AK509">
        <f>IF($D509="","",IF(COUNTIF($D$2:$D509,$D509)=1,1,0))</f>
        <v/>
      </c>
      <c r="AL509">
        <f>IF($AK509=1,SUMPRODUCT(--($AO$2:$AO$3001&lt;$AO509))+1,"")</f>
        <v/>
      </c>
      <c r="AM509">
        <f>IF($D509="","",IF(OR($R509=TRUE(),$R509="TRUE"),1,0))</f>
        <v/>
      </c>
      <c r="AN509">
        <f>IF($D509="","",IF($X509="Yes",1,0))</f>
        <v/>
      </c>
      <c r="AO509">
        <f>IF($AK509=1,IFERROR(IF(VALUE($D509)&lt;100000000,VALUE($D509),1000000000),IFERROR(IF(VALUE(MID($D509,2,20))&lt;100000000,VALUE(MID($D509,2,20)),1000000000),1000000000))+ROW()/100000,"")</f>
        <v/>
      </c>
    </row>
    <row r="510">
      <c r="F510" s="11" t="n"/>
      <c r="N510" s="7">
        <f>IF($D510="","",M510*V510/100)</f>
        <v/>
      </c>
      <c r="O510" s="7" t="n"/>
      <c r="U510" s="7" t="n"/>
      <c r="V510" s="7" t="n"/>
      <c r="Y510">
        <f>IF($D510="","",IF($AN510=1,0,IF($AM510=1,Settings!$C$6,Settings!$C$7))*100)</f>
        <v/>
      </c>
      <c r="Z510" s="7">
        <f>IF($D510="","",V510*Y510/100)</f>
        <v/>
      </c>
      <c r="AA510" s="7">
        <f>IF($D510="","",V510-Z510)</f>
        <v/>
      </c>
      <c r="AB510" s="7">
        <f>IF($D510="","",AA510-N510)</f>
        <v/>
      </c>
      <c r="AF510" s="7" t="n"/>
      <c r="AI510" s="11" t="n"/>
      <c r="AK510">
        <f>IF($D510="","",IF(COUNTIF($D$2:$D510,$D510)=1,1,0))</f>
        <v/>
      </c>
      <c r="AL510">
        <f>IF($AK510=1,SUMPRODUCT(--($AO$2:$AO$3001&lt;$AO510))+1,"")</f>
        <v/>
      </c>
      <c r="AM510">
        <f>IF($D510="","",IF(OR($R510=TRUE(),$R510="TRUE"),1,0))</f>
        <v/>
      </c>
      <c r="AN510">
        <f>IF($D510="","",IF($X510="Yes",1,0))</f>
        <v/>
      </c>
      <c r="AO510">
        <f>IF($AK510=1,IFERROR(IF(VALUE($D510)&lt;100000000,VALUE($D510),1000000000),IFERROR(IF(VALUE(MID($D510,2,20))&lt;100000000,VALUE(MID($D510,2,20)),1000000000),1000000000))+ROW()/100000,"")</f>
        <v/>
      </c>
    </row>
    <row r="511">
      <c r="F511" s="11" t="n"/>
      <c r="N511" s="7">
        <f>IF($D511="","",M511*V511/100)</f>
        <v/>
      </c>
      <c r="O511" s="7" t="n"/>
      <c r="U511" s="7" t="n"/>
      <c r="V511" s="7" t="n"/>
      <c r="Y511">
        <f>IF($D511="","",IF($AN511=1,0,IF($AM511=1,Settings!$C$6,Settings!$C$7))*100)</f>
        <v/>
      </c>
      <c r="Z511" s="7">
        <f>IF($D511="","",V511*Y511/100)</f>
        <v/>
      </c>
      <c r="AA511" s="7">
        <f>IF($D511="","",V511-Z511)</f>
        <v/>
      </c>
      <c r="AB511" s="7">
        <f>IF($D511="","",AA511-N511)</f>
        <v/>
      </c>
      <c r="AF511" s="7" t="n"/>
      <c r="AI511" s="11" t="n"/>
      <c r="AK511">
        <f>IF($D511="","",IF(COUNTIF($D$2:$D511,$D511)=1,1,0))</f>
        <v/>
      </c>
      <c r="AL511">
        <f>IF($AK511=1,SUMPRODUCT(--($AO$2:$AO$3001&lt;$AO511))+1,"")</f>
        <v/>
      </c>
      <c r="AM511">
        <f>IF($D511="","",IF(OR($R511=TRUE(),$R511="TRUE"),1,0))</f>
        <v/>
      </c>
      <c r="AN511">
        <f>IF($D511="","",IF($X511="Yes",1,0))</f>
        <v/>
      </c>
      <c r="AO511">
        <f>IF($AK511=1,IFERROR(IF(VALUE($D511)&lt;100000000,VALUE($D511),1000000000),IFERROR(IF(VALUE(MID($D511,2,20))&lt;100000000,VALUE(MID($D511,2,20)),1000000000),1000000000))+ROW()/100000,"")</f>
        <v/>
      </c>
    </row>
    <row r="512">
      <c r="F512" s="11" t="n"/>
      <c r="N512" s="7">
        <f>IF($D512="","",M512*V512/100)</f>
        <v/>
      </c>
      <c r="O512" s="7" t="n"/>
      <c r="U512" s="7" t="n"/>
      <c r="V512" s="7" t="n"/>
      <c r="Y512">
        <f>IF($D512="","",IF($AN512=1,0,IF($AM512=1,Settings!$C$6,Settings!$C$7))*100)</f>
        <v/>
      </c>
      <c r="Z512" s="7">
        <f>IF($D512="","",V512*Y512/100)</f>
        <v/>
      </c>
      <c r="AA512" s="7">
        <f>IF($D512="","",V512-Z512)</f>
        <v/>
      </c>
      <c r="AB512" s="7">
        <f>IF($D512="","",AA512-N512)</f>
        <v/>
      </c>
      <c r="AF512" s="7" t="n"/>
      <c r="AI512" s="11" t="n"/>
      <c r="AK512">
        <f>IF($D512="","",IF(COUNTIF($D$2:$D512,$D512)=1,1,0))</f>
        <v/>
      </c>
      <c r="AL512">
        <f>IF($AK512=1,SUMPRODUCT(--($AO$2:$AO$3001&lt;$AO512))+1,"")</f>
        <v/>
      </c>
      <c r="AM512">
        <f>IF($D512="","",IF(OR($R512=TRUE(),$R512="TRUE"),1,0))</f>
        <v/>
      </c>
      <c r="AN512">
        <f>IF($D512="","",IF($X512="Yes",1,0))</f>
        <v/>
      </c>
      <c r="AO512">
        <f>IF($AK512=1,IFERROR(IF(VALUE($D512)&lt;100000000,VALUE($D512),1000000000),IFERROR(IF(VALUE(MID($D512,2,20))&lt;100000000,VALUE(MID($D512,2,20)),1000000000),1000000000))+ROW()/100000,"")</f>
        <v/>
      </c>
    </row>
    <row r="513">
      <c r="F513" s="11" t="n"/>
      <c r="N513" s="7">
        <f>IF($D513="","",M513*V513/100)</f>
        <v/>
      </c>
      <c r="O513" s="7" t="n"/>
      <c r="U513" s="7" t="n"/>
      <c r="V513" s="7" t="n"/>
      <c r="Y513">
        <f>IF($D513="","",IF($AN513=1,0,IF($AM513=1,Settings!$C$6,Settings!$C$7))*100)</f>
        <v/>
      </c>
      <c r="Z513" s="7">
        <f>IF($D513="","",V513*Y513/100)</f>
        <v/>
      </c>
      <c r="AA513" s="7">
        <f>IF($D513="","",V513-Z513)</f>
        <v/>
      </c>
      <c r="AB513" s="7">
        <f>IF($D513="","",AA513-N513)</f>
        <v/>
      </c>
      <c r="AF513" s="7" t="n"/>
      <c r="AI513" s="11" t="n"/>
      <c r="AK513">
        <f>IF($D513="","",IF(COUNTIF($D$2:$D513,$D513)=1,1,0))</f>
        <v/>
      </c>
      <c r="AL513">
        <f>IF($AK513=1,SUMPRODUCT(--($AO$2:$AO$3001&lt;$AO513))+1,"")</f>
        <v/>
      </c>
      <c r="AM513">
        <f>IF($D513="","",IF(OR($R513=TRUE(),$R513="TRUE"),1,0))</f>
        <v/>
      </c>
      <c r="AN513">
        <f>IF($D513="","",IF($X513="Yes",1,0))</f>
        <v/>
      </c>
      <c r="AO513">
        <f>IF($AK513=1,IFERROR(IF(VALUE($D513)&lt;100000000,VALUE($D513),1000000000),IFERROR(IF(VALUE(MID($D513,2,20))&lt;100000000,VALUE(MID($D513,2,20)),1000000000),1000000000))+ROW()/100000,"")</f>
        <v/>
      </c>
    </row>
    <row r="514">
      <c r="F514" s="11" t="n"/>
      <c r="N514" s="7">
        <f>IF($D514="","",M514*V514/100)</f>
        <v/>
      </c>
      <c r="O514" s="7" t="n"/>
      <c r="U514" s="7" t="n"/>
      <c r="V514" s="7" t="n"/>
      <c r="Y514">
        <f>IF($D514="","",IF($AN514=1,0,IF($AM514=1,Settings!$C$6,Settings!$C$7))*100)</f>
        <v/>
      </c>
      <c r="Z514" s="7">
        <f>IF($D514="","",V514*Y514/100)</f>
        <v/>
      </c>
      <c r="AA514" s="7">
        <f>IF($D514="","",V514-Z514)</f>
        <v/>
      </c>
      <c r="AB514" s="7">
        <f>IF($D514="","",AA514-N514)</f>
        <v/>
      </c>
      <c r="AF514" s="7" t="n"/>
      <c r="AI514" s="11" t="n"/>
      <c r="AK514">
        <f>IF($D514="","",IF(COUNTIF($D$2:$D514,$D514)=1,1,0))</f>
        <v/>
      </c>
      <c r="AL514">
        <f>IF($AK514=1,SUMPRODUCT(--($AO$2:$AO$3001&lt;$AO514))+1,"")</f>
        <v/>
      </c>
      <c r="AM514">
        <f>IF($D514="","",IF(OR($R514=TRUE(),$R514="TRUE"),1,0))</f>
        <v/>
      </c>
      <c r="AN514">
        <f>IF($D514="","",IF($X514="Yes",1,0))</f>
        <v/>
      </c>
      <c r="AO514">
        <f>IF($AK514=1,IFERROR(IF(VALUE($D514)&lt;100000000,VALUE($D514),1000000000),IFERROR(IF(VALUE(MID($D514,2,20))&lt;100000000,VALUE(MID($D514,2,20)),1000000000),1000000000))+ROW()/100000,"")</f>
        <v/>
      </c>
    </row>
    <row r="515">
      <c r="F515" s="11" t="n"/>
      <c r="N515" s="7">
        <f>IF($D515="","",M515*V515/100)</f>
        <v/>
      </c>
      <c r="O515" s="7" t="n"/>
      <c r="U515" s="7" t="n"/>
      <c r="V515" s="7" t="n"/>
      <c r="Y515">
        <f>IF($D515="","",IF($AN515=1,0,IF($AM515=1,Settings!$C$6,Settings!$C$7))*100)</f>
        <v/>
      </c>
      <c r="Z515" s="7">
        <f>IF($D515="","",V515*Y515/100)</f>
        <v/>
      </c>
      <c r="AA515" s="7">
        <f>IF($D515="","",V515-Z515)</f>
        <v/>
      </c>
      <c r="AB515" s="7">
        <f>IF($D515="","",AA515-N515)</f>
        <v/>
      </c>
      <c r="AF515" s="7" t="n"/>
      <c r="AI515" s="11" t="n"/>
      <c r="AK515">
        <f>IF($D515="","",IF(COUNTIF($D$2:$D515,$D515)=1,1,0))</f>
        <v/>
      </c>
      <c r="AL515">
        <f>IF($AK515=1,SUMPRODUCT(--($AO$2:$AO$3001&lt;$AO515))+1,"")</f>
        <v/>
      </c>
      <c r="AM515">
        <f>IF($D515="","",IF(OR($R515=TRUE(),$R515="TRUE"),1,0))</f>
        <v/>
      </c>
      <c r="AN515">
        <f>IF($D515="","",IF($X515="Yes",1,0))</f>
        <v/>
      </c>
      <c r="AO515">
        <f>IF($AK515=1,IFERROR(IF(VALUE($D515)&lt;100000000,VALUE($D515),1000000000),IFERROR(IF(VALUE(MID($D515,2,20))&lt;100000000,VALUE(MID($D515,2,20)),1000000000),1000000000))+ROW()/100000,"")</f>
        <v/>
      </c>
    </row>
    <row r="516">
      <c r="F516" s="11" t="n"/>
      <c r="N516" s="7">
        <f>IF($D516="","",M516*V516/100)</f>
        <v/>
      </c>
      <c r="O516" s="7" t="n"/>
      <c r="U516" s="7" t="n"/>
      <c r="V516" s="7" t="n"/>
      <c r="Y516">
        <f>IF($D516="","",IF($AN516=1,0,IF($AM516=1,Settings!$C$6,Settings!$C$7))*100)</f>
        <v/>
      </c>
      <c r="Z516" s="7">
        <f>IF($D516="","",V516*Y516/100)</f>
        <v/>
      </c>
      <c r="AA516" s="7">
        <f>IF($D516="","",V516-Z516)</f>
        <v/>
      </c>
      <c r="AB516" s="7">
        <f>IF($D516="","",AA516-N516)</f>
        <v/>
      </c>
      <c r="AF516" s="7" t="n"/>
      <c r="AI516" s="11" t="n"/>
      <c r="AK516">
        <f>IF($D516="","",IF(COUNTIF($D$2:$D516,$D516)=1,1,0))</f>
        <v/>
      </c>
      <c r="AL516">
        <f>IF($AK516=1,SUMPRODUCT(--($AO$2:$AO$3001&lt;$AO516))+1,"")</f>
        <v/>
      </c>
      <c r="AM516">
        <f>IF($D516="","",IF(OR($R516=TRUE(),$R516="TRUE"),1,0))</f>
        <v/>
      </c>
      <c r="AN516">
        <f>IF($D516="","",IF($X516="Yes",1,0))</f>
        <v/>
      </c>
      <c r="AO516">
        <f>IF($AK516=1,IFERROR(IF(VALUE($D516)&lt;100000000,VALUE($D516),1000000000),IFERROR(IF(VALUE(MID($D516,2,20))&lt;100000000,VALUE(MID($D516,2,20)),1000000000),1000000000))+ROW()/100000,"")</f>
        <v/>
      </c>
    </row>
    <row r="517">
      <c r="F517" s="11" t="n"/>
      <c r="N517" s="7">
        <f>IF($D517="","",M517*V517/100)</f>
        <v/>
      </c>
      <c r="O517" s="7" t="n"/>
      <c r="U517" s="7" t="n"/>
      <c r="V517" s="7" t="n"/>
      <c r="Y517">
        <f>IF($D517="","",IF($AN517=1,0,IF($AM517=1,Settings!$C$6,Settings!$C$7))*100)</f>
        <v/>
      </c>
      <c r="Z517" s="7">
        <f>IF($D517="","",V517*Y517/100)</f>
        <v/>
      </c>
      <c r="AA517" s="7">
        <f>IF($D517="","",V517-Z517)</f>
        <v/>
      </c>
      <c r="AB517" s="7">
        <f>IF($D517="","",AA517-N517)</f>
        <v/>
      </c>
      <c r="AF517" s="7" t="n"/>
      <c r="AI517" s="11" t="n"/>
      <c r="AK517">
        <f>IF($D517="","",IF(COUNTIF($D$2:$D517,$D517)=1,1,0))</f>
        <v/>
      </c>
      <c r="AL517">
        <f>IF($AK517=1,SUMPRODUCT(--($AO$2:$AO$3001&lt;$AO517))+1,"")</f>
        <v/>
      </c>
      <c r="AM517">
        <f>IF($D517="","",IF(OR($R517=TRUE(),$R517="TRUE"),1,0))</f>
        <v/>
      </c>
      <c r="AN517">
        <f>IF($D517="","",IF($X517="Yes",1,0))</f>
        <v/>
      </c>
      <c r="AO517">
        <f>IF($AK517=1,IFERROR(IF(VALUE($D517)&lt;100000000,VALUE($D517),1000000000),IFERROR(IF(VALUE(MID($D517,2,20))&lt;100000000,VALUE(MID($D517,2,20)),1000000000),1000000000))+ROW()/100000,"")</f>
        <v/>
      </c>
    </row>
    <row r="518">
      <c r="F518" s="11" t="n"/>
      <c r="N518" s="7">
        <f>IF($D518="","",M518*V518/100)</f>
        <v/>
      </c>
      <c r="O518" s="7" t="n"/>
      <c r="U518" s="7" t="n"/>
      <c r="V518" s="7" t="n"/>
      <c r="Y518">
        <f>IF($D518="","",IF($AN518=1,0,IF($AM518=1,Settings!$C$6,Settings!$C$7))*100)</f>
        <v/>
      </c>
      <c r="Z518" s="7">
        <f>IF($D518="","",V518*Y518/100)</f>
        <v/>
      </c>
      <c r="AA518" s="7">
        <f>IF($D518="","",V518-Z518)</f>
        <v/>
      </c>
      <c r="AB518" s="7">
        <f>IF($D518="","",AA518-N518)</f>
        <v/>
      </c>
      <c r="AF518" s="7" t="n"/>
      <c r="AI518" s="11" t="n"/>
      <c r="AK518">
        <f>IF($D518="","",IF(COUNTIF($D$2:$D518,$D518)=1,1,0))</f>
        <v/>
      </c>
      <c r="AL518">
        <f>IF($AK518=1,SUMPRODUCT(--($AO$2:$AO$3001&lt;$AO518))+1,"")</f>
        <v/>
      </c>
      <c r="AM518">
        <f>IF($D518="","",IF(OR($R518=TRUE(),$R518="TRUE"),1,0))</f>
        <v/>
      </c>
      <c r="AN518">
        <f>IF($D518="","",IF($X518="Yes",1,0))</f>
        <v/>
      </c>
      <c r="AO518">
        <f>IF($AK518=1,IFERROR(IF(VALUE($D518)&lt;100000000,VALUE($D518),1000000000),IFERROR(IF(VALUE(MID($D518,2,20))&lt;100000000,VALUE(MID($D518,2,20)),1000000000),1000000000))+ROW()/100000,"")</f>
        <v/>
      </c>
    </row>
    <row r="519">
      <c r="F519" s="11" t="n"/>
      <c r="N519" s="7">
        <f>IF($D519="","",M519*V519/100)</f>
        <v/>
      </c>
      <c r="O519" s="7" t="n"/>
      <c r="U519" s="7" t="n"/>
      <c r="V519" s="7" t="n"/>
      <c r="Y519">
        <f>IF($D519="","",IF($AN519=1,0,IF($AM519=1,Settings!$C$6,Settings!$C$7))*100)</f>
        <v/>
      </c>
      <c r="Z519" s="7">
        <f>IF($D519="","",V519*Y519/100)</f>
        <v/>
      </c>
      <c r="AA519" s="7">
        <f>IF($D519="","",V519-Z519)</f>
        <v/>
      </c>
      <c r="AB519" s="7">
        <f>IF($D519="","",AA519-N519)</f>
        <v/>
      </c>
      <c r="AF519" s="7" t="n"/>
      <c r="AI519" s="11" t="n"/>
      <c r="AK519">
        <f>IF($D519="","",IF(COUNTIF($D$2:$D519,$D519)=1,1,0))</f>
        <v/>
      </c>
      <c r="AL519">
        <f>IF($AK519=1,SUMPRODUCT(--($AO$2:$AO$3001&lt;$AO519))+1,"")</f>
        <v/>
      </c>
      <c r="AM519">
        <f>IF($D519="","",IF(OR($R519=TRUE(),$R519="TRUE"),1,0))</f>
        <v/>
      </c>
      <c r="AN519">
        <f>IF($D519="","",IF($X519="Yes",1,0))</f>
        <v/>
      </c>
      <c r="AO519">
        <f>IF($AK519=1,IFERROR(IF(VALUE($D519)&lt;100000000,VALUE($D519),1000000000),IFERROR(IF(VALUE(MID($D519,2,20))&lt;100000000,VALUE(MID($D519,2,20)),1000000000),1000000000))+ROW()/100000,"")</f>
        <v/>
      </c>
    </row>
    <row r="520">
      <c r="F520" s="11" t="n"/>
      <c r="N520" s="7">
        <f>IF($D520="","",M520*V520/100)</f>
        <v/>
      </c>
      <c r="O520" s="7" t="n"/>
      <c r="U520" s="7" t="n"/>
      <c r="V520" s="7" t="n"/>
      <c r="Y520">
        <f>IF($D520="","",IF($AN520=1,0,IF($AM520=1,Settings!$C$6,Settings!$C$7))*100)</f>
        <v/>
      </c>
      <c r="Z520" s="7">
        <f>IF($D520="","",V520*Y520/100)</f>
        <v/>
      </c>
      <c r="AA520" s="7">
        <f>IF($D520="","",V520-Z520)</f>
        <v/>
      </c>
      <c r="AB520" s="7">
        <f>IF($D520="","",AA520-N520)</f>
        <v/>
      </c>
      <c r="AF520" s="7" t="n"/>
      <c r="AI520" s="11" t="n"/>
      <c r="AK520">
        <f>IF($D520="","",IF(COUNTIF($D$2:$D520,$D520)=1,1,0))</f>
        <v/>
      </c>
      <c r="AL520">
        <f>IF($AK520=1,SUMPRODUCT(--($AO$2:$AO$3001&lt;$AO520))+1,"")</f>
        <v/>
      </c>
      <c r="AM520">
        <f>IF($D520="","",IF(OR($R520=TRUE(),$R520="TRUE"),1,0))</f>
        <v/>
      </c>
      <c r="AN520">
        <f>IF($D520="","",IF($X520="Yes",1,0))</f>
        <v/>
      </c>
      <c r="AO520">
        <f>IF($AK520=1,IFERROR(IF(VALUE($D520)&lt;100000000,VALUE($D520),1000000000),IFERROR(IF(VALUE(MID($D520,2,20))&lt;100000000,VALUE(MID($D520,2,20)),1000000000),1000000000))+ROW()/100000,"")</f>
        <v/>
      </c>
    </row>
    <row r="521">
      <c r="F521" s="11" t="n"/>
      <c r="N521" s="7">
        <f>IF($D521="","",M521*V521/100)</f>
        <v/>
      </c>
      <c r="O521" s="7" t="n"/>
      <c r="U521" s="7" t="n"/>
      <c r="V521" s="7" t="n"/>
      <c r="Y521">
        <f>IF($D521="","",IF($AN521=1,0,IF($AM521=1,Settings!$C$6,Settings!$C$7))*100)</f>
        <v/>
      </c>
      <c r="Z521" s="7">
        <f>IF($D521="","",V521*Y521/100)</f>
        <v/>
      </c>
      <c r="AA521" s="7">
        <f>IF($D521="","",V521-Z521)</f>
        <v/>
      </c>
      <c r="AB521" s="7">
        <f>IF($D521="","",AA521-N521)</f>
        <v/>
      </c>
      <c r="AF521" s="7" t="n"/>
      <c r="AI521" s="11" t="n"/>
      <c r="AK521">
        <f>IF($D521="","",IF(COUNTIF($D$2:$D521,$D521)=1,1,0))</f>
        <v/>
      </c>
      <c r="AL521">
        <f>IF($AK521=1,SUMPRODUCT(--($AO$2:$AO$3001&lt;$AO521))+1,"")</f>
        <v/>
      </c>
      <c r="AM521">
        <f>IF($D521="","",IF(OR($R521=TRUE(),$R521="TRUE"),1,0))</f>
        <v/>
      </c>
      <c r="AN521">
        <f>IF($D521="","",IF($X521="Yes",1,0))</f>
        <v/>
      </c>
      <c r="AO521">
        <f>IF($AK521=1,IFERROR(IF(VALUE($D521)&lt;100000000,VALUE($D521),1000000000),IFERROR(IF(VALUE(MID($D521,2,20))&lt;100000000,VALUE(MID($D521,2,20)),1000000000),1000000000))+ROW()/100000,"")</f>
        <v/>
      </c>
    </row>
    <row r="522">
      <c r="F522" s="11" t="n"/>
      <c r="N522" s="7">
        <f>IF($D522="","",M522*V522/100)</f>
        <v/>
      </c>
      <c r="O522" s="7" t="n"/>
      <c r="U522" s="7" t="n"/>
      <c r="V522" s="7" t="n"/>
      <c r="Y522">
        <f>IF($D522="","",IF($AN522=1,0,IF($AM522=1,Settings!$C$6,Settings!$C$7))*100)</f>
        <v/>
      </c>
      <c r="Z522" s="7">
        <f>IF($D522="","",V522*Y522/100)</f>
        <v/>
      </c>
      <c r="AA522" s="7">
        <f>IF($D522="","",V522-Z522)</f>
        <v/>
      </c>
      <c r="AB522" s="7">
        <f>IF($D522="","",AA522-N522)</f>
        <v/>
      </c>
      <c r="AF522" s="7" t="n"/>
      <c r="AI522" s="11" t="n"/>
      <c r="AK522">
        <f>IF($D522="","",IF(COUNTIF($D$2:$D522,$D522)=1,1,0))</f>
        <v/>
      </c>
      <c r="AL522">
        <f>IF($AK522=1,SUMPRODUCT(--($AO$2:$AO$3001&lt;$AO522))+1,"")</f>
        <v/>
      </c>
      <c r="AM522">
        <f>IF($D522="","",IF(OR($R522=TRUE(),$R522="TRUE"),1,0))</f>
        <v/>
      </c>
      <c r="AN522">
        <f>IF($D522="","",IF($X522="Yes",1,0))</f>
        <v/>
      </c>
      <c r="AO522">
        <f>IF($AK522=1,IFERROR(IF(VALUE($D522)&lt;100000000,VALUE($D522),1000000000),IFERROR(IF(VALUE(MID($D522,2,20))&lt;100000000,VALUE(MID($D522,2,20)),1000000000),1000000000))+ROW()/100000,"")</f>
        <v/>
      </c>
    </row>
    <row r="523">
      <c r="F523" s="11" t="n"/>
      <c r="N523" s="7">
        <f>IF($D523="","",M523*V523/100)</f>
        <v/>
      </c>
      <c r="O523" s="7" t="n"/>
      <c r="U523" s="7" t="n"/>
      <c r="V523" s="7" t="n"/>
      <c r="Y523">
        <f>IF($D523="","",IF($AN523=1,0,IF($AM523=1,Settings!$C$6,Settings!$C$7))*100)</f>
        <v/>
      </c>
      <c r="Z523" s="7">
        <f>IF($D523="","",V523*Y523/100)</f>
        <v/>
      </c>
      <c r="AA523" s="7">
        <f>IF($D523="","",V523-Z523)</f>
        <v/>
      </c>
      <c r="AB523" s="7">
        <f>IF($D523="","",AA523-N523)</f>
        <v/>
      </c>
      <c r="AF523" s="7" t="n"/>
      <c r="AI523" s="11" t="n"/>
      <c r="AK523">
        <f>IF($D523="","",IF(COUNTIF($D$2:$D523,$D523)=1,1,0))</f>
        <v/>
      </c>
      <c r="AL523">
        <f>IF($AK523=1,SUMPRODUCT(--($AO$2:$AO$3001&lt;$AO523))+1,"")</f>
        <v/>
      </c>
      <c r="AM523">
        <f>IF($D523="","",IF(OR($R523=TRUE(),$R523="TRUE"),1,0))</f>
        <v/>
      </c>
      <c r="AN523">
        <f>IF($D523="","",IF($X523="Yes",1,0))</f>
        <v/>
      </c>
      <c r="AO523">
        <f>IF($AK523=1,IFERROR(IF(VALUE($D523)&lt;100000000,VALUE($D523),1000000000),IFERROR(IF(VALUE(MID($D523,2,20))&lt;100000000,VALUE(MID($D523,2,20)),1000000000),1000000000))+ROW()/100000,"")</f>
        <v/>
      </c>
    </row>
    <row r="524">
      <c r="F524" s="11" t="n"/>
      <c r="N524" s="7">
        <f>IF($D524="","",M524*V524/100)</f>
        <v/>
      </c>
      <c r="O524" s="7" t="n"/>
      <c r="U524" s="7" t="n"/>
      <c r="V524" s="7" t="n"/>
      <c r="Y524">
        <f>IF($D524="","",IF($AN524=1,0,IF($AM524=1,Settings!$C$6,Settings!$C$7))*100)</f>
        <v/>
      </c>
      <c r="Z524" s="7">
        <f>IF($D524="","",V524*Y524/100)</f>
        <v/>
      </c>
      <c r="AA524" s="7">
        <f>IF($D524="","",V524-Z524)</f>
        <v/>
      </c>
      <c r="AB524" s="7">
        <f>IF($D524="","",AA524-N524)</f>
        <v/>
      </c>
      <c r="AF524" s="7" t="n"/>
      <c r="AI524" s="11" t="n"/>
      <c r="AK524">
        <f>IF($D524="","",IF(COUNTIF($D$2:$D524,$D524)=1,1,0))</f>
        <v/>
      </c>
      <c r="AL524">
        <f>IF($AK524=1,SUMPRODUCT(--($AO$2:$AO$3001&lt;$AO524))+1,"")</f>
        <v/>
      </c>
      <c r="AM524">
        <f>IF($D524="","",IF(OR($R524=TRUE(),$R524="TRUE"),1,0))</f>
        <v/>
      </c>
      <c r="AN524">
        <f>IF($D524="","",IF($X524="Yes",1,0))</f>
        <v/>
      </c>
      <c r="AO524">
        <f>IF($AK524=1,IFERROR(IF(VALUE($D524)&lt;100000000,VALUE($D524),1000000000),IFERROR(IF(VALUE(MID($D524,2,20))&lt;100000000,VALUE(MID($D524,2,20)),1000000000),1000000000))+ROW()/100000,"")</f>
        <v/>
      </c>
    </row>
    <row r="525">
      <c r="F525" s="11" t="n"/>
      <c r="N525" s="7">
        <f>IF($D525="","",M525*V525/100)</f>
        <v/>
      </c>
      <c r="O525" s="7" t="n"/>
      <c r="U525" s="7" t="n"/>
      <c r="V525" s="7" t="n"/>
      <c r="Y525">
        <f>IF($D525="","",IF($AN525=1,0,IF($AM525=1,Settings!$C$6,Settings!$C$7))*100)</f>
        <v/>
      </c>
      <c r="Z525" s="7">
        <f>IF($D525="","",V525*Y525/100)</f>
        <v/>
      </c>
      <c r="AA525" s="7">
        <f>IF($D525="","",V525-Z525)</f>
        <v/>
      </c>
      <c r="AB525" s="7">
        <f>IF($D525="","",AA525-N525)</f>
        <v/>
      </c>
      <c r="AF525" s="7" t="n"/>
      <c r="AI525" s="11" t="n"/>
      <c r="AK525">
        <f>IF($D525="","",IF(COUNTIF($D$2:$D525,$D525)=1,1,0))</f>
        <v/>
      </c>
      <c r="AL525">
        <f>IF($AK525=1,SUMPRODUCT(--($AO$2:$AO$3001&lt;$AO525))+1,"")</f>
        <v/>
      </c>
      <c r="AM525">
        <f>IF($D525="","",IF(OR($R525=TRUE(),$R525="TRUE"),1,0))</f>
        <v/>
      </c>
      <c r="AN525">
        <f>IF($D525="","",IF($X525="Yes",1,0))</f>
        <v/>
      </c>
      <c r="AO525">
        <f>IF($AK525=1,IFERROR(IF(VALUE($D525)&lt;100000000,VALUE($D525),1000000000),IFERROR(IF(VALUE(MID($D525,2,20))&lt;100000000,VALUE(MID($D525,2,20)),1000000000),1000000000))+ROW()/100000,"")</f>
        <v/>
      </c>
    </row>
    <row r="526">
      <c r="F526" s="11" t="n"/>
      <c r="N526" s="7">
        <f>IF($D526="","",M526*V526/100)</f>
        <v/>
      </c>
      <c r="O526" s="7" t="n"/>
      <c r="U526" s="7" t="n"/>
      <c r="V526" s="7" t="n"/>
      <c r="Y526">
        <f>IF($D526="","",IF($AN526=1,0,IF($AM526=1,Settings!$C$6,Settings!$C$7))*100)</f>
        <v/>
      </c>
      <c r="Z526" s="7">
        <f>IF($D526="","",V526*Y526/100)</f>
        <v/>
      </c>
      <c r="AA526" s="7">
        <f>IF($D526="","",V526-Z526)</f>
        <v/>
      </c>
      <c r="AB526" s="7">
        <f>IF($D526="","",AA526-N526)</f>
        <v/>
      </c>
      <c r="AF526" s="7" t="n"/>
      <c r="AI526" s="11" t="n"/>
      <c r="AK526">
        <f>IF($D526="","",IF(COUNTIF($D$2:$D526,$D526)=1,1,0))</f>
        <v/>
      </c>
      <c r="AL526">
        <f>IF($AK526=1,SUMPRODUCT(--($AO$2:$AO$3001&lt;$AO526))+1,"")</f>
        <v/>
      </c>
      <c r="AM526">
        <f>IF($D526="","",IF(OR($R526=TRUE(),$R526="TRUE"),1,0))</f>
        <v/>
      </c>
      <c r="AN526">
        <f>IF($D526="","",IF($X526="Yes",1,0))</f>
        <v/>
      </c>
      <c r="AO526">
        <f>IF($AK526=1,IFERROR(IF(VALUE($D526)&lt;100000000,VALUE($D526),1000000000),IFERROR(IF(VALUE(MID($D526,2,20))&lt;100000000,VALUE(MID($D526,2,20)),1000000000),1000000000))+ROW()/100000,"")</f>
        <v/>
      </c>
    </row>
    <row r="527">
      <c r="F527" s="11" t="n"/>
      <c r="N527" s="7">
        <f>IF($D527="","",M527*V527/100)</f>
        <v/>
      </c>
      <c r="O527" s="7" t="n"/>
      <c r="U527" s="7" t="n"/>
      <c r="V527" s="7" t="n"/>
      <c r="Y527">
        <f>IF($D527="","",IF($AN527=1,0,IF($AM527=1,Settings!$C$6,Settings!$C$7))*100)</f>
        <v/>
      </c>
      <c r="Z527" s="7">
        <f>IF($D527="","",V527*Y527/100)</f>
        <v/>
      </c>
      <c r="AA527" s="7">
        <f>IF($D527="","",V527-Z527)</f>
        <v/>
      </c>
      <c r="AB527" s="7">
        <f>IF($D527="","",AA527-N527)</f>
        <v/>
      </c>
      <c r="AF527" s="7" t="n"/>
      <c r="AI527" s="11" t="n"/>
      <c r="AK527">
        <f>IF($D527="","",IF(COUNTIF($D$2:$D527,$D527)=1,1,0))</f>
        <v/>
      </c>
      <c r="AL527">
        <f>IF($AK527=1,SUMPRODUCT(--($AO$2:$AO$3001&lt;$AO527))+1,"")</f>
        <v/>
      </c>
      <c r="AM527">
        <f>IF($D527="","",IF(OR($R527=TRUE(),$R527="TRUE"),1,0))</f>
        <v/>
      </c>
      <c r="AN527">
        <f>IF($D527="","",IF($X527="Yes",1,0))</f>
        <v/>
      </c>
      <c r="AO527">
        <f>IF($AK527=1,IFERROR(IF(VALUE($D527)&lt;100000000,VALUE($D527),1000000000),IFERROR(IF(VALUE(MID($D527,2,20))&lt;100000000,VALUE(MID($D527,2,20)),1000000000),1000000000))+ROW()/100000,"")</f>
        <v/>
      </c>
    </row>
    <row r="528">
      <c r="F528" s="11" t="n"/>
      <c r="N528" s="7">
        <f>IF($D528="","",M528*V528/100)</f>
        <v/>
      </c>
      <c r="O528" s="7" t="n"/>
      <c r="U528" s="7" t="n"/>
      <c r="V528" s="7" t="n"/>
      <c r="Y528">
        <f>IF($D528="","",IF($AN528=1,0,IF($AM528=1,Settings!$C$6,Settings!$C$7))*100)</f>
        <v/>
      </c>
      <c r="Z528" s="7">
        <f>IF($D528="","",V528*Y528/100)</f>
        <v/>
      </c>
      <c r="AA528" s="7">
        <f>IF($D528="","",V528-Z528)</f>
        <v/>
      </c>
      <c r="AB528" s="7">
        <f>IF($D528="","",AA528-N528)</f>
        <v/>
      </c>
      <c r="AF528" s="7" t="n"/>
      <c r="AI528" s="11" t="n"/>
      <c r="AK528">
        <f>IF($D528="","",IF(COUNTIF($D$2:$D528,$D528)=1,1,0))</f>
        <v/>
      </c>
      <c r="AL528">
        <f>IF($AK528=1,SUMPRODUCT(--($AO$2:$AO$3001&lt;$AO528))+1,"")</f>
        <v/>
      </c>
      <c r="AM528">
        <f>IF($D528="","",IF(OR($R528=TRUE(),$R528="TRUE"),1,0))</f>
        <v/>
      </c>
      <c r="AN528">
        <f>IF($D528="","",IF($X528="Yes",1,0))</f>
        <v/>
      </c>
      <c r="AO528">
        <f>IF($AK528=1,IFERROR(IF(VALUE($D528)&lt;100000000,VALUE($D528),1000000000),IFERROR(IF(VALUE(MID($D528,2,20))&lt;100000000,VALUE(MID($D528,2,20)),1000000000),1000000000))+ROW()/100000,"")</f>
        <v/>
      </c>
    </row>
    <row r="529">
      <c r="F529" s="11" t="n"/>
      <c r="N529" s="7">
        <f>IF($D529="","",M529*V529/100)</f>
        <v/>
      </c>
      <c r="O529" s="7" t="n"/>
      <c r="U529" s="7" t="n"/>
      <c r="V529" s="7" t="n"/>
      <c r="Y529">
        <f>IF($D529="","",IF($AN529=1,0,IF($AM529=1,Settings!$C$6,Settings!$C$7))*100)</f>
        <v/>
      </c>
      <c r="Z529" s="7">
        <f>IF($D529="","",V529*Y529/100)</f>
        <v/>
      </c>
      <c r="AA529" s="7">
        <f>IF($D529="","",V529-Z529)</f>
        <v/>
      </c>
      <c r="AB529" s="7">
        <f>IF($D529="","",AA529-N529)</f>
        <v/>
      </c>
      <c r="AF529" s="7" t="n"/>
      <c r="AI529" s="11" t="n"/>
      <c r="AK529">
        <f>IF($D529="","",IF(COUNTIF($D$2:$D529,$D529)=1,1,0))</f>
        <v/>
      </c>
      <c r="AL529">
        <f>IF($AK529=1,SUMPRODUCT(--($AO$2:$AO$3001&lt;$AO529))+1,"")</f>
        <v/>
      </c>
      <c r="AM529">
        <f>IF($D529="","",IF(OR($R529=TRUE(),$R529="TRUE"),1,0))</f>
        <v/>
      </c>
      <c r="AN529">
        <f>IF($D529="","",IF($X529="Yes",1,0))</f>
        <v/>
      </c>
      <c r="AO529">
        <f>IF($AK529=1,IFERROR(IF(VALUE($D529)&lt;100000000,VALUE($D529),1000000000),IFERROR(IF(VALUE(MID($D529,2,20))&lt;100000000,VALUE(MID($D529,2,20)),1000000000),1000000000))+ROW()/100000,"")</f>
        <v/>
      </c>
    </row>
    <row r="530">
      <c r="F530" s="11" t="n"/>
      <c r="N530" s="7">
        <f>IF($D530="","",M530*V530/100)</f>
        <v/>
      </c>
      <c r="O530" s="7" t="n"/>
      <c r="U530" s="7" t="n"/>
      <c r="V530" s="7" t="n"/>
      <c r="Y530">
        <f>IF($D530="","",IF($AN530=1,0,IF($AM530=1,Settings!$C$6,Settings!$C$7))*100)</f>
        <v/>
      </c>
      <c r="Z530" s="7">
        <f>IF($D530="","",V530*Y530/100)</f>
        <v/>
      </c>
      <c r="AA530" s="7">
        <f>IF($D530="","",V530-Z530)</f>
        <v/>
      </c>
      <c r="AB530" s="7">
        <f>IF($D530="","",AA530-N530)</f>
        <v/>
      </c>
      <c r="AF530" s="7" t="n"/>
      <c r="AI530" s="11" t="n"/>
      <c r="AK530">
        <f>IF($D530="","",IF(COUNTIF($D$2:$D530,$D530)=1,1,0))</f>
        <v/>
      </c>
      <c r="AL530">
        <f>IF($AK530=1,SUMPRODUCT(--($AO$2:$AO$3001&lt;$AO530))+1,"")</f>
        <v/>
      </c>
      <c r="AM530">
        <f>IF($D530="","",IF(OR($R530=TRUE(),$R530="TRUE"),1,0))</f>
        <v/>
      </c>
      <c r="AN530">
        <f>IF($D530="","",IF($X530="Yes",1,0))</f>
        <v/>
      </c>
      <c r="AO530">
        <f>IF($AK530=1,IFERROR(IF(VALUE($D530)&lt;100000000,VALUE($D530),1000000000),IFERROR(IF(VALUE(MID($D530,2,20))&lt;100000000,VALUE(MID($D530,2,20)),1000000000),1000000000))+ROW()/100000,"")</f>
        <v/>
      </c>
    </row>
    <row r="531">
      <c r="F531" s="11" t="n"/>
      <c r="N531" s="7">
        <f>IF($D531="","",M531*V531/100)</f>
        <v/>
      </c>
      <c r="O531" s="7" t="n"/>
      <c r="U531" s="7" t="n"/>
      <c r="V531" s="7" t="n"/>
      <c r="Y531">
        <f>IF($D531="","",IF($AN531=1,0,IF($AM531=1,Settings!$C$6,Settings!$C$7))*100)</f>
        <v/>
      </c>
      <c r="Z531" s="7">
        <f>IF($D531="","",V531*Y531/100)</f>
        <v/>
      </c>
      <c r="AA531" s="7">
        <f>IF($D531="","",V531-Z531)</f>
        <v/>
      </c>
      <c r="AB531" s="7">
        <f>IF($D531="","",AA531-N531)</f>
        <v/>
      </c>
      <c r="AF531" s="7" t="n"/>
      <c r="AI531" s="11" t="n"/>
      <c r="AK531">
        <f>IF($D531="","",IF(COUNTIF($D$2:$D531,$D531)=1,1,0))</f>
        <v/>
      </c>
      <c r="AL531">
        <f>IF($AK531=1,SUMPRODUCT(--($AO$2:$AO$3001&lt;$AO531))+1,"")</f>
        <v/>
      </c>
      <c r="AM531">
        <f>IF($D531="","",IF(OR($R531=TRUE(),$R531="TRUE"),1,0))</f>
        <v/>
      </c>
      <c r="AN531">
        <f>IF($D531="","",IF($X531="Yes",1,0))</f>
        <v/>
      </c>
      <c r="AO531">
        <f>IF($AK531=1,IFERROR(IF(VALUE($D531)&lt;100000000,VALUE($D531),1000000000),IFERROR(IF(VALUE(MID($D531,2,20))&lt;100000000,VALUE(MID($D531,2,20)),1000000000),1000000000))+ROW()/100000,"")</f>
        <v/>
      </c>
    </row>
    <row r="532">
      <c r="F532" s="11" t="n"/>
      <c r="N532" s="7">
        <f>IF($D532="","",M532*V532/100)</f>
        <v/>
      </c>
      <c r="O532" s="7" t="n"/>
      <c r="U532" s="7" t="n"/>
      <c r="V532" s="7" t="n"/>
      <c r="Y532">
        <f>IF($D532="","",IF($AN532=1,0,IF($AM532=1,Settings!$C$6,Settings!$C$7))*100)</f>
        <v/>
      </c>
      <c r="Z532" s="7">
        <f>IF($D532="","",V532*Y532/100)</f>
        <v/>
      </c>
      <c r="AA532" s="7">
        <f>IF($D532="","",V532-Z532)</f>
        <v/>
      </c>
      <c r="AB532" s="7">
        <f>IF($D532="","",AA532-N532)</f>
        <v/>
      </c>
      <c r="AF532" s="7" t="n"/>
      <c r="AI532" s="11" t="n"/>
      <c r="AK532">
        <f>IF($D532="","",IF(COUNTIF($D$2:$D532,$D532)=1,1,0))</f>
        <v/>
      </c>
      <c r="AL532">
        <f>IF($AK532=1,SUMPRODUCT(--($AO$2:$AO$3001&lt;$AO532))+1,"")</f>
        <v/>
      </c>
      <c r="AM532">
        <f>IF($D532="","",IF(OR($R532=TRUE(),$R532="TRUE"),1,0))</f>
        <v/>
      </c>
      <c r="AN532">
        <f>IF($D532="","",IF($X532="Yes",1,0))</f>
        <v/>
      </c>
      <c r="AO532">
        <f>IF($AK532=1,IFERROR(IF(VALUE($D532)&lt;100000000,VALUE($D532),1000000000),IFERROR(IF(VALUE(MID($D532,2,20))&lt;100000000,VALUE(MID($D532,2,20)),1000000000),1000000000))+ROW()/100000,"")</f>
        <v/>
      </c>
    </row>
    <row r="533">
      <c r="F533" s="11" t="n"/>
      <c r="N533" s="7">
        <f>IF($D533="","",M533*V533/100)</f>
        <v/>
      </c>
      <c r="O533" s="7" t="n"/>
      <c r="U533" s="7" t="n"/>
      <c r="V533" s="7" t="n"/>
      <c r="Y533">
        <f>IF($D533="","",IF($AN533=1,0,IF($AM533=1,Settings!$C$6,Settings!$C$7))*100)</f>
        <v/>
      </c>
      <c r="Z533" s="7">
        <f>IF($D533="","",V533*Y533/100)</f>
        <v/>
      </c>
      <c r="AA533" s="7">
        <f>IF($D533="","",V533-Z533)</f>
        <v/>
      </c>
      <c r="AB533" s="7">
        <f>IF($D533="","",AA533-N533)</f>
        <v/>
      </c>
      <c r="AF533" s="7" t="n"/>
      <c r="AI533" s="11" t="n"/>
      <c r="AK533">
        <f>IF($D533="","",IF(COUNTIF($D$2:$D533,$D533)=1,1,0))</f>
        <v/>
      </c>
      <c r="AL533">
        <f>IF($AK533=1,SUMPRODUCT(--($AO$2:$AO$3001&lt;$AO533))+1,"")</f>
        <v/>
      </c>
      <c r="AM533">
        <f>IF($D533="","",IF(OR($R533=TRUE(),$R533="TRUE"),1,0))</f>
        <v/>
      </c>
      <c r="AN533">
        <f>IF($D533="","",IF($X533="Yes",1,0))</f>
        <v/>
      </c>
      <c r="AO533">
        <f>IF($AK533=1,IFERROR(IF(VALUE($D533)&lt;100000000,VALUE($D533),1000000000),IFERROR(IF(VALUE(MID($D533,2,20))&lt;100000000,VALUE(MID($D533,2,20)),1000000000),1000000000))+ROW()/100000,"")</f>
        <v/>
      </c>
    </row>
    <row r="534">
      <c r="F534" s="11" t="n"/>
      <c r="N534" s="7">
        <f>IF($D534="","",M534*V534/100)</f>
        <v/>
      </c>
      <c r="O534" s="7" t="n"/>
      <c r="U534" s="7" t="n"/>
      <c r="V534" s="7" t="n"/>
      <c r="Y534">
        <f>IF($D534="","",IF($AN534=1,0,IF($AM534=1,Settings!$C$6,Settings!$C$7))*100)</f>
        <v/>
      </c>
      <c r="Z534" s="7">
        <f>IF($D534="","",V534*Y534/100)</f>
        <v/>
      </c>
      <c r="AA534" s="7">
        <f>IF($D534="","",V534-Z534)</f>
        <v/>
      </c>
      <c r="AB534" s="7">
        <f>IF($D534="","",AA534-N534)</f>
        <v/>
      </c>
      <c r="AF534" s="7" t="n"/>
      <c r="AI534" s="11" t="n"/>
      <c r="AK534">
        <f>IF($D534="","",IF(COUNTIF($D$2:$D534,$D534)=1,1,0))</f>
        <v/>
      </c>
      <c r="AL534">
        <f>IF($AK534=1,SUMPRODUCT(--($AO$2:$AO$3001&lt;$AO534))+1,"")</f>
        <v/>
      </c>
      <c r="AM534">
        <f>IF($D534="","",IF(OR($R534=TRUE(),$R534="TRUE"),1,0))</f>
        <v/>
      </c>
      <c r="AN534">
        <f>IF($D534="","",IF($X534="Yes",1,0))</f>
        <v/>
      </c>
      <c r="AO534">
        <f>IF($AK534=1,IFERROR(IF(VALUE($D534)&lt;100000000,VALUE($D534),1000000000),IFERROR(IF(VALUE(MID($D534,2,20))&lt;100000000,VALUE(MID($D534,2,20)),1000000000),1000000000))+ROW()/100000,"")</f>
        <v/>
      </c>
    </row>
    <row r="535">
      <c r="F535" s="11" t="n"/>
      <c r="N535" s="7">
        <f>IF($D535="","",M535*V535/100)</f>
        <v/>
      </c>
      <c r="O535" s="7" t="n"/>
      <c r="U535" s="7" t="n"/>
      <c r="V535" s="7" t="n"/>
      <c r="Y535">
        <f>IF($D535="","",IF($AN535=1,0,IF($AM535=1,Settings!$C$6,Settings!$C$7))*100)</f>
        <v/>
      </c>
      <c r="Z535" s="7">
        <f>IF($D535="","",V535*Y535/100)</f>
        <v/>
      </c>
      <c r="AA535" s="7">
        <f>IF($D535="","",V535-Z535)</f>
        <v/>
      </c>
      <c r="AB535" s="7">
        <f>IF($D535="","",AA535-N535)</f>
        <v/>
      </c>
      <c r="AF535" s="7" t="n"/>
      <c r="AI535" s="11" t="n"/>
      <c r="AK535">
        <f>IF($D535="","",IF(COUNTIF($D$2:$D535,$D535)=1,1,0))</f>
        <v/>
      </c>
      <c r="AL535">
        <f>IF($AK535=1,SUMPRODUCT(--($AO$2:$AO$3001&lt;$AO535))+1,"")</f>
        <v/>
      </c>
      <c r="AM535">
        <f>IF($D535="","",IF(OR($R535=TRUE(),$R535="TRUE"),1,0))</f>
        <v/>
      </c>
      <c r="AN535">
        <f>IF($D535="","",IF($X535="Yes",1,0))</f>
        <v/>
      </c>
      <c r="AO535">
        <f>IF($AK535=1,IFERROR(IF(VALUE($D535)&lt;100000000,VALUE($D535),1000000000),IFERROR(IF(VALUE(MID($D535,2,20))&lt;100000000,VALUE(MID($D535,2,20)),1000000000),1000000000))+ROW()/100000,"")</f>
        <v/>
      </c>
    </row>
    <row r="536">
      <c r="F536" s="11" t="n"/>
      <c r="N536" s="7">
        <f>IF($D536="","",M536*V536/100)</f>
        <v/>
      </c>
      <c r="O536" s="7" t="n"/>
      <c r="U536" s="7" t="n"/>
      <c r="V536" s="7" t="n"/>
      <c r="Y536">
        <f>IF($D536="","",IF($AN536=1,0,IF($AM536=1,Settings!$C$6,Settings!$C$7))*100)</f>
        <v/>
      </c>
      <c r="Z536" s="7">
        <f>IF($D536="","",V536*Y536/100)</f>
        <v/>
      </c>
      <c r="AA536" s="7">
        <f>IF($D536="","",V536-Z536)</f>
        <v/>
      </c>
      <c r="AB536" s="7">
        <f>IF($D536="","",AA536-N536)</f>
        <v/>
      </c>
      <c r="AF536" s="7" t="n"/>
      <c r="AI536" s="11" t="n"/>
      <c r="AK536">
        <f>IF($D536="","",IF(COUNTIF($D$2:$D536,$D536)=1,1,0))</f>
        <v/>
      </c>
      <c r="AL536">
        <f>IF($AK536=1,SUMPRODUCT(--($AO$2:$AO$3001&lt;$AO536))+1,"")</f>
        <v/>
      </c>
      <c r="AM536">
        <f>IF($D536="","",IF(OR($R536=TRUE(),$R536="TRUE"),1,0))</f>
        <v/>
      </c>
      <c r="AN536">
        <f>IF($D536="","",IF($X536="Yes",1,0))</f>
        <v/>
      </c>
      <c r="AO536">
        <f>IF($AK536=1,IFERROR(IF(VALUE($D536)&lt;100000000,VALUE($D536),1000000000),IFERROR(IF(VALUE(MID($D536,2,20))&lt;100000000,VALUE(MID($D536,2,20)),1000000000),1000000000))+ROW()/100000,"")</f>
        <v/>
      </c>
    </row>
    <row r="537">
      <c r="F537" s="11" t="n"/>
      <c r="N537" s="7">
        <f>IF($D537="","",M537*V537/100)</f>
        <v/>
      </c>
      <c r="O537" s="7" t="n"/>
      <c r="U537" s="7" t="n"/>
      <c r="V537" s="7" t="n"/>
      <c r="Y537">
        <f>IF($D537="","",IF($AN537=1,0,IF($AM537=1,Settings!$C$6,Settings!$C$7))*100)</f>
        <v/>
      </c>
      <c r="Z537" s="7">
        <f>IF($D537="","",V537*Y537/100)</f>
        <v/>
      </c>
      <c r="AA537" s="7">
        <f>IF($D537="","",V537-Z537)</f>
        <v/>
      </c>
      <c r="AB537" s="7">
        <f>IF($D537="","",AA537-N537)</f>
        <v/>
      </c>
      <c r="AF537" s="7" t="n"/>
      <c r="AI537" s="11" t="n"/>
      <c r="AK537">
        <f>IF($D537="","",IF(COUNTIF($D$2:$D537,$D537)=1,1,0))</f>
        <v/>
      </c>
      <c r="AL537">
        <f>IF($AK537=1,SUMPRODUCT(--($AO$2:$AO$3001&lt;$AO537))+1,"")</f>
        <v/>
      </c>
      <c r="AM537">
        <f>IF($D537="","",IF(OR($R537=TRUE(),$R537="TRUE"),1,0))</f>
        <v/>
      </c>
      <c r="AN537">
        <f>IF($D537="","",IF($X537="Yes",1,0))</f>
        <v/>
      </c>
      <c r="AO537">
        <f>IF($AK537=1,IFERROR(IF(VALUE($D537)&lt;100000000,VALUE($D537),1000000000),IFERROR(IF(VALUE(MID($D537,2,20))&lt;100000000,VALUE(MID($D537,2,20)),1000000000),1000000000))+ROW()/100000,"")</f>
        <v/>
      </c>
    </row>
    <row r="538">
      <c r="F538" s="11" t="n"/>
      <c r="N538" s="7">
        <f>IF($D538="","",M538*V538/100)</f>
        <v/>
      </c>
      <c r="O538" s="7" t="n"/>
      <c r="U538" s="7" t="n"/>
      <c r="V538" s="7" t="n"/>
      <c r="Y538">
        <f>IF($D538="","",IF($AN538=1,0,IF($AM538=1,Settings!$C$6,Settings!$C$7))*100)</f>
        <v/>
      </c>
      <c r="Z538" s="7">
        <f>IF($D538="","",V538*Y538/100)</f>
        <v/>
      </c>
      <c r="AA538" s="7">
        <f>IF($D538="","",V538-Z538)</f>
        <v/>
      </c>
      <c r="AB538" s="7">
        <f>IF($D538="","",AA538-N538)</f>
        <v/>
      </c>
      <c r="AF538" s="7" t="n"/>
      <c r="AI538" s="11" t="n"/>
      <c r="AK538">
        <f>IF($D538="","",IF(COUNTIF($D$2:$D538,$D538)=1,1,0))</f>
        <v/>
      </c>
      <c r="AL538">
        <f>IF($AK538=1,SUMPRODUCT(--($AO$2:$AO$3001&lt;$AO538))+1,"")</f>
        <v/>
      </c>
      <c r="AM538">
        <f>IF($D538="","",IF(OR($R538=TRUE(),$R538="TRUE"),1,0))</f>
        <v/>
      </c>
      <c r="AN538">
        <f>IF($D538="","",IF($X538="Yes",1,0))</f>
        <v/>
      </c>
      <c r="AO538">
        <f>IF($AK538=1,IFERROR(IF(VALUE($D538)&lt;100000000,VALUE($D538),1000000000),IFERROR(IF(VALUE(MID($D538,2,20))&lt;100000000,VALUE(MID($D538,2,20)),1000000000),1000000000))+ROW()/100000,"")</f>
        <v/>
      </c>
    </row>
    <row r="539">
      <c r="F539" s="11" t="n"/>
      <c r="N539" s="7">
        <f>IF($D539="","",M539*V539/100)</f>
        <v/>
      </c>
      <c r="O539" s="7" t="n"/>
      <c r="U539" s="7" t="n"/>
      <c r="V539" s="7" t="n"/>
      <c r="Y539">
        <f>IF($D539="","",IF($AN539=1,0,IF($AM539=1,Settings!$C$6,Settings!$C$7))*100)</f>
        <v/>
      </c>
      <c r="Z539" s="7">
        <f>IF($D539="","",V539*Y539/100)</f>
        <v/>
      </c>
      <c r="AA539" s="7">
        <f>IF($D539="","",V539-Z539)</f>
        <v/>
      </c>
      <c r="AB539" s="7">
        <f>IF($D539="","",AA539-N539)</f>
        <v/>
      </c>
      <c r="AF539" s="7" t="n"/>
      <c r="AI539" s="11" t="n"/>
      <c r="AK539">
        <f>IF($D539="","",IF(COUNTIF($D$2:$D539,$D539)=1,1,0))</f>
        <v/>
      </c>
      <c r="AL539">
        <f>IF($AK539=1,SUMPRODUCT(--($AO$2:$AO$3001&lt;$AO539))+1,"")</f>
        <v/>
      </c>
      <c r="AM539">
        <f>IF($D539="","",IF(OR($R539=TRUE(),$R539="TRUE"),1,0))</f>
        <v/>
      </c>
      <c r="AN539">
        <f>IF($D539="","",IF($X539="Yes",1,0))</f>
        <v/>
      </c>
      <c r="AO539">
        <f>IF($AK539=1,IFERROR(IF(VALUE($D539)&lt;100000000,VALUE($D539),1000000000),IFERROR(IF(VALUE(MID($D539,2,20))&lt;100000000,VALUE(MID($D539,2,20)),1000000000),1000000000))+ROW()/100000,"")</f>
        <v/>
      </c>
    </row>
    <row r="540">
      <c r="F540" s="11" t="n"/>
      <c r="N540" s="7">
        <f>IF($D540="","",M540*V540/100)</f>
        <v/>
      </c>
      <c r="O540" s="7" t="n"/>
      <c r="U540" s="7" t="n"/>
      <c r="V540" s="7" t="n"/>
      <c r="Y540">
        <f>IF($D540="","",IF($AN540=1,0,IF($AM540=1,Settings!$C$6,Settings!$C$7))*100)</f>
        <v/>
      </c>
      <c r="Z540" s="7">
        <f>IF($D540="","",V540*Y540/100)</f>
        <v/>
      </c>
      <c r="AA540" s="7">
        <f>IF($D540="","",V540-Z540)</f>
        <v/>
      </c>
      <c r="AB540" s="7">
        <f>IF($D540="","",AA540-N540)</f>
        <v/>
      </c>
      <c r="AF540" s="7" t="n"/>
      <c r="AI540" s="11" t="n"/>
      <c r="AK540">
        <f>IF($D540="","",IF(COUNTIF($D$2:$D540,$D540)=1,1,0))</f>
        <v/>
      </c>
      <c r="AL540">
        <f>IF($AK540=1,SUMPRODUCT(--($AO$2:$AO$3001&lt;$AO540))+1,"")</f>
        <v/>
      </c>
      <c r="AM540">
        <f>IF($D540="","",IF(OR($R540=TRUE(),$R540="TRUE"),1,0))</f>
        <v/>
      </c>
      <c r="AN540">
        <f>IF($D540="","",IF($X540="Yes",1,0))</f>
        <v/>
      </c>
      <c r="AO540">
        <f>IF($AK540=1,IFERROR(IF(VALUE($D540)&lt;100000000,VALUE($D540),1000000000),IFERROR(IF(VALUE(MID($D540,2,20))&lt;100000000,VALUE(MID($D540,2,20)),1000000000),1000000000))+ROW()/100000,"")</f>
        <v/>
      </c>
    </row>
    <row r="541">
      <c r="F541" s="11" t="n"/>
      <c r="N541" s="7">
        <f>IF($D541="","",M541*V541/100)</f>
        <v/>
      </c>
      <c r="O541" s="7" t="n"/>
      <c r="U541" s="7" t="n"/>
      <c r="V541" s="7" t="n"/>
      <c r="Y541">
        <f>IF($D541="","",IF($AN541=1,0,IF($AM541=1,Settings!$C$6,Settings!$C$7))*100)</f>
        <v/>
      </c>
      <c r="Z541" s="7">
        <f>IF($D541="","",V541*Y541/100)</f>
        <v/>
      </c>
      <c r="AA541" s="7">
        <f>IF($D541="","",V541-Z541)</f>
        <v/>
      </c>
      <c r="AB541" s="7">
        <f>IF($D541="","",AA541-N541)</f>
        <v/>
      </c>
      <c r="AF541" s="7" t="n"/>
      <c r="AI541" s="11" t="n"/>
      <c r="AK541">
        <f>IF($D541="","",IF(COUNTIF($D$2:$D541,$D541)=1,1,0))</f>
        <v/>
      </c>
      <c r="AL541">
        <f>IF($AK541=1,SUMPRODUCT(--($AO$2:$AO$3001&lt;$AO541))+1,"")</f>
        <v/>
      </c>
      <c r="AM541">
        <f>IF($D541="","",IF(OR($R541=TRUE(),$R541="TRUE"),1,0))</f>
        <v/>
      </c>
      <c r="AN541">
        <f>IF($D541="","",IF($X541="Yes",1,0))</f>
        <v/>
      </c>
      <c r="AO541">
        <f>IF($AK541=1,IFERROR(IF(VALUE($D541)&lt;100000000,VALUE($D541),1000000000),IFERROR(IF(VALUE(MID($D541,2,20))&lt;100000000,VALUE(MID($D541,2,20)),1000000000),1000000000))+ROW()/100000,"")</f>
        <v/>
      </c>
    </row>
    <row r="542">
      <c r="F542" s="11" t="n"/>
      <c r="N542" s="7">
        <f>IF($D542="","",M542*V542/100)</f>
        <v/>
      </c>
      <c r="O542" s="7" t="n"/>
      <c r="U542" s="7" t="n"/>
      <c r="V542" s="7" t="n"/>
      <c r="Y542">
        <f>IF($D542="","",IF($AN542=1,0,IF($AM542=1,Settings!$C$6,Settings!$C$7))*100)</f>
        <v/>
      </c>
      <c r="Z542" s="7">
        <f>IF($D542="","",V542*Y542/100)</f>
        <v/>
      </c>
      <c r="AA542" s="7">
        <f>IF($D542="","",V542-Z542)</f>
        <v/>
      </c>
      <c r="AB542" s="7">
        <f>IF($D542="","",AA542-N542)</f>
        <v/>
      </c>
      <c r="AF542" s="7" t="n"/>
      <c r="AI542" s="11" t="n"/>
      <c r="AK542">
        <f>IF($D542="","",IF(COUNTIF($D$2:$D542,$D542)=1,1,0))</f>
        <v/>
      </c>
      <c r="AL542">
        <f>IF($AK542=1,SUMPRODUCT(--($AO$2:$AO$3001&lt;$AO542))+1,"")</f>
        <v/>
      </c>
      <c r="AM542">
        <f>IF($D542="","",IF(OR($R542=TRUE(),$R542="TRUE"),1,0))</f>
        <v/>
      </c>
      <c r="AN542">
        <f>IF($D542="","",IF($X542="Yes",1,0))</f>
        <v/>
      </c>
      <c r="AO542">
        <f>IF($AK542=1,IFERROR(IF(VALUE($D542)&lt;100000000,VALUE($D542),1000000000),IFERROR(IF(VALUE(MID($D542,2,20))&lt;100000000,VALUE(MID($D542,2,20)),1000000000),1000000000))+ROW()/100000,"")</f>
        <v/>
      </c>
    </row>
    <row r="543">
      <c r="F543" s="11" t="n"/>
      <c r="N543" s="7">
        <f>IF($D543="","",M543*V543/100)</f>
        <v/>
      </c>
      <c r="O543" s="7" t="n"/>
      <c r="U543" s="7" t="n"/>
      <c r="V543" s="7" t="n"/>
      <c r="Y543">
        <f>IF($D543="","",IF($AN543=1,0,IF($AM543=1,Settings!$C$6,Settings!$C$7))*100)</f>
        <v/>
      </c>
      <c r="Z543" s="7">
        <f>IF($D543="","",V543*Y543/100)</f>
        <v/>
      </c>
      <c r="AA543" s="7">
        <f>IF($D543="","",V543-Z543)</f>
        <v/>
      </c>
      <c r="AB543" s="7">
        <f>IF($D543="","",AA543-N543)</f>
        <v/>
      </c>
      <c r="AF543" s="7" t="n"/>
      <c r="AI543" s="11" t="n"/>
      <c r="AK543">
        <f>IF($D543="","",IF(COUNTIF($D$2:$D543,$D543)=1,1,0))</f>
        <v/>
      </c>
      <c r="AL543">
        <f>IF($AK543=1,SUMPRODUCT(--($AO$2:$AO$3001&lt;$AO543))+1,"")</f>
        <v/>
      </c>
      <c r="AM543">
        <f>IF($D543="","",IF(OR($R543=TRUE(),$R543="TRUE"),1,0))</f>
        <v/>
      </c>
      <c r="AN543">
        <f>IF($D543="","",IF($X543="Yes",1,0))</f>
        <v/>
      </c>
      <c r="AO543">
        <f>IF($AK543=1,IFERROR(IF(VALUE($D543)&lt;100000000,VALUE($D543),1000000000),IFERROR(IF(VALUE(MID($D543,2,20))&lt;100000000,VALUE(MID($D543,2,20)),1000000000),1000000000))+ROW()/100000,"")</f>
        <v/>
      </c>
    </row>
    <row r="544">
      <c r="F544" s="11" t="n"/>
      <c r="N544" s="7">
        <f>IF($D544="","",M544*V544/100)</f>
        <v/>
      </c>
      <c r="O544" s="7" t="n"/>
      <c r="U544" s="7" t="n"/>
      <c r="V544" s="7" t="n"/>
      <c r="Y544">
        <f>IF($D544="","",IF($AN544=1,0,IF($AM544=1,Settings!$C$6,Settings!$C$7))*100)</f>
        <v/>
      </c>
      <c r="Z544" s="7">
        <f>IF($D544="","",V544*Y544/100)</f>
        <v/>
      </c>
      <c r="AA544" s="7">
        <f>IF($D544="","",V544-Z544)</f>
        <v/>
      </c>
      <c r="AB544" s="7">
        <f>IF($D544="","",AA544-N544)</f>
        <v/>
      </c>
      <c r="AF544" s="7" t="n"/>
      <c r="AI544" s="11" t="n"/>
      <c r="AK544">
        <f>IF($D544="","",IF(COUNTIF($D$2:$D544,$D544)=1,1,0))</f>
        <v/>
      </c>
      <c r="AL544">
        <f>IF($AK544=1,SUMPRODUCT(--($AO$2:$AO$3001&lt;$AO544))+1,"")</f>
        <v/>
      </c>
      <c r="AM544">
        <f>IF($D544="","",IF(OR($R544=TRUE(),$R544="TRUE"),1,0))</f>
        <v/>
      </c>
      <c r="AN544">
        <f>IF($D544="","",IF($X544="Yes",1,0))</f>
        <v/>
      </c>
      <c r="AO544">
        <f>IF($AK544=1,IFERROR(IF(VALUE($D544)&lt;100000000,VALUE($D544),1000000000),IFERROR(IF(VALUE(MID($D544,2,20))&lt;100000000,VALUE(MID($D544,2,20)),1000000000),1000000000))+ROW()/100000,"")</f>
        <v/>
      </c>
    </row>
    <row r="545">
      <c r="F545" s="11" t="n"/>
      <c r="N545" s="7">
        <f>IF($D545="","",M545*V545/100)</f>
        <v/>
      </c>
      <c r="O545" s="7" t="n"/>
      <c r="U545" s="7" t="n"/>
      <c r="V545" s="7" t="n"/>
      <c r="Y545">
        <f>IF($D545="","",IF($AN545=1,0,IF($AM545=1,Settings!$C$6,Settings!$C$7))*100)</f>
        <v/>
      </c>
      <c r="Z545" s="7">
        <f>IF($D545="","",V545*Y545/100)</f>
        <v/>
      </c>
      <c r="AA545" s="7">
        <f>IF($D545="","",V545-Z545)</f>
        <v/>
      </c>
      <c r="AB545" s="7">
        <f>IF($D545="","",AA545-N545)</f>
        <v/>
      </c>
      <c r="AF545" s="7" t="n"/>
      <c r="AI545" s="11" t="n"/>
      <c r="AK545">
        <f>IF($D545="","",IF(COUNTIF($D$2:$D545,$D545)=1,1,0))</f>
        <v/>
      </c>
      <c r="AL545">
        <f>IF($AK545=1,SUMPRODUCT(--($AO$2:$AO$3001&lt;$AO545))+1,"")</f>
        <v/>
      </c>
      <c r="AM545">
        <f>IF($D545="","",IF(OR($R545=TRUE(),$R545="TRUE"),1,0))</f>
        <v/>
      </c>
      <c r="AN545">
        <f>IF($D545="","",IF($X545="Yes",1,0))</f>
        <v/>
      </c>
      <c r="AO545">
        <f>IF($AK545=1,IFERROR(IF(VALUE($D545)&lt;100000000,VALUE($D545),1000000000),IFERROR(IF(VALUE(MID($D545,2,20))&lt;100000000,VALUE(MID($D545,2,20)),1000000000),1000000000))+ROW()/100000,"")</f>
        <v/>
      </c>
    </row>
    <row r="546">
      <c r="F546" s="11" t="n"/>
      <c r="N546" s="7">
        <f>IF($D546="","",M546*V546/100)</f>
        <v/>
      </c>
      <c r="O546" s="7" t="n"/>
      <c r="U546" s="7" t="n"/>
      <c r="V546" s="7" t="n"/>
      <c r="Y546">
        <f>IF($D546="","",IF($AN546=1,0,IF($AM546=1,Settings!$C$6,Settings!$C$7))*100)</f>
        <v/>
      </c>
      <c r="Z546" s="7">
        <f>IF($D546="","",V546*Y546/100)</f>
        <v/>
      </c>
      <c r="AA546" s="7">
        <f>IF($D546="","",V546-Z546)</f>
        <v/>
      </c>
      <c r="AB546" s="7">
        <f>IF($D546="","",AA546-N546)</f>
        <v/>
      </c>
      <c r="AF546" s="7" t="n"/>
      <c r="AI546" s="11" t="n"/>
      <c r="AK546">
        <f>IF($D546="","",IF(COUNTIF($D$2:$D546,$D546)=1,1,0))</f>
        <v/>
      </c>
      <c r="AL546">
        <f>IF($AK546=1,SUMPRODUCT(--($AO$2:$AO$3001&lt;$AO546))+1,"")</f>
        <v/>
      </c>
      <c r="AM546">
        <f>IF($D546="","",IF(OR($R546=TRUE(),$R546="TRUE"),1,0))</f>
        <v/>
      </c>
      <c r="AN546">
        <f>IF($D546="","",IF($X546="Yes",1,0))</f>
        <v/>
      </c>
      <c r="AO546">
        <f>IF($AK546=1,IFERROR(IF(VALUE($D546)&lt;100000000,VALUE($D546),1000000000),IFERROR(IF(VALUE(MID($D546,2,20))&lt;100000000,VALUE(MID($D546,2,20)),1000000000),1000000000))+ROW()/100000,"")</f>
        <v/>
      </c>
    </row>
    <row r="547">
      <c r="F547" s="11" t="n"/>
      <c r="N547" s="7">
        <f>IF($D547="","",M547*V547/100)</f>
        <v/>
      </c>
      <c r="O547" s="7" t="n"/>
      <c r="U547" s="7" t="n"/>
      <c r="V547" s="7" t="n"/>
      <c r="Y547">
        <f>IF($D547="","",IF($AN547=1,0,IF($AM547=1,Settings!$C$6,Settings!$C$7))*100)</f>
        <v/>
      </c>
      <c r="Z547" s="7">
        <f>IF($D547="","",V547*Y547/100)</f>
        <v/>
      </c>
      <c r="AA547" s="7">
        <f>IF($D547="","",V547-Z547)</f>
        <v/>
      </c>
      <c r="AB547" s="7">
        <f>IF($D547="","",AA547-N547)</f>
        <v/>
      </c>
      <c r="AF547" s="7" t="n"/>
      <c r="AI547" s="11" t="n"/>
      <c r="AK547">
        <f>IF($D547="","",IF(COUNTIF($D$2:$D547,$D547)=1,1,0))</f>
        <v/>
      </c>
      <c r="AL547">
        <f>IF($AK547=1,SUMPRODUCT(--($AO$2:$AO$3001&lt;$AO547))+1,"")</f>
        <v/>
      </c>
      <c r="AM547">
        <f>IF($D547="","",IF(OR($R547=TRUE(),$R547="TRUE"),1,0))</f>
        <v/>
      </c>
      <c r="AN547">
        <f>IF($D547="","",IF($X547="Yes",1,0))</f>
        <v/>
      </c>
      <c r="AO547">
        <f>IF($AK547=1,IFERROR(IF(VALUE($D547)&lt;100000000,VALUE($D547),1000000000),IFERROR(IF(VALUE(MID($D547,2,20))&lt;100000000,VALUE(MID($D547,2,20)),1000000000),1000000000))+ROW()/100000,"")</f>
        <v/>
      </c>
    </row>
    <row r="548">
      <c r="F548" s="11" t="n"/>
      <c r="N548" s="7">
        <f>IF($D548="","",M548*V548/100)</f>
        <v/>
      </c>
      <c r="O548" s="7" t="n"/>
      <c r="U548" s="7" t="n"/>
      <c r="V548" s="7" t="n"/>
      <c r="Y548">
        <f>IF($D548="","",IF($AN548=1,0,IF($AM548=1,Settings!$C$6,Settings!$C$7))*100)</f>
        <v/>
      </c>
      <c r="Z548" s="7">
        <f>IF($D548="","",V548*Y548/100)</f>
        <v/>
      </c>
      <c r="AA548" s="7">
        <f>IF($D548="","",V548-Z548)</f>
        <v/>
      </c>
      <c r="AB548" s="7">
        <f>IF($D548="","",AA548-N548)</f>
        <v/>
      </c>
      <c r="AF548" s="7" t="n"/>
      <c r="AI548" s="11" t="n"/>
      <c r="AK548">
        <f>IF($D548="","",IF(COUNTIF($D$2:$D548,$D548)=1,1,0))</f>
        <v/>
      </c>
      <c r="AL548">
        <f>IF($AK548=1,SUMPRODUCT(--($AO$2:$AO$3001&lt;$AO548))+1,"")</f>
        <v/>
      </c>
      <c r="AM548">
        <f>IF($D548="","",IF(OR($R548=TRUE(),$R548="TRUE"),1,0))</f>
        <v/>
      </c>
      <c r="AN548">
        <f>IF($D548="","",IF($X548="Yes",1,0))</f>
        <v/>
      </c>
      <c r="AO548">
        <f>IF($AK548=1,IFERROR(IF(VALUE($D548)&lt;100000000,VALUE($D548),1000000000),IFERROR(IF(VALUE(MID($D548,2,20))&lt;100000000,VALUE(MID($D548,2,20)),1000000000),1000000000))+ROW()/100000,"")</f>
        <v/>
      </c>
    </row>
    <row r="549">
      <c r="F549" s="11" t="n"/>
      <c r="N549" s="7">
        <f>IF($D549="","",M549*V549/100)</f>
        <v/>
      </c>
      <c r="O549" s="7" t="n"/>
      <c r="U549" s="7" t="n"/>
      <c r="V549" s="7" t="n"/>
      <c r="Y549">
        <f>IF($D549="","",IF($AN549=1,0,IF($AM549=1,Settings!$C$6,Settings!$C$7))*100)</f>
        <v/>
      </c>
      <c r="Z549" s="7">
        <f>IF($D549="","",V549*Y549/100)</f>
        <v/>
      </c>
      <c r="AA549" s="7">
        <f>IF($D549="","",V549-Z549)</f>
        <v/>
      </c>
      <c r="AB549" s="7">
        <f>IF($D549="","",AA549-N549)</f>
        <v/>
      </c>
      <c r="AF549" s="7" t="n"/>
      <c r="AI549" s="11" t="n"/>
      <c r="AK549">
        <f>IF($D549="","",IF(COUNTIF($D$2:$D549,$D549)=1,1,0))</f>
        <v/>
      </c>
      <c r="AL549">
        <f>IF($AK549=1,SUMPRODUCT(--($AO$2:$AO$3001&lt;$AO549))+1,"")</f>
        <v/>
      </c>
      <c r="AM549">
        <f>IF($D549="","",IF(OR($R549=TRUE(),$R549="TRUE"),1,0))</f>
        <v/>
      </c>
      <c r="AN549">
        <f>IF($D549="","",IF($X549="Yes",1,0))</f>
        <v/>
      </c>
      <c r="AO549">
        <f>IF($AK549=1,IFERROR(IF(VALUE($D549)&lt;100000000,VALUE($D549),1000000000),IFERROR(IF(VALUE(MID($D549,2,20))&lt;100000000,VALUE(MID($D549,2,20)),1000000000),1000000000))+ROW()/100000,"")</f>
        <v/>
      </c>
    </row>
    <row r="550">
      <c r="F550" s="11" t="n"/>
      <c r="N550" s="7">
        <f>IF($D550="","",M550*V550/100)</f>
        <v/>
      </c>
      <c r="O550" s="7" t="n"/>
      <c r="U550" s="7" t="n"/>
      <c r="V550" s="7" t="n"/>
      <c r="Y550">
        <f>IF($D550="","",IF($AN550=1,0,IF($AM550=1,Settings!$C$6,Settings!$C$7))*100)</f>
        <v/>
      </c>
      <c r="Z550" s="7">
        <f>IF($D550="","",V550*Y550/100)</f>
        <v/>
      </c>
      <c r="AA550" s="7">
        <f>IF($D550="","",V550-Z550)</f>
        <v/>
      </c>
      <c r="AB550" s="7">
        <f>IF($D550="","",AA550-N550)</f>
        <v/>
      </c>
      <c r="AF550" s="7" t="n"/>
      <c r="AI550" s="11" t="n"/>
      <c r="AK550">
        <f>IF($D550="","",IF(COUNTIF($D$2:$D550,$D550)=1,1,0))</f>
        <v/>
      </c>
      <c r="AL550">
        <f>IF($AK550=1,SUMPRODUCT(--($AO$2:$AO$3001&lt;$AO550))+1,"")</f>
        <v/>
      </c>
      <c r="AM550">
        <f>IF($D550="","",IF(OR($R550=TRUE(),$R550="TRUE"),1,0))</f>
        <v/>
      </c>
      <c r="AN550">
        <f>IF($D550="","",IF($X550="Yes",1,0))</f>
        <v/>
      </c>
      <c r="AO550">
        <f>IF($AK550=1,IFERROR(IF(VALUE($D550)&lt;100000000,VALUE($D550),1000000000),IFERROR(IF(VALUE(MID($D550,2,20))&lt;100000000,VALUE(MID($D550,2,20)),1000000000),1000000000))+ROW()/100000,"")</f>
        <v/>
      </c>
    </row>
    <row r="551">
      <c r="F551" s="11" t="n"/>
      <c r="N551" s="7">
        <f>IF($D551="","",M551*V551/100)</f>
        <v/>
      </c>
      <c r="O551" s="7" t="n"/>
      <c r="U551" s="7" t="n"/>
      <c r="V551" s="7" t="n"/>
      <c r="Y551">
        <f>IF($D551="","",IF($AN551=1,0,IF($AM551=1,Settings!$C$6,Settings!$C$7))*100)</f>
        <v/>
      </c>
      <c r="Z551" s="7">
        <f>IF($D551="","",V551*Y551/100)</f>
        <v/>
      </c>
      <c r="AA551" s="7">
        <f>IF($D551="","",V551-Z551)</f>
        <v/>
      </c>
      <c r="AB551" s="7">
        <f>IF($D551="","",AA551-N551)</f>
        <v/>
      </c>
      <c r="AF551" s="7" t="n"/>
      <c r="AI551" s="11" t="n"/>
      <c r="AK551">
        <f>IF($D551="","",IF(COUNTIF($D$2:$D551,$D551)=1,1,0))</f>
        <v/>
      </c>
      <c r="AL551">
        <f>IF($AK551=1,SUMPRODUCT(--($AO$2:$AO$3001&lt;$AO551))+1,"")</f>
        <v/>
      </c>
      <c r="AM551">
        <f>IF($D551="","",IF(OR($R551=TRUE(),$R551="TRUE"),1,0))</f>
        <v/>
      </c>
      <c r="AN551">
        <f>IF($D551="","",IF($X551="Yes",1,0))</f>
        <v/>
      </c>
      <c r="AO551">
        <f>IF($AK551=1,IFERROR(IF(VALUE($D551)&lt;100000000,VALUE($D551),1000000000),IFERROR(IF(VALUE(MID($D551,2,20))&lt;100000000,VALUE(MID($D551,2,20)),1000000000),1000000000))+ROW()/100000,"")</f>
        <v/>
      </c>
    </row>
    <row r="552">
      <c r="F552" s="11" t="n"/>
      <c r="N552" s="7">
        <f>IF($D552="","",M552*V552/100)</f>
        <v/>
      </c>
      <c r="O552" s="7" t="n"/>
      <c r="U552" s="7" t="n"/>
      <c r="V552" s="7" t="n"/>
      <c r="Y552">
        <f>IF($D552="","",IF($AN552=1,0,IF($AM552=1,Settings!$C$6,Settings!$C$7))*100)</f>
        <v/>
      </c>
      <c r="Z552" s="7">
        <f>IF($D552="","",V552*Y552/100)</f>
        <v/>
      </c>
      <c r="AA552" s="7">
        <f>IF($D552="","",V552-Z552)</f>
        <v/>
      </c>
      <c r="AB552" s="7">
        <f>IF($D552="","",AA552-N552)</f>
        <v/>
      </c>
      <c r="AF552" s="7" t="n"/>
      <c r="AI552" s="11" t="n"/>
      <c r="AK552">
        <f>IF($D552="","",IF(COUNTIF($D$2:$D552,$D552)=1,1,0))</f>
        <v/>
      </c>
      <c r="AL552">
        <f>IF($AK552=1,SUMPRODUCT(--($AO$2:$AO$3001&lt;$AO552))+1,"")</f>
        <v/>
      </c>
      <c r="AM552">
        <f>IF($D552="","",IF(OR($R552=TRUE(),$R552="TRUE"),1,0))</f>
        <v/>
      </c>
      <c r="AN552">
        <f>IF($D552="","",IF($X552="Yes",1,0))</f>
        <v/>
      </c>
      <c r="AO552">
        <f>IF($AK552=1,IFERROR(IF(VALUE($D552)&lt;100000000,VALUE($D552),1000000000),IFERROR(IF(VALUE(MID($D552,2,20))&lt;100000000,VALUE(MID($D552,2,20)),1000000000),1000000000))+ROW()/100000,"")</f>
        <v/>
      </c>
    </row>
    <row r="553">
      <c r="F553" s="11" t="n"/>
      <c r="N553" s="7">
        <f>IF($D553="","",M553*V553/100)</f>
        <v/>
      </c>
      <c r="O553" s="7" t="n"/>
      <c r="U553" s="7" t="n"/>
      <c r="V553" s="7" t="n"/>
      <c r="Y553">
        <f>IF($D553="","",IF($AN553=1,0,IF($AM553=1,Settings!$C$6,Settings!$C$7))*100)</f>
        <v/>
      </c>
      <c r="Z553" s="7">
        <f>IF($D553="","",V553*Y553/100)</f>
        <v/>
      </c>
      <c r="AA553" s="7">
        <f>IF($D553="","",V553-Z553)</f>
        <v/>
      </c>
      <c r="AB553" s="7">
        <f>IF($D553="","",AA553-N553)</f>
        <v/>
      </c>
      <c r="AF553" s="7" t="n"/>
      <c r="AI553" s="11" t="n"/>
      <c r="AK553">
        <f>IF($D553="","",IF(COUNTIF($D$2:$D553,$D553)=1,1,0))</f>
        <v/>
      </c>
      <c r="AL553">
        <f>IF($AK553=1,SUMPRODUCT(--($AO$2:$AO$3001&lt;$AO553))+1,"")</f>
        <v/>
      </c>
      <c r="AM553">
        <f>IF($D553="","",IF(OR($R553=TRUE(),$R553="TRUE"),1,0))</f>
        <v/>
      </c>
      <c r="AN553">
        <f>IF($D553="","",IF($X553="Yes",1,0))</f>
        <v/>
      </c>
      <c r="AO553">
        <f>IF($AK553=1,IFERROR(IF(VALUE($D553)&lt;100000000,VALUE($D553),1000000000),IFERROR(IF(VALUE(MID($D553,2,20))&lt;100000000,VALUE(MID($D553,2,20)),1000000000),1000000000))+ROW()/100000,"")</f>
        <v/>
      </c>
    </row>
    <row r="554">
      <c r="F554" s="11" t="n"/>
      <c r="N554" s="7">
        <f>IF($D554="","",M554*V554/100)</f>
        <v/>
      </c>
      <c r="O554" s="7" t="n"/>
      <c r="U554" s="7" t="n"/>
      <c r="V554" s="7" t="n"/>
      <c r="Y554">
        <f>IF($D554="","",IF($AN554=1,0,IF($AM554=1,Settings!$C$6,Settings!$C$7))*100)</f>
        <v/>
      </c>
      <c r="Z554" s="7">
        <f>IF($D554="","",V554*Y554/100)</f>
        <v/>
      </c>
      <c r="AA554" s="7">
        <f>IF($D554="","",V554-Z554)</f>
        <v/>
      </c>
      <c r="AB554" s="7">
        <f>IF($D554="","",AA554-N554)</f>
        <v/>
      </c>
      <c r="AF554" s="7" t="n"/>
      <c r="AI554" s="11" t="n"/>
      <c r="AK554">
        <f>IF($D554="","",IF(COUNTIF($D$2:$D554,$D554)=1,1,0))</f>
        <v/>
      </c>
      <c r="AL554">
        <f>IF($AK554=1,SUMPRODUCT(--($AO$2:$AO$3001&lt;$AO554))+1,"")</f>
        <v/>
      </c>
      <c r="AM554">
        <f>IF($D554="","",IF(OR($R554=TRUE(),$R554="TRUE"),1,0))</f>
        <v/>
      </c>
      <c r="AN554">
        <f>IF($D554="","",IF($X554="Yes",1,0))</f>
        <v/>
      </c>
      <c r="AO554">
        <f>IF($AK554=1,IFERROR(IF(VALUE($D554)&lt;100000000,VALUE($D554),1000000000),IFERROR(IF(VALUE(MID($D554,2,20))&lt;100000000,VALUE(MID($D554,2,20)),1000000000),1000000000))+ROW()/100000,"")</f>
        <v/>
      </c>
    </row>
    <row r="555">
      <c r="F555" s="11" t="n"/>
      <c r="N555" s="7">
        <f>IF($D555="","",M555*V555/100)</f>
        <v/>
      </c>
      <c r="O555" s="7" t="n"/>
      <c r="U555" s="7" t="n"/>
      <c r="V555" s="7" t="n"/>
      <c r="Y555">
        <f>IF($D555="","",IF($AN555=1,0,IF($AM555=1,Settings!$C$6,Settings!$C$7))*100)</f>
        <v/>
      </c>
      <c r="Z555" s="7">
        <f>IF($D555="","",V555*Y555/100)</f>
        <v/>
      </c>
      <c r="AA555" s="7">
        <f>IF($D555="","",V555-Z555)</f>
        <v/>
      </c>
      <c r="AB555" s="7">
        <f>IF($D555="","",AA555-N555)</f>
        <v/>
      </c>
      <c r="AF555" s="7" t="n"/>
      <c r="AI555" s="11" t="n"/>
      <c r="AK555">
        <f>IF($D555="","",IF(COUNTIF($D$2:$D555,$D555)=1,1,0))</f>
        <v/>
      </c>
      <c r="AL555">
        <f>IF($AK555=1,SUMPRODUCT(--($AO$2:$AO$3001&lt;$AO555))+1,"")</f>
        <v/>
      </c>
      <c r="AM555">
        <f>IF($D555="","",IF(OR($R555=TRUE(),$R555="TRUE"),1,0))</f>
        <v/>
      </c>
      <c r="AN555">
        <f>IF($D555="","",IF($X555="Yes",1,0))</f>
        <v/>
      </c>
      <c r="AO555">
        <f>IF($AK555=1,IFERROR(IF(VALUE($D555)&lt;100000000,VALUE($D555),1000000000),IFERROR(IF(VALUE(MID($D555,2,20))&lt;100000000,VALUE(MID($D555,2,20)),1000000000),1000000000))+ROW()/100000,"")</f>
        <v/>
      </c>
    </row>
    <row r="556">
      <c r="F556" s="11" t="n"/>
      <c r="N556" s="7">
        <f>IF($D556="","",M556*V556/100)</f>
        <v/>
      </c>
      <c r="O556" s="7" t="n"/>
      <c r="U556" s="7" t="n"/>
      <c r="V556" s="7" t="n"/>
      <c r="Y556">
        <f>IF($D556="","",IF($AN556=1,0,IF($AM556=1,Settings!$C$6,Settings!$C$7))*100)</f>
        <v/>
      </c>
      <c r="Z556" s="7">
        <f>IF($D556="","",V556*Y556/100)</f>
        <v/>
      </c>
      <c r="AA556" s="7">
        <f>IF($D556="","",V556-Z556)</f>
        <v/>
      </c>
      <c r="AB556" s="7">
        <f>IF($D556="","",AA556-N556)</f>
        <v/>
      </c>
      <c r="AF556" s="7" t="n"/>
      <c r="AI556" s="11" t="n"/>
      <c r="AK556">
        <f>IF($D556="","",IF(COUNTIF($D$2:$D556,$D556)=1,1,0))</f>
        <v/>
      </c>
      <c r="AL556">
        <f>IF($AK556=1,SUMPRODUCT(--($AO$2:$AO$3001&lt;$AO556))+1,"")</f>
        <v/>
      </c>
      <c r="AM556">
        <f>IF($D556="","",IF(OR($R556=TRUE(),$R556="TRUE"),1,0))</f>
        <v/>
      </c>
      <c r="AN556">
        <f>IF($D556="","",IF($X556="Yes",1,0))</f>
        <v/>
      </c>
      <c r="AO556">
        <f>IF($AK556=1,IFERROR(IF(VALUE($D556)&lt;100000000,VALUE($D556),1000000000),IFERROR(IF(VALUE(MID($D556,2,20))&lt;100000000,VALUE(MID($D556,2,20)),1000000000),1000000000))+ROW()/100000,"")</f>
        <v/>
      </c>
    </row>
    <row r="557">
      <c r="F557" s="11" t="n"/>
      <c r="N557" s="7">
        <f>IF($D557="","",M557*V557/100)</f>
        <v/>
      </c>
      <c r="O557" s="7" t="n"/>
      <c r="U557" s="7" t="n"/>
      <c r="V557" s="7" t="n"/>
      <c r="Y557">
        <f>IF($D557="","",IF($AN557=1,0,IF($AM557=1,Settings!$C$6,Settings!$C$7))*100)</f>
        <v/>
      </c>
      <c r="Z557" s="7">
        <f>IF($D557="","",V557*Y557/100)</f>
        <v/>
      </c>
      <c r="AA557" s="7">
        <f>IF($D557="","",V557-Z557)</f>
        <v/>
      </c>
      <c r="AB557" s="7">
        <f>IF($D557="","",AA557-N557)</f>
        <v/>
      </c>
      <c r="AF557" s="7" t="n"/>
      <c r="AI557" s="11" t="n"/>
      <c r="AK557">
        <f>IF($D557="","",IF(COUNTIF($D$2:$D557,$D557)=1,1,0))</f>
        <v/>
      </c>
      <c r="AL557">
        <f>IF($AK557=1,SUMPRODUCT(--($AO$2:$AO$3001&lt;$AO557))+1,"")</f>
        <v/>
      </c>
      <c r="AM557">
        <f>IF($D557="","",IF(OR($R557=TRUE(),$R557="TRUE"),1,0))</f>
        <v/>
      </c>
      <c r="AN557">
        <f>IF($D557="","",IF($X557="Yes",1,0))</f>
        <v/>
      </c>
      <c r="AO557">
        <f>IF($AK557=1,IFERROR(IF(VALUE($D557)&lt;100000000,VALUE($D557),1000000000),IFERROR(IF(VALUE(MID($D557,2,20))&lt;100000000,VALUE(MID($D557,2,20)),1000000000),1000000000))+ROW()/100000,"")</f>
        <v/>
      </c>
    </row>
    <row r="558">
      <c r="F558" s="11" t="n"/>
      <c r="N558" s="7">
        <f>IF($D558="","",M558*V558/100)</f>
        <v/>
      </c>
      <c r="O558" s="7" t="n"/>
      <c r="U558" s="7" t="n"/>
      <c r="V558" s="7" t="n"/>
      <c r="Y558">
        <f>IF($D558="","",IF($AN558=1,0,IF($AM558=1,Settings!$C$6,Settings!$C$7))*100)</f>
        <v/>
      </c>
      <c r="Z558" s="7">
        <f>IF($D558="","",V558*Y558/100)</f>
        <v/>
      </c>
      <c r="AA558" s="7">
        <f>IF($D558="","",V558-Z558)</f>
        <v/>
      </c>
      <c r="AB558" s="7">
        <f>IF($D558="","",AA558-N558)</f>
        <v/>
      </c>
      <c r="AF558" s="7" t="n"/>
      <c r="AI558" s="11" t="n"/>
      <c r="AK558">
        <f>IF($D558="","",IF(COUNTIF($D$2:$D558,$D558)=1,1,0))</f>
        <v/>
      </c>
      <c r="AL558">
        <f>IF($AK558=1,SUMPRODUCT(--($AO$2:$AO$3001&lt;$AO558))+1,"")</f>
        <v/>
      </c>
      <c r="AM558">
        <f>IF($D558="","",IF(OR($R558=TRUE(),$R558="TRUE"),1,0))</f>
        <v/>
      </c>
      <c r="AN558">
        <f>IF($D558="","",IF($X558="Yes",1,0))</f>
        <v/>
      </c>
      <c r="AO558">
        <f>IF($AK558=1,IFERROR(IF(VALUE($D558)&lt;100000000,VALUE($D558),1000000000),IFERROR(IF(VALUE(MID($D558,2,20))&lt;100000000,VALUE(MID($D558,2,20)),1000000000),1000000000))+ROW()/100000,"")</f>
        <v/>
      </c>
    </row>
    <row r="559">
      <c r="F559" s="11" t="n"/>
      <c r="N559" s="7">
        <f>IF($D559="","",M559*V559/100)</f>
        <v/>
      </c>
      <c r="O559" s="7" t="n"/>
      <c r="U559" s="7" t="n"/>
      <c r="V559" s="7" t="n"/>
      <c r="Y559">
        <f>IF($D559="","",IF($AN559=1,0,IF($AM559=1,Settings!$C$6,Settings!$C$7))*100)</f>
        <v/>
      </c>
      <c r="Z559" s="7">
        <f>IF($D559="","",V559*Y559/100)</f>
        <v/>
      </c>
      <c r="AA559" s="7">
        <f>IF($D559="","",V559-Z559)</f>
        <v/>
      </c>
      <c r="AB559" s="7">
        <f>IF($D559="","",AA559-N559)</f>
        <v/>
      </c>
      <c r="AF559" s="7" t="n"/>
      <c r="AI559" s="11" t="n"/>
      <c r="AK559">
        <f>IF($D559="","",IF(COUNTIF($D$2:$D559,$D559)=1,1,0))</f>
        <v/>
      </c>
      <c r="AL559">
        <f>IF($AK559=1,SUMPRODUCT(--($AO$2:$AO$3001&lt;$AO559))+1,"")</f>
        <v/>
      </c>
      <c r="AM559">
        <f>IF($D559="","",IF(OR($R559=TRUE(),$R559="TRUE"),1,0))</f>
        <v/>
      </c>
      <c r="AN559">
        <f>IF($D559="","",IF($X559="Yes",1,0))</f>
        <v/>
      </c>
      <c r="AO559">
        <f>IF($AK559=1,IFERROR(IF(VALUE($D559)&lt;100000000,VALUE($D559),1000000000),IFERROR(IF(VALUE(MID($D559,2,20))&lt;100000000,VALUE(MID($D559,2,20)),1000000000),1000000000))+ROW()/100000,"")</f>
        <v/>
      </c>
    </row>
    <row r="560">
      <c r="F560" s="11" t="n"/>
      <c r="N560" s="7">
        <f>IF($D560="","",M560*V560/100)</f>
        <v/>
      </c>
      <c r="O560" s="7" t="n"/>
      <c r="U560" s="7" t="n"/>
      <c r="V560" s="7" t="n"/>
      <c r="Y560">
        <f>IF($D560="","",IF($AN560=1,0,IF($AM560=1,Settings!$C$6,Settings!$C$7))*100)</f>
        <v/>
      </c>
      <c r="Z560" s="7">
        <f>IF($D560="","",V560*Y560/100)</f>
        <v/>
      </c>
      <c r="AA560" s="7">
        <f>IF($D560="","",V560-Z560)</f>
        <v/>
      </c>
      <c r="AB560" s="7">
        <f>IF($D560="","",AA560-N560)</f>
        <v/>
      </c>
      <c r="AF560" s="7" t="n"/>
      <c r="AI560" s="11" t="n"/>
      <c r="AK560">
        <f>IF($D560="","",IF(COUNTIF($D$2:$D560,$D560)=1,1,0))</f>
        <v/>
      </c>
      <c r="AL560">
        <f>IF($AK560=1,SUMPRODUCT(--($AO$2:$AO$3001&lt;$AO560))+1,"")</f>
        <v/>
      </c>
      <c r="AM560">
        <f>IF($D560="","",IF(OR($R560=TRUE(),$R560="TRUE"),1,0))</f>
        <v/>
      </c>
      <c r="AN560">
        <f>IF($D560="","",IF($X560="Yes",1,0))</f>
        <v/>
      </c>
      <c r="AO560">
        <f>IF($AK560=1,IFERROR(IF(VALUE($D560)&lt;100000000,VALUE($D560),1000000000),IFERROR(IF(VALUE(MID($D560,2,20))&lt;100000000,VALUE(MID($D560,2,20)),1000000000),1000000000))+ROW()/100000,"")</f>
        <v/>
      </c>
    </row>
    <row r="561">
      <c r="F561" s="11" t="n"/>
      <c r="N561" s="7">
        <f>IF($D561="","",M561*V561/100)</f>
        <v/>
      </c>
      <c r="O561" s="7" t="n"/>
      <c r="U561" s="7" t="n"/>
      <c r="V561" s="7" t="n"/>
      <c r="Y561">
        <f>IF($D561="","",IF($AN561=1,0,IF($AM561=1,Settings!$C$6,Settings!$C$7))*100)</f>
        <v/>
      </c>
      <c r="Z561" s="7">
        <f>IF($D561="","",V561*Y561/100)</f>
        <v/>
      </c>
      <c r="AA561" s="7">
        <f>IF($D561="","",V561-Z561)</f>
        <v/>
      </c>
      <c r="AB561" s="7">
        <f>IF($D561="","",AA561-N561)</f>
        <v/>
      </c>
      <c r="AF561" s="7" t="n"/>
      <c r="AI561" s="11" t="n"/>
      <c r="AK561">
        <f>IF($D561="","",IF(COUNTIF($D$2:$D561,$D561)=1,1,0))</f>
        <v/>
      </c>
      <c r="AL561">
        <f>IF($AK561=1,SUMPRODUCT(--($AO$2:$AO$3001&lt;$AO561))+1,"")</f>
        <v/>
      </c>
      <c r="AM561">
        <f>IF($D561="","",IF(OR($R561=TRUE(),$R561="TRUE"),1,0))</f>
        <v/>
      </c>
      <c r="AN561">
        <f>IF($D561="","",IF($X561="Yes",1,0))</f>
        <v/>
      </c>
      <c r="AO561">
        <f>IF($AK561=1,IFERROR(IF(VALUE($D561)&lt;100000000,VALUE($D561),1000000000),IFERROR(IF(VALUE(MID($D561,2,20))&lt;100000000,VALUE(MID($D561,2,20)),1000000000),1000000000))+ROW()/100000,"")</f>
        <v/>
      </c>
    </row>
    <row r="562">
      <c r="F562" s="11" t="n"/>
      <c r="N562" s="7">
        <f>IF($D562="","",M562*V562/100)</f>
        <v/>
      </c>
      <c r="O562" s="7" t="n"/>
      <c r="U562" s="7" t="n"/>
      <c r="V562" s="7" t="n"/>
      <c r="Y562">
        <f>IF($D562="","",IF($AN562=1,0,IF($AM562=1,Settings!$C$6,Settings!$C$7))*100)</f>
        <v/>
      </c>
      <c r="Z562" s="7">
        <f>IF($D562="","",V562*Y562/100)</f>
        <v/>
      </c>
      <c r="AA562" s="7">
        <f>IF($D562="","",V562-Z562)</f>
        <v/>
      </c>
      <c r="AB562" s="7">
        <f>IF($D562="","",AA562-N562)</f>
        <v/>
      </c>
      <c r="AF562" s="7" t="n"/>
      <c r="AI562" s="11" t="n"/>
      <c r="AK562">
        <f>IF($D562="","",IF(COUNTIF($D$2:$D562,$D562)=1,1,0))</f>
        <v/>
      </c>
      <c r="AL562">
        <f>IF($AK562=1,SUMPRODUCT(--($AO$2:$AO$3001&lt;$AO562))+1,"")</f>
        <v/>
      </c>
      <c r="AM562">
        <f>IF($D562="","",IF(OR($R562=TRUE(),$R562="TRUE"),1,0))</f>
        <v/>
      </c>
      <c r="AN562">
        <f>IF($D562="","",IF($X562="Yes",1,0))</f>
        <v/>
      </c>
      <c r="AO562">
        <f>IF($AK562=1,IFERROR(IF(VALUE($D562)&lt;100000000,VALUE($D562),1000000000),IFERROR(IF(VALUE(MID($D562,2,20))&lt;100000000,VALUE(MID($D562,2,20)),1000000000),1000000000))+ROW()/100000,"")</f>
        <v/>
      </c>
    </row>
    <row r="563">
      <c r="F563" s="11" t="n"/>
      <c r="N563" s="7">
        <f>IF($D563="","",M563*V563/100)</f>
        <v/>
      </c>
      <c r="O563" s="7" t="n"/>
      <c r="U563" s="7" t="n"/>
      <c r="V563" s="7" t="n"/>
      <c r="Y563">
        <f>IF($D563="","",IF($AN563=1,0,IF($AM563=1,Settings!$C$6,Settings!$C$7))*100)</f>
        <v/>
      </c>
      <c r="Z563" s="7">
        <f>IF($D563="","",V563*Y563/100)</f>
        <v/>
      </c>
      <c r="AA563" s="7">
        <f>IF($D563="","",V563-Z563)</f>
        <v/>
      </c>
      <c r="AB563" s="7">
        <f>IF($D563="","",AA563-N563)</f>
        <v/>
      </c>
      <c r="AF563" s="7" t="n"/>
      <c r="AI563" s="11" t="n"/>
      <c r="AK563">
        <f>IF($D563="","",IF(COUNTIF($D$2:$D563,$D563)=1,1,0))</f>
        <v/>
      </c>
      <c r="AL563">
        <f>IF($AK563=1,SUMPRODUCT(--($AO$2:$AO$3001&lt;$AO563))+1,"")</f>
        <v/>
      </c>
      <c r="AM563">
        <f>IF($D563="","",IF(OR($R563=TRUE(),$R563="TRUE"),1,0))</f>
        <v/>
      </c>
      <c r="AN563">
        <f>IF($D563="","",IF($X563="Yes",1,0))</f>
        <v/>
      </c>
      <c r="AO563">
        <f>IF($AK563=1,IFERROR(IF(VALUE($D563)&lt;100000000,VALUE($D563),1000000000),IFERROR(IF(VALUE(MID($D563,2,20))&lt;100000000,VALUE(MID($D563,2,20)),1000000000),1000000000))+ROW()/100000,"")</f>
        <v/>
      </c>
    </row>
    <row r="564">
      <c r="F564" s="11" t="n"/>
      <c r="N564" s="7">
        <f>IF($D564="","",M564*V564/100)</f>
        <v/>
      </c>
      <c r="O564" s="7" t="n"/>
      <c r="U564" s="7" t="n"/>
      <c r="V564" s="7" t="n"/>
      <c r="Y564">
        <f>IF($D564="","",IF($AN564=1,0,IF($AM564=1,Settings!$C$6,Settings!$C$7))*100)</f>
        <v/>
      </c>
      <c r="Z564" s="7">
        <f>IF($D564="","",V564*Y564/100)</f>
        <v/>
      </c>
      <c r="AA564" s="7">
        <f>IF($D564="","",V564-Z564)</f>
        <v/>
      </c>
      <c r="AB564" s="7">
        <f>IF($D564="","",AA564-N564)</f>
        <v/>
      </c>
      <c r="AF564" s="7" t="n"/>
      <c r="AI564" s="11" t="n"/>
      <c r="AK564">
        <f>IF($D564="","",IF(COUNTIF($D$2:$D564,$D564)=1,1,0))</f>
        <v/>
      </c>
      <c r="AL564">
        <f>IF($AK564=1,SUMPRODUCT(--($AO$2:$AO$3001&lt;$AO564))+1,"")</f>
        <v/>
      </c>
      <c r="AM564">
        <f>IF($D564="","",IF(OR($R564=TRUE(),$R564="TRUE"),1,0))</f>
        <v/>
      </c>
      <c r="AN564">
        <f>IF($D564="","",IF($X564="Yes",1,0))</f>
        <v/>
      </c>
      <c r="AO564">
        <f>IF($AK564=1,IFERROR(IF(VALUE($D564)&lt;100000000,VALUE($D564),1000000000),IFERROR(IF(VALUE(MID($D564,2,20))&lt;100000000,VALUE(MID($D564,2,20)),1000000000),1000000000))+ROW()/100000,"")</f>
        <v/>
      </c>
    </row>
    <row r="565">
      <c r="F565" s="11" t="n"/>
      <c r="N565" s="7">
        <f>IF($D565="","",M565*V565/100)</f>
        <v/>
      </c>
      <c r="O565" s="7" t="n"/>
      <c r="U565" s="7" t="n"/>
      <c r="V565" s="7" t="n"/>
      <c r="Y565">
        <f>IF($D565="","",IF($AN565=1,0,IF($AM565=1,Settings!$C$6,Settings!$C$7))*100)</f>
        <v/>
      </c>
      <c r="Z565" s="7">
        <f>IF($D565="","",V565*Y565/100)</f>
        <v/>
      </c>
      <c r="AA565" s="7">
        <f>IF($D565="","",V565-Z565)</f>
        <v/>
      </c>
      <c r="AB565" s="7">
        <f>IF($D565="","",AA565-N565)</f>
        <v/>
      </c>
      <c r="AF565" s="7" t="n"/>
      <c r="AI565" s="11" t="n"/>
      <c r="AK565">
        <f>IF($D565="","",IF(COUNTIF($D$2:$D565,$D565)=1,1,0))</f>
        <v/>
      </c>
      <c r="AL565">
        <f>IF($AK565=1,SUMPRODUCT(--($AO$2:$AO$3001&lt;$AO565))+1,"")</f>
        <v/>
      </c>
      <c r="AM565">
        <f>IF($D565="","",IF(OR($R565=TRUE(),$R565="TRUE"),1,0))</f>
        <v/>
      </c>
      <c r="AN565">
        <f>IF($D565="","",IF($X565="Yes",1,0))</f>
        <v/>
      </c>
      <c r="AO565">
        <f>IF($AK565=1,IFERROR(IF(VALUE($D565)&lt;100000000,VALUE($D565),1000000000),IFERROR(IF(VALUE(MID($D565,2,20))&lt;100000000,VALUE(MID($D565,2,20)),1000000000),1000000000))+ROW()/100000,"")</f>
        <v/>
      </c>
    </row>
    <row r="566">
      <c r="F566" s="11" t="n"/>
      <c r="N566" s="7">
        <f>IF($D566="","",M566*V566/100)</f>
        <v/>
      </c>
      <c r="O566" s="7" t="n"/>
      <c r="U566" s="7" t="n"/>
      <c r="V566" s="7" t="n"/>
      <c r="Y566">
        <f>IF($D566="","",IF($AN566=1,0,IF($AM566=1,Settings!$C$6,Settings!$C$7))*100)</f>
        <v/>
      </c>
      <c r="Z566" s="7">
        <f>IF($D566="","",V566*Y566/100)</f>
        <v/>
      </c>
      <c r="AA566" s="7">
        <f>IF($D566="","",V566-Z566)</f>
        <v/>
      </c>
      <c r="AB566" s="7">
        <f>IF($D566="","",AA566-N566)</f>
        <v/>
      </c>
      <c r="AF566" s="7" t="n"/>
      <c r="AI566" s="11" t="n"/>
      <c r="AK566">
        <f>IF($D566="","",IF(COUNTIF($D$2:$D566,$D566)=1,1,0))</f>
        <v/>
      </c>
      <c r="AL566">
        <f>IF($AK566=1,SUMPRODUCT(--($AO$2:$AO$3001&lt;$AO566))+1,"")</f>
        <v/>
      </c>
      <c r="AM566">
        <f>IF($D566="","",IF(OR($R566=TRUE(),$R566="TRUE"),1,0))</f>
        <v/>
      </c>
      <c r="AN566">
        <f>IF($D566="","",IF($X566="Yes",1,0))</f>
        <v/>
      </c>
      <c r="AO566">
        <f>IF($AK566=1,IFERROR(IF(VALUE($D566)&lt;100000000,VALUE($D566),1000000000),IFERROR(IF(VALUE(MID($D566,2,20))&lt;100000000,VALUE(MID($D566,2,20)),1000000000),1000000000))+ROW()/100000,"")</f>
        <v/>
      </c>
    </row>
    <row r="567">
      <c r="F567" s="11" t="n"/>
      <c r="N567" s="7">
        <f>IF($D567="","",M567*V567/100)</f>
        <v/>
      </c>
      <c r="O567" s="7" t="n"/>
      <c r="U567" s="7" t="n"/>
      <c r="V567" s="7" t="n"/>
      <c r="Y567">
        <f>IF($D567="","",IF($AN567=1,0,IF($AM567=1,Settings!$C$6,Settings!$C$7))*100)</f>
        <v/>
      </c>
      <c r="Z567" s="7">
        <f>IF($D567="","",V567*Y567/100)</f>
        <v/>
      </c>
      <c r="AA567" s="7">
        <f>IF($D567="","",V567-Z567)</f>
        <v/>
      </c>
      <c r="AB567" s="7">
        <f>IF($D567="","",AA567-N567)</f>
        <v/>
      </c>
      <c r="AF567" s="7" t="n"/>
      <c r="AI567" s="11" t="n"/>
      <c r="AK567">
        <f>IF($D567="","",IF(COUNTIF($D$2:$D567,$D567)=1,1,0))</f>
        <v/>
      </c>
      <c r="AL567">
        <f>IF($AK567=1,SUMPRODUCT(--($AO$2:$AO$3001&lt;$AO567))+1,"")</f>
        <v/>
      </c>
      <c r="AM567">
        <f>IF($D567="","",IF(OR($R567=TRUE(),$R567="TRUE"),1,0))</f>
        <v/>
      </c>
      <c r="AN567">
        <f>IF($D567="","",IF($X567="Yes",1,0))</f>
        <v/>
      </c>
      <c r="AO567">
        <f>IF($AK567=1,IFERROR(IF(VALUE($D567)&lt;100000000,VALUE($D567),1000000000),IFERROR(IF(VALUE(MID($D567,2,20))&lt;100000000,VALUE(MID($D567,2,20)),1000000000),1000000000))+ROW()/100000,"")</f>
        <v/>
      </c>
    </row>
    <row r="568">
      <c r="F568" s="11" t="n"/>
      <c r="N568" s="7">
        <f>IF($D568="","",M568*V568/100)</f>
        <v/>
      </c>
      <c r="O568" s="7" t="n"/>
      <c r="U568" s="7" t="n"/>
      <c r="V568" s="7" t="n"/>
      <c r="Y568">
        <f>IF($D568="","",IF($AN568=1,0,IF($AM568=1,Settings!$C$6,Settings!$C$7))*100)</f>
        <v/>
      </c>
      <c r="Z568" s="7">
        <f>IF($D568="","",V568*Y568/100)</f>
        <v/>
      </c>
      <c r="AA568" s="7">
        <f>IF($D568="","",V568-Z568)</f>
        <v/>
      </c>
      <c r="AB568" s="7">
        <f>IF($D568="","",AA568-N568)</f>
        <v/>
      </c>
      <c r="AF568" s="7" t="n"/>
      <c r="AI568" s="11" t="n"/>
      <c r="AK568">
        <f>IF($D568="","",IF(COUNTIF($D$2:$D568,$D568)=1,1,0))</f>
        <v/>
      </c>
      <c r="AL568">
        <f>IF($AK568=1,SUMPRODUCT(--($AO$2:$AO$3001&lt;$AO568))+1,"")</f>
        <v/>
      </c>
      <c r="AM568">
        <f>IF($D568="","",IF(OR($R568=TRUE(),$R568="TRUE"),1,0))</f>
        <v/>
      </c>
      <c r="AN568">
        <f>IF($D568="","",IF($X568="Yes",1,0))</f>
        <v/>
      </c>
      <c r="AO568">
        <f>IF($AK568=1,IFERROR(IF(VALUE($D568)&lt;100000000,VALUE($D568),1000000000),IFERROR(IF(VALUE(MID($D568,2,20))&lt;100000000,VALUE(MID($D568,2,20)),1000000000),1000000000))+ROW()/100000,"")</f>
        <v/>
      </c>
    </row>
    <row r="569">
      <c r="F569" s="11" t="n"/>
      <c r="N569" s="7">
        <f>IF($D569="","",M569*V569/100)</f>
        <v/>
      </c>
      <c r="O569" s="7" t="n"/>
      <c r="U569" s="7" t="n"/>
      <c r="V569" s="7" t="n"/>
      <c r="Y569">
        <f>IF($D569="","",IF($AN569=1,0,IF($AM569=1,Settings!$C$6,Settings!$C$7))*100)</f>
        <v/>
      </c>
      <c r="Z569" s="7">
        <f>IF($D569="","",V569*Y569/100)</f>
        <v/>
      </c>
      <c r="AA569" s="7">
        <f>IF($D569="","",V569-Z569)</f>
        <v/>
      </c>
      <c r="AB569" s="7">
        <f>IF($D569="","",AA569-N569)</f>
        <v/>
      </c>
      <c r="AF569" s="7" t="n"/>
      <c r="AI569" s="11" t="n"/>
      <c r="AK569">
        <f>IF($D569="","",IF(COUNTIF($D$2:$D569,$D569)=1,1,0))</f>
        <v/>
      </c>
      <c r="AL569">
        <f>IF($AK569=1,SUMPRODUCT(--($AO$2:$AO$3001&lt;$AO569))+1,"")</f>
        <v/>
      </c>
      <c r="AM569">
        <f>IF($D569="","",IF(OR($R569=TRUE(),$R569="TRUE"),1,0))</f>
        <v/>
      </c>
      <c r="AN569">
        <f>IF($D569="","",IF($X569="Yes",1,0))</f>
        <v/>
      </c>
      <c r="AO569">
        <f>IF($AK569=1,IFERROR(IF(VALUE($D569)&lt;100000000,VALUE($D569),1000000000),IFERROR(IF(VALUE(MID($D569,2,20))&lt;100000000,VALUE(MID($D569,2,20)),1000000000),1000000000))+ROW()/100000,"")</f>
        <v/>
      </c>
    </row>
    <row r="570">
      <c r="F570" s="11" t="n"/>
      <c r="N570" s="7">
        <f>IF($D570="","",M570*V570/100)</f>
        <v/>
      </c>
      <c r="O570" s="7" t="n"/>
      <c r="U570" s="7" t="n"/>
      <c r="V570" s="7" t="n"/>
      <c r="Y570">
        <f>IF($D570="","",IF($AN570=1,0,IF($AM570=1,Settings!$C$6,Settings!$C$7))*100)</f>
        <v/>
      </c>
      <c r="Z570" s="7">
        <f>IF($D570="","",V570*Y570/100)</f>
        <v/>
      </c>
      <c r="AA570" s="7">
        <f>IF($D570="","",V570-Z570)</f>
        <v/>
      </c>
      <c r="AB570" s="7">
        <f>IF($D570="","",AA570-N570)</f>
        <v/>
      </c>
      <c r="AF570" s="7" t="n"/>
      <c r="AI570" s="11" t="n"/>
      <c r="AK570">
        <f>IF($D570="","",IF(COUNTIF($D$2:$D570,$D570)=1,1,0))</f>
        <v/>
      </c>
      <c r="AL570">
        <f>IF($AK570=1,SUMPRODUCT(--($AO$2:$AO$3001&lt;$AO570))+1,"")</f>
        <v/>
      </c>
      <c r="AM570">
        <f>IF($D570="","",IF(OR($R570=TRUE(),$R570="TRUE"),1,0))</f>
        <v/>
      </c>
      <c r="AN570">
        <f>IF($D570="","",IF($X570="Yes",1,0))</f>
        <v/>
      </c>
      <c r="AO570">
        <f>IF($AK570=1,IFERROR(IF(VALUE($D570)&lt;100000000,VALUE($D570),1000000000),IFERROR(IF(VALUE(MID($D570,2,20))&lt;100000000,VALUE(MID($D570,2,20)),1000000000),1000000000))+ROW()/100000,"")</f>
        <v/>
      </c>
    </row>
    <row r="571">
      <c r="F571" s="11" t="n"/>
      <c r="N571" s="7">
        <f>IF($D571="","",M571*V571/100)</f>
        <v/>
      </c>
      <c r="O571" s="7" t="n"/>
      <c r="U571" s="7" t="n"/>
      <c r="V571" s="7" t="n"/>
      <c r="Y571">
        <f>IF($D571="","",IF($AN571=1,0,IF($AM571=1,Settings!$C$6,Settings!$C$7))*100)</f>
        <v/>
      </c>
      <c r="Z571" s="7">
        <f>IF($D571="","",V571*Y571/100)</f>
        <v/>
      </c>
      <c r="AA571" s="7">
        <f>IF($D571="","",V571-Z571)</f>
        <v/>
      </c>
      <c r="AB571" s="7">
        <f>IF($D571="","",AA571-N571)</f>
        <v/>
      </c>
      <c r="AF571" s="7" t="n"/>
      <c r="AI571" s="11" t="n"/>
      <c r="AK571">
        <f>IF($D571="","",IF(COUNTIF($D$2:$D571,$D571)=1,1,0))</f>
        <v/>
      </c>
      <c r="AL571">
        <f>IF($AK571=1,SUMPRODUCT(--($AO$2:$AO$3001&lt;$AO571))+1,"")</f>
        <v/>
      </c>
      <c r="AM571">
        <f>IF($D571="","",IF(OR($R571=TRUE(),$R571="TRUE"),1,0))</f>
        <v/>
      </c>
      <c r="AN571">
        <f>IF($D571="","",IF($X571="Yes",1,0))</f>
        <v/>
      </c>
      <c r="AO571">
        <f>IF($AK571=1,IFERROR(IF(VALUE($D571)&lt;100000000,VALUE($D571),1000000000),IFERROR(IF(VALUE(MID($D571,2,20))&lt;100000000,VALUE(MID($D571,2,20)),1000000000),1000000000))+ROW()/100000,"")</f>
        <v/>
      </c>
    </row>
    <row r="572">
      <c r="F572" s="11" t="n"/>
      <c r="N572" s="7">
        <f>IF($D572="","",M572*V572/100)</f>
        <v/>
      </c>
      <c r="O572" s="7" t="n"/>
      <c r="U572" s="7" t="n"/>
      <c r="V572" s="7" t="n"/>
      <c r="Y572">
        <f>IF($D572="","",IF($AN572=1,0,IF($AM572=1,Settings!$C$6,Settings!$C$7))*100)</f>
        <v/>
      </c>
      <c r="Z572" s="7">
        <f>IF($D572="","",V572*Y572/100)</f>
        <v/>
      </c>
      <c r="AA572" s="7">
        <f>IF($D572="","",V572-Z572)</f>
        <v/>
      </c>
      <c r="AB572" s="7">
        <f>IF($D572="","",AA572-N572)</f>
        <v/>
      </c>
      <c r="AF572" s="7" t="n"/>
      <c r="AI572" s="11" t="n"/>
      <c r="AK572">
        <f>IF($D572="","",IF(COUNTIF($D$2:$D572,$D572)=1,1,0))</f>
        <v/>
      </c>
      <c r="AL572">
        <f>IF($AK572=1,SUMPRODUCT(--($AO$2:$AO$3001&lt;$AO572))+1,"")</f>
        <v/>
      </c>
      <c r="AM572">
        <f>IF($D572="","",IF(OR($R572=TRUE(),$R572="TRUE"),1,0))</f>
        <v/>
      </c>
      <c r="AN572">
        <f>IF($D572="","",IF($X572="Yes",1,0))</f>
        <v/>
      </c>
      <c r="AO572">
        <f>IF($AK572=1,IFERROR(IF(VALUE($D572)&lt;100000000,VALUE($D572),1000000000),IFERROR(IF(VALUE(MID($D572,2,20))&lt;100000000,VALUE(MID($D572,2,20)),1000000000),1000000000))+ROW()/100000,"")</f>
        <v/>
      </c>
    </row>
    <row r="573">
      <c r="F573" s="11" t="n"/>
      <c r="N573" s="7">
        <f>IF($D573="","",M573*V573/100)</f>
        <v/>
      </c>
      <c r="O573" s="7" t="n"/>
      <c r="U573" s="7" t="n"/>
      <c r="V573" s="7" t="n"/>
      <c r="Y573">
        <f>IF($D573="","",IF($AN573=1,0,IF($AM573=1,Settings!$C$6,Settings!$C$7))*100)</f>
        <v/>
      </c>
      <c r="Z573" s="7">
        <f>IF($D573="","",V573*Y573/100)</f>
        <v/>
      </c>
      <c r="AA573" s="7">
        <f>IF($D573="","",V573-Z573)</f>
        <v/>
      </c>
      <c r="AB573" s="7">
        <f>IF($D573="","",AA573-N573)</f>
        <v/>
      </c>
      <c r="AF573" s="7" t="n"/>
      <c r="AI573" s="11" t="n"/>
      <c r="AK573">
        <f>IF($D573="","",IF(COUNTIF($D$2:$D573,$D573)=1,1,0))</f>
        <v/>
      </c>
      <c r="AL573">
        <f>IF($AK573=1,SUMPRODUCT(--($AO$2:$AO$3001&lt;$AO573))+1,"")</f>
        <v/>
      </c>
      <c r="AM573">
        <f>IF($D573="","",IF(OR($R573=TRUE(),$R573="TRUE"),1,0))</f>
        <v/>
      </c>
      <c r="AN573">
        <f>IF($D573="","",IF($X573="Yes",1,0))</f>
        <v/>
      </c>
      <c r="AO573">
        <f>IF($AK573=1,IFERROR(IF(VALUE($D573)&lt;100000000,VALUE($D573),1000000000),IFERROR(IF(VALUE(MID($D573,2,20))&lt;100000000,VALUE(MID($D573,2,20)),1000000000),1000000000))+ROW()/100000,"")</f>
        <v/>
      </c>
    </row>
    <row r="574">
      <c r="F574" s="11" t="n"/>
      <c r="N574" s="7">
        <f>IF($D574="","",M574*V574/100)</f>
        <v/>
      </c>
      <c r="O574" s="7" t="n"/>
      <c r="U574" s="7" t="n"/>
      <c r="V574" s="7" t="n"/>
      <c r="Y574">
        <f>IF($D574="","",IF($AN574=1,0,IF($AM574=1,Settings!$C$6,Settings!$C$7))*100)</f>
        <v/>
      </c>
      <c r="Z574" s="7">
        <f>IF($D574="","",V574*Y574/100)</f>
        <v/>
      </c>
      <c r="AA574" s="7">
        <f>IF($D574="","",V574-Z574)</f>
        <v/>
      </c>
      <c r="AB574" s="7">
        <f>IF($D574="","",AA574-N574)</f>
        <v/>
      </c>
      <c r="AF574" s="7" t="n"/>
      <c r="AI574" s="11" t="n"/>
      <c r="AK574">
        <f>IF($D574="","",IF(COUNTIF($D$2:$D574,$D574)=1,1,0))</f>
        <v/>
      </c>
      <c r="AL574">
        <f>IF($AK574=1,SUMPRODUCT(--($AO$2:$AO$3001&lt;$AO574))+1,"")</f>
        <v/>
      </c>
      <c r="AM574">
        <f>IF($D574="","",IF(OR($R574=TRUE(),$R574="TRUE"),1,0))</f>
        <v/>
      </c>
      <c r="AN574">
        <f>IF($D574="","",IF($X574="Yes",1,0))</f>
        <v/>
      </c>
      <c r="AO574">
        <f>IF($AK574=1,IFERROR(IF(VALUE($D574)&lt;100000000,VALUE($D574),1000000000),IFERROR(IF(VALUE(MID($D574,2,20))&lt;100000000,VALUE(MID($D574,2,20)),1000000000),1000000000))+ROW()/100000,"")</f>
        <v/>
      </c>
    </row>
    <row r="575">
      <c r="F575" s="11" t="n"/>
      <c r="N575" s="7">
        <f>IF($D575="","",M575*V575/100)</f>
        <v/>
      </c>
      <c r="O575" s="7" t="n"/>
      <c r="U575" s="7" t="n"/>
      <c r="V575" s="7" t="n"/>
      <c r="Y575">
        <f>IF($D575="","",IF($AN575=1,0,IF($AM575=1,Settings!$C$6,Settings!$C$7))*100)</f>
        <v/>
      </c>
      <c r="Z575" s="7">
        <f>IF($D575="","",V575*Y575/100)</f>
        <v/>
      </c>
      <c r="AA575" s="7">
        <f>IF($D575="","",V575-Z575)</f>
        <v/>
      </c>
      <c r="AB575" s="7">
        <f>IF($D575="","",AA575-N575)</f>
        <v/>
      </c>
      <c r="AF575" s="7" t="n"/>
      <c r="AI575" s="11" t="n"/>
      <c r="AK575">
        <f>IF($D575="","",IF(COUNTIF($D$2:$D575,$D575)=1,1,0))</f>
        <v/>
      </c>
      <c r="AL575">
        <f>IF($AK575=1,SUMPRODUCT(--($AO$2:$AO$3001&lt;$AO575))+1,"")</f>
        <v/>
      </c>
      <c r="AM575">
        <f>IF($D575="","",IF(OR($R575=TRUE(),$R575="TRUE"),1,0))</f>
        <v/>
      </c>
      <c r="AN575">
        <f>IF($D575="","",IF($X575="Yes",1,0))</f>
        <v/>
      </c>
      <c r="AO575">
        <f>IF($AK575=1,IFERROR(IF(VALUE($D575)&lt;100000000,VALUE($D575),1000000000),IFERROR(IF(VALUE(MID($D575,2,20))&lt;100000000,VALUE(MID($D575,2,20)),1000000000),1000000000))+ROW()/100000,"")</f>
        <v/>
      </c>
    </row>
    <row r="576">
      <c r="F576" s="11" t="n"/>
      <c r="N576" s="7">
        <f>IF($D576="","",M576*V576/100)</f>
        <v/>
      </c>
      <c r="O576" s="7" t="n"/>
      <c r="U576" s="7" t="n"/>
      <c r="V576" s="7" t="n"/>
      <c r="Y576">
        <f>IF($D576="","",IF($AN576=1,0,IF($AM576=1,Settings!$C$6,Settings!$C$7))*100)</f>
        <v/>
      </c>
      <c r="Z576" s="7">
        <f>IF($D576="","",V576*Y576/100)</f>
        <v/>
      </c>
      <c r="AA576" s="7">
        <f>IF($D576="","",V576-Z576)</f>
        <v/>
      </c>
      <c r="AB576" s="7">
        <f>IF($D576="","",AA576-N576)</f>
        <v/>
      </c>
      <c r="AF576" s="7" t="n"/>
      <c r="AI576" s="11" t="n"/>
      <c r="AK576">
        <f>IF($D576="","",IF(COUNTIF($D$2:$D576,$D576)=1,1,0))</f>
        <v/>
      </c>
      <c r="AL576">
        <f>IF($AK576=1,SUMPRODUCT(--($AO$2:$AO$3001&lt;$AO576))+1,"")</f>
        <v/>
      </c>
      <c r="AM576">
        <f>IF($D576="","",IF(OR($R576=TRUE(),$R576="TRUE"),1,0))</f>
        <v/>
      </c>
      <c r="AN576">
        <f>IF($D576="","",IF($X576="Yes",1,0))</f>
        <v/>
      </c>
      <c r="AO576">
        <f>IF($AK576=1,IFERROR(IF(VALUE($D576)&lt;100000000,VALUE($D576),1000000000),IFERROR(IF(VALUE(MID($D576,2,20))&lt;100000000,VALUE(MID($D576,2,20)),1000000000),1000000000))+ROW()/100000,"")</f>
        <v/>
      </c>
    </row>
    <row r="577">
      <c r="F577" s="11" t="n"/>
      <c r="N577" s="7">
        <f>IF($D577="","",M577*V577/100)</f>
        <v/>
      </c>
      <c r="O577" s="7" t="n"/>
      <c r="U577" s="7" t="n"/>
      <c r="V577" s="7" t="n"/>
      <c r="Y577">
        <f>IF($D577="","",IF($AN577=1,0,IF($AM577=1,Settings!$C$6,Settings!$C$7))*100)</f>
        <v/>
      </c>
      <c r="Z577" s="7">
        <f>IF($D577="","",V577*Y577/100)</f>
        <v/>
      </c>
      <c r="AA577" s="7">
        <f>IF($D577="","",V577-Z577)</f>
        <v/>
      </c>
      <c r="AB577" s="7">
        <f>IF($D577="","",AA577-N577)</f>
        <v/>
      </c>
      <c r="AF577" s="7" t="n"/>
      <c r="AI577" s="11" t="n"/>
      <c r="AK577">
        <f>IF($D577="","",IF(COUNTIF($D$2:$D577,$D577)=1,1,0))</f>
        <v/>
      </c>
      <c r="AL577">
        <f>IF($AK577=1,SUMPRODUCT(--($AO$2:$AO$3001&lt;$AO577))+1,"")</f>
        <v/>
      </c>
      <c r="AM577">
        <f>IF($D577="","",IF(OR($R577=TRUE(),$R577="TRUE"),1,0))</f>
        <v/>
      </c>
      <c r="AN577">
        <f>IF($D577="","",IF($X577="Yes",1,0))</f>
        <v/>
      </c>
      <c r="AO577">
        <f>IF($AK577=1,IFERROR(IF(VALUE($D577)&lt;100000000,VALUE($D577),1000000000),IFERROR(IF(VALUE(MID($D577,2,20))&lt;100000000,VALUE(MID($D577,2,20)),1000000000),1000000000))+ROW()/100000,"")</f>
        <v/>
      </c>
    </row>
    <row r="578">
      <c r="F578" s="11" t="n"/>
      <c r="N578" s="7">
        <f>IF($D578="","",M578*V578/100)</f>
        <v/>
      </c>
      <c r="O578" s="7" t="n"/>
      <c r="U578" s="7" t="n"/>
      <c r="V578" s="7" t="n"/>
      <c r="Y578">
        <f>IF($D578="","",IF($AN578=1,0,IF($AM578=1,Settings!$C$6,Settings!$C$7))*100)</f>
        <v/>
      </c>
      <c r="Z578" s="7">
        <f>IF($D578="","",V578*Y578/100)</f>
        <v/>
      </c>
      <c r="AA578" s="7">
        <f>IF($D578="","",V578-Z578)</f>
        <v/>
      </c>
      <c r="AB578" s="7">
        <f>IF($D578="","",AA578-N578)</f>
        <v/>
      </c>
      <c r="AF578" s="7" t="n"/>
      <c r="AI578" s="11" t="n"/>
      <c r="AK578">
        <f>IF($D578="","",IF(COUNTIF($D$2:$D578,$D578)=1,1,0))</f>
        <v/>
      </c>
      <c r="AL578">
        <f>IF($AK578=1,SUMPRODUCT(--($AO$2:$AO$3001&lt;$AO578))+1,"")</f>
        <v/>
      </c>
      <c r="AM578">
        <f>IF($D578="","",IF(OR($R578=TRUE(),$R578="TRUE"),1,0))</f>
        <v/>
      </c>
      <c r="AN578">
        <f>IF($D578="","",IF($X578="Yes",1,0))</f>
        <v/>
      </c>
      <c r="AO578">
        <f>IF($AK578=1,IFERROR(IF(VALUE($D578)&lt;100000000,VALUE($D578),1000000000),IFERROR(IF(VALUE(MID($D578,2,20))&lt;100000000,VALUE(MID($D578,2,20)),1000000000),1000000000))+ROW()/100000,"")</f>
        <v/>
      </c>
    </row>
    <row r="579">
      <c r="F579" s="11" t="n"/>
      <c r="N579" s="7">
        <f>IF($D579="","",M579*V579/100)</f>
        <v/>
      </c>
      <c r="O579" s="7" t="n"/>
      <c r="U579" s="7" t="n"/>
      <c r="V579" s="7" t="n"/>
      <c r="Y579">
        <f>IF($D579="","",IF($AN579=1,0,IF($AM579=1,Settings!$C$6,Settings!$C$7))*100)</f>
        <v/>
      </c>
      <c r="Z579" s="7">
        <f>IF($D579="","",V579*Y579/100)</f>
        <v/>
      </c>
      <c r="AA579" s="7">
        <f>IF($D579="","",V579-Z579)</f>
        <v/>
      </c>
      <c r="AB579" s="7">
        <f>IF($D579="","",AA579-N579)</f>
        <v/>
      </c>
      <c r="AF579" s="7" t="n"/>
      <c r="AI579" s="11" t="n"/>
      <c r="AK579">
        <f>IF($D579="","",IF(COUNTIF($D$2:$D579,$D579)=1,1,0))</f>
        <v/>
      </c>
      <c r="AL579">
        <f>IF($AK579=1,SUMPRODUCT(--($AO$2:$AO$3001&lt;$AO579))+1,"")</f>
        <v/>
      </c>
      <c r="AM579">
        <f>IF($D579="","",IF(OR($R579=TRUE(),$R579="TRUE"),1,0))</f>
        <v/>
      </c>
      <c r="AN579">
        <f>IF($D579="","",IF($X579="Yes",1,0))</f>
        <v/>
      </c>
      <c r="AO579">
        <f>IF($AK579=1,IFERROR(IF(VALUE($D579)&lt;100000000,VALUE($D579),1000000000),IFERROR(IF(VALUE(MID($D579,2,20))&lt;100000000,VALUE(MID($D579,2,20)),1000000000),1000000000))+ROW()/100000,"")</f>
        <v/>
      </c>
    </row>
    <row r="580">
      <c r="F580" s="11" t="n"/>
      <c r="N580" s="7">
        <f>IF($D580="","",M580*V580/100)</f>
        <v/>
      </c>
      <c r="O580" s="7" t="n"/>
      <c r="U580" s="7" t="n"/>
      <c r="V580" s="7" t="n"/>
      <c r="Y580">
        <f>IF($D580="","",IF($AN580=1,0,IF($AM580=1,Settings!$C$6,Settings!$C$7))*100)</f>
        <v/>
      </c>
      <c r="Z580" s="7">
        <f>IF($D580="","",V580*Y580/100)</f>
        <v/>
      </c>
      <c r="AA580" s="7">
        <f>IF($D580="","",V580-Z580)</f>
        <v/>
      </c>
      <c r="AB580" s="7">
        <f>IF($D580="","",AA580-N580)</f>
        <v/>
      </c>
      <c r="AF580" s="7" t="n"/>
      <c r="AI580" s="11" t="n"/>
      <c r="AK580">
        <f>IF($D580="","",IF(COUNTIF($D$2:$D580,$D580)=1,1,0))</f>
        <v/>
      </c>
      <c r="AL580">
        <f>IF($AK580=1,SUMPRODUCT(--($AO$2:$AO$3001&lt;$AO580))+1,"")</f>
        <v/>
      </c>
      <c r="AM580">
        <f>IF($D580="","",IF(OR($R580=TRUE(),$R580="TRUE"),1,0))</f>
        <v/>
      </c>
      <c r="AN580">
        <f>IF($D580="","",IF($X580="Yes",1,0))</f>
        <v/>
      </c>
      <c r="AO580">
        <f>IF($AK580=1,IFERROR(IF(VALUE($D580)&lt;100000000,VALUE($D580),1000000000),IFERROR(IF(VALUE(MID($D580,2,20))&lt;100000000,VALUE(MID($D580,2,20)),1000000000),1000000000))+ROW()/100000,"")</f>
        <v/>
      </c>
    </row>
    <row r="581">
      <c r="F581" s="11" t="n"/>
      <c r="N581" s="7">
        <f>IF($D581="","",M581*V581/100)</f>
        <v/>
      </c>
      <c r="O581" s="7" t="n"/>
      <c r="U581" s="7" t="n"/>
      <c r="V581" s="7" t="n"/>
      <c r="Y581">
        <f>IF($D581="","",IF($AN581=1,0,IF($AM581=1,Settings!$C$6,Settings!$C$7))*100)</f>
        <v/>
      </c>
      <c r="Z581" s="7">
        <f>IF($D581="","",V581*Y581/100)</f>
        <v/>
      </c>
      <c r="AA581" s="7">
        <f>IF($D581="","",V581-Z581)</f>
        <v/>
      </c>
      <c r="AB581" s="7">
        <f>IF($D581="","",AA581-N581)</f>
        <v/>
      </c>
      <c r="AF581" s="7" t="n"/>
      <c r="AI581" s="11" t="n"/>
      <c r="AK581">
        <f>IF($D581="","",IF(COUNTIF($D$2:$D581,$D581)=1,1,0))</f>
        <v/>
      </c>
      <c r="AL581">
        <f>IF($AK581=1,SUMPRODUCT(--($AO$2:$AO$3001&lt;$AO581))+1,"")</f>
        <v/>
      </c>
      <c r="AM581">
        <f>IF($D581="","",IF(OR($R581=TRUE(),$R581="TRUE"),1,0))</f>
        <v/>
      </c>
      <c r="AN581">
        <f>IF($D581="","",IF($X581="Yes",1,0))</f>
        <v/>
      </c>
      <c r="AO581">
        <f>IF($AK581=1,IFERROR(IF(VALUE($D581)&lt;100000000,VALUE($D581),1000000000),IFERROR(IF(VALUE(MID($D581,2,20))&lt;100000000,VALUE(MID($D581,2,20)),1000000000),1000000000))+ROW()/100000,"")</f>
        <v/>
      </c>
    </row>
    <row r="582">
      <c r="F582" s="11" t="n"/>
      <c r="N582" s="7">
        <f>IF($D582="","",M582*V582/100)</f>
        <v/>
      </c>
      <c r="O582" s="7" t="n"/>
      <c r="U582" s="7" t="n"/>
      <c r="V582" s="7" t="n"/>
      <c r="Y582">
        <f>IF($D582="","",IF($AN582=1,0,IF($AM582=1,Settings!$C$6,Settings!$C$7))*100)</f>
        <v/>
      </c>
      <c r="Z582" s="7">
        <f>IF($D582="","",V582*Y582/100)</f>
        <v/>
      </c>
      <c r="AA582" s="7">
        <f>IF($D582="","",V582-Z582)</f>
        <v/>
      </c>
      <c r="AB582" s="7">
        <f>IF($D582="","",AA582-N582)</f>
        <v/>
      </c>
      <c r="AF582" s="7" t="n"/>
      <c r="AI582" s="11" t="n"/>
      <c r="AK582">
        <f>IF($D582="","",IF(COUNTIF($D$2:$D582,$D582)=1,1,0))</f>
        <v/>
      </c>
      <c r="AL582">
        <f>IF($AK582=1,SUMPRODUCT(--($AO$2:$AO$3001&lt;$AO582))+1,"")</f>
        <v/>
      </c>
      <c r="AM582">
        <f>IF($D582="","",IF(OR($R582=TRUE(),$R582="TRUE"),1,0))</f>
        <v/>
      </c>
      <c r="AN582">
        <f>IF($D582="","",IF($X582="Yes",1,0))</f>
        <v/>
      </c>
      <c r="AO582">
        <f>IF($AK582=1,IFERROR(IF(VALUE($D582)&lt;100000000,VALUE($D582),1000000000),IFERROR(IF(VALUE(MID($D582,2,20))&lt;100000000,VALUE(MID($D582,2,20)),1000000000),1000000000))+ROW()/100000,"")</f>
        <v/>
      </c>
    </row>
    <row r="583">
      <c r="F583" s="11" t="n"/>
      <c r="N583" s="7">
        <f>IF($D583="","",M583*V583/100)</f>
        <v/>
      </c>
      <c r="O583" s="7" t="n"/>
      <c r="U583" s="7" t="n"/>
      <c r="V583" s="7" t="n"/>
      <c r="Y583">
        <f>IF($D583="","",IF($AN583=1,0,IF($AM583=1,Settings!$C$6,Settings!$C$7))*100)</f>
        <v/>
      </c>
      <c r="Z583" s="7">
        <f>IF($D583="","",V583*Y583/100)</f>
        <v/>
      </c>
      <c r="AA583" s="7">
        <f>IF($D583="","",V583-Z583)</f>
        <v/>
      </c>
      <c r="AB583" s="7">
        <f>IF($D583="","",AA583-N583)</f>
        <v/>
      </c>
      <c r="AF583" s="7" t="n"/>
      <c r="AI583" s="11" t="n"/>
      <c r="AK583">
        <f>IF($D583="","",IF(COUNTIF($D$2:$D583,$D583)=1,1,0))</f>
        <v/>
      </c>
      <c r="AL583">
        <f>IF($AK583=1,SUMPRODUCT(--($AO$2:$AO$3001&lt;$AO583))+1,"")</f>
        <v/>
      </c>
      <c r="AM583">
        <f>IF($D583="","",IF(OR($R583=TRUE(),$R583="TRUE"),1,0))</f>
        <v/>
      </c>
      <c r="AN583">
        <f>IF($D583="","",IF($X583="Yes",1,0))</f>
        <v/>
      </c>
      <c r="AO583">
        <f>IF($AK583=1,IFERROR(IF(VALUE($D583)&lt;100000000,VALUE($D583),1000000000),IFERROR(IF(VALUE(MID($D583,2,20))&lt;100000000,VALUE(MID($D583,2,20)),1000000000),1000000000))+ROW()/100000,"")</f>
        <v/>
      </c>
    </row>
    <row r="584">
      <c r="F584" s="11" t="n"/>
      <c r="N584" s="7">
        <f>IF($D584="","",M584*V584/100)</f>
        <v/>
      </c>
      <c r="O584" s="7" t="n"/>
      <c r="U584" s="7" t="n"/>
      <c r="V584" s="7" t="n"/>
      <c r="Y584">
        <f>IF($D584="","",IF($AN584=1,0,IF($AM584=1,Settings!$C$6,Settings!$C$7))*100)</f>
        <v/>
      </c>
      <c r="Z584" s="7">
        <f>IF($D584="","",V584*Y584/100)</f>
        <v/>
      </c>
      <c r="AA584" s="7">
        <f>IF($D584="","",V584-Z584)</f>
        <v/>
      </c>
      <c r="AB584" s="7">
        <f>IF($D584="","",AA584-N584)</f>
        <v/>
      </c>
      <c r="AF584" s="7" t="n"/>
      <c r="AI584" s="11" t="n"/>
      <c r="AK584">
        <f>IF($D584="","",IF(COUNTIF($D$2:$D584,$D584)=1,1,0))</f>
        <v/>
      </c>
      <c r="AL584">
        <f>IF($AK584=1,SUMPRODUCT(--($AO$2:$AO$3001&lt;$AO584))+1,"")</f>
        <v/>
      </c>
      <c r="AM584">
        <f>IF($D584="","",IF(OR($R584=TRUE(),$R584="TRUE"),1,0))</f>
        <v/>
      </c>
      <c r="AN584">
        <f>IF($D584="","",IF($X584="Yes",1,0))</f>
        <v/>
      </c>
      <c r="AO584">
        <f>IF($AK584=1,IFERROR(IF(VALUE($D584)&lt;100000000,VALUE($D584),1000000000),IFERROR(IF(VALUE(MID($D584,2,20))&lt;100000000,VALUE(MID($D584,2,20)),1000000000),1000000000))+ROW()/100000,"")</f>
        <v/>
      </c>
    </row>
    <row r="585">
      <c r="F585" s="11" t="n"/>
      <c r="N585" s="7">
        <f>IF($D585="","",M585*V585/100)</f>
        <v/>
      </c>
      <c r="O585" s="7" t="n"/>
      <c r="U585" s="7" t="n"/>
      <c r="V585" s="7" t="n"/>
      <c r="Y585">
        <f>IF($D585="","",IF($AN585=1,0,IF($AM585=1,Settings!$C$6,Settings!$C$7))*100)</f>
        <v/>
      </c>
      <c r="Z585" s="7">
        <f>IF($D585="","",V585*Y585/100)</f>
        <v/>
      </c>
      <c r="AA585" s="7">
        <f>IF($D585="","",V585-Z585)</f>
        <v/>
      </c>
      <c r="AB585" s="7">
        <f>IF($D585="","",AA585-N585)</f>
        <v/>
      </c>
      <c r="AF585" s="7" t="n"/>
      <c r="AI585" s="11" t="n"/>
      <c r="AK585">
        <f>IF($D585="","",IF(COUNTIF($D$2:$D585,$D585)=1,1,0))</f>
        <v/>
      </c>
      <c r="AL585">
        <f>IF($AK585=1,SUMPRODUCT(--($AO$2:$AO$3001&lt;$AO585))+1,"")</f>
        <v/>
      </c>
      <c r="AM585">
        <f>IF($D585="","",IF(OR($R585=TRUE(),$R585="TRUE"),1,0))</f>
        <v/>
      </c>
      <c r="AN585">
        <f>IF($D585="","",IF($X585="Yes",1,0))</f>
        <v/>
      </c>
      <c r="AO585">
        <f>IF($AK585=1,IFERROR(IF(VALUE($D585)&lt;100000000,VALUE($D585),1000000000),IFERROR(IF(VALUE(MID($D585,2,20))&lt;100000000,VALUE(MID($D585,2,20)),1000000000),1000000000))+ROW()/100000,"")</f>
        <v/>
      </c>
    </row>
    <row r="586">
      <c r="F586" s="11" t="n"/>
      <c r="N586" s="7">
        <f>IF($D586="","",M586*V586/100)</f>
        <v/>
      </c>
      <c r="O586" s="7" t="n"/>
      <c r="U586" s="7" t="n"/>
      <c r="V586" s="7" t="n"/>
      <c r="Y586">
        <f>IF($D586="","",IF($AN586=1,0,IF($AM586=1,Settings!$C$6,Settings!$C$7))*100)</f>
        <v/>
      </c>
      <c r="Z586" s="7">
        <f>IF($D586="","",V586*Y586/100)</f>
        <v/>
      </c>
      <c r="AA586" s="7">
        <f>IF($D586="","",V586-Z586)</f>
        <v/>
      </c>
      <c r="AB586" s="7">
        <f>IF($D586="","",AA586-N586)</f>
        <v/>
      </c>
      <c r="AF586" s="7" t="n"/>
      <c r="AI586" s="11" t="n"/>
      <c r="AK586">
        <f>IF($D586="","",IF(COUNTIF($D$2:$D586,$D586)=1,1,0))</f>
        <v/>
      </c>
      <c r="AL586">
        <f>IF($AK586=1,SUMPRODUCT(--($AO$2:$AO$3001&lt;$AO586))+1,"")</f>
        <v/>
      </c>
      <c r="AM586">
        <f>IF($D586="","",IF(OR($R586=TRUE(),$R586="TRUE"),1,0))</f>
        <v/>
      </c>
      <c r="AN586">
        <f>IF($D586="","",IF($X586="Yes",1,0))</f>
        <v/>
      </c>
      <c r="AO586">
        <f>IF($AK586=1,IFERROR(IF(VALUE($D586)&lt;100000000,VALUE($D586),1000000000),IFERROR(IF(VALUE(MID($D586,2,20))&lt;100000000,VALUE(MID($D586,2,20)),1000000000),1000000000))+ROW()/100000,"")</f>
        <v/>
      </c>
    </row>
    <row r="587">
      <c r="F587" s="11" t="n"/>
      <c r="N587" s="7">
        <f>IF($D587="","",M587*V587/100)</f>
        <v/>
      </c>
      <c r="O587" s="7" t="n"/>
      <c r="U587" s="7" t="n"/>
      <c r="V587" s="7" t="n"/>
      <c r="Y587">
        <f>IF($D587="","",IF($AN587=1,0,IF($AM587=1,Settings!$C$6,Settings!$C$7))*100)</f>
        <v/>
      </c>
      <c r="Z587" s="7">
        <f>IF($D587="","",V587*Y587/100)</f>
        <v/>
      </c>
      <c r="AA587" s="7">
        <f>IF($D587="","",V587-Z587)</f>
        <v/>
      </c>
      <c r="AB587" s="7">
        <f>IF($D587="","",AA587-N587)</f>
        <v/>
      </c>
      <c r="AF587" s="7" t="n"/>
      <c r="AI587" s="11" t="n"/>
      <c r="AK587">
        <f>IF($D587="","",IF(COUNTIF($D$2:$D587,$D587)=1,1,0))</f>
        <v/>
      </c>
      <c r="AL587">
        <f>IF($AK587=1,SUMPRODUCT(--($AO$2:$AO$3001&lt;$AO587))+1,"")</f>
        <v/>
      </c>
      <c r="AM587">
        <f>IF($D587="","",IF(OR($R587=TRUE(),$R587="TRUE"),1,0))</f>
        <v/>
      </c>
      <c r="AN587">
        <f>IF($D587="","",IF($X587="Yes",1,0))</f>
        <v/>
      </c>
      <c r="AO587">
        <f>IF($AK587=1,IFERROR(IF(VALUE($D587)&lt;100000000,VALUE($D587),1000000000),IFERROR(IF(VALUE(MID($D587,2,20))&lt;100000000,VALUE(MID($D587,2,20)),1000000000),1000000000))+ROW()/100000,"")</f>
        <v/>
      </c>
    </row>
    <row r="588">
      <c r="F588" s="11" t="n"/>
      <c r="N588" s="7">
        <f>IF($D588="","",M588*V588/100)</f>
        <v/>
      </c>
      <c r="O588" s="7" t="n"/>
      <c r="U588" s="7" t="n"/>
      <c r="V588" s="7" t="n"/>
      <c r="Y588">
        <f>IF($D588="","",IF($AN588=1,0,IF($AM588=1,Settings!$C$6,Settings!$C$7))*100)</f>
        <v/>
      </c>
      <c r="Z588" s="7">
        <f>IF($D588="","",V588*Y588/100)</f>
        <v/>
      </c>
      <c r="AA588" s="7">
        <f>IF($D588="","",V588-Z588)</f>
        <v/>
      </c>
      <c r="AB588" s="7">
        <f>IF($D588="","",AA588-N588)</f>
        <v/>
      </c>
      <c r="AF588" s="7" t="n"/>
      <c r="AI588" s="11" t="n"/>
      <c r="AK588">
        <f>IF($D588="","",IF(COUNTIF($D$2:$D588,$D588)=1,1,0))</f>
        <v/>
      </c>
      <c r="AL588">
        <f>IF($AK588=1,SUMPRODUCT(--($AO$2:$AO$3001&lt;$AO588))+1,"")</f>
        <v/>
      </c>
      <c r="AM588">
        <f>IF($D588="","",IF(OR($R588=TRUE(),$R588="TRUE"),1,0))</f>
        <v/>
      </c>
      <c r="AN588">
        <f>IF($D588="","",IF($X588="Yes",1,0))</f>
        <v/>
      </c>
      <c r="AO588">
        <f>IF($AK588=1,IFERROR(IF(VALUE($D588)&lt;100000000,VALUE($D588),1000000000),IFERROR(IF(VALUE(MID($D588,2,20))&lt;100000000,VALUE(MID($D588,2,20)),1000000000),1000000000))+ROW()/100000,"")</f>
        <v/>
      </c>
    </row>
    <row r="589">
      <c r="F589" s="11" t="n"/>
      <c r="N589" s="7">
        <f>IF($D589="","",M589*V589/100)</f>
        <v/>
      </c>
      <c r="O589" s="7" t="n"/>
      <c r="U589" s="7" t="n"/>
      <c r="V589" s="7" t="n"/>
      <c r="Y589">
        <f>IF($D589="","",IF($AN589=1,0,IF($AM589=1,Settings!$C$6,Settings!$C$7))*100)</f>
        <v/>
      </c>
      <c r="Z589" s="7">
        <f>IF($D589="","",V589*Y589/100)</f>
        <v/>
      </c>
      <c r="AA589" s="7">
        <f>IF($D589="","",V589-Z589)</f>
        <v/>
      </c>
      <c r="AB589" s="7">
        <f>IF($D589="","",AA589-N589)</f>
        <v/>
      </c>
      <c r="AF589" s="7" t="n"/>
      <c r="AI589" s="11" t="n"/>
      <c r="AK589">
        <f>IF($D589="","",IF(COUNTIF($D$2:$D589,$D589)=1,1,0))</f>
        <v/>
      </c>
      <c r="AL589">
        <f>IF($AK589=1,SUMPRODUCT(--($AO$2:$AO$3001&lt;$AO589))+1,"")</f>
        <v/>
      </c>
      <c r="AM589">
        <f>IF($D589="","",IF(OR($R589=TRUE(),$R589="TRUE"),1,0))</f>
        <v/>
      </c>
      <c r="AN589">
        <f>IF($D589="","",IF($X589="Yes",1,0))</f>
        <v/>
      </c>
      <c r="AO589">
        <f>IF($AK589=1,IFERROR(IF(VALUE($D589)&lt;100000000,VALUE($D589),1000000000),IFERROR(IF(VALUE(MID($D589,2,20))&lt;100000000,VALUE(MID($D589,2,20)),1000000000),1000000000))+ROW()/100000,"")</f>
        <v/>
      </c>
    </row>
    <row r="590">
      <c r="F590" s="11" t="n"/>
      <c r="N590" s="7">
        <f>IF($D590="","",M590*V590/100)</f>
        <v/>
      </c>
      <c r="O590" s="7" t="n"/>
      <c r="U590" s="7" t="n"/>
      <c r="V590" s="7" t="n"/>
      <c r="Y590">
        <f>IF($D590="","",IF($AN590=1,0,IF($AM590=1,Settings!$C$6,Settings!$C$7))*100)</f>
        <v/>
      </c>
      <c r="Z590" s="7">
        <f>IF($D590="","",V590*Y590/100)</f>
        <v/>
      </c>
      <c r="AA590" s="7">
        <f>IF($D590="","",V590-Z590)</f>
        <v/>
      </c>
      <c r="AB590" s="7">
        <f>IF($D590="","",AA590-N590)</f>
        <v/>
      </c>
      <c r="AF590" s="7" t="n"/>
      <c r="AI590" s="11" t="n"/>
      <c r="AK590">
        <f>IF($D590="","",IF(COUNTIF($D$2:$D590,$D590)=1,1,0))</f>
        <v/>
      </c>
      <c r="AL590">
        <f>IF($AK590=1,SUMPRODUCT(--($AO$2:$AO$3001&lt;$AO590))+1,"")</f>
        <v/>
      </c>
      <c r="AM590">
        <f>IF($D590="","",IF(OR($R590=TRUE(),$R590="TRUE"),1,0))</f>
        <v/>
      </c>
      <c r="AN590">
        <f>IF($D590="","",IF($X590="Yes",1,0))</f>
        <v/>
      </c>
      <c r="AO590">
        <f>IF($AK590=1,IFERROR(IF(VALUE($D590)&lt;100000000,VALUE($D590),1000000000),IFERROR(IF(VALUE(MID($D590,2,20))&lt;100000000,VALUE(MID($D590,2,20)),1000000000),1000000000))+ROW()/100000,"")</f>
        <v/>
      </c>
    </row>
    <row r="591">
      <c r="F591" s="11" t="n"/>
      <c r="N591" s="7">
        <f>IF($D591="","",M591*V591/100)</f>
        <v/>
      </c>
      <c r="O591" s="7" t="n"/>
      <c r="U591" s="7" t="n"/>
      <c r="V591" s="7" t="n"/>
      <c r="Y591">
        <f>IF($D591="","",IF($AN591=1,0,IF($AM591=1,Settings!$C$6,Settings!$C$7))*100)</f>
        <v/>
      </c>
      <c r="Z591" s="7">
        <f>IF($D591="","",V591*Y591/100)</f>
        <v/>
      </c>
      <c r="AA591" s="7">
        <f>IF($D591="","",V591-Z591)</f>
        <v/>
      </c>
      <c r="AB591" s="7">
        <f>IF($D591="","",AA591-N591)</f>
        <v/>
      </c>
      <c r="AF591" s="7" t="n"/>
      <c r="AI591" s="11" t="n"/>
      <c r="AK591">
        <f>IF($D591="","",IF(COUNTIF($D$2:$D591,$D591)=1,1,0))</f>
        <v/>
      </c>
      <c r="AL591">
        <f>IF($AK591=1,SUMPRODUCT(--($AO$2:$AO$3001&lt;$AO591))+1,"")</f>
        <v/>
      </c>
      <c r="AM591">
        <f>IF($D591="","",IF(OR($R591=TRUE(),$R591="TRUE"),1,0))</f>
        <v/>
      </c>
      <c r="AN591">
        <f>IF($D591="","",IF($X591="Yes",1,0))</f>
        <v/>
      </c>
      <c r="AO591">
        <f>IF($AK591=1,IFERROR(IF(VALUE($D591)&lt;100000000,VALUE($D591),1000000000),IFERROR(IF(VALUE(MID($D591,2,20))&lt;100000000,VALUE(MID($D591,2,20)),1000000000),1000000000))+ROW()/100000,"")</f>
        <v/>
      </c>
    </row>
    <row r="592">
      <c r="F592" s="11" t="n"/>
      <c r="N592" s="7">
        <f>IF($D592="","",M592*V592/100)</f>
        <v/>
      </c>
      <c r="O592" s="7" t="n"/>
      <c r="U592" s="7" t="n"/>
      <c r="V592" s="7" t="n"/>
      <c r="Y592">
        <f>IF($D592="","",IF($AN592=1,0,IF($AM592=1,Settings!$C$6,Settings!$C$7))*100)</f>
        <v/>
      </c>
      <c r="Z592" s="7">
        <f>IF($D592="","",V592*Y592/100)</f>
        <v/>
      </c>
      <c r="AA592" s="7">
        <f>IF($D592="","",V592-Z592)</f>
        <v/>
      </c>
      <c r="AB592" s="7">
        <f>IF($D592="","",AA592-N592)</f>
        <v/>
      </c>
      <c r="AF592" s="7" t="n"/>
      <c r="AI592" s="11" t="n"/>
      <c r="AK592">
        <f>IF($D592="","",IF(COUNTIF($D$2:$D592,$D592)=1,1,0))</f>
        <v/>
      </c>
      <c r="AL592">
        <f>IF($AK592=1,SUMPRODUCT(--($AO$2:$AO$3001&lt;$AO592))+1,"")</f>
        <v/>
      </c>
      <c r="AM592">
        <f>IF($D592="","",IF(OR($R592=TRUE(),$R592="TRUE"),1,0))</f>
        <v/>
      </c>
      <c r="AN592">
        <f>IF($D592="","",IF($X592="Yes",1,0))</f>
        <v/>
      </c>
      <c r="AO592">
        <f>IF($AK592=1,IFERROR(IF(VALUE($D592)&lt;100000000,VALUE($D592),1000000000),IFERROR(IF(VALUE(MID($D592,2,20))&lt;100000000,VALUE(MID($D592,2,20)),1000000000),1000000000))+ROW()/100000,"")</f>
        <v/>
      </c>
    </row>
    <row r="593">
      <c r="F593" s="11" t="n"/>
      <c r="N593" s="7">
        <f>IF($D593="","",M593*V593/100)</f>
        <v/>
      </c>
      <c r="O593" s="7" t="n"/>
      <c r="U593" s="7" t="n"/>
      <c r="V593" s="7" t="n"/>
      <c r="Y593">
        <f>IF($D593="","",IF($AN593=1,0,IF($AM593=1,Settings!$C$6,Settings!$C$7))*100)</f>
        <v/>
      </c>
      <c r="Z593" s="7">
        <f>IF($D593="","",V593*Y593/100)</f>
        <v/>
      </c>
      <c r="AA593" s="7">
        <f>IF($D593="","",V593-Z593)</f>
        <v/>
      </c>
      <c r="AB593" s="7">
        <f>IF($D593="","",AA593-N593)</f>
        <v/>
      </c>
      <c r="AF593" s="7" t="n"/>
      <c r="AI593" s="11" t="n"/>
      <c r="AK593">
        <f>IF($D593="","",IF(COUNTIF($D$2:$D593,$D593)=1,1,0))</f>
        <v/>
      </c>
      <c r="AL593">
        <f>IF($AK593=1,SUMPRODUCT(--($AO$2:$AO$3001&lt;$AO593))+1,"")</f>
        <v/>
      </c>
      <c r="AM593">
        <f>IF($D593="","",IF(OR($R593=TRUE(),$R593="TRUE"),1,0))</f>
        <v/>
      </c>
      <c r="AN593">
        <f>IF($D593="","",IF($X593="Yes",1,0))</f>
        <v/>
      </c>
      <c r="AO593">
        <f>IF($AK593=1,IFERROR(IF(VALUE($D593)&lt;100000000,VALUE($D593),1000000000),IFERROR(IF(VALUE(MID($D593,2,20))&lt;100000000,VALUE(MID($D593,2,20)),1000000000),1000000000))+ROW()/100000,"")</f>
        <v/>
      </c>
    </row>
    <row r="594">
      <c r="F594" s="11" t="n"/>
      <c r="N594" s="7">
        <f>IF($D594="","",M594*V594/100)</f>
        <v/>
      </c>
      <c r="O594" s="7" t="n"/>
      <c r="U594" s="7" t="n"/>
      <c r="V594" s="7" t="n"/>
      <c r="Y594">
        <f>IF($D594="","",IF($AN594=1,0,IF($AM594=1,Settings!$C$6,Settings!$C$7))*100)</f>
        <v/>
      </c>
      <c r="Z594" s="7">
        <f>IF($D594="","",V594*Y594/100)</f>
        <v/>
      </c>
      <c r="AA594" s="7">
        <f>IF($D594="","",V594-Z594)</f>
        <v/>
      </c>
      <c r="AB594" s="7">
        <f>IF($D594="","",AA594-N594)</f>
        <v/>
      </c>
      <c r="AF594" s="7" t="n"/>
      <c r="AI594" s="11" t="n"/>
      <c r="AK594">
        <f>IF($D594="","",IF(COUNTIF($D$2:$D594,$D594)=1,1,0))</f>
        <v/>
      </c>
      <c r="AL594">
        <f>IF($AK594=1,SUMPRODUCT(--($AO$2:$AO$3001&lt;$AO594))+1,"")</f>
        <v/>
      </c>
      <c r="AM594">
        <f>IF($D594="","",IF(OR($R594=TRUE(),$R594="TRUE"),1,0))</f>
        <v/>
      </c>
      <c r="AN594">
        <f>IF($D594="","",IF($X594="Yes",1,0))</f>
        <v/>
      </c>
      <c r="AO594">
        <f>IF($AK594=1,IFERROR(IF(VALUE($D594)&lt;100000000,VALUE($D594),1000000000),IFERROR(IF(VALUE(MID($D594,2,20))&lt;100000000,VALUE(MID($D594,2,20)),1000000000),1000000000))+ROW()/100000,"")</f>
        <v/>
      </c>
    </row>
    <row r="595">
      <c r="F595" s="11" t="n"/>
      <c r="N595" s="7">
        <f>IF($D595="","",M595*V595/100)</f>
        <v/>
      </c>
      <c r="O595" s="7" t="n"/>
      <c r="U595" s="7" t="n"/>
      <c r="V595" s="7" t="n"/>
      <c r="Y595">
        <f>IF($D595="","",IF($AN595=1,0,IF($AM595=1,Settings!$C$6,Settings!$C$7))*100)</f>
        <v/>
      </c>
      <c r="Z595" s="7">
        <f>IF($D595="","",V595*Y595/100)</f>
        <v/>
      </c>
      <c r="AA595" s="7">
        <f>IF($D595="","",V595-Z595)</f>
        <v/>
      </c>
      <c r="AB595" s="7">
        <f>IF($D595="","",AA595-N595)</f>
        <v/>
      </c>
      <c r="AF595" s="7" t="n"/>
      <c r="AI595" s="11" t="n"/>
      <c r="AK595">
        <f>IF($D595="","",IF(COUNTIF($D$2:$D595,$D595)=1,1,0))</f>
        <v/>
      </c>
      <c r="AL595">
        <f>IF($AK595=1,SUMPRODUCT(--($AO$2:$AO$3001&lt;$AO595))+1,"")</f>
        <v/>
      </c>
      <c r="AM595">
        <f>IF($D595="","",IF(OR($R595=TRUE(),$R595="TRUE"),1,0))</f>
        <v/>
      </c>
      <c r="AN595">
        <f>IF($D595="","",IF($X595="Yes",1,0))</f>
        <v/>
      </c>
      <c r="AO595">
        <f>IF($AK595=1,IFERROR(IF(VALUE($D595)&lt;100000000,VALUE($D595),1000000000),IFERROR(IF(VALUE(MID($D595,2,20))&lt;100000000,VALUE(MID($D595,2,20)),1000000000),1000000000))+ROW()/100000,"")</f>
        <v/>
      </c>
    </row>
    <row r="596">
      <c r="F596" s="11" t="n"/>
      <c r="N596" s="7">
        <f>IF($D596="","",M596*V596/100)</f>
        <v/>
      </c>
      <c r="O596" s="7" t="n"/>
      <c r="U596" s="7" t="n"/>
      <c r="V596" s="7" t="n"/>
      <c r="Y596">
        <f>IF($D596="","",IF($AN596=1,0,IF($AM596=1,Settings!$C$6,Settings!$C$7))*100)</f>
        <v/>
      </c>
      <c r="Z596" s="7">
        <f>IF($D596="","",V596*Y596/100)</f>
        <v/>
      </c>
      <c r="AA596" s="7">
        <f>IF($D596="","",V596-Z596)</f>
        <v/>
      </c>
      <c r="AB596" s="7">
        <f>IF($D596="","",AA596-N596)</f>
        <v/>
      </c>
      <c r="AF596" s="7" t="n"/>
      <c r="AI596" s="11" t="n"/>
      <c r="AK596">
        <f>IF($D596="","",IF(COUNTIF($D$2:$D596,$D596)=1,1,0))</f>
        <v/>
      </c>
      <c r="AL596">
        <f>IF($AK596=1,SUMPRODUCT(--($AO$2:$AO$3001&lt;$AO596))+1,"")</f>
        <v/>
      </c>
      <c r="AM596">
        <f>IF($D596="","",IF(OR($R596=TRUE(),$R596="TRUE"),1,0))</f>
        <v/>
      </c>
      <c r="AN596">
        <f>IF($D596="","",IF($X596="Yes",1,0))</f>
        <v/>
      </c>
      <c r="AO596">
        <f>IF($AK596=1,IFERROR(IF(VALUE($D596)&lt;100000000,VALUE($D596),1000000000),IFERROR(IF(VALUE(MID($D596,2,20))&lt;100000000,VALUE(MID($D596,2,20)),1000000000),1000000000))+ROW()/100000,"")</f>
        <v/>
      </c>
    </row>
    <row r="597">
      <c r="F597" s="11" t="n"/>
      <c r="N597" s="7">
        <f>IF($D597="","",M597*V597/100)</f>
        <v/>
      </c>
      <c r="O597" s="7" t="n"/>
      <c r="U597" s="7" t="n"/>
      <c r="V597" s="7" t="n"/>
      <c r="Y597">
        <f>IF($D597="","",IF($AN597=1,0,IF($AM597=1,Settings!$C$6,Settings!$C$7))*100)</f>
        <v/>
      </c>
      <c r="Z597" s="7">
        <f>IF($D597="","",V597*Y597/100)</f>
        <v/>
      </c>
      <c r="AA597" s="7">
        <f>IF($D597="","",V597-Z597)</f>
        <v/>
      </c>
      <c r="AB597" s="7">
        <f>IF($D597="","",AA597-N597)</f>
        <v/>
      </c>
      <c r="AF597" s="7" t="n"/>
      <c r="AI597" s="11" t="n"/>
      <c r="AK597">
        <f>IF($D597="","",IF(COUNTIF($D$2:$D597,$D597)=1,1,0))</f>
        <v/>
      </c>
      <c r="AL597">
        <f>IF($AK597=1,SUMPRODUCT(--($AO$2:$AO$3001&lt;$AO597))+1,"")</f>
        <v/>
      </c>
      <c r="AM597">
        <f>IF($D597="","",IF(OR($R597=TRUE(),$R597="TRUE"),1,0))</f>
        <v/>
      </c>
      <c r="AN597">
        <f>IF($D597="","",IF($X597="Yes",1,0))</f>
        <v/>
      </c>
      <c r="AO597">
        <f>IF($AK597=1,IFERROR(IF(VALUE($D597)&lt;100000000,VALUE($D597),1000000000),IFERROR(IF(VALUE(MID($D597,2,20))&lt;100000000,VALUE(MID($D597,2,20)),1000000000),1000000000))+ROW()/100000,"")</f>
        <v/>
      </c>
    </row>
    <row r="598">
      <c r="F598" s="11" t="n"/>
      <c r="N598" s="7">
        <f>IF($D598="","",M598*V598/100)</f>
        <v/>
      </c>
      <c r="O598" s="7" t="n"/>
      <c r="U598" s="7" t="n"/>
      <c r="V598" s="7" t="n"/>
      <c r="Y598">
        <f>IF($D598="","",IF($AN598=1,0,IF($AM598=1,Settings!$C$6,Settings!$C$7))*100)</f>
        <v/>
      </c>
      <c r="Z598" s="7">
        <f>IF($D598="","",V598*Y598/100)</f>
        <v/>
      </c>
      <c r="AA598" s="7">
        <f>IF($D598="","",V598-Z598)</f>
        <v/>
      </c>
      <c r="AB598" s="7">
        <f>IF($D598="","",AA598-N598)</f>
        <v/>
      </c>
      <c r="AF598" s="7" t="n"/>
      <c r="AI598" s="11" t="n"/>
      <c r="AK598">
        <f>IF($D598="","",IF(COUNTIF($D$2:$D598,$D598)=1,1,0))</f>
        <v/>
      </c>
      <c r="AL598">
        <f>IF($AK598=1,SUMPRODUCT(--($AO$2:$AO$3001&lt;$AO598))+1,"")</f>
        <v/>
      </c>
      <c r="AM598">
        <f>IF($D598="","",IF(OR($R598=TRUE(),$R598="TRUE"),1,0))</f>
        <v/>
      </c>
      <c r="AN598">
        <f>IF($D598="","",IF($X598="Yes",1,0))</f>
        <v/>
      </c>
      <c r="AO598">
        <f>IF($AK598=1,IFERROR(IF(VALUE($D598)&lt;100000000,VALUE($D598),1000000000),IFERROR(IF(VALUE(MID($D598,2,20))&lt;100000000,VALUE(MID($D598,2,20)),1000000000),1000000000))+ROW()/100000,"")</f>
        <v/>
      </c>
    </row>
    <row r="599">
      <c r="F599" s="11" t="n"/>
      <c r="N599" s="7">
        <f>IF($D599="","",M599*V599/100)</f>
        <v/>
      </c>
      <c r="O599" s="7" t="n"/>
      <c r="U599" s="7" t="n"/>
      <c r="V599" s="7" t="n"/>
      <c r="Y599">
        <f>IF($D599="","",IF($AN599=1,0,IF($AM599=1,Settings!$C$6,Settings!$C$7))*100)</f>
        <v/>
      </c>
      <c r="Z599" s="7">
        <f>IF($D599="","",V599*Y599/100)</f>
        <v/>
      </c>
      <c r="AA599" s="7">
        <f>IF($D599="","",V599-Z599)</f>
        <v/>
      </c>
      <c r="AB599" s="7">
        <f>IF($D599="","",AA599-N599)</f>
        <v/>
      </c>
      <c r="AF599" s="7" t="n"/>
      <c r="AI599" s="11" t="n"/>
      <c r="AK599">
        <f>IF($D599="","",IF(COUNTIF($D$2:$D599,$D599)=1,1,0))</f>
        <v/>
      </c>
      <c r="AL599">
        <f>IF($AK599=1,SUMPRODUCT(--($AO$2:$AO$3001&lt;$AO599))+1,"")</f>
        <v/>
      </c>
      <c r="AM599">
        <f>IF($D599="","",IF(OR($R599=TRUE(),$R599="TRUE"),1,0))</f>
        <v/>
      </c>
      <c r="AN599">
        <f>IF($D599="","",IF($X599="Yes",1,0))</f>
        <v/>
      </c>
      <c r="AO599">
        <f>IF($AK599=1,IFERROR(IF(VALUE($D599)&lt;100000000,VALUE($D599),1000000000),IFERROR(IF(VALUE(MID($D599,2,20))&lt;100000000,VALUE(MID($D599,2,20)),1000000000),1000000000))+ROW()/100000,"")</f>
        <v/>
      </c>
    </row>
    <row r="600">
      <c r="F600" s="11" t="n"/>
      <c r="N600" s="7">
        <f>IF($D600="","",M600*V600/100)</f>
        <v/>
      </c>
      <c r="O600" s="7" t="n"/>
      <c r="U600" s="7" t="n"/>
      <c r="V600" s="7" t="n"/>
      <c r="Y600">
        <f>IF($D600="","",IF($AN600=1,0,IF($AM600=1,Settings!$C$6,Settings!$C$7))*100)</f>
        <v/>
      </c>
      <c r="Z600" s="7">
        <f>IF($D600="","",V600*Y600/100)</f>
        <v/>
      </c>
      <c r="AA600" s="7">
        <f>IF($D600="","",V600-Z600)</f>
        <v/>
      </c>
      <c r="AB600" s="7">
        <f>IF($D600="","",AA600-N600)</f>
        <v/>
      </c>
      <c r="AF600" s="7" t="n"/>
      <c r="AI600" s="11" t="n"/>
      <c r="AK600">
        <f>IF($D600="","",IF(COUNTIF($D$2:$D600,$D600)=1,1,0))</f>
        <v/>
      </c>
      <c r="AL600">
        <f>IF($AK600=1,SUMPRODUCT(--($AO$2:$AO$3001&lt;$AO600))+1,"")</f>
        <v/>
      </c>
      <c r="AM600">
        <f>IF($D600="","",IF(OR($R600=TRUE(),$R600="TRUE"),1,0))</f>
        <v/>
      </c>
      <c r="AN600">
        <f>IF($D600="","",IF($X600="Yes",1,0))</f>
        <v/>
      </c>
      <c r="AO600">
        <f>IF($AK600=1,IFERROR(IF(VALUE($D600)&lt;100000000,VALUE($D600),1000000000),IFERROR(IF(VALUE(MID($D600,2,20))&lt;100000000,VALUE(MID($D600,2,20)),1000000000),1000000000))+ROW()/100000,"")</f>
        <v/>
      </c>
    </row>
    <row r="601">
      <c r="F601" s="11" t="n"/>
      <c r="N601" s="7">
        <f>IF($D601="","",M601*V601/100)</f>
        <v/>
      </c>
      <c r="O601" s="7" t="n"/>
      <c r="U601" s="7" t="n"/>
      <c r="V601" s="7" t="n"/>
      <c r="Y601">
        <f>IF($D601="","",IF($AN601=1,0,IF($AM601=1,Settings!$C$6,Settings!$C$7))*100)</f>
        <v/>
      </c>
      <c r="Z601" s="7">
        <f>IF($D601="","",V601*Y601/100)</f>
        <v/>
      </c>
      <c r="AA601" s="7">
        <f>IF($D601="","",V601-Z601)</f>
        <v/>
      </c>
      <c r="AB601" s="7">
        <f>IF($D601="","",AA601-N601)</f>
        <v/>
      </c>
      <c r="AF601" s="7" t="n"/>
      <c r="AI601" s="11" t="n"/>
      <c r="AK601">
        <f>IF($D601="","",IF(COUNTIF($D$2:$D601,$D601)=1,1,0))</f>
        <v/>
      </c>
      <c r="AL601">
        <f>IF($AK601=1,SUMPRODUCT(--($AO$2:$AO$3001&lt;$AO601))+1,"")</f>
        <v/>
      </c>
      <c r="AM601">
        <f>IF($D601="","",IF(OR($R601=TRUE(),$R601="TRUE"),1,0))</f>
        <v/>
      </c>
      <c r="AN601">
        <f>IF($D601="","",IF($X601="Yes",1,0))</f>
        <v/>
      </c>
      <c r="AO601">
        <f>IF($AK601=1,IFERROR(IF(VALUE($D601)&lt;100000000,VALUE($D601),1000000000),IFERROR(IF(VALUE(MID($D601,2,20))&lt;100000000,VALUE(MID($D601,2,20)),1000000000),1000000000))+ROW()/100000,"")</f>
        <v/>
      </c>
    </row>
    <row r="602">
      <c r="F602" s="11" t="n"/>
      <c r="N602" s="7">
        <f>IF($D602="","",M602*V602/100)</f>
        <v/>
      </c>
      <c r="O602" s="7" t="n"/>
      <c r="U602" s="7" t="n"/>
      <c r="V602" s="7" t="n"/>
      <c r="Y602">
        <f>IF($D602="","",IF($AN602=1,0,IF($AM602=1,Settings!$C$6,Settings!$C$7))*100)</f>
        <v/>
      </c>
      <c r="Z602" s="7">
        <f>IF($D602="","",V602*Y602/100)</f>
        <v/>
      </c>
      <c r="AA602" s="7">
        <f>IF($D602="","",V602-Z602)</f>
        <v/>
      </c>
      <c r="AB602" s="7">
        <f>IF($D602="","",AA602-N602)</f>
        <v/>
      </c>
      <c r="AF602" s="7" t="n"/>
      <c r="AI602" s="11" t="n"/>
      <c r="AK602">
        <f>IF($D602="","",IF(COUNTIF($D$2:$D602,$D602)=1,1,0))</f>
        <v/>
      </c>
      <c r="AL602">
        <f>IF($AK602=1,SUMPRODUCT(--($AO$2:$AO$3001&lt;$AO602))+1,"")</f>
        <v/>
      </c>
      <c r="AM602">
        <f>IF($D602="","",IF(OR($R602=TRUE(),$R602="TRUE"),1,0))</f>
        <v/>
      </c>
      <c r="AN602">
        <f>IF($D602="","",IF($X602="Yes",1,0))</f>
        <v/>
      </c>
      <c r="AO602">
        <f>IF($AK602=1,IFERROR(IF(VALUE($D602)&lt;100000000,VALUE($D602),1000000000),IFERROR(IF(VALUE(MID($D602,2,20))&lt;100000000,VALUE(MID($D602,2,20)),1000000000),1000000000))+ROW()/100000,"")</f>
        <v/>
      </c>
    </row>
    <row r="603">
      <c r="F603" s="11" t="n"/>
      <c r="N603" s="7">
        <f>IF($D603="","",M603*V603/100)</f>
        <v/>
      </c>
      <c r="O603" s="7" t="n"/>
      <c r="U603" s="7" t="n"/>
      <c r="V603" s="7" t="n"/>
      <c r="Y603">
        <f>IF($D603="","",IF($AN603=1,0,IF($AM603=1,Settings!$C$6,Settings!$C$7))*100)</f>
        <v/>
      </c>
      <c r="Z603" s="7">
        <f>IF($D603="","",V603*Y603/100)</f>
        <v/>
      </c>
      <c r="AA603" s="7">
        <f>IF($D603="","",V603-Z603)</f>
        <v/>
      </c>
      <c r="AB603" s="7">
        <f>IF($D603="","",AA603-N603)</f>
        <v/>
      </c>
      <c r="AF603" s="7" t="n"/>
      <c r="AI603" s="11" t="n"/>
      <c r="AK603">
        <f>IF($D603="","",IF(COUNTIF($D$2:$D603,$D603)=1,1,0))</f>
        <v/>
      </c>
      <c r="AL603">
        <f>IF($AK603=1,SUMPRODUCT(--($AO$2:$AO$3001&lt;$AO603))+1,"")</f>
        <v/>
      </c>
      <c r="AM603">
        <f>IF($D603="","",IF(OR($R603=TRUE(),$R603="TRUE"),1,0))</f>
        <v/>
      </c>
      <c r="AN603">
        <f>IF($D603="","",IF($X603="Yes",1,0))</f>
        <v/>
      </c>
      <c r="AO603">
        <f>IF($AK603=1,IFERROR(IF(VALUE($D603)&lt;100000000,VALUE($D603),1000000000),IFERROR(IF(VALUE(MID($D603,2,20))&lt;100000000,VALUE(MID($D603,2,20)),1000000000),1000000000))+ROW()/100000,"")</f>
        <v/>
      </c>
    </row>
    <row r="604">
      <c r="F604" s="11" t="n"/>
      <c r="N604" s="7">
        <f>IF($D604="","",M604*V604/100)</f>
        <v/>
      </c>
      <c r="O604" s="7" t="n"/>
      <c r="U604" s="7" t="n"/>
      <c r="V604" s="7" t="n"/>
      <c r="Y604">
        <f>IF($D604="","",IF($AN604=1,0,IF($AM604=1,Settings!$C$6,Settings!$C$7))*100)</f>
        <v/>
      </c>
      <c r="Z604" s="7">
        <f>IF($D604="","",V604*Y604/100)</f>
        <v/>
      </c>
      <c r="AA604" s="7">
        <f>IF($D604="","",V604-Z604)</f>
        <v/>
      </c>
      <c r="AB604" s="7">
        <f>IF($D604="","",AA604-N604)</f>
        <v/>
      </c>
      <c r="AF604" s="7" t="n"/>
      <c r="AI604" s="11" t="n"/>
      <c r="AK604">
        <f>IF($D604="","",IF(COUNTIF($D$2:$D604,$D604)=1,1,0))</f>
        <v/>
      </c>
      <c r="AL604">
        <f>IF($AK604=1,SUMPRODUCT(--($AO$2:$AO$3001&lt;$AO604))+1,"")</f>
        <v/>
      </c>
      <c r="AM604">
        <f>IF($D604="","",IF(OR($R604=TRUE(),$R604="TRUE"),1,0))</f>
        <v/>
      </c>
      <c r="AN604">
        <f>IF($D604="","",IF($X604="Yes",1,0))</f>
        <v/>
      </c>
      <c r="AO604">
        <f>IF($AK604=1,IFERROR(IF(VALUE($D604)&lt;100000000,VALUE($D604),1000000000),IFERROR(IF(VALUE(MID($D604,2,20))&lt;100000000,VALUE(MID($D604,2,20)),1000000000),1000000000))+ROW()/100000,"")</f>
        <v/>
      </c>
    </row>
    <row r="605">
      <c r="F605" s="11" t="n"/>
      <c r="N605" s="7">
        <f>IF($D605="","",M605*V605/100)</f>
        <v/>
      </c>
      <c r="O605" s="7" t="n"/>
      <c r="U605" s="7" t="n"/>
      <c r="V605" s="7" t="n"/>
      <c r="Y605">
        <f>IF($D605="","",IF($AN605=1,0,IF($AM605=1,Settings!$C$6,Settings!$C$7))*100)</f>
        <v/>
      </c>
      <c r="Z605" s="7">
        <f>IF($D605="","",V605*Y605/100)</f>
        <v/>
      </c>
      <c r="AA605" s="7">
        <f>IF($D605="","",V605-Z605)</f>
        <v/>
      </c>
      <c r="AB605" s="7">
        <f>IF($D605="","",AA605-N605)</f>
        <v/>
      </c>
      <c r="AF605" s="7" t="n"/>
      <c r="AI605" s="11" t="n"/>
      <c r="AK605">
        <f>IF($D605="","",IF(COUNTIF($D$2:$D605,$D605)=1,1,0))</f>
        <v/>
      </c>
      <c r="AL605">
        <f>IF($AK605=1,SUMPRODUCT(--($AO$2:$AO$3001&lt;$AO605))+1,"")</f>
        <v/>
      </c>
      <c r="AM605">
        <f>IF($D605="","",IF(OR($R605=TRUE(),$R605="TRUE"),1,0))</f>
        <v/>
      </c>
      <c r="AN605">
        <f>IF($D605="","",IF($X605="Yes",1,0))</f>
        <v/>
      </c>
      <c r="AO605">
        <f>IF($AK605=1,IFERROR(IF(VALUE($D605)&lt;100000000,VALUE($D605),1000000000),IFERROR(IF(VALUE(MID($D605,2,20))&lt;100000000,VALUE(MID($D605,2,20)),1000000000),1000000000))+ROW()/100000,"")</f>
        <v/>
      </c>
    </row>
    <row r="606">
      <c r="F606" s="11" t="n"/>
      <c r="N606" s="7">
        <f>IF($D606="","",M606*V606/100)</f>
        <v/>
      </c>
      <c r="O606" s="7" t="n"/>
      <c r="U606" s="7" t="n"/>
      <c r="V606" s="7" t="n"/>
      <c r="Y606">
        <f>IF($D606="","",IF($AN606=1,0,IF($AM606=1,Settings!$C$6,Settings!$C$7))*100)</f>
        <v/>
      </c>
      <c r="Z606" s="7">
        <f>IF($D606="","",V606*Y606/100)</f>
        <v/>
      </c>
      <c r="AA606" s="7">
        <f>IF($D606="","",V606-Z606)</f>
        <v/>
      </c>
      <c r="AB606" s="7">
        <f>IF($D606="","",AA606-N606)</f>
        <v/>
      </c>
      <c r="AF606" s="7" t="n"/>
      <c r="AI606" s="11" t="n"/>
      <c r="AK606">
        <f>IF($D606="","",IF(COUNTIF($D$2:$D606,$D606)=1,1,0))</f>
        <v/>
      </c>
      <c r="AL606">
        <f>IF($AK606=1,SUMPRODUCT(--($AO$2:$AO$3001&lt;$AO606))+1,"")</f>
        <v/>
      </c>
      <c r="AM606">
        <f>IF($D606="","",IF(OR($R606=TRUE(),$R606="TRUE"),1,0))</f>
        <v/>
      </c>
      <c r="AN606">
        <f>IF($D606="","",IF($X606="Yes",1,0))</f>
        <v/>
      </c>
      <c r="AO606">
        <f>IF($AK606=1,IFERROR(IF(VALUE($D606)&lt;100000000,VALUE($D606),1000000000),IFERROR(IF(VALUE(MID($D606,2,20))&lt;100000000,VALUE(MID($D606,2,20)),1000000000),1000000000))+ROW()/100000,"")</f>
        <v/>
      </c>
    </row>
    <row r="607">
      <c r="F607" s="11" t="n"/>
      <c r="N607" s="7">
        <f>IF($D607="","",M607*V607/100)</f>
        <v/>
      </c>
      <c r="O607" s="7" t="n"/>
      <c r="U607" s="7" t="n"/>
      <c r="V607" s="7" t="n"/>
      <c r="Y607">
        <f>IF($D607="","",IF($AN607=1,0,IF($AM607=1,Settings!$C$6,Settings!$C$7))*100)</f>
        <v/>
      </c>
      <c r="Z607" s="7">
        <f>IF($D607="","",V607*Y607/100)</f>
        <v/>
      </c>
      <c r="AA607" s="7">
        <f>IF($D607="","",V607-Z607)</f>
        <v/>
      </c>
      <c r="AB607" s="7">
        <f>IF($D607="","",AA607-N607)</f>
        <v/>
      </c>
      <c r="AF607" s="7" t="n"/>
      <c r="AI607" s="11" t="n"/>
      <c r="AK607">
        <f>IF($D607="","",IF(COUNTIF($D$2:$D607,$D607)=1,1,0))</f>
        <v/>
      </c>
      <c r="AL607">
        <f>IF($AK607=1,SUMPRODUCT(--($AO$2:$AO$3001&lt;$AO607))+1,"")</f>
        <v/>
      </c>
      <c r="AM607">
        <f>IF($D607="","",IF(OR($R607=TRUE(),$R607="TRUE"),1,0))</f>
        <v/>
      </c>
      <c r="AN607">
        <f>IF($D607="","",IF($X607="Yes",1,0))</f>
        <v/>
      </c>
      <c r="AO607">
        <f>IF($AK607=1,IFERROR(IF(VALUE($D607)&lt;100000000,VALUE($D607),1000000000),IFERROR(IF(VALUE(MID($D607,2,20))&lt;100000000,VALUE(MID($D607,2,20)),1000000000),1000000000))+ROW()/100000,"")</f>
        <v/>
      </c>
    </row>
    <row r="608">
      <c r="F608" s="11" t="n"/>
      <c r="N608" s="7">
        <f>IF($D608="","",M608*V608/100)</f>
        <v/>
      </c>
      <c r="O608" s="7" t="n"/>
      <c r="U608" s="7" t="n"/>
      <c r="V608" s="7" t="n"/>
      <c r="Y608">
        <f>IF($D608="","",IF($AN608=1,0,IF($AM608=1,Settings!$C$6,Settings!$C$7))*100)</f>
        <v/>
      </c>
      <c r="Z608" s="7">
        <f>IF($D608="","",V608*Y608/100)</f>
        <v/>
      </c>
      <c r="AA608" s="7">
        <f>IF($D608="","",V608-Z608)</f>
        <v/>
      </c>
      <c r="AB608" s="7">
        <f>IF($D608="","",AA608-N608)</f>
        <v/>
      </c>
      <c r="AF608" s="7" t="n"/>
      <c r="AI608" s="11" t="n"/>
      <c r="AK608">
        <f>IF($D608="","",IF(COUNTIF($D$2:$D608,$D608)=1,1,0))</f>
        <v/>
      </c>
      <c r="AL608">
        <f>IF($AK608=1,SUMPRODUCT(--($AO$2:$AO$3001&lt;$AO608))+1,"")</f>
        <v/>
      </c>
      <c r="AM608">
        <f>IF($D608="","",IF(OR($R608=TRUE(),$R608="TRUE"),1,0))</f>
        <v/>
      </c>
      <c r="AN608">
        <f>IF($D608="","",IF($X608="Yes",1,0))</f>
        <v/>
      </c>
      <c r="AO608">
        <f>IF($AK608=1,IFERROR(IF(VALUE($D608)&lt;100000000,VALUE($D608),1000000000),IFERROR(IF(VALUE(MID($D608,2,20))&lt;100000000,VALUE(MID($D608,2,20)),1000000000),1000000000))+ROW()/100000,"")</f>
        <v/>
      </c>
    </row>
    <row r="609">
      <c r="F609" s="11" t="n"/>
      <c r="N609" s="7">
        <f>IF($D609="","",M609*V609/100)</f>
        <v/>
      </c>
      <c r="O609" s="7" t="n"/>
      <c r="U609" s="7" t="n"/>
      <c r="V609" s="7" t="n"/>
      <c r="Y609">
        <f>IF($D609="","",IF($AN609=1,0,IF($AM609=1,Settings!$C$6,Settings!$C$7))*100)</f>
        <v/>
      </c>
      <c r="Z609" s="7">
        <f>IF($D609="","",V609*Y609/100)</f>
        <v/>
      </c>
      <c r="AA609" s="7">
        <f>IF($D609="","",V609-Z609)</f>
        <v/>
      </c>
      <c r="AB609" s="7">
        <f>IF($D609="","",AA609-N609)</f>
        <v/>
      </c>
      <c r="AF609" s="7" t="n"/>
      <c r="AI609" s="11" t="n"/>
      <c r="AK609">
        <f>IF($D609="","",IF(COUNTIF($D$2:$D609,$D609)=1,1,0))</f>
        <v/>
      </c>
      <c r="AL609">
        <f>IF($AK609=1,SUMPRODUCT(--($AO$2:$AO$3001&lt;$AO609))+1,"")</f>
        <v/>
      </c>
      <c r="AM609">
        <f>IF($D609="","",IF(OR($R609=TRUE(),$R609="TRUE"),1,0))</f>
        <v/>
      </c>
      <c r="AN609">
        <f>IF($D609="","",IF($X609="Yes",1,0))</f>
        <v/>
      </c>
      <c r="AO609">
        <f>IF($AK609=1,IFERROR(IF(VALUE($D609)&lt;100000000,VALUE($D609),1000000000),IFERROR(IF(VALUE(MID($D609,2,20))&lt;100000000,VALUE(MID($D609,2,20)),1000000000),1000000000))+ROW()/100000,"")</f>
        <v/>
      </c>
    </row>
    <row r="610">
      <c r="F610" s="11" t="n"/>
      <c r="N610" s="7">
        <f>IF($D610="","",M610*V610/100)</f>
        <v/>
      </c>
      <c r="O610" s="7" t="n"/>
      <c r="U610" s="7" t="n"/>
      <c r="V610" s="7" t="n"/>
      <c r="Y610">
        <f>IF($D610="","",IF($AN610=1,0,IF($AM610=1,Settings!$C$6,Settings!$C$7))*100)</f>
        <v/>
      </c>
      <c r="Z610" s="7">
        <f>IF($D610="","",V610*Y610/100)</f>
        <v/>
      </c>
      <c r="AA610" s="7">
        <f>IF($D610="","",V610-Z610)</f>
        <v/>
      </c>
      <c r="AB610" s="7">
        <f>IF($D610="","",AA610-N610)</f>
        <v/>
      </c>
      <c r="AF610" s="7" t="n"/>
      <c r="AI610" s="11" t="n"/>
      <c r="AK610">
        <f>IF($D610="","",IF(COUNTIF($D$2:$D610,$D610)=1,1,0))</f>
        <v/>
      </c>
      <c r="AL610">
        <f>IF($AK610=1,SUMPRODUCT(--($AO$2:$AO$3001&lt;$AO610))+1,"")</f>
        <v/>
      </c>
      <c r="AM610">
        <f>IF($D610="","",IF(OR($R610=TRUE(),$R610="TRUE"),1,0))</f>
        <v/>
      </c>
      <c r="AN610">
        <f>IF($D610="","",IF($X610="Yes",1,0))</f>
        <v/>
      </c>
      <c r="AO610">
        <f>IF($AK610=1,IFERROR(IF(VALUE($D610)&lt;100000000,VALUE($D610),1000000000),IFERROR(IF(VALUE(MID($D610,2,20))&lt;100000000,VALUE(MID($D610,2,20)),1000000000),1000000000))+ROW()/100000,"")</f>
        <v/>
      </c>
    </row>
    <row r="611">
      <c r="F611" s="11" t="n"/>
      <c r="N611" s="7">
        <f>IF($D611="","",M611*V611/100)</f>
        <v/>
      </c>
      <c r="O611" s="7" t="n"/>
      <c r="U611" s="7" t="n"/>
      <c r="V611" s="7" t="n"/>
      <c r="Y611">
        <f>IF($D611="","",IF($AN611=1,0,IF($AM611=1,Settings!$C$6,Settings!$C$7))*100)</f>
        <v/>
      </c>
      <c r="Z611" s="7">
        <f>IF($D611="","",V611*Y611/100)</f>
        <v/>
      </c>
      <c r="AA611" s="7">
        <f>IF($D611="","",V611-Z611)</f>
        <v/>
      </c>
      <c r="AB611" s="7">
        <f>IF($D611="","",AA611-N611)</f>
        <v/>
      </c>
      <c r="AF611" s="7" t="n"/>
      <c r="AI611" s="11" t="n"/>
      <c r="AK611">
        <f>IF($D611="","",IF(COUNTIF($D$2:$D611,$D611)=1,1,0))</f>
        <v/>
      </c>
      <c r="AL611">
        <f>IF($AK611=1,SUMPRODUCT(--($AO$2:$AO$3001&lt;$AO611))+1,"")</f>
        <v/>
      </c>
      <c r="AM611">
        <f>IF($D611="","",IF(OR($R611=TRUE(),$R611="TRUE"),1,0))</f>
        <v/>
      </c>
      <c r="AN611">
        <f>IF($D611="","",IF($X611="Yes",1,0))</f>
        <v/>
      </c>
      <c r="AO611">
        <f>IF($AK611=1,IFERROR(IF(VALUE($D611)&lt;100000000,VALUE($D611),1000000000),IFERROR(IF(VALUE(MID($D611,2,20))&lt;100000000,VALUE(MID($D611,2,20)),1000000000),1000000000))+ROW()/100000,"")</f>
        <v/>
      </c>
    </row>
    <row r="612">
      <c r="F612" s="11" t="n"/>
      <c r="N612" s="7">
        <f>IF($D612="","",M612*V612/100)</f>
        <v/>
      </c>
      <c r="O612" s="7" t="n"/>
      <c r="U612" s="7" t="n"/>
      <c r="V612" s="7" t="n"/>
      <c r="Y612">
        <f>IF($D612="","",IF($AN612=1,0,IF($AM612=1,Settings!$C$6,Settings!$C$7))*100)</f>
        <v/>
      </c>
      <c r="Z612" s="7">
        <f>IF($D612="","",V612*Y612/100)</f>
        <v/>
      </c>
      <c r="AA612" s="7">
        <f>IF($D612="","",V612-Z612)</f>
        <v/>
      </c>
      <c r="AB612" s="7">
        <f>IF($D612="","",AA612-N612)</f>
        <v/>
      </c>
      <c r="AF612" s="7" t="n"/>
      <c r="AI612" s="11" t="n"/>
      <c r="AK612">
        <f>IF($D612="","",IF(COUNTIF($D$2:$D612,$D612)=1,1,0))</f>
        <v/>
      </c>
      <c r="AL612">
        <f>IF($AK612=1,SUMPRODUCT(--($AO$2:$AO$3001&lt;$AO612))+1,"")</f>
        <v/>
      </c>
      <c r="AM612">
        <f>IF($D612="","",IF(OR($R612=TRUE(),$R612="TRUE"),1,0))</f>
        <v/>
      </c>
      <c r="AN612">
        <f>IF($D612="","",IF($X612="Yes",1,0))</f>
        <v/>
      </c>
      <c r="AO612">
        <f>IF($AK612=1,IFERROR(IF(VALUE($D612)&lt;100000000,VALUE($D612),1000000000),IFERROR(IF(VALUE(MID($D612,2,20))&lt;100000000,VALUE(MID($D612,2,20)),1000000000),1000000000))+ROW()/100000,"")</f>
        <v/>
      </c>
    </row>
    <row r="613">
      <c r="F613" s="11" t="n"/>
      <c r="N613" s="7">
        <f>IF($D613="","",M613*V613/100)</f>
        <v/>
      </c>
      <c r="O613" s="7" t="n"/>
      <c r="U613" s="7" t="n"/>
      <c r="V613" s="7" t="n"/>
      <c r="Y613">
        <f>IF($D613="","",IF($AN613=1,0,IF($AM613=1,Settings!$C$6,Settings!$C$7))*100)</f>
        <v/>
      </c>
      <c r="Z613" s="7">
        <f>IF($D613="","",V613*Y613/100)</f>
        <v/>
      </c>
      <c r="AA613" s="7">
        <f>IF($D613="","",V613-Z613)</f>
        <v/>
      </c>
      <c r="AB613" s="7">
        <f>IF($D613="","",AA613-N613)</f>
        <v/>
      </c>
      <c r="AF613" s="7" t="n"/>
      <c r="AI613" s="11" t="n"/>
      <c r="AK613">
        <f>IF($D613="","",IF(COUNTIF($D$2:$D613,$D613)=1,1,0))</f>
        <v/>
      </c>
      <c r="AL613">
        <f>IF($AK613=1,SUMPRODUCT(--($AO$2:$AO$3001&lt;$AO613))+1,"")</f>
        <v/>
      </c>
      <c r="AM613">
        <f>IF($D613="","",IF(OR($R613=TRUE(),$R613="TRUE"),1,0))</f>
        <v/>
      </c>
      <c r="AN613">
        <f>IF($D613="","",IF($X613="Yes",1,0))</f>
        <v/>
      </c>
      <c r="AO613">
        <f>IF($AK613=1,IFERROR(IF(VALUE($D613)&lt;100000000,VALUE($D613),1000000000),IFERROR(IF(VALUE(MID($D613,2,20))&lt;100000000,VALUE(MID($D613,2,20)),1000000000),1000000000))+ROW()/100000,"")</f>
        <v/>
      </c>
    </row>
    <row r="614">
      <c r="F614" s="11" t="n"/>
      <c r="N614" s="7">
        <f>IF($D614="","",M614*V614/100)</f>
        <v/>
      </c>
      <c r="O614" s="7" t="n"/>
      <c r="U614" s="7" t="n"/>
      <c r="V614" s="7" t="n"/>
      <c r="Y614">
        <f>IF($D614="","",IF($AN614=1,0,IF($AM614=1,Settings!$C$6,Settings!$C$7))*100)</f>
        <v/>
      </c>
      <c r="Z614" s="7">
        <f>IF($D614="","",V614*Y614/100)</f>
        <v/>
      </c>
      <c r="AA614" s="7">
        <f>IF($D614="","",V614-Z614)</f>
        <v/>
      </c>
      <c r="AB614" s="7">
        <f>IF($D614="","",AA614-N614)</f>
        <v/>
      </c>
      <c r="AF614" s="7" t="n"/>
      <c r="AI614" s="11" t="n"/>
      <c r="AK614">
        <f>IF($D614="","",IF(COUNTIF($D$2:$D614,$D614)=1,1,0))</f>
        <v/>
      </c>
      <c r="AL614">
        <f>IF($AK614=1,SUMPRODUCT(--($AO$2:$AO$3001&lt;$AO614))+1,"")</f>
        <v/>
      </c>
      <c r="AM614">
        <f>IF($D614="","",IF(OR($R614=TRUE(),$R614="TRUE"),1,0))</f>
        <v/>
      </c>
      <c r="AN614">
        <f>IF($D614="","",IF($X614="Yes",1,0))</f>
        <v/>
      </c>
      <c r="AO614">
        <f>IF($AK614=1,IFERROR(IF(VALUE($D614)&lt;100000000,VALUE($D614),1000000000),IFERROR(IF(VALUE(MID($D614,2,20))&lt;100000000,VALUE(MID($D614,2,20)),1000000000),1000000000))+ROW()/100000,"")</f>
        <v/>
      </c>
    </row>
    <row r="615">
      <c r="F615" s="11" t="n"/>
      <c r="N615" s="7">
        <f>IF($D615="","",M615*V615/100)</f>
        <v/>
      </c>
      <c r="O615" s="7" t="n"/>
      <c r="U615" s="7" t="n"/>
      <c r="V615" s="7" t="n"/>
      <c r="Y615">
        <f>IF($D615="","",IF($AN615=1,0,IF($AM615=1,Settings!$C$6,Settings!$C$7))*100)</f>
        <v/>
      </c>
      <c r="Z615" s="7">
        <f>IF($D615="","",V615*Y615/100)</f>
        <v/>
      </c>
      <c r="AA615" s="7">
        <f>IF($D615="","",V615-Z615)</f>
        <v/>
      </c>
      <c r="AB615" s="7">
        <f>IF($D615="","",AA615-N615)</f>
        <v/>
      </c>
      <c r="AF615" s="7" t="n"/>
      <c r="AI615" s="11" t="n"/>
      <c r="AK615">
        <f>IF($D615="","",IF(COUNTIF($D$2:$D615,$D615)=1,1,0))</f>
        <v/>
      </c>
      <c r="AL615">
        <f>IF($AK615=1,SUMPRODUCT(--($AO$2:$AO$3001&lt;$AO615))+1,"")</f>
        <v/>
      </c>
      <c r="AM615">
        <f>IF($D615="","",IF(OR($R615=TRUE(),$R615="TRUE"),1,0))</f>
        <v/>
      </c>
      <c r="AN615">
        <f>IF($D615="","",IF($X615="Yes",1,0))</f>
        <v/>
      </c>
      <c r="AO615">
        <f>IF($AK615=1,IFERROR(IF(VALUE($D615)&lt;100000000,VALUE($D615),1000000000),IFERROR(IF(VALUE(MID($D615,2,20))&lt;100000000,VALUE(MID($D615,2,20)),1000000000),1000000000))+ROW()/100000,"")</f>
        <v/>
      </c>
    </row>
    <row r="616">
      <c r="F616" s="11" t="n"/>
      <c r="N616" s="7">
        <f>IF($D616="","",M616*V616/100)</f>
        <v/>
      </c>
      <c r="O616" s="7" t="n"/>
      <c r="U616" s="7" t="n"/>
      <c r="V616" s="7" t="n"/>
      <c r="Y616">
        <f>IF($D616="","",IF($AN616=1,0,IF($AM616=1,Settings!$C$6,Settings!$C$7))*100)</f>
        <v/>
      </c>
      <c r="Z616" s="7">
        <f>IF($D616="","",V616*Y616/100)</f>
        <v/>
      </c>
      <c r="AA616" s="7">
        <f>IF($D616="","",V616-Z616)</f>
        <v/>
      </c>
      <c r="AB616" s="7">
        <f>IF($D616="","",AA616-N616)</f>
        <v/>
      </c>
      <c r="AF616" s="7" t="n"/>
      <c r="AI616" s="11" t="n"/>
      <c r="AK616">
        <f>IF($D616="","",IF(COUNTIF($D$2:$D616,$D616)=1,1,0))</f>
        <v/>
      </c>
      <c r="AL616">
        <f>IF($AK616=1,SUMPRODUCT(--($AO$2:$AO$3001&lt;$AO616))+1,"")</f>
        <v/>
      </c>
      <c r="AM616">
        <f>IF($D616="","",IF(OR($R616=TRUE(),$R616="TRUE"),1,0))</f>
        <v/>
      </c>
      <c r="AN616">
        <f>IF($D616="","",IF($X616="Yes",1,0))</f>
        <v/>
      </c>
      <c r="AO616">
        <f>IF($AK616=1,IFERROR(IF(VALUE($D616)&lt;100000000,VALUE($D616),1000000000),IFERROR(IF(VALUE(MID($D616,2,20))&lt;100000000,VALUE(MID($D616,2,20)),1000000000),1000000000))+ROW()/100000,"")</f>
        <v/>
      </c>
    </row>
    <row r="617">
      <c r="F617" s="11" t="n"/>
      <c r="N617" s="7">
        <f>IF($D617="","",M617*V617/100)</f>
        <v/>
      </c>
      <c r="O617" s="7" t="n"/>
      <c r="U617" s="7" t="n"/>
      <c r="V617" s="7" t="n"/>
      <c r="Y617">
        <f>IF($D617="","",IF($AN617=1,0,IF($AM617=1,Settings!$C$6,Settings!$C$7))*100)</f>
        <v/>
      </c>
      <c r="Z617" s="7">
        <f>IF($D617="","",V617*Y617/100)</f>
        <v/>
      </c>
      <c r="AA617" s="7">
        <f>IF($D617="","",V617-Z617)</f>
        <v/>
      </c>
      <c r="AB617" s="7">
        <f>IF($D617="","",AA617-N617)</f>
        <v/>
      </c>
      <c r="AF617" s="7" t="n"/>
      <c r="AI617" s="11" t="n"/>
      <c r="AK617">
        <f>IF($D617="","",IF(COUNTIF($D$2:$D617,$D617)=1,1,0))</f>
        <v/>
      </c>
      <c r="AL617">
        <f>IF($AK617=1,SUMPRODUCT(--($AO$2:$AO$3001&lt;$AO617))+1,"")</f>
        <v/>
      </c>
      <c r="AM617">
        <f>IF($D617="","",IF(OR($R617=TRUE(),$R617="TRUE"),1,0))</f>
        <v/>
      </c>
      <c r="AN617">
        <f>IF($D617="","",IF($X617="Yes",1,0))</f>
        <v/>
      </c>
      <c r="AO617">
        <f>IF($AK617=1,IFERROR(IF(VALUE($D617)&lt;100000000,VALUE($D617),1000000000),IFERROR(IF(VALUE(MID($D617,2,20))&lt;100000000,VALUE(MID($D617,2,20)),1000000000),1000000000))+ROW()/100000,"")</f>
        <v/>
      </c>
    </row>
    <row r="618">
      <c r="F618" s="11" t="n"/>
      <c r="N618" s="7">
        <f>IF($D618="","",M618*V618/100)</f>
        <v/>
      </c>
      <c r="O618" s="7" t="n"/>
      <c r="U618" s="7" t="n"/>
      <c r="V618" s="7" t="n"/>
      <c r="Y618">
        <f>IF($D618="","",IF($AN618=1,0,IF($AM618=1,Settings!$C$6,Settings!$C$7))*100)</f>
        <v/>
      </c>
      <c r="Z618" s="7">
        <f>IF($D618="","",V618*Y618/100)</f>
        <v/>
      </c>
      <c r="AA618" s="7">
        <f>IF($D618="","",V618-Z618)</f>
        <v/>
      </c>
      <c r="AB618" s="7">
        <f>IF($D618="","",AA618-N618)</f>
        <v/>
      </c>
      <c r="AF618" s="7" t="n"/>
      <c r="AI618" s="11" t="n"/>
      <c r="AK618">
        <f>IF($D618="","",IF(COUNTIF($D$2:$D618,$D618)=1,1,0))</f>
        <v/>
      </c>
      <c r="AL618">
        <f>IF($AK618=1,SUMPRODUCT(--($AO$2:$AO$3001&lt;$AO618))+1,"")</f>
        <v/>
      </c>
      <c r="AM618">
        <f>IF($D618="","",IF(OR($R618=TRUE(),$R618="TRUE"),1,0))</f>
        <v/>
      </c>
      <c r="AN618">
        <f>IF($D618="","",IF($X618="Yes",1,0))</f>
        <v/>
      </c>
      <c r="AO618">
        <f>IF($AK618=1,IFERROR(IF(VALUE($D618)&lt;100000000,VALUE($D618),1000000000),IFERROR(IF(VALUE(MID($D618,2,20))&lt;100000000,VALUE(MID($D618,2,20)),1000000000),1000000000))+ROW()/100000,"")</f>
        <v/>
      </c>
    </row>
    <row r="619">
      <c r="F619" s="11" t="n"/>
      <c r="N619" s="7">
        <f>IF($D619="","",M619*V619/100)</f>
        <v/>
      </c>
      <c r="O619" s="7" t="n"/>
      <c r="U619" s="7" t="n"/>
      <c r="V619" s="7" t="n"/>
      <c r="Y619">
        <f>IF($D619="","",IF($AN619=1,0,IF($AM619=1,Settings!$C$6,Settings!$C$7))*100)</f>
        <v/>
      </c>
      <c r="Z619" s="7">
        <f>IF($D619="","",V619*Y619/100)</f>
        <v/>
      </c>
      <c r="AA619" s="7">
        <f>IF($D619="","",V619-Z619)</f>
        <v/>
      </c>
      <c r="AB619" s="7">
        <f>IF($D619="","",AA619-N619)</f>
        <v/>
      </c>
      <c r="AF619" s="7" t="n"/>
      <c r="AI619" s="11" t="n"/>
      <c r="AK619">
        <f>IF($D619="","",IF(COUNTIF($D$2:$D619,$D619)=1,1,0))</f>
        <v/>
      </c>
      <c r="AL619">
        <f>IF($AK619=1,SUMPRODUCT(--($AO$2:$AO$3001&lt;$AO619))+1,"")</f>
        <v/>
      </c>
      <c r="AM619">
        <f>IF($D619="","",IF(OR($R619=TRUE(),$R619="TRUE"),1,0))</f>
        <v/>
      </c>
      <c r="AN619">
        <f>IF($D619="","",IF($X619="Yes",1,0))</f>
        <v/>
      </c>
      <c r="AO619">
        <f>IF($AK619=1,IFERROR(IF(VALUE($D619)&lt;100000000,VALUE($D619),1000000000),IFERROR(IF(VALUE(MID($D619,2,20))&lt;100000000,VALUE(MID($D619,2,20)),1000000000),1000000000))+ROW()/100000,"")</f>
        <v/>
      </c>
    </row>
    <row r="620">
      <c r="F620" s="11" t="n"/>
      <c r="N620" s="7">
        <f>IF($D620="","",M620*V620/100)</f>
        <v/>
      </c>
      <c r="O620" s="7" t="n"/>
      <c r="U620" s="7" t="n"/>
      <c r="V620" s="7" t="n"/>
      <c r="Y620">
        <f>IF($D620="","",IF($AN620=1,0,IF($AM620=1,Settings!$C$6,Settings!$C$7))*100)</f>
        <v/>
      </c>
      <c r="Z620" s="7">
        <f>IF($D620="","",V620*Y620/100)</f>
        <v/>
      </c>
      <c r="AA620" s="7">
        <f>IF($D620="","",V620-Z620)</f>
        <v/>
      </c>
      <c r="AB620" s="7">
        <f>IF($D620="","",AA620-N620)</f>
        <v/>
      </c>
      <c r="AF620" s="7" t="n"/>
      <c r="AI620" s="11" t="n"/>
      <c r="AK620">
        <f>IF($D620="","",IF(COUNTIF($D$2:$D620,$D620)=1,1,0))</f>
        <v/>
      </c>
      <c r="AL620">
        <f>IF($AK620=1,SUMPRODUCT(--($AO$2:$AO$3001&lt;$AO620))+1,"")</f>
        <v/>
      </c>
      <c r="AM620">
        <f>IF($D620="","",IF(OR($R620=TRUE(),$R620="TRUE"),1,0))</f>
        <v/>
      </c>
      <c r="AN620">
        <f>IF($D620="","",IF($X620="Yes",1,0))</f>
        <v/>
      </c>
      <c r="AO620">
        <f>IF($AK620=1,IFERROR(IF(VALUE($D620)&lt;100000000,VALUE($D620),1000000000),IFERROR(IF(VALUE(MID($D620,2,20))&lt;100000000,VALUE(MID($D620,2,20)),1000000000),1000000000))+ROW()/100000,"")</f>
        <v/>
      </c>
    </row>
    <row r="621">
      <c r="F621" s="11" t="n"/>
      <c r="N621" s="7">
        <f>IF($D621="","",M621*V621/100)</f>
        <v/>
      </c>
      <c r="O621" s="7" t="n"/>
      <c r="U621" s="7" t="n"/>
      <c r="V621" s="7" t="n"/>
      <c r="Y621">
        <f>IF($D621="","",IF($AN621=1,0,IF($AM621=1,Settings!$C$6,Settings!$C$7))*100)</f>
        <v/>
      </c>
      <c r="Z621" s="7">
        <f>IF($D621="","",V621*Y621/100)</f>
        <v/>
      </c>
      <c r="AA621" s="7">
        <f>IF($D621="","",V621-Z621)</f>
        <v/>
      </c>
      <c r="AB621" s="7">
        <f>IF($D621="","",AA621-N621)</f>
        <v/>
      </c>
      <c r="AF621" s="7" t="n"/>
      <c r="AI621" s="11" t="n"/>
      <c r="AK621">
        <f>IF($D621="","",IF(COUNTIF($D$2:$D621,$D621)=1,1,0))</f>
        <v/>
      </c>
      <c r="AL621">
        <f>IF($AK621=1,SUMPRODUCT(--($AO$2:$AO$3001&lt;$AO621))+1,"")</f>
        <v/>
      </c>
      <c r="AM621">
        <f>IF($D621="","",IF(OR($R621=TRUE(),$R621="TRUE"),1,0))</f>
        <v/>
      </c>
      <c r="AN621">
        <f>IF($D621="","",IF($X621="Yes",1,0))</f>
        <v/>
      </c>
      <c r="AO621">
        <f>IF($AK621=1,IFERROR(IF(VALUE($D621)&lt;100000000,VALUE($D621),1000000000),IFERROR(IF(VALUE(MID($D621,2,20))&lt;100000000,VALUE(MID($D621,2,20)),1000000000),1000000000))+ROW()/100000,"")</f>
        <v/>
      </c>
    </row>
    <row r="622">
      <c r="F622" s="11" t="n"/>
      <c r="N622" s="7">
        <f>IF($D622="","",M622*V622/100)</f>
        <v/>
      </c>
      <c r="O622" s="7" t="n"/>
      <c r="U622" s="7" t="n"/>
      <c r="V622" s="7" t="n"/>
      <c r="Y622">
        <f>IF($D622="","",IF($AN622=1,0,IF($AM622=1,Settings!$C$6,Settings!$C$7))*100)</f>
        <v/>
      </c>
      <c r="Z622" s="7">
        <f>IF($D622="","",V622*Y622/100)</f>
        <v/>
      </c>
      <c r="AA622" s="7">
        <f>IF($D622="","",V622-Z622)</f>
        <v/>
      </c>
      <c r="AB622" s="7">
        <f>IF($D622="","",AA622-N622)</f>
        <v/>
      </c>
      <c r="AF622" s="7" t="n"/>
      <c r="AI622" s="11" t="n"/>
      <c r="AK622">
        <f>IF($D622="","",IF(COUNTIF($D$2:$D622,$D622)=1,1,0))</f>
        <v/>
      </c>
      <c r="AL622">
        <f>IF($AK622=1,SUMPRODUCT(--($AO$2:$AO$3001&lt;$AO622))+1,"")</f>
        <v/>
      </c>
      <c r="AM622">
        <f>IF($D622="","",IF(OR($R622=TRUE(),$R622="TRUE"),1,0))</f>
        <v/>
      </c>
      <c r="AN622">
        <f>IF($D622="","",IF($X622="Yes",1,0))</f>
        <v/>
      </c>
      <c r="AO622">
        <f>IF($AK622=1,IFERROR(IF(VALUE($D622)&lt;100000000,VALUE($D622),1000000000),IFERROR(IF(VALUE(MID($D622,2,20))&lt;100000000,VALUE(MID($D622,2,20)),1000000000),1000000000))+ROW()/100000,"")</f>
        <v/>
      </c>
    </row>
    <row r="623">
      <c r="F623" s="11" t="n"/>
      <c r="N623" s="7">
        <f>IF($D623="","",M623*V623/100)</f>
        <v/>
      </c>
      <c r="O623" s="7" t="n"/>
      <c r="U623" s="7" t="n"/>
      <c r="V623" s="7" t="n"/>
      <c r="Y623">
        <f>IF($D623="","",IF($AN623=1,0,IF($AM623=1,Settings!$C$6,Settings!$C$7))*100)</f>
        <v/>
      </c>
      <c r="Z623" s="7">
        <f>IF($D623="","",V623*Y623/100)</f>
        <v/>
      </c>
      <c r="AA623" s="7">
        <f>IF($D623="","",V623-Z623)</f>
        <v/>
      </c>
      <c r="AB623" s="7">
        <f>IF($D623="","",AA623-N623)</f>
        <v/>
      </c>
      <c r="AF623" s="7" t="n"/>
      <c r="AI623" s="11" t="n"/>
      <c r="AK623">
        <f>IF($D623="","",IF(COUNTIF($D$2:$D623,$D623)=1,1,0))</f>
        <v/>
      </c>
      <c r="AL623">
        <f>IF($AK623=1,SUMPRODUCT(--($AO$2:$AO$3001&lt;$AO623))+1,"")</f>
        <v/>
      </c>
      <c r="AM623">
        <f>IF($D623="","",IF(OR($R623=TRUE(),$R623="TRUE"),1,0))</f>
        <v/>
      </c>
      <c r="AN623">
        <f>IF($D623="","",IF($X623="Yes",1,0))</f>
        <v/>
      </c>
      <c r="AO623">
        <f>IF($AK623=1,IFERROR(IF(VALUE($D623)&lt;100000000,VALUE($D623),1000000000),IFERROR(IF(VALUE(MID($D623,2,20))&lt;100000000,VALUE(MID($D623,2,20)),1000000000),1000000000))+ROW()/100000,"")</f>
        <v/>
      </c>
    </row>
    <row r="624">
      <c r="F624" s="11" t="n"/>
      <c r="N624" s="7">
        <f>IF($D624="","",M624*V624/100)</f>
        <v/>
      </c>
      <c r="O624" s="7" t="n"/>
      <c r="U624" s="7" t="n"/>
      <c r="V624" s="7" t="n"/>
      <c r="Y624">
        <f>IF($D624="","",IF($AN624=1,0,IF($AM624=1,Settings!$C$6,Settings!$C$7))*100)</f>
        <v/>
      </c>
      <c r="Z624" s="7">
        <f>IF($D624="","",V624*Y624/100)</f>
        <v/>
      </c>
      <c r="AA624" s="7">
        <f>IF($D624="","",V624-Z624)</f>
        <v/>
      </c>
      <c r="AB624" s="7">
        <f>IF($D624="","",AA624-N624)</f>
        <v/>
      </c>
      <c r="AF624" s="7" t="n"/>
      <c r="AI624" s="11" t="n"/>
      <c r="AK624">
        <f>IF($D624="","",IF(COUNTIF($D$2:$D624,$D624)=1,1,0))</f>
        <v/>
      </c>
      <c r="AL624">
        <f>IF($AK624=1,SUMPRODUCT(--($AO$2:$AO$3001&lt;$AO624))+1,"")</f>
        <v/>
      </c>
      <c r="AM624">
        <f>IF($D624="","",IF(OR($R624=TRUE(),$R624="TRUE"),1,0))</f>
        <v/>
      </c>
      <c r="AN624">
        <f>IF($D624="","",IF($X624="Yes",1,0))</f>
        <v/>
      </c>
      <c r="AO624">
        <f>IF($AK624=1,IFERROR(IF(VALUE($D624)&lt;100000000,VALUE($D624),1000000000),IFERROR(IF(VALUE(MID($D624,2,20))&lt;100000000,VALUE(MID($D624,2,20)),1000000000),1000000000))+ROW()/100000,"")</f>
        <v/>
      </c>
    </row>
    <row r="625">
      <c r="F625" s="11" t="n"/>
      <c r="N625" s="7">
        <f>IF($D625="","",M625*V625/100)</f>
        <v/>
      </c>
      <c r="O625" s="7" t="n"/>
      <c r="U625" s="7" t="n"/>
      <c r="V625" s="7" t="n"/>
      <c r="Y625">
        <f>IF($D625="","",IF($AN625=1,0,IF($AM625=1,Settings!$C$6,Settings!$C$7))*100)</f>
        <v/>
      </c>
      <c r="Z625" s="7">
        <f>IF($D625="","",V625*Y625/100)</f>
        <v/>
      </c>
      <c r="AA625" s="7">
        <f>IF($D625="","",V625-Z625)</f>
        <v/>
      </c>
      <c r="AB625" s="7">
        <f>IF($D625="","",AA625-N625)</f>
        <v/>
      </c>
      <c r="AF625" s="7" t="n"/>
      <c r="AI625" s="11" t="n"/>
      <c r="AK625">
        <f>IF($D625="","",IF(COUNTIF($D$2:$D625,$D625)=1,1,0))</f>
        <v/>
      </c>
      <c r="AL625">
        <f>IF($AK625=1,SUMPRODUCT(--($AO$2:$AO$3001&lt;$AO625))+1,"")</f>
        <v/>
      </c>
      <c r="AM625">
        <f>IF($D625="","",IF(OR($R625=TRUE(),$R625="TRUE"),1,0))</f>
        <v/>
      </c>
      <c r="AN625">
        <f>IF($D625="","",IF($X625="Yes",1,0))</f>
        <v/>
      </c>
      <c r="AO625">
        <f>IF($AK625=1,IFERROR(IF(VALUE($D625)&lt;100000000,VALUE($D625),1000000000),IFERROR(IF(VALUE(MID($D625,2,20))&lt;100000000,VALUE(MID($D625,2,20)),1000000000),1000000000))+ROW()/100000,"")</f>
        <v/>
      </c>
    </row>
    <row r="626">
      <c r="F626" s="11" t="n"/>
      <c r="N626" s="7">
        <f>IF($D626="","",M626*V626/100)</f>
        <v/>
      </c>
      <c r="O626" s="7" t="n"/>
      <c r="U626" s="7" t="n"/>
      <c r="V626" s="7" t="n"/>
      <c r="Y626">
        <f>IF($D626="","",IF($AN626=1,0,IF($AM626=1,Settings!$C$6,Settings!$C$7))*100)</f>
        <v/>
      </c>
      <c r="Z626" s="7">
        <f>IF($D626="","",V626*Y626/100)</f>
        <v/>
      </c>
      <c r="AA626" s="7">
        <f>IF($D626="","",V626-Z626)</f>
        <v/>
      </c>
      <c r="AB626" s="7">
        <f>IF($D626="","",AA626-N626)</f>
        <v/>
      </c>
      <c r="AF626" s="7" t="n"/>
      <c r="AI626" s="11" t="n"/>
      <c r="AK626">
        <f>IF($D626="","",IF(COUNTIF($D$2:$D626,$D626)=1,1,0))</f>
        <v/>
      </c>
      <c r="AL626">
        <f>IF($AK626=1,SUMPRODUCT(--($AO$2:$AO$3001&lt;$AO626))+1,"")</f>
        <v/>
      </c>
      <c r="AM626">
        <f>IF($D626="","",IF(OR($R626=TRUE(),$R626="TRUE"),1,0))</f>
        <v/>
      </c>
      <c r="AN626">
        <f>IF($D626="","",IF($X626="Yes",1,0))</f>
        <v/>
      </c>
      <c r="AO626">
        <f>IF($AK626=1,IFERROR(IF(VALUE($D626)&lt;100000000,VALUE($D626),1000000000),IFERROR(IF(VALUE(MID($D626,2,20))&lt;100000000,VALUE(MID($D626,2,20)),1000000000),1000000000))+ROW()/100000,"")</f>
        <v/>
      </c>
    </row>
    <row r="627">
      <c r="F627" s="11" t="n"/>
      <c r="N627" s="7">
        <f>IF($D627="","",M627*V627/100)</f>
        <v/>
      </c>
      <c r="O627" s="7" t="n"/>
      <c r="U627" s="7" t="n"/>
      <c r="V627" s="7" t="n"/>
      <c r="Y627">
        <f>IF($D627="","",IF($AN627=1,0,IF($AM627=1,Settings!$C$6,Settings!$C$7))*100)</f>
        <v/>
      </c>
      <c r="Z627" s="7">
        <f>IF($D627="","",V627*Y627/100)</f>
        <v/>
      </c>
      <c r="AA627" s="7">
        <f>IF($D627="","",V627-Z627)</f>
        <v/>
      </c>
      <c r="AB627" s="7">
        <f>IF($D627="","",AA627-N627)</f>
        <v/>
      </c>
      <c r="AF627" s="7" t="n"/>
      <c r="AI627" s="11" t="n"/>
      <c r="AK627">
        <f>IF($D627="","",IF(COUNTIF($D$2:$D627,$D627)=1,1,0))</f>
        <v/>
      </c>
      <c r="AL627">
        <f>IF($AK627=1,SUMPRODUCT(--($AO$2:$AO$3001&lt;$AO627))+1,"")</f>
        <v/>
      </c>
      <c r="AM627">
        <f>IF($D627="","",IF(OR($R627=TRUE(),$R627="TRUE"),1,0))</f>
        <v/>
      </c>
      <c r="AN627">
        <f>IF($D627="","",IF($X627="Yes",1,0))</f>
        <v/>
      </c>
      <c r="AO627">
        <f>IF($AK627=1,IFERROR(IF(VALUE($D627)&lt;100000000,VALUE($D627),1000000000),IFERROR(IF(VALUE(MID($D627,2,20))&lt;100000000,VALUE(MID($D627,2,20)),1000000000),1000000000))+ROW()/100000,"")</f>
        <v/>
      </c>
    </row>
    <row r="628">
      <c r="F628" s="11" t="n"/>
      <c r="N628" s="7">
        <f>IF($D628="","",M628*V628/100)</f>
        <v/>
      </c>
      <c r="O628" s="7" t="n"/>
      <c r="U628" s="7" t="n"/>
      <c r="V628" s="7" t="n"/>
      <c r="Y628">
        <f>IF($D628="","",IF($AN628=1,0,IF($AM628=1,Settings!$C$6,Settings!$C$7))*100)</f>
        <v/>
      </c>
      <c r="Z628" s="7">
        <f>IF($D628="","",V628*Y628/100)</f>
        <v/>
      </c>
      <c r="AA628" s="7">
        <f>IF($D628="","",V628-Z628)</f>
        <v/>
      </c>
      <c r="AB628" s="7">
        <f>IF($D628="","",AA628-N628)</f>
        <v/>
      </c>
      <c r="AF628" s="7" t="n"/>
      <c r="AI628" s="11" t="n"/>
      <c r="AK628">
        <f>IF($D628="","",IF(COUNTIF($D$2:$D628,$D628)=1,1,0))</f>
        <v/>
      </c>
      <c r="AL628">
        <f>IF($AK628=1,SUMPRODUCT(--($AO$2:$AO$3001&lt;$AO628))+1,"")</f>
        <v/>
      </c>
      <c r="AM628">
        <f>IF($D628="","",IF(OR($R628=TRUE(),$R628="TRUE"),1,0))</f>
        <v/>
      </c>
      <c r="AN628">
        <f>IF($D628="","",IF($X628="Yes",1,0))</f>
        <v/>
      </c>
      <c r="AO628">
        <f>IF($AK628=1,IFERROR(IF(VALUE($D628)&lt;100000000,VALUE($D628),1000000000),IFERROR(IF(VALUE(MID($D628,2,20))&lt;100000000,VALUE(MID($D628,2,20)),1000000000),1000000000))+ROW()/100000,"")</f>
        <v/>
      </c>
    </row>
    <row r="629">
      <c r="F629" s="11" t="n"/>
      <c r="N629" s="7">
        <f>IF($D629="","",M629*V629/100)</f>
        <v/>
      </c>
      <c r="O629" s="7" t="n"/>
      <c r="U629" s="7" t="n"/>
      <c r="V629" s="7" t="n"/>
      <c r="Y629">
        <f>IF($D629="","",IF($AN629=1,0,IF($AM629=1,Settings!$C$6,Settings!$C$7))*100)</f>
        <v/>
      </c>
      <c r="Z629" s="7">
        <f>IF($D629="","",V629*Y629/100)</f>
        <v/>
      </c>
      <c r="AA629" s="7">
        <f>IF($D629="","",V629-Z629)</f>
        <v/>
      </c>
      <c r="AB629" s="7">
        <f>IF($D629="","",AA629-N629)</f>
        <v/>
      </c>
      <c r="AF629" s="7" t="n"/>
      <c r="AI629" s="11" t="n"/>
      <c r="AK629">
        <f>IF($D629="","",IF(COUNTIF($D$2:$D629,$D629)=1,1,0))</f>
        <v/>
      </c>
      <c r="AL629">
        <f>IF($AK629=1,SUMPRODUCT(--($AO$2:$AO$3001&lt;$AO629))+1,"")</f>
        <v/>
      </c>
      <c r="AM629">
        <f>IF($D629="","",IF(OR($R629=TRUE(),$R629="TRUE"),1,0))</f>
        <v/>
      </c>
      <c r="AN629">
        <f>IF($D629="","",IF($X629="Yes",1,0))</f>
        <v/>
      </c>
      <c r="AO629">
        <f>IF($AK629=1,IFERROR(IF(VALUE($D629)&lt;100000000,VALUE($D629),1000000000),IFERROR(IF(VALUE(MID($D629,2,20))&lt;100000000,VALUE(MID($D629,2,20)),1000000000),1000000000))+ROW()/100000,"")</f>
        <v/>
      </c>
    </row>
    <row r="630">
      <c r="F630" s="11" t="n"/>
      <c r="N630" s="7">
        <f>IF($D630="","",M630*V630/100)</f>
        <v/>
      </c>
      <c r="O630" s="7" t="n"/>
      <c r="U630" s="7" t="n"/>
      <c r="V630" s="7" t="n"/>
      <c r="Y630">
        <f>IF($D630="","",IF($AN630=1,0,IF($AM630=1,Settings!$C$6,Settings!$C$7))*100)</f>
        <v/>
      </c>
      <c r="Z630" s="7">
        <f>IF($D630="","",V630*Y630/100)</f>
        <v/>
      </c>
      <c r="AA630" s="7">
        <f>IF($D630="","",V630-Z630)</f>
        <v/>
      </c>
      <c r="AB630" s="7">
        <f>IF($D630="","",AA630-N630)</f>
        <v/>
      </c>
      <c r="AF630" s="7" t="n"/>
      <c r="AI630" s="11" t="n"/>
      <c r="AK630">
        <f>IF($D630="","",IF(COUNTIF($D$2:$D630,$D630)=1,1,0))</f>
        <v/>
      </c>
      <c r="AL630">
        <f>IF($AK630=1,SUMPRODUCT(--($AO$2:$AO$3001&lt;$AO630))+1,"")</f>
        <v/>
      </c>
      <c r="AM630">
        <f>IF($D630="","",IF(OR($R630=TRUE(),$R630="TRUE"),1,0))</f>
        <v/>
      </c>
      <c r="AN630">
        <f>IF($D630="","",IF($X630="Yes",1,0))</f>
        <v/>
      </c>
      <c r="AO630">
        <f>IF($AK630=1,IFERROR(IF(VALUE($D630)&lt;100000000,VALUE($D630),1000000000),IFERROR(IF(VALUE(MID($D630,2,20))&lt;100000000,VALUE(MID($D630,2,20)),1000000000),1000000000))+ROW()/100000,"")</f>
        <v/>
      </c>
    </row>
    <row r="631">
      <c r="F631" s="11" t="n"/>
      <c r="N631" s="7">
        <f>IF($D631="","",M631*V631/100)</f>
        <v/>
      </c>
      <c r="O631" s="7" t="n"/>
      <c r="U631" s="7" t="n"/>
      <c r="V631" s="7" t="n"/>
      <c r="Y631">
        <f>IF($D631="","",IF($AN631=1,0,IF($AM631=1,Settings!$C$6,Settings!$C$7))*100)</f>
        <v/>
      </c>
      <c r="Z631" s="7">
        <f>IF($D631="","",V631*Y631/100)</f>
        <v/>
      </c>
      <c r="AA631" s="7">
        <f>IF($D631="","",V631-Z631)</f>
        <v/>
      </c>
      <c r="AB631" s="7">
        <f>IF($D631="","",AA631-N631)</f>
        <v/>
      </c>
      <c r="AF631" s="7" t="n"/>
      <c r="AI631" s="11" t="n"/>
      <c r="AK631">
        <f>IF($D631="","",IF(COUNTIF($D$2:$D631,$D631)=1,1,0))</f>
        <v/>
      </c>
      <c r="AL631">
        <f>IF($AK631=1,SUMPRODUCT(--($AO$2:$AO$3001&lt;$AO631))+1,"")</f>
        <v/>
      </c>
      <c r="AM631">
        <f>IF($D631="","",IF(OR($R631=TRUE(),$R631="TRUE"),1,0))</f>
        <v/>
      </c>
      <c r="AN631">
        <f>IF($D631="","",IF($X631="Yes",1,0))</f>
        <v/>
      </c>
      <c r="AO631">
        <f>IF($AK631=1,IFERROR(IF(VALUE($D631)&lt;100000000,VALUE($D631),1000000000),IFERROR(IF(VALUE(MID($D631,2,20))&lt;100000000,VALUE(MID($D631,2,20)),1000000000),1000000000))+ROW()/100000,"")</f>
        <v/>
      </c>
    </row>
    <row r="632">
      <c r="F632" s="11" t="n"/>
      <c r="N632" s="7">
        <f>IF($D632="","",M632*V632/100)</f>
        <v/>
      </c>
      <c r="O632" s="7" t="n"/>
      <c r="U632" s="7" t="n"/>
      <c r="V632" s="7" t="n"/>
      <c r="Y632">
        <f>IF($D632="","",IF($AN632=1,0,IF($AM632=1,Settings!$C$6,Settings!$C$7))*100)</f>
        <v/>
      </c>
      <c r="Z632" s="7">
        <f>IF($D632="","",V632*Y632/100)</f>
        <v/>
      </c>
      <c r="AA632" s="7">
        <f>IF($D632="","",V632-Z632)</f>
        <v/>
      </c>
      <c r="AB632" s="7">
        <f>IF($D632="","",AA632-N632)</f>
        <v/>
      </c>
      <c r="AF632" s="7" t="n"/>
      <c r="AI632" s="11" t="n"/>
      <c r="AK632">
        <f>IF($D632="","",IF(COUNTIF($D$2:$D632,$D632)=1,1,0))</f>
        <v/>
      </c>
      <c r="AL632">
        <f>IF($AK632=1,SUMPRODUCT(--($AO$2:$AO$3001&lt;$AO632))+1,"")</f>
        <v/>
      </c>
      <c r="AM632">
        <f>IF($D632="","",IF(OR($R632=TRUE(),$R632="TRUE"),1,0))</f>
        <v/>
      </c>
      <c r="AN632">
        <f>IF($D632="","",IF($X632="Yes",1,0))</f>
        <v/>
      </c>
      <c r="AO632">
        <f>IF($AK632=1,IFERROR(IF(VALUE($D632)&lt;100000000,VALUE($D632),1000000000),IFERROR(IF(VALUE(MID($D632,2,20))&lt;100000000,VALUE(MID($D632,2,20)),1000000000),1000000000))+ROW()/100000,"")</f>
        <v/>
      </c>
    </row>
    <row r="633">
      <c r="F633" s="11" t="n"/>
      <c r="N633" s="7">
        <f>IF($D633="","",M633*V633/100)</f>
        <v/>
      </c>
      <c r="O633" s="7" t="n"/>
      <c r="U633" s="7" t="n"/>
      <c r="V633" s="7" t="n"/>
      <c r="Y633">
        <f>IF($D633="","",IF($AN633=1,0,IF($AM633=1,Settings!$C$6,Settings!$C$7))*100)</f>
        <v/>
      </c>
      <c r="Z633" s="7">
        <f>IF($D633="","",V633*Y633/100)</f>
        <v/>
      </c>
      <c r="AA633" s="7">
        <f>IF($D633="","",V633-Z633)</f>
        <v/>
      </c>
      <c r="AB633" s="7">
        <f>IF($D633="","",AA633-N633)</f>
        <v/>
      </c>
      <c r="AF633" s="7" t="n"/>
      <c r="AI633" s="11" t="n"/>
      <c r="AK633">
        <f>IF($D633="","",IF(COUNTIF($D$2:$D633,$D633)=1,1,0))</f>
        <v/>
      </c>
      <c r="AL633">
        <f>IF($AK633=1,SUMPRODUCT(--($AO$2:$AO$3001&lt;$AO633))+1,"")</f>
        <v/>
      </c>
      <c r="AM633">
        <f>IF($D633="","",IF(OR($R633=TRUE(),$R633="TRUE"),1,0))</f>
        <v/>
      </c>
      <c r="AN633">
        <f>IF($D633="","",IF($X633="Yes",1,0))</f>
        <v/>
      </c>
      <c r="AO633">
        <f>IF($AK633=1,IFERROR(IF(VALUE($D633)&lt;100000000,VALUE($D633),1000000000),IFERROR(IF(VALUE(MID($D633,2,20))&lt;100000000,VALUE(MID($D633,2,20)),1000000000),1000000000))+ROW()/100000,"")</f>
        <v/>
      </c>
    </row>
    <row r="634">
      <c r="F634" s="11" t="n"/>
      <c r="N634" s="7">
        <f>IF($D634="","",M634*V634/100)</f>
        <v/>
      </c>
      <c r="O634" s="7" t="n"/>
      <c r="U634" s="7" t="n"/>
      <c r="V634" s="7" t="n"/>
      <c r="Y634">
        <f>IF($D634="","",IF($AN634=1,0,IF($AM634=1,Settings!$C$6,Settings!$C$7))*100)</f>
        <v/>
      </c>
      <c r="Z634" s="7">
        <f>IF($D634="","",V634*Y634/100)</f>
        <v/>
      </c>
      <c r="AA634" s="7">
        <f>IF($D634="","",V634-Z634)</f>
        <v/>
      </c>
      <c r="AB634" s="7">
        <f>IF($D634="","",AA634-N634)</f>
        <v/>
      </c>
      <c r="AF634" s="7" t="n"/>
      <c r="AI634" s="11" t="n"/>
      <c r="AK634">
        <f>IF($D634="","",IF(COUNTIF($D$2:$D634,$D634)=1,1,0))</f>
        <v/>
      </c>
      <c r="AL634">
        <f>IF($AK634=1,SUMPRODUCT(--($AO$2:$AO$3001&lt;$AO634))+1,"")</f>
        <v/>
      </c>
      <c r="AM634">
        <f>IF($D634="","",IF(OR($R634=TRUE(),$R634="TRUE"),1,0))</f>
        <v/>
      </c>
      <c r="AN634">
        <f>IF($D634="","",IF($X634="Yes",1,0))</f>
        <v/>
      </c>
      <c r="AO634">
        <f>IF($AK634=1,IFERROR(IF(VALUE($D634)&lt;100000000,VALUE($D634),1000000000),IFERROR(IF(VALUE(MID($D634,2,20))&lt;100000000,VALUE(MID($D634,2,20)),1000000000),1000000000))+ROW()/100000,"")</f>
        <v/>
      </c>
    </row>
    <row r="635">
      <c r="F635" s="11" t="n"/>
      <c r="N635" s="7">
        <f>IF($D635="","",M635*V635/100)</f>
        <v/>
      </c>
      <c r="O635" s="7" t="n"/>
      <c r="U635" s="7" t="n"/>
      <c r="V635" s="7" t="n"/>
      <c r="Y635">
        <f>IF($D635="","",IF($AN635=1,0,IF($AM635=1,Settings!$C$6,Settings!$C$7))*100)</f>
        <v/>
      </c>
      <c r="Z635" s="7">
        <f>IF($D635="","",V635*Y635/100)</f>
        <v/>
      </c>
      <c r="AA635" s="7">
        <f>IF($D635="","",V635-Z635)</f>
        <v/>
      </c>
      <c r="AB635" s="7">
        <f>IF($D635="","",AA635-N635)</f>
        <v/>
      </c>
      <c r="AF635" s="7" t="n"/>
      <c r="AI635" s="11" t="n"/>
      <c r="AK635">
        <f>IF($D635="","",IF(COUNTIF($D$2:$D635,$D635)=1,1,0))</f>
        <v/>
      </c>
      <c r="AL635">
        <f>IF($AK635=1,SUMPRODUCT(--($AO$2:$AO$3001&lt;$AO635))+1,"")</f>
        <v/>
      </c>
      <c r="AM635">
        <f>IF($D635="","",IF(OR($R635=TRUE(),$R635="TRUE"),1,0))</f>
        <v/>
      </c>
      <c r="AN635">
        <f>IF($D635="","",IF($X635="Yes",1,0))</f>
        <v/>
      </c>
      <c r="AO635">
        <f>IF($AK635=1,IFERROR(IF(VALUE($D635)&lt;100000000,VALUE($D635),1000000000),IFERROR(IF(VALUE(MID($D635,2,20))&lt;100000000,VALUE(MID($D635,2,20)),1000000000),1000000000))+ROW()/100000,"")</f>
        <v/>
      </c>
    </row>
    <row r="636">
      <c r="F636" s="11" t="n"/>
      <c r="N636" s="7">
        <f>IF($D636="","",M636*V636/100)</f>
        <v/>
      </c>
      <c r="O636" s="7" t="n"/>
      <c r="U636" s="7" t="n"/>
      <c r="V636" s="7" t="n"/>
      <c r="Y636">
        <f>IF($D636="","",IF($AN636=1,0,IF($AM636=1,Settings!$C$6,Settings!$C$7))*100)</f>
        <v/>
      </c>
      <c r="Z636" s="7">
        <f>IF($D636="","",V636*Y636/100)</f>
        <v/>
      </c>
      <c r="AA636" s="7">
        <f>IF($D636="","",V636-Z636)</f>
        <v/>
      </c>
      <c r="AB636" s="7">
        <f>IF($D636="","",AA636-N636)</f>
        <v/>
      </c>
      <c r="AF636" s="7" t="n"/>
      <c r="AI636" s="11" t="n"/>
      <c r="AK636">
        <f>IF($D636="","",IF(COUNTIF($D$2:$D636,$D636)=1,1,0))</f>
        <v/>
      </c>
      <c r="AL636">
        <f>IF($AK636=1,SUMPRODUCT(--($AO$2:$AO$3001&lt;$AO636))+1,"")</f>
        <v/>
      </c>
      <c r="AM636">
        <f>IF($D636="","",IF(OR($R636=TRUE(),$R636="TRUE"),1,0))</f>
        <v/>
      </c>
      <c r="AN636">
        <f>IF($D636="","",IF($X636="Yes",1,0))</f>
        <v/>
      </c>
      <c r="AO636">
        <f>IF($AK636=1,IFERROR(IF(VALUE($D636)&lt;100000000,VALUE($D636),1000000000),IFERROR(IF(VALUE(MID($D636,2,20))&lt;100000000,VALUE(MID($D636,2,20)),1000000000),1000000000))+ROW()/100000,"")</f>
        <v/>
      </c>
    </row>
    <row r="637">
      <c r="F637" s="11" t="n"/>
      <c r="N637" s="7">
        <f>IF($D637="","",M637*V637/100)</f>
        <v/>
      </c>
      <c r="O637" s="7" t="n"/>
      <c r="U637" s="7" t="n"/>
      <c r="V637" s="7" t="n"/>
      <c r="Y637">
        <f>IF($D637="","",IF($AN637=1,0,IF($AM637=1,Settings!$C$6,Settings!$C$7))*100)</f>
        <v/>
      </c>
      <c r="Z637" s="7">
        <f>IF($D637="","",V637*Y637/100)</f>
        <v/>
      </c>
      <c r="AA637" s="7">
        <f>IF($D637="","",V637-Z637)</f>
        <v/>
      </c>
      <c r="AB637" s="7">
        <f>IF($D637="","",AA637-N637)</f>
        <v/>
      </c>
      <c r="AF637" s="7" t="n"/>
      <c r="AI637" s="11" t="n"/>
      <c r="AK637">
        <f>IF($D637="","",IF(COUNTIF($D$2:$D637,$D637)=1,1,0))</f>
        <v/>
      </c>
      <c r="AL637">
        <f>IF($AK637=1,SUMPRODUCT(--($AO$2:$AO$3001&lt;$AO637))+1,"")</f>
        <v/>
      </c>
      <c r="AM637">
        <f>IF($D637="","",IF(OR($R637=TRUE(),$R637="TRUE"),1,0))</f>
        <v/>
      </c>
      <c r="AN637">
        <f>IF($D637="","",IF($X637="Yes",1,0))</f>
        <v/>
      </c>
      <c r="AO637">
        <f>IF($AK637=1,IFERROR(IF(VALUE($D637)&lt;100000000,VALUE($D637),1000000000),IFERROR(IF(VALUE(MID($D637,2,20))&lt;100000000,VALUE(MID($D637,2,20)),1000000000),1000000000))+ROW()/100000,"")</f>
        <v/>
      </c>
    </row>
    <row r="638">
      <c r="F638" s="11" t="n"/>
      <c r="N638" s="7">
        <f>IF($D638="","",M638*V638/100)</f>
        <v/>
      </c>
      <c r="O638" s="7" t="n"/>
      <c r="U638" s="7" t="n"/>
      <c r="V638" s="7" t="n"/>
      <c r="Y638">
        <f>IF($D638="","",IF($AN638=1,0,IF($AM638=1,Settings!$C$6,Settings!$C$7))*100)</f>
        <v/>
      </c>
      <c r="Z638" s="7">
        <f>IF($D638="","",V638*Y638/100)</f>
        <v/>
      </c>
      <c r="AA638" s="7">
        <f>IF($D638="","",V638-Z638)</f>
        <v/>
      </c>
      <c r="AB638" s="7">
        <f>IF($D638="","",AA638-N638)</f>
        <v/>
      </c>
      <c r="AF638" s="7" t="n"/>
      <c r="AI638" s="11" t="n"/>
      <c r="AK638">
        <f>IF($D638="","",IF(COUNTIF($D$2:$D638,$D638)=1,1,0))</f>
        <v/>
      </c>
      <c r="AL638">
        <f>IF($AK638=1,SUMPRODUCT(--($AO$2:$AO$3001&lt;$AO638))+1,"")</f>
        <v/>
      </c>
      <c r="AM638">
        <f>IF($D638="","",IF(OR($R638=TRUE(),$R638="TRUE"),1,0))</f>
        <v/>
      </c>
      <c r="AN638">
        <f>IF($D638="","",IF($X638="Yes",1,0))</f>
        <v/>
      </c>
      <c r="AO638">
        <f>IF($AK638=1,IFERROR(IF(VALUE($D638)&lt;100000000,VALUE($D638),1000000000),IFERROR(IF(VALUE(MID($D638,2,20))&lt;100000000,VALUE(MID($D638,2,20)),1000000000),1000000000))+ROW()/100000,"")</f>
        <v/>
      </c>
    </row>
    <row r="639">
      <c r="F639" s="11" t="n"/>
      <c r="N639" s="7">
        <f>IF($D639="","",M639*V639/100)</f>
        <v/>
      </c>
      <c r="O639" s="7" t="n"/>
      <c r="U639" s="7" t="n"/>
      <c r="V639" s="7" t="n"/>
      <c r="Y639">
        <f>IF($D639="","",IF($AN639=1,0,IF($AM639=1,Settings!$C$6,Settings!$C$7))*100)</f>
        <v/>
      </c>
      <c r="Z639" s="7">
        <f>IF($D639="","",V639*Y639/100)</f>
        <v/>
      </c>
      <c r="AA639" s="7">
        <f>IF($D639="","",V639-Z639)</f>
        <v/>
      </c>
      <c r="AB639" s="7">
        <f>IF($D639="","",AA639-N639)</f>
        <v/>
      </c>
      <c r="AF639" s="7" t="n"/>
      <c r="AI639" s="11" t="n"/>
      <c r="AK639">
        <f>IF($D639="","",IF(COUNTIF($D$2:$D639,$D639)=1,1,0))</f>
        <v/>
      </c>
      <c r="AL639">
        <f>IF($AK639=1,SUMPRODUCT(--($AO$2:$AO$3001&lt;$AO639))+1,"")</f>
        <v/>
      </c>
      <c r="AM639">
        <f>IF($D639="","",IF(OR($R639=TRUE(),$R639="TRUE"),1,0))</f>
        <v/>
      </c>
      <c r="AN639">
        <f>IF($D639="","",IF($X639="Yes",1,0))</f>
        <v/>
      </c>
      <c r="AO639">
        <f>IF($AK639=1,IFERROR(IF(VALUE($D639)&lt;100000000,VALUE($D639),1000000000),IFERROR(IF(VALUE(MID($D639,2,20))&lt;100000000,VALUE(MID($D639,2,20)),1000000000),1000000000))+ROW()/100000,"")</f>
        <v/>
      </c>
    </row>
    <row r="640">
      <c r="F640" s="11" t="n"/>
      <c r="N640" s="7">
        <f>IF($D640="","",M640*V640/100)</f>
        <v/>
      </c>
      <c r="O640" s="7" t="n"/>
      <c r="U640" s="7" t="n"/>
      <c r="V640" s="7" t="n"/>
      <c r="Y640">
        <f>IF($D640="","",IF($AN640=1,0,IF($AM640=1,Settings!$C$6,Settings!$C$7))*100)</f>
        <v/>
      </c>
      <c r="Z640" s="7">
        <f>IF($D640="","",V640*Y640/100)</f>
        <v/>
      </c>
      <c r="AA640" s="7">
        <f>IF($D640="","",V640-Z640)</f>
        <v/>
      </c>
      <c r="AB640" s="7">
        <f>IF($D640="","",AA640-N640)</f>
        <v/>
      </c>
      <c r="AF640" s="7" t="n"/>
      <c r="AI640" s="11" t="n"/>
      <c r="AK640">
        <f>IF($D640="","",IF(COUNTIF($D$2:$D640,$D640)=1,1,0))</f>
        <v/>
      </c>
      <c r="AL640">
        <f>IF($AK640=1,SUMPRODUCT(--($AO$2:$AO$3001&lt;$AO640))+1,"")</f>
        <v/>
      </c>
      <c r="AM640">
        <f>IF($D640="","",IF(OR($R640=TRUE(),$R640="TRUE"),1,0))</f>
        <v/>
      </c>
      <c r="AN640">
        <f>IF($D640="","",IF($X640="Yes",1,0))</f>
        <v/>
      </c>
      <c r="AO640">
        <f>IF($AK640=1,IFERROR(IF(VALUE($D640)&lt;100000000,VALUE($D640),1000000000),IFERROR(IF(VALUE(MID($D640,2,20))&lt;100000000,VALUE(MID($D640,2,20)),1000000000),1000000000))+ROW()/100000,"")</f>
        <v/>
      </c>
    </row>
    <row r="641">
      <c r="F641" s="11" t="n"/>
      <c r="N641" s="7">
        <f>IF($D641="","",M641*V641/100)</f>
        <v/>
      </c>
      <c r="O641" s="7" t="n"/>
      <c r="U641" s="7" t="n"/>
      <c r="V641" s="7" t="n"/>
      <c r="Y641">
        <f>IF($D641="","",IF($AN641=1,0,IF($AM641=1,Settings!$C$6,Settings!$C$7))*100)</f>
        <v/>
      </c>
      <c r="Z641" s="7">
        <f>IF($D641="","",V641*Y641/100)</f>
        <v/>
      </c>
      <c r="AA641" s="7">
        <f>IF($D641="","",V641-Z641)</f>
        <v/>
      </c>
      <c r="AB641" s="7">
        <f>IF($D641="","",AA641-N641)</f>
        <v/>
      </c>
      <c r="AF641" s="7" t="n"/>
      <c r="AI641" s="11" t="n"/>
      <c r="AK641">
        <f>IF($D641="","",IF(COUNTIF($D$2:$D641,$D641)=1,1,0))</f>
        <v/>
      </c>
      <c r="AL641">
        <f>IF($AK641=1,SUMPRODUCT(--($AO$2:$AO$3001&lt;$AO641))+1,"")</f>
        <v/>
      </c>
      <c r="AM641">
        <f>IF($D641="","",IF(OR($R641=TRUE(),$R641="TRUE"),1,0))</f>
        <v/>
      </c>
      <c r="AN641">
        <f>IF($D641="","",IF($X641="Yes",1,0))</f>
        <v/>
      </c>
      <c r="AO641">
        <f>IF($AK641=1,IFERROR(IF(VALUE($D641)&lt;100000000,VALUE($D641),1000000000),IFERROR(IF(VALUE(MID($D641,2,20))&lt;100000000,VALUE(MID($D641,2,20)),1000000000),1000000000))+ROW()/100000,"")</f>
        <v/>
      </c>
    </row>
    <row r="642">
      <c r="F642" s="11" t="n"/>
      <c r="N642" s="7">
        <f>IF($D642="","",M642*V642/100)</f>
        <v/>
      </c>
      <c r="O642" s="7" t="n"/>
      <c r="U642" s="7" t="n"/>
      <c r="V642" s="7" t="n"/>
      <c r="Y642">
        <f>IF($D642="","",IF($AN642=1,0,IF($AM642=1,Settings!$C$6,Settings!$C$7))*100)</f>
        <v/>
      </c>
      <c r="Z642" s="7">
        <f>IF($D642="","",V642*Y642/100)</f>
        <v/>
      </c>
      <c r="AA642" s="7">
        <f>IF($D642="","",V642-Z642)</f>
        <v/>
      </c>
      <c r="AB642" s="7">
        <f>IF($D642="","",AA642-N642)</f>
        <v/>
      </c>
      <c r="AF642" s="7" t="n"/>
      <c r="AI642" s="11" t="n"/>
      <c r="AK642">
        <f>IF($D642="","",IF(COUNTIF($D$2:$D642,$D642)=1,1,0))</f>
        <v/>
      </c>
      <c r="AL642">
        <f>IF($AK642=1,SUMPRODUCT(--($AO$2:$AO$3001&lt;$AO642))+1,"")</f>
        <v/>
      </c>
      <c r="AM642">
        <f>IF($D642="","",IF(OR($R642=TRUE(),$R642="TRUE"),1,0))</f>
        <v/>
      </c>
      <c r="AN642">
        <f>IF($D642="","",IF($X642="Yes",1,0))</f>
        <v/>
      </c>
      <c r="AO642">
        <f>IF($AK642=1,IFERROR(IF(VALUE($D642)&lt;100000000,VALUE($D642),1000000000),IFERROR(IF(VALUE(MID($D642,2,20))&lt;100000000,VALUE(MID($D642,2,20)),1000000000),1000000000))+ROW()/100000,"")</f>
        <v/>
      </c>
    </row>
    <row r="643">
      <c r="F643" s="11" t="n"/>
      <c r="N643" s="7">
        <f>IF($D643="","",M643*V643/100)</f>
        <v/>
      </c>
      <c r="O643" s="7" t="n"/>
      <c r="U643" s="7" t="n"/>
      <c r="V643" s="7" t="n"/>
      <c r="Y643">
        <f>IF($D643="","",IF($AN643=1,0,IF($AM643=1,Settings!$C$6,Settings!$C$7))*100)</f>
        <v/>
      </c>
      <c r="Z643" s="7">
        <f>IF($D643="","",V643*Y643/100)</f>
        <v/>
      </c>
      <c r="AA643" s="7">
        <f>IF($D643="","",V643-Z643)</f>
        <v/>
      </c>
      <c r="AB643" s="7">
        <f>IF($D643="","",AA643-N643)</f>
        <v/>
      </c>
      <c r="AF643" s="7" t="n"/>
      <c r="AI643" s="11" t="n"/>
      <c r="AK643">
        <f>IF($D643="","",IF(COUNTIF($D$2:$D643,$D643)=1,1,0))</f>
        <v/>
      </c>
      <c r="AL643">
        <f>IF($AK643=1,SUMPRODUCT(--($AO$2:$AO$3001&lt;$AO643))+1,"")</f>
        <v/>
      </c>
      <c r="AM643">
        <f>IF($D643="","",IF(OR($R643=TRUE(),$R643="TRUE"),1,0))</f>
        <v/>
      </c>
      <c r="AN643">
        <f>IF($D643="","",IF($X643="Yes",1,0))</f>
        <v/>
      </c>
      <c r="AO643">
        <f>IF($AK643=1,IFERROR(IF(VALUE($D643)&lt;100000000,VALUE($D643),1000000000),IFERROR(IF(VALUE(MID($D643,2,20))&lt;100000000,VALUE(MID($D643,2,20)),1000000000),1000000000))+ROW()/100000,"")</f>
        <v/>
      </c>
    </row>
    <row r="644">
      <c r="F644" s="11" t="n"/>
      <c r="N644" s="7">
        <f>IF($D644="","",M644*V644/100)</f>
        <v/>
      </c>
      <c r="O644" s="7" t="n"/>
      <c r="U644" s="7" t="n"/>
      <c r="V644" s="7" t="n"/>
      <c r="Y644">
        <f>IF($D644="","",IF($AN644=1,0,IF($AM644=1,Settings!$C$6,Settings!$C$7))*100)</f>
        <v/>
      </c>
      <c r="Z644" s="7">
        <f>IF($D644="","",V644*Y644/100)</f>
        <v/>
      </c>
      <c r="AA644" s="7">
        <f>IF($D644="","",V644-Z644)</f>
        <v/>
      </c>
      <c r="AB644" s="7">
        <f>IF($D644="","",AA644-N644)</f>
        <v/>
      </c>
      <c r="AF644" s="7" t="n"/>
      <c r="AI644" s="11" t="n"/>
      <c r="AK644">
        <f>IF($D644="","",IF(COUNTIF($D$2:$D644,$D644)=1,1,0))</f>
        <v/>
      </c>
      <c r="AL644">
        <f>IF($AK644=1,SUMPRODUCT(--($AO$2:$AO$3001&lt;$AO644))+1,"")</f>
        <v/>
      </c>
      <c r="AM644">
        <f>IF($D644="","",IF(OR($R644=TRUE(),$R644="TRUE"),1,0))</f>
        <v/>
      </c>
      <c r="AN644">
        <f>IF($D644="","",IF($X644="Yes",1,0))</f>
        <v/>
      </c>
      <c r="AO644">
        <f>IF($AK644=1,IFERROR(IF(VALUE($D644)&lt;100000000,VALUE($D644),1000000000),IFERROR(IF(VALUE(MID($D644,2,20))&lt;100000000,VALUE(MID($D644,2,20)),1000000000),1000000000))+ROW()/100000,"")</f>
        <v/>
      </c>
    </row>
    <row r="645">
      <c r="F645" s="11" t="n"/>
      <c r="N645" s="7">
        <f>IF($D645="","",M645*V645/100)</f>
        <v/>
      </c>
      <c r="O645" s="7" t="n"/>
      <c r="U645" s="7" t="n"/>
      <c r="V645" s="7" t="n"/>
      <c r="Y645">
        <f>IF($D645="","",IF($AN645=1,0,IF($AM645=1,Settings!$C$6,Settings!$C$7))*100)</f>
        <v/>
      </c>
      <c r="Z645" s="7">
        <f>IF($D645="","",V645*Y645/100)</f>
        <v/>
      </c>
      <c r="AA645" s="7">
        <f>IF($D645="","",V645-Z645)</f>
        <v/>
      </c>
      <c r="AB645" s="7">
        <f>IF($D645="","",AA645-N645)</f>
        <v/>
      </c>
      <c r="AF645" s="7" t="n"/>
      <c r="AI645" s="11" t="n"/>
      <c r="AK645">
        <f>IF($D645="","",IF(COUNTIF($D$2:$D645,$D645)=1,1,0))</f>
        <v/>
      </c>
      <c r="AL645">
        <f>IF($AK645=1,SUMPRODUCT(--($AO$2:$AO$3001&lt;$AO645))+1,"")</f>
        <v/>
      </c>
      <c r="AM645">
        <f>IF($D645="","",IF(OR($R645=TRUE(),$R645="TRUE"),1,0))</f>
        <v/>
      </c>
      <c r="AN645">
        <f>IF($D645="","",IF($X645="Yes",1,0))</f>
        <v/>
      </c>
      <c r="AO645">
        <f>IF($AK645=1,IFERROR(IF(VALUE($D645)&lt;100000000,VALUE($D645),1000000000),IFERROR(IF(VALUE(MID($D645,2,20))&lt;100000000,VALUE(MID($D645,2,20)),1000000000),1000000000))+ROW()/100000,"")</f>
        <v/>
      </c>
    </row>
    <row r="646">
      <c r="F646" s="11" t="n"/>
      <c r="N646" s="7">
        <f>IF($D646="","",M646*V646/100)</f>
        <v/>
      </c>
      <c r="O646" s="7" t="n"/>
      <c r="U646" s="7" t="n"/>
      <c r="V646" s="7" t="n"/>
      <c r="Y646">
        <f>IF($D646="","",IF($AN646=1,0,IF($AM646=1,Settings!$C$6,Settings!$C$7))*100)</f>
        <v/>
      </c>
      <c r="Z646" s="7">
        <f>IF($D646="","",V646*Y646/100)</f>
        <v/>
      </c>
      <c r="AA646" s="7">
        <f>IF($D646="","",V646-Z646)</f>
        <v/>
      </c>
      <c r="AB646" s="7">
        <f>IF($D646="","",AA646-N646)</f>
        <v/>
      </c>
      <c r="AF646" s="7" t="n"/>
      <c r="AI646" s="11" t="n"/>
      <c r="AK646">
        <f>IF($D646="","",IF(COUNTIF($D$2:$D646,$D646)=1,1,0))</f>
        <v/>
      </c>
      <c r="AL646">
        <f>IF($AK646=1,SUMPRODUCT(--($AO$2:$AO$3001&lt;$AO646))+1,"")</f>
        <v/>
      </c>
      <c r="AM646">
        <f>IF($D646="","",IF(OR($R646=TRUE(),$R646="TRUE"),1,0))</f>
        <v/>
      </c>
      <c r="AN646">
        <f>IF($D646="","",IF($X646="Yes",1,0))</f>
        <v/>
      </c>
      <c r="AO646">
        <f>IF($AK646=1,IFERROR(IF(VALUE($D646)&lt;100000000,VALUE($D646),1000000000),IFERROR(IF(VALUE(MID($D646,2,20))&lt;100000000,VALUE(MID($D646,2,20)),1000000000),1000000000))+ROW()/100000,"")</f>
        <v/>
      </c>
    </row>
    <row r="647">
      <c r="F647" s="11" t="n"/>
      <c r="N647" s="7">
        <f>IF($D647="","",M647*V647/100)</f>
        <v/>
      </c>
      <c r="O647" s="7" t="n"/>
      <c r="U647" s="7" t="n"/>
      <c r="V647" s="7" t="n"/>
      <c r="Y647">
        <f>IF($D647="","",IF($AN647=1,0,IF($AM647=1,Settings!$C$6,Settings!$C$7))*100)</f>
        <v/>
      </c>
      <c r="Z647" s="7">
        <f>IF($D647="","",V647*Y647/100)</f>
        <v/>
      </c>
      <c r="AA647" s="7">
        <f>IF($D647="","",V647-Z647)</f>
        <v/>
      </c>
      <c r="AB647" s="7">
        <f>IF($D647="","",AA647-N647)</f>
        <v/>
      </c>
      <c r="AF647" s="7" t="n"/>
      <c r="AI647" s="11" t="n"/>
      <c r="AK647">
        <f>IF($D647="","",IF(COUNTIF($D$2:$D647,$D647)=1,1,0))</f>
        <v/>
      </c>
      <c r="AL647">
        <f>IF($AK647=1,SUMPRODUCT(--($AO$2:$AO$3001&lt;$AO647))+1,"")</f>
        <v/>
      </c>
      <c r="AM647">
        <f>IF($D647="","",IF(OR($R647=TRUE(),$R647="TRUE"),1,0))</f>
        <v/>
      </c>
      <c r="AN647">
        <f>IF($D647="","",IF($X647="Yes",1,0))</f>
        <v/>
      </c>
      <c r="AO647">
        <f>IF($AK647=1,IFERROR(IF(VALUE($D647)&lt;100000000,VALUE($D647),1000000000),IFERROR(IF(VALUE(MID($D647,2,20))&lt;100000000,VALUE(MID($D647,2,20)),1000000000),1000000000))+ROW()/100000,"")</f>
        <v/>
      </c>
    </row>
    <row r="648">
      <c r="F648" s="11" t="n"/>
      <c r="N648" s="7">
        <f>IF($D648="","",M648*V648/100)</f>
        <v/>
      </c>
      <c r="O648" s="7" t="n"/>
      <c r="U648" s="7" t="n"/>
      <c r="V648" s="7" t="n"/>
      <c r="Y648">
        <f>IF($D648="","",IF($AN648=1,0,IF($AM648=1,Settings!$C$6,Settings!$C$7))*100)</f>
        <v/>
      </c>
      <c r="Z648" s="7">
        <f>IF($D648="","",V648*Y648/100)</f>
        <v/>
      </c>
      <c r="AA648" s="7">
        <f>IF($D648="","",V648-Z648)</f>
        <v/>
      </c>
      <c r="AB648" s="7">
        <f>IF($D648="","",AA648-N648)</f>
        <v/>
      </c>
      <c r="AF648" s="7" t="n"/>
      <c r="AI648" s="11" t="n"/>
      <c r="AK648">
        <f>IF($D648="","",IF(COUNTIF($D$2:$D648,$D648)=1,1,0))</f>
        <v/>
      </c>
      <c r="AL648">
        <f>IF($AK648=1,SUMPRODUCT(--($AO$2:$AO$3001&lt;$AO648))+1,"")</f>
        <v/>
      </c>
      <c r="AM648">
        <f>IF($D648="","",IF(OR($R648=TRUE(),$R648="TRUE"),1,0))</f>
        <v/>
      </c>
      <c r="AN648">
        <f>IF($D648="","",IF($X648="Yes",1,0))</f>
        <v/>
      </c>
      <c r="AO648">
        <f>IF($AK648=1,IFERROR(IF(VALUE($D648)&lt;100000000,VALUE($D648),1000000000),IFERROR(IF(VALUE(MID($D648,2,20))&lt;100000000,VALUE(MID($D648,2,20)),1000000000),1000000000))+ROW()/100000,"")</f>
        <v/>
      </c>
    </row>
    <row r="649">
      <c r="F649" s="11" t="n"/>
      <c r="N649" s="7">
        <f>IF($D649="","",M649*V649/100)</f>
        <v/>
      </c>
      <c r="O649" s="7" t="n"/>
      <c r="U649" s="7" t="n"/>
      <c r="V649" s="7" t="n"/>
      <c r="Y649">
        <f>IF($D649="","",IF($AN649=1,0,IF($AM649=1,Settings!$C$6,Settings!$C$7))*100)</f>
        <v/>
      </c>
      <c r="Z649" s="7">
        <f>IF($D649="","",V649*Y649/100)</f>
        <v/>
      </c>
      <c r="AA649" s="7">
        <f>IF($D649="","",V649-Z649)</f>
        <v/>
      </c>
      <c r="AB649" s="7">
        <f>IF($D649="","",AA649-N649)</f>
        <v/>
      </c>
      <c r="AF649" s="7" t="n"/>
      <c r="AI649" s="11" t="n"/>
      <c r="AK649">
        <f>IF($D649="","",IF(COUNTIF($D$2:$D649,$D649)=1,1,0))</f>
        <v/>
      </c>
      <c r="AL649">
        <f>IF($AK649=1,SUMPRODUCT(--($AO$2:$AO$3001&lt;$AO649))+1,"")</f>
        <v/>
      </c>
      <c r="AM649">
        <f>IF($D649="","",IF(OR($R649=TRUE(),$R649="TRUE"),1,0))</f>
        <v/>
      </c>
      <c r="AN649">
        <f>IF($D649="","",IF($X649="Yes",1,0))</f>
        <v/>
      </c>
      <c r="AO649">
        <f>IF($AK649=1,IFERROR(IF(VALUE($D649)&lt;100000000,VALUE($D649),1000000000),IFERROR(IF(VALUE(MID($D649,2,20))&lt;100000000,VALUE(MID($D649,2,20)),1000000000),1000000000))+ROW()/100000,"")</f>
        <v/>
      </c>
    </row>
    <row r="650">
      <c r="F650" s="11" t="n"/>
      <c r="N650" s="7">
        <f>IF($D650="","",M650*V650/100)</f>
        <v/>
      </c>
      <c r="O650" s="7" t="n"/>
      <c r="U650" s="7" t="n"/>
      <c r="V650" s="7" t="n"/>
      <c r="Y650">
        <f>IF($D650="","",IF($AN650=1,0,IF($AM650=1,Settings!$C$6,Settings!$C$7))*100)</f>
        <v/>
      </c>
      <c r="Z650" s="7">
        <f>IF($D650="","",V650*Y650/100)</f>
        <v/>
      </c>
      <c r="AA650" s="7">
        <f>IF($D650="","",V650-Z650)</f>
        <v/>
      </c>
      <c r="AB650" s="7">
        <f>IF($D650="","",AA650-N650)</f>
        <v/>
      </c>
      <c r="AF650" s="7" t="n"/>
      <c r="AI650" s="11" t="n"/>
      <c r="AK650">
        <f>IF($D650="","",IF(COUNTIF($D$2:$D650,$D650)=1,1,0))</f>
        <v/>
      </c>
      <c r="AL650">
        <f>IF($AK650=1,SUMPRODUCT(--($AO$2:$AO$3001&lt;$AO650))+1,"")</f>
        <v/>
      </c>
      <c r="AM650">
        <f>IF($D650="","",IF(OR($R650=TRUE(),$R650="TRUE"),1,0))</f>
        <v/>
      </c>
      <c r="AN650">
        <f>IF($D650="","",IF($X650="Yes",1,0))</f>
        <v/>
      </c>
      <c r="AO650">
        <f>IF($AK650=1,IFERROR(IF(VALUE($D650)&lt;100000000,VALUE($D650),1000000000),IFERROR(IF(VALUE(MID($D650,2,20))&lt;100000000,VALUE(MID($D650,2,20)),1000000000),1000000000))+ROW()/100000,"")</f>
        <v/>
      </c>
    </row>
    <row r="651">
      <c r="F651" s="11" t="n"/>
      <c r="N651" s="7">
        <f>IF($D651="","",M651*V651/100)</f>
        <v/>
      </c>
      <c r="O651" s="7" t="n"/>
      <c r="U651" s="7" t="n"/>
      <c r="V651" s="7" t="n"/>
      <c r="Y651">
        <f>IF($D651="","",IF($AN651=1,0,IF($AM651=1,Settings!$C$6,Settings!$C$7))*100)</f>
        <v/>
      </c>
      <c r="Z651" s="7">
        <f>IF($D651="","",V651*Y651/100)</f>
        <v/>
      </c>
      <c r="AA651" s="7">
        <f>IF($D651="","",V651-Z651)</f>
        <v/>
      </c>
      <c r="AB651" s="7">
        <f>IF($D651="","",AA651-N651)</f>
        <v/>
      </c>
      <c r="AF651" s="7" t="n"/>
      <c r="AI651" s="11" t="n"/>
      <c r="AK651">
        <f>IF($D651="","",IF(COUNTIF($D$2:$D651,$D651)=1,1,0))</f>
        <v/>
      </c>
      <c r="AL651">
        <f>IF($AK651=1,SUMPRODUCT(--($AO$2:$AO$3001&lt;$AO651))+1,"")</f>
        <v/>
      </c>
      <c r="AM651">
        <f>IF($D651="","",IF(OR($R651=TRUE(),$R651="TRUE"),1,0))</f>
        <v/>
      </c>
      <c r="AN651">
        <f>IF($D651="","",IF($X651="Yes",1,0))</f>
        <v/>
      </c>
      <c r="AO651">
        <f>IF($AK651=1,IFERROR(IF(VALUE($D651)&lt;100000000,VALUE($D651),1000000000),IFERROR(IF(VALUE(MID($D651,2,20))&lt;100000000,VALUE(MID($D651,2,20)),1000000000),1000000000))+ROW()/100000,"")</f>
        <v/>
      </c>
    </row>
    <row r="652">
      <c r="F652" s="11" t="n"/>
      <c r="N652" s="7">
        <f>IF($D652="","",M652*V652/100)</f>
        <v/>
      </c>
      <c r="O652" s="7" t="n"/>
      <c r="U652" s="7" t="n"/>
      <c r="V652" s="7" t="n"/>
      <c r="Y652">
        <f>IF($D652="","",IF($AN652=1,0,IF($AM652=1,Settings!$C$6,Settings!$C$7))*100)</f>
        <v/>
      </c>
      <c r="Z652" s="7">
        <f>IF($D652="","",V652*Y652/100)</f>
        <v/>
      </c>
      <c r="AA652" s="7">
        <f>IF($D652="","",V652-Z652)</f>
        <v/>
      </c>
      <c r="AB652" s="7">
        <f>IF($D652="","",AA652-N652)</f>
        <v/>
      </c>
      <c r="AF652" s="7" t="n"/>
      <c r="AI652" s="11" t="n"/>
      <c r="AK652">
        <f>IF($D652="","",IF(COUNTIF($D$2:$D652,$D652)=1,1,0))</f>
        <v/>
      </c>
      <c r="AL652">
        <f>IF($AK652=1,SUMPRODUCT(--($AO$2:$AO$3001&lt;$AO652))+1,"")</f>
        <v/>
      </c>
      <c r="AM652">
        <f>IF($D652="","",IF(OR($R652=TRUE(),$R652="TRUE"),1,0))</f>
        <v/>
      </c>
      <c r="AN652">
        <f>IF($D652="","",IF($X652="Yes",1,0))</f>
        <v/>
      </c>
      <c r="AO652">
        <f>IF($AK652=1,IFERROR(IF(VALUE($D652)&lt;100000000,VALUE($D652),1000000000),IFERROR(IF(VALUE(MID($D652,2,20))&lt;100000000,VALUE(MID($D652,2,20)),1000000000),1000000000))+ROW()/100000,"")</f>
        <v/>
      </c>
    </row>
    <row r="653">
      <c r="F653" s="11" t="n"/>
      <c r="N653" s="7">
        <f>IF($D653="","",M653*V653/100)</f>
        <v/>
      </c>
      <c r="O653" s="7" t="n"/>
      <c r="U653" s="7" t="n"/>
      <c r="V653" s="7" t="n"/>
      <c r="Y653">
        <f>IF($D653="","",IF($AN653=1,0,IF($AM653=1,Settings!$C$6,Settings!$C$7))*100)</f>
        <v/>
      </c>
      <c r="Z653" s="7">
        <f>IF($D653="","",V653*Y653/100)</f>
        <v/>
      </c>
      <c r="AA653" s="7">
        <f>IF($D653="","",V653-Z653)</f>
        <v/>
      </c>
      <c r="AB653" s="7">
        <f>IF($D653="","",AA653-N653)</f>
        <v/>
      </c>
      <c r="AF653" s="7" t="n"/>
      <c r="AI653" s="11" t="n"/>
      <c r="AK653">
        <f>IF($D653="","",IF(COUNTIF($D$2:$D653,$D653)=1,1,0))</f>
        <v/>
      </c>
      <c r="AL653">
        <f>IF($AK653=1,SUMPRODUCT(--($AO$2:$AO$3001&lt;$AO653))+1,"")</f>
        <v/>
      </c>
      <c r="AM653">
        <f>IF($D653="","",IF(OR($R653=TRUE(),$R653="TRUE"),1,0))</f>
        <v/>
      </c>
      <c r="AN653">
        <f>IF($D653="","",IF($X653="Yes",1,0))</f>
        <v/>
      </c>
      <c r="AO653">
        <f>IF($AK653=1,IFERROR(IF(VALUE($D653)&lt;100000000,VALUE($D653),1000000000),IFERROR(IF(VALUE(MID($D653,2,20))&lt;100000000,VALUE(MID($D653,2,20)),1000000000),1000000000))+ROW()/100000,"")</f>
        <v/>
      </c>
    </row>
    <row r="654">
      <c r="F654" s="11" t="n"/>
      <c r="N654" s="7">
        <f>IF($D654="","",M654*V654/100)</f>
        <v/>
      </c>
      <c r="O654" s="7" t="n"/>
      <c r="U654" s="7" t="n"/>
      <c r="V654" s="7" t="n"/>
      <c r="Y654">
        <f>IF($D654="","",IF($AN654=1,0,IF($AM654=1,Settings!$C$6,Settings!$C$7))*100)</f>
        <v/>
      </c>
      <c r="Z654" s="7">
        <f>IF($D654="","",V654*Y654/100)</f>
        <v/>
      </c>
      <c r="AA654" s="7">
        <f>IF($D654="","",V654-Z654)</f>
        <v/>
      </c>
      <c r="AB654" s="7">
        <f>IF($D654="","",AA654-N654)</f>
        <v/>
      </c>
      <c r="AF654" s="7" t="n"/>
      <c r="AI654" s="11" t="n"/>
      <c r="AK654">
        <f>IF($D654="","",IF(COUNTIF($D$2:$D654,$D654)=1,1,0))</f>
        <v/>
      </c>
      <c r="AL654">
        <f>IF($AK654=1,SUMPRODUCT(--($AO$2:$AO$3001&lt;$AO654))+1,"")</f>
        <v/>
      </c>
      <c r="AM654">
        <f>IF($D654="","",IF(OR($R654=TRUE(),$R654="TRUE"),1,0))</f>
        <v/>
      </c>
      <c r="AN654">
        <f>IF($D654="","",IF($X654="Yes",1,0))</f>
        <v/>
      </c>
      <c r="AO654">
        <f>IF($AK654=1,IFERROR(IF(VALUE($D654)&lt;100000000,VALUE($D654),1000000000),IFERROR(IF(VALUE(MID($D654,2,20))&lt;100000000,VALUE(MID($D654,2,20)),1000000000),1000000000))+ROW()/100000,"")</f>
        <v/>
      </c>
    </row>
    <row r="655">
      <c r="F655" s="11" t="n"/>
      <c r="N655" s="7">
        <f>IF($D655="","",M655*V655/100)</f>
        <v/>
      </c>
      <c r="O655" s="7" t="n"/>
      <c r="U655" s="7" t="n"/>
      <c r="V655" s="7" t="n"/>
      <c r="Y655">
        <f>IF($D655="","",IF($AN655=1,0,IF($AM655=1,Settings!$C$6,Settings!$C$7))*100)</f>
        <v/>
      </c>
      <c r="Z655" s="7">
        <f>IF($D655="","",V655*Y655/100)</f>
        <v/>
      </c>
      <c r="AA655" s="7">
        <f>IF($D655="","",V655-Z655)</f>
        <v/>
      </c>
      <c r="AB655" s="7">
        <f>IF($D655="","",AA655-N655)</f>
        <v/>
      </c>
      <c r="AF655" s="7" t="n"/>
      <c r="AI655" s="11" t="n"/>
      <c r="AK655">
        <f>IF($D655="","",IF(COUNTIF($D$2:$D655,$D655)=1,1,0))</f>
        <v/>
      </c>
      <c r="AL655">
        <f>IF($AK655=1,SUMPRODUCT(--($AO$2:$AO$3001&lt;$AO655))+1,"")</f>
        <v/>
      </c>
      <c r="AM655">
        <f>IF($D655="","",IF(OR($R655=TRUE(),$R655="TRUE"),1,0))</f>
        <v/>
      </c>
      <c r="AN655">
        <f>IF($D655="","",IF($X655="Yes",1,0))</f>
        <v/>
      </c>
      <c r="AO655">
        <f>IF($AK655=1,IFERROR(IF(VALUE($D655)&lt;100000000,VALUE($D655),1000000000),IFERROR(IF(VALUE(MID($D655,2,20))&lt;100000000,VALUE(MID($D655,2,20)),1000000000),1000000000))+ROW()/100000,"")</f>
        <v/>
      </c>
    </row>
    <row r="656">
      <c r="F656" s="11" t="n"/>
      <c r="N656" s="7">
        <f>IF($D656="","",M656*V656/100)</f>
        <v/>
      </c>
      <c r="O656" s="7" t="n"/>
      <c r="U656" s="7" t="n"/>
      <c r="V656" s="7" t="n"/>
      <c r="Y656">
        <f>IF($D656="","",IF($AN656=1,0,IF($AM656=1,Settings!$C$6,Settings!$C$7))*100)</f>
        <v/>
      </c>
      <c r="Z656" s="7">
        <f>IF($D656="","",V656*Y656/100)</f>
        <v/>
      </c>
      <c r="AA656" s="7">
        <f>IF($D656="","",V656-Z656)</f>
        <v/>
      </c>
      <c r="AB656" s="7">
        <f>IF($D656="","",AA656-N656)</f>
        <v/>
      </c>
      <c r="AF656" s="7" t="n"/>
      <c r="AI656" s="11" t="n"/>
      <c r="AK656">
        <f>IF($D656="","",IF(COUNTIF($D$2:$D656,$D656)=1,1,0))</f>
        <v/>
      </c>
      <c r="AL656">
        <f>IF($AK656=1,SUMPRODUCT(--($AO$2:$AO$3001&lt;$AO656))+1,"")</f>
        <v/>
      </c>
      <c r="AM656">
        <f>IF($D656="","",IF(OR($R656=TRUE(),$R656="TRUE"),1,0))</f>
        <v/>
      </c>
      <c r="AN656">
        <f>IF($D656="","",IF($X656="Yes",1,0))</f>
        <v/>
      </c>
      <c r="AO656">
        <f>IF($AK656=1,IFERROR(IF(VALUE($D656)&lt;100000000,VALUE($D656),1000000000),IFERROR(IF(VALUE(MID($D656,2,20))&lt;100000000,VALUE(MID($D656,2,20)),1000000000),1000000000))+ROW()/100000,"")</f>
        <v/>
      </c>
    </row>
    <row r="657">
      <c r="F657" s="11" t="n"/>
      <c r="N657" s="7">
        <f>IF($D657="","",M657*V657/100)</f>
        <v/>
      </c>
      <c r="O657" s="7" t="n"/>
      <c r="U657" s="7" t="n"/>
      <c r="V657" s="7" t="n"/>
      <c r="Y657">
        <f>IF($D657="","",IF($AN657=1,0,IF($AM657=1,Settings!$C$6,Settings!$C$7))*100)</f>
        <v/>
      </c>
      <c r="Z657" s="7">
        <f>IF($D657="","",V657*Y657/100)</f>
        <v/>
      </c>
      <c r="AA657" s="7">
        <f>IF($D657="","",V657-Z657)</f>
        <v/>
      </c>
      <c r="AB657" s="7">
        <f>IF($D657="","",AA657-N657)</f>
        <v/>
      </c>
      <c r="AF657" s="7" t="n"/>
      <c r="AI657" s="11" t="n"/>
      <c r="AK657">
        <f>IF($D657="","",IF(COUNTIF($D$2:$D657,$D657)=1,1,0))</f>
        <v/>
      </c>
      <c r="AL657">
        <f>IF($AK657=1,SUMPRODUCT(--($AO$2:$AO$3001&lt;$AO657))+1,"")</f>
        <v/>
      </c>
      <c r="AM657">
        <f>IF($D657="","",IF(OR($R657=TRUE(),$R657="TRUE"),1,0))</f>
        <v/>
      </c>
      <c r="AN657">
        <f>IF($D657="","",IF($X657="Yes",1,0))</f>
        <v/>
      </c>
      <c r="AO657">
        <f>IF($AK657=1,IFERROR(IF(VALUE($D657)&lt;100000000,VALUE($D657),1000000000),IFERROR(IF(VALUE(MID($D657,2,20))&lt;100000000,VALUE(MID($D657,2,20)),1000000000),1000000000))+ROW()/100000,"")</f>
        <v/>
      </c>
    </row>
    <row r="658">
      <c r="F658" s="11" t="n"/>
      <c r="N658" s="7">
        <f>IF($D658="","",M658*V658/100)</f>
        <v/>
      </c>
      <c r="O658" s="7" t="n"/>
      <c r="U658" s="7" t="n"/>
      <c r="V658" s="7" t="n"/>
      <c r="Y658">
        <f>IF($D658="","",IF($AN658=1,0,IF($AM658=1,Settings!$C$6,Settings!$C$7))*100)</f>
        <v/>
      </c>
      <c r="Z658" s="7">
        <f>IF($D658="","",V658*Y658/100)</f>
        <v/>
      </c>
      <c r="AA658" s="7">
        <f>IF($D658="","",V658-Z658)</f>
        <v/>
      </c>
      <c r="AB658" s="7">
        <f>IF($D658="","",AA658-N658)</f>
        <v/>
      </c>
      <c r="AF658" s="7" t="n"/>
      <c r="AI658" s="11" t="n"/>
      <c r="AK658">
        <f>IF($D658="","",IF(COUNTIF($D$2:$D658,$D658)=1,1,0))</f>
        <v/>
      </c>
      <c r="AL658">
        <f>IF($AK658=1,SUMPRODUCT(--($AO$2:$AO$3001&lt;$AO658))+1,"")</f>
        <v/>
      </c>
      <c r="AM658">
        <f>IF($D658="","",IF(OR($R658=TRUE(),$R658="TRUE"),1,0))</f>
        <v/>
      </c>
      <c r="AN658">
        <f>IF($D658="","",IF($X658="Yes",1,0))</f>
        <v/>
      </c>
      <c r="AO658">
        <f>IF($AK658=1,IFERROR(IF(VALUE($D658)&lt;100000000,VALUE($D658),1000000000),IFERROR(IF(VALUE(MID($D658,2,20))&lt;100000000,VALUE(MID($D658,2,20)),1000000000),1000000000))+ROW()/100000,"")</f>
        <v/>
      </c>
    </row>
    <row r="659">
      <c r="F659" s="11" t="n"/>
      <c r="N659" s="7">
        <f>IF($D659="","",M659*V659/100)</f>
        <v/>
      </c>
      <c r="O659" s="7" t="n"/>
      <c r="U659" s="7" t="n"/>
      <c r="V659" s="7" t="n"/>
      <c r="Y659">
        <f>IF($D659="","",IF($AN659=1,0,IF($AM659=1,Settings!$C$6,Settings!$C$7))*100)</f>
        <v/>
      </c>
      <c r="Z659" s="7">
        <f>IF($D659="","",V659*Y659/100)</f>
        <v/>
      </c>
      <c r="AA659" s="7">
        <f>IF($D659="","",V659-Z659)</f>
        <v/>
      </c>
      <c r="AB659" s="7">
        <f>IF($D659="","",AA659-N659)</f>
        <v/>
      </c>
      <c r="AF659" s="7" t="n"/>
      <c r="AI659" s="11" t="n"/>
      <c r="AK659">
        <f>IF($D659="","",IF(COUNTIF($D$2:$D659,$D659)=1,1,0))</f>
        <v/>
      </c>
      <c r="AL659">
        <f>IF($AK659=1,SUMPRODUCT(--($AO$2:$AO$3001&lt;$AO659))+1,"")</f>
        <v/>
      </c>
      <c r="AM659">
        <f>IF($D659="","",IF(OR($R659=TRUE(),$R659="TRUE"),1,0))</f>
        <v/>
      </c>
      <c r="AN659">
        <f>IF($D659="","",IF($X659="Yes",1,0))</f>
        <v/>
      </c>
      <c r="AO659">
        <f>IF($AK659=1,IFERROR(IF(VALUE($D659)&lt;100000000,VALUE($D659),1000000000),IFERROR(IF(VALUE(MID($D659,2,20))&lt;100000000,VALUE(MID($D659,2,20)),1000000000),1000000000))+ROW()/100000,"")</f>
        <v/>
      </c>
    </row>
    <row r="660">
      <c r="F660" s="11" t="n"/>
      <c r="N660" s="7">
        <f>IF($D660="","",M660*V660/100)</f>
        <v/>
      </c>
      <c r="O660" s="7" t="n"/>
      <c r="U660" s="7" t="n"/>
      <c r="V660" s="7" t="n"/>
      <c r="Y660">
        <f>IF($D660="","",IF($AN660=1,0,IF($AM660=1,Settings!$C$6,Settings!$C$7))*100)</f>
        <v/>
      </c>
      <c r="Z660" s="7">
        <f>IF($D660="","",V660*Y660/100)</f>
        <v/>
      </c>
      <c r="AA660" s="7">
        <f>IF($D660="","",V660-Z660)</f>
        <v/>
      </c>
      <c r="AB660" s="7">
        <f>IF($D660="","",AA660-N660)</f>
        <v/>
      </c>
      <c r="AF660" s="7" t="n"/>
      <c r="AI660" s="11" t="n"/>
      <c r="AK660">
        <f>IF($D660="","",IF(COUNTIF($D$2:$D660,$D660)=1,1,0))</f>
        <v/>
      </c>
      <c r="AL660">
        <f>IF($AK660=1,SUMPRODUCT(--($AO$2:$AO$3001&lt;$AO660))+1,"")</f>
        <v/>
      </c>
      <c r="AM660">
        <f>IF($D660="","",IF(OR($R660=TRUE(),$R660="TRUE"),1,0))</f>
        <v/>
      </c>
      <c r="AN660">
        <f>IF($D660="","",IF($X660="Yes",1,0))</f>
        <v/>
      </c>
      <c r="AO660">
        <f>IF($AK660=1,IFERROR(IF(VALUE($D660)&lt;100000000,VALUE($D660),1000000000),IFERROR(IF(VALUE(MID($D660,2,20))&lt;100000000,VALUE(MID($D660,2,20)),1000000000),1000000000))+ROW()/100000,"")</f>
        <v/>
      </c>
    </row>
    <row r="661">
      <c r="F661" s="11" t="n"/>
      <c r="N661" s="7">
        <f>IF($D661="","",M661*V661/100)</f>
        <v/>
      </c>
      <c r="O661" s="7" t="n"/>
      <c r="U661" s="7" t="n"/>
      <c r="V661" s="7" t="n"/>
      <c r="Y661">
        <f>IF($D661="","",IF($AN661=1,0,IF($AM661=1,Settings!$C$6,Settings!$C$7))*100)</f>
        <v/>
      </c>
      <c r="Z661" s="7">
        <f>IF($D661="","",V661*Y661/100)</f>
        <v/>
      </c>
      <c r="AA661" s="7">
        <f>IF($D661="","",V661-Z661)</f>
        <v/>
      </c>
      <c r="AB661" s="7">
        <f>IF($D661="","",AA661-N661)</f>
        <v/>
      </c>
      <c r="AF661" s="7" t="n"/>
      <c r="AI661" s="11" t="n"/>
      <c r="AK661">
        <f>IF($D661="","",IF(COUNTIF($D$2:$D661,$D661)=1,1,0))</f>
        <v/>
      </c>
      <c r="AL661">
        <f>IF($AK661=1,SUMPRODUCT(--($AO$2:$AO$3001&lt;$AO661))+1,"")</f>
        <v/>
      </c>
      <c r="AM661">
        <f>IF($D661="","",IF(OR($R661=TRUE(),$R661="TRUE"),1,0))</f>
        <v/>
      </c>
      <c r="AN661">
        <f>IF($D661="","",IF($X661="Yes",1,0))</f>
        <v/>
      </c>
      <c r="AO661">
        <f>IF($AK661=1,IFERROR(IF(VALUE($D661)&lt;100000000,VALUE($D661),1000000000),IFERROR(IF(VALUE(MID($D661,2,20))&lt;100000000,VALUE(MID($D661,2,20)),1000000000),1000000000))+ROW()/100000,"")</f>
        <v/>
      </c>
    </row>
    <row r="662">
      <c r="F662" s="11" t="n"/>
      <c r="N662" s="7">
        <f>IF($D662="","",M662*V662/100)</f>
        <v/>
      </c>
      <c r="O662" s="7" t="n"/>
      <c r="U662" s="7" t="n"/>
      <c r="V662" s="7" t="n"/>
      <c r="Y662">
        <f>IF($D662="","",IF($AN662=1,0,IF($AM662=1,Settings!$C$6,Settings!$C$7))*100)</f>
        <v/>
      </c>
      <c r="Z662" s="7">
        <f>IF($D662="","",V662*Y662/100)</f>
        <v/>
      </c>
      <c r="AA662" s="7">
        <f>IF($D662="","",V662-Z662)</f>
        <v/>
      </c>
      <c r="AB662" s="7">
        <f>IF($D662="","",AA662-N662)</f>
        <v/>
      </c>
      <c r="AF662" s="7" t="n"/>
      <c r="AI662" s="11" t="n"/>
      <c r="AK662">
        <f>IF($D662="","",IF(COUNTIF($D$2:$D662,$D662)=1,1,0))</f>
        <v/>
      </c>
      <c r="AL662">
        <f>IF($AK662=1,SUMPRODUCT(--($AO$2:$AO$3001&lt;$AO662))+1,"")</f>
        <v/>
      </c>
      <c r="AM662">
        <f>IF($D662="","",IF(OR($R662=TRUE(),$R662="TRUE"),1,0))</f>
        <v/>
      </c>
      <c r="AN662">
        <f>IF($D662="","",IF($X662="Yes",1,0))</f>
        <v/>
      </c>
      <c r="AO662">
        <f>IF($AK662=1,IFERROR(IF(VALUE($D662)&lt;100000000,VALUE($D662),1000000000),IFERROR(IF(VALUE(MID($D662,2,20))&lt;100000000,VALUE(MID($D662,2,20)),1000000000),1000000000))+ROW()/100000,"")</f>
        <v/>
      </c>
    </row>
    <row r="663">
      <c r="F663" s="11" t="n"/>
      <c r="N663" s="7">
        <f>IF($D663="","",M663*V663/100)</f>
        <v/>
      </c>
      <c r="O663" s="7" t="n"/>
      <c r="U663" s="7" t="n"/>
      <c r="V663" s="7" t="n"/>
      <c r="Y663">
        <f>IF($D663="","",IF($AN663=1,0,IF($AM663=1,Settings!$C$6,Settings!$C$7))*100)</f>
        <v/>
      </c>
      <c r="Z663" s="7">
        <f>IF($D663="","",V663*Y663/100)</f>
        <v/>
      </c>
      <c r="AA663" s="7">
        <f>IF($D663="","",V663-Z663)</f>
        <v/>
      </c>
      <c r="AB663" s="7">
        <f>IF($D663="","",AA663-N663)</f>
        <v/>
      </c>
      <c r="AF663" s="7" t="n"/>
      <c r="AI663" s="11" t="n"/>
      <c r="AK663">
        <f>IF($D663="","",IF(COUNTIF($D$2:$D663,$D663)=1,1,0))</f>
        <v/>
      </c>
      <c r="AL663">
        <f>IF($AK663=1,SUMPRODUCT(--($AO$2:$AO$3001&lt;$AO663))+1,"")</f>
        <v/>
      </c>
      <c r="AM663">
        <f>IF($D663="","",IF(OR($R663=TRUE(),$R663="TRUE"),1,0))</f>
        <v/>
      </c>
      <c r="AN663">
        <f>IF($D663="","",IF($X663="Yes",1,0))</f>
        <v/>
      </c>
      <c r="AO663">
        <f>IF($AK663=1,IFERROR(IF(VALUE($D663)&lt;100000000,VALUE($D663),1000000000),IFERROR(IF(VALUE(MID($D663,2,20))&lt;100000000,VALUE(MID($D663,2,20)),1000000000),1000000000))+ROW()/100000,"")</f>
        <v/>
      </c>
    </row>
    <row r="664">
      <c r="F664" s="11" t="n"/>
      <c r="N664" s="7">
        <f>IF($D664="","",M664*V664/100)</f>
        <v/>
      </c>
      <c r="O664" s="7" t="n"/>
      <c r="U664" s="7" t="n"/>
      <c r="V664" s="7" t="n"/>
      <c r="Y664">
        <f>IF($D664="","",IF($AN664=1,0,IF($AM664=1,Settings!$C$6,Settings!$C$7))*100)</f>
        <v/>
      </c>
      <c r="Z664" s="7">
        <f>IF($D664="","",V664*Y664/100)</f>
        <v/>
      </c>
      <c r="AA664" s="7">
        <f>IF($D664="","",V664-Z664)</f>
        <v/>
      </c>
      <c r="AB664" s="7">
        <f>IF($D664="","",AA664-N664)</f>
        <v/>
      </c>
      <c r="AF664" s="7" t="n"/>
      <c r="AI664" s="11" t="n"/>
      <c r="AK664">
        <f>IF($D664="","",IF(COUNTIF($D$2:$D664,$D664)=1,1,0))</f>
        <v/>
      </c>
      <c r="AL664">
        <f>IF($AK664=1,SUMPRODUCT(--($AO$2:$AO$3001&lt;$AO664))+1,"")</f>
        <v/>
      </c>
      <c r="AM664">
        <f>IF($D664="","",IF(OR($R664=TRUE(),$R664="TRUE"),1,0))</f>
        <v/>
      </c>
      <c r="AN664">
        <f>IF($D664="","",IF($X664="Yes",1,0))</f>
        <v/>
      </c>
      <c r="AO664">
        <f>IF($AK664=1,IFERROR(IF(VALUE($D664)&lt;100000000,VALUE($D664),1000000000),IFERROR(IF(VALUE(MID($D664,2,20))&lt;100000000,VALUE(MID($D664,2,20)),1000000000),1000000000))+ROW()/100000,"")</f>
        <v/>
      </c>
    </row>
    <row r="665">
      <c r="F665" s="11" t="n"/>
      <c r="N665" s="7">
        <f>IF($D665="","",M665*V665/100)</f>
        <v/>
      </c>
      <c r="O665" s="7" t="n"/>
      <c r="U665" s="7" t="n"/>
      <c r="V665" s="7" t="n"/>
      <c r="Y665">
        <f>IF($D665="","",IF($AN665=1,0,IF($AM665=1,Settings!$C$6,Settings!$C$7))*100)</f>
        <v/>
      </c>
      <c r="Z665" s="7">
        <f>IF($D665="","",V665*Y665/100)</f>
        <v/>
      </c>
      <c r="AA665" s="7">
        <f>IF($D665="","",V665-Z665)</f>
        <v/>
      </c>
      <c r="AB665" s="7">
        <f>IF($D665="","",AA665-N665)</f>
        <v/>
      </c>
      <c r="AF665" s="7" t="n"/>
      <c r="AI665" s="11" t="n"/>
      <c r="AK665">
        <f>IF($D665="","",IF(COUNTIF($D$2:$D665,$D665)=1,1,0))</f>
        <v/>
      </c>
      <c r="AL665">
        <f>IF($AK665=1,SUMPRODUCT(--($AO$2:$AO$3001&lt;$AO665))+1,"")</f>
        <v/>
      </c>
      <c r="AM665">
        <f>IF($D665="","",IF(OR($R665=TRUE(),$R665="TRUE"),1,0))</f>
        <v/>
      </c>
      <c r="AN665">
        <f>IF($D665="","",IF($X665="Yes",1,0))</f>
        <v/>
      </c>
      <c r="AO665">
        <f>IF($AK665=1,IFERROR(IF(VALUE($D665)&lt;100000000,VALUE($D665),1000000000),IFERROR(IF(VALUE(MID($D665,2,20))&lt;100000000,VALUE(MID($D665,2,20)),1000000000),1000000000))+ROW()/100000,"")</f>
        <v/>
      </c>
    </row>
    <row r="666">
      <c r="F666" s="11" t="n"/>
      <c r="N666" s="7">
        <f>IF($D666="","",M666*V666/100)</f>
        <v/>
      </c>
      <c r="O666" s="7" t="n"/>
      <c r="U666" s="7" t="n"/>
      <c r="V666" s="7" t="n"/>
      <c r="Y666">
        <f>IF($D666="","",IF($AN666=1,0,IF($AM666=1,Settings!$C$6,Settings!$C$7))*100)</f>
        <v/>
      </c>
      <c r="Z666" s="7">
        <f>IF($D666="","",V666*Y666/100)</f>
        <v/>
      </c>
      <c r="AA666" s="7">
        <f>IF($D666="","",V666-Z666)</f>
        <v/>
      </c>
      <c r="AB666" s="7">
        <f>IF($D666="","",AA666-N666)</f>
        <v/>
      </c>
      <c r="AF666" s="7" t="n"/>
      <c r="AI666" s="11" t="n"/>
      <c r="AK666">
        <f>IF($D666="","",IF(COUNTIF($D$2:$D666,$D666)=1,1,0))</f>
        <v/>
      </c>
      <c r="AL666">
        <f>IF($AK666=1,SUMPRODUCT(--($AO$2:$AO$3001&lt;$AO666))+1,"")</f>
        <v/>
      </c>
      <c r="AM666">
        <f>IF($D666="","",IF(OR($R666=TRUE(),$R666="TRUE"),1,0))</f>
        <v/>
      </c>
      <c r="AN666">
        <f>IF($D666="","",IF($X666="Yes",1,0))</f>
        <v/>
      </c>
      <c r="AO666">
        <f>IF($AK666=1,IFERROR(IF(VALUE($D666)&lt;100000000,VALUE($D666),1000000000),IFERROR(IF(VALUE(MID($D666,2,20))&lt;100000000,VALUE(MID($D666,2,20)),1000000000),1000000000))+ROW()/100000,"")</f>
        <v/>
      </c>
    </row>
    <row r="667">
      <c r="F667" s="11" t="n"/>
      <c r="N667" s="7">
        <f>IF($D667="","",M667*V667/100)</f>
        <v/>
      </c>
      <c r="O667" s="7" t="n"/>
      <c r="U667" s="7" t="n"/>
      <c r="V667" s="7" t="n"/>
      <c r="Y667">
        <f>IF($D667="","",IF($AN667=1,0,IF($AM667=1,Settings!$C$6,Settings!$C$7))*100)</f>
        <v/>
      </c>
      <c r="Z667" s="7">
        <f>IF($D667="","",V667*Y667/100)</f>
        <v/>
      </c>
      <c r="AA667" s="7">
        <f>IF($D667="","",V667-Z667)</f>
        <v/>
      </c>
      <c r="AB667" s="7">
        <f>IF($D667="","",AA667-N667)</f>
        <v/>
      </c>
      <c r="AF667" s="7" t="n"/>
      <c r="AI667" s="11" t="n"/>
      <c r="AK667">
        <f>IF($D667="","",IF(COUNTIF($D$2:$D667,$D667)=1,1,0))</f>
        <v/>
      </c>
      <c r="AL667">
        <f>IF($AK667=1,SUMPRODUCT(--($AO$2:$AO$3001&lt;$AO667))+1,"")</f>
        <v/>
      </c>
      <c r="AM667">
        <f>IF($D667="","",IF(OR($R667=TRUE(),$R667="TRUE"),1,0))</f>
        <v/>
      </c>
      <c r="AN667">
        <f>IF($D667="","",IF($X667="Yes",1,0))</f>
        <v/>
      </c>
      <c r="AO667">
        <f>IF($AK667=1,IFERROR(IF(VALUE($D667)&lt;100000000,VALUE($D667),1000000000),IFERROR(IF(VALUE(MID($D667,2,20))&lt;100000000,VALUE(MID($D667,2,20)),1000000000),1000000000))+ROW()/100000,"")</f>
        <v/>
      </c>
    </row>
    <row r="668">
      <c r="F668" s="11" t="n"/>
      <c r="N668" s="7">
        <f>IF($D668="","",M668*V668/100)</f>
        <v/>
      </c>
      <c r="O668" s="7" t="n"/>
      <c r="U668" s="7" t="n"/>
      <c r="V668" s="7" t="n"/>
      <c r="Y668">
        <f>IF($D668="","",IF($AN668=1,0,IF($AM668=1,Settings!$C$6,Settings!$C$7))*100)</f>
        <v/>
      </c>
      <c r="Z668" s="7">
        <f>IF($D668="","",V668*Y668/100)</f>
        <v/>
      </c>
      <c r="AA668" s="7">
        <f>IF($D668="","",V668-Z668)</f>
        <v/>
      </c>
      <c r="AB668" s="7">
        <f>IF($D668="","",AA668-N668)</f>
        <v/>
      </c>
      <c r="AF668" s="7" t="n"/>
      <c r="AI668" s="11" t="n"/>
      <c r="AK668">
        <f>IF($D668="","",IF(COUNTIF($D$2:$D668,$D668)=1,1,0))</f>
        <v/>
      </c>
      <c r="AL668">
        <f>IF($AK668=1,SUMPRODUCT(--($AO$2:$AO$3001&lt;$AO668))+1,"")</f>
        <v/>
      </c>
      <c r="AM668">
        <f>IF($D668="","",IF(OR($R668=TRUE(),$R668="TRUE"),1,0))</f>
        <v/>
      </c>
      <c r="AN668">
        <f>IF($D668="","",IF($X668="Yes",1,0))</f>
        <v/>
      </c>
      <c r="AO668">
        <f>IF($AK668=1,IFERROR(IF(VALUE($D668)&lt;100000000,VALUE($D668),1000000000),IFERROR(IF(VALUE(MID($D668,2,20))&lt;100000000,VALUE(MID($D668,2,20)),1000000000),1000000000))+ROW()/100000,"")</f>
        <v/>
      </c>
    </row>
    <row r="669">
      <c r="F669" s="11" t="n"/>
      <c r="N669" s="7">
        <f>IF($D669="","",M669*V669/100)</f>
        <v/>
      </c>
      <c r="O669" s="7" t="n"/>
      <c r="U669" s="7" t="n"/>
      <c r="V669" s="7" t="n"/>
      <c r="Y669">
        <f>IF($D669="","",IF($AN669=1,0,IF($AM669=1,Settings!$C$6,Settings!$C$7))*100)</f>
        <v/>
      </c>
      <c r="Z669" s="7">
        <f>IF($D669="","",V669*Y669/100)</f>
        <v/>
      </c>
      <c r="AA669" s="7">
        <f>IF($D669="","",V669-Z669)</f>
        <v/>
      </c>
      <c r="AB669" s="7">
        <f>IF($D669="","",AA669-N669)</f>
        <v/>
      </c>
      <c r="AF669" s="7" t="n"/>
      <c r="AI669" s="11" t="n"/>
      <c r="AK669">
        <f>IF($D669="","",IF(COUNTIF($D$2:$D669,$D669)=1,1,0))</f>
        <v/>
      </c>
      <c r="AL669">
        <f>IF($AK669=1,SUMPRODUCT(--($AO$2:$AO$3001&lt;$AO669))+1,"")</f>
        <v/>
      </c>
      <c r="AM669">
        <f>IF($D669="","",IF(OR($R669=TRUE(),$R669="TRUE"),1,0))</f>
        <v/>
      </c>
      <c r="AN669">
        <f>IF($D669="","",IF($X669="Yes",1,0))</f>
        <v/>
      </c>
      <c r="AO669">
        <f>IF($AK669=1,IFERROR(IF(VALUE($D669)&lt;100000000,VALUE($D669),1000000000),IFERROR(IF(VALUE(MID($D669,2,20))&lt;100000000,VALUE(MID($D669,2,20)),1000000000),1000000000))+ROW()/100000,"")</f>
        <v/>
      </c>
    </row>
    <row r="670">
      <c r="F670" s="11" t="n"/>
      <c r="N670" s="7">
        <f>IF($D670="","",M670*V670/100)</f>
        <v/>
      </c>
      <c r="O670" s="7" t="n"/>
      <c r="U670" s="7" t="n"/>
      <c r="V670" s="7" t="n"/>
      <c r="Y670">
        <f>IF($D670="","",IF($AN670=1,0,IF($AM670=1,Settings!$C$6,Settings!$C$7))*100)</f>
        <v/>
      </c>
      <c r="Z670" s="7">
        <f>IF($D670="","",V670*Y670/100)</f>
        <v/>
      </c>
      <c r="AA670" s="7">
        <f>IF($D670="","",V670-Z670)</f>
        <v/>
      </c>
      <c r="AB670" s="7">
        <f>IF($D670="","",AA670-N670)</f>
        <v/>
      </c>
      <c r="AF670" s="7" t="n"/>
      <c r="AI670" s="11" t="n"/>
      <c r="AK670">
        <f>IF($D670="","",IF(COUNTIF($D$2:$D670,$D670)=1,1,0))</f>
        <v/>
      </c>
      <c r="AL670">
        <f>IF($AK670=1,SUMPRODUCT(--($AO$2:$AO$3001&lt;$AO670))+1,"")</f>
        <v/>
      </c>
      <c r="AM670">
        <f>IF($D670="","",IF(OR($R670=TRUE(),$R670="TRUE"),1,0))</f>
        <v/>
      </c>
      <c r="AN670">
        <f>IF($D670="","",IF($X670="Yes",1,0))</f>
        <v/>
      </c>
      <c r="AO670">
        <f>IF($AK670=1,IFERROR(IF(VALUE($D670)&lt;100000000,VALUE($D670),1000000000),IFERROR(IF(VALUE(MID($D670,2,20))&lt;100000000,VALUE(MID($D670,2,20)),1000000000),1000000000))+ROW()/100000,"")</f>
        <v/>
      </c>
    </row>
    <row r="671">
      <c r="F671" s="11" t="n"/>
      <c r="N671" s="7">
        <f>IF($D671="","",M671*V671/100)</f>
        <v/>
      </c>
      <c r="O671" s="7" t="n"/>
      <c r="U671" s="7" t="n"/>
      <c r="V671" s="7" t="n"/>
      <c r="Y671">
        <f>IF($D671="","",IF($AN671=1,0,IF($AM671=1,Settings!$C$6,Settings!$C$7))*100)</f>
        <v/>
      </c>
      <c r="Z671" s="7">
        <f>IF($D671="","",V671*Y671/100)</f>
        <v/>
      </c>
      <c r="AA671" s="7">
        <f>IF($D671="","",V671-Z671)</f>
        <v/>
      </c>
      <c r="AB671" s="7">
        <f>IF($D671="","",AA671-N671)</f>
        <v/>
      </c>
      <c r="AF671" s="7" t="n"/>
      <c r="AI671" s="11" t="n"/>
      <c r="AK671">
        <f>IF($D671="","",IF(COUNTIF($D$2:$D671,$D671)=1,1,0))</f>
        <v/>
      </c>
      <c r="AL671">
        <f>IF($AK671=1,SUMPRODUCT(--($AO$2:$AO$3001&lt;$AO671))+1,"")</f>
        <v/>
      </c>
      <c r="AM671">
        <f>IF($D671="","",IF(OR($R671=TRUE(),$R671="TRUE"),1,0))</f>
        <v/>
      </c>
      <c r="AN671">
        <f>IF($D671="","",IF($X671="Yes",1,0))</f>
        <v/>
      </c>
      <c r="AO671">
        <f>IF($AK671=1,IFERROR(IF(VALUE($D671)&lt;100000000,VALUE($D671),1000000000),IFERROR(IF(VALUE(MID($D671,2,20))&lt;100000000,VALUE(MID($D671,2,20)),1000000000),1000000000))+ROW()/100000,"")</f>
        <v/>
      </c>
    </row>
    <row r="672">
      <c r="F672" s="11" t="n"/>
      <c r="N672" s="7">
        <f>IF($D672="","",M672*V672/100)</f>
        <v/>
      </c>
      <c r="O672" s="7" t="n"/>
      <c r="U672" s="7" t="n"/>
      <c r="V672" s="7" t="n"/>
      <c r="Y672">
        <f>IF($D672="","",IF($AN672=1,0,IF($AM672=1,Settings!$C$6,Settings!$C$7))*100)</f>
        <v/>
      </c>
      <c r="Z672" s="7">
        <f>IF($D672="","",V672*Y672/100)</f>
        <v/>
      </c>
      <c r="AA672" s="7">
        <f>IF($D672="","",V672-Z672)</f>
        <v/>
      </c>
      <c r="AB672" s="7">
        <f>IF($D672="","",AA672-N672)</f>
        <v/>
      </c>
      <c r="AF672" s="7" t="n"/>
      <c r="AI672" s="11" t="n"/>
      <c r="AK672">
        <f>IF($D672="","",IF(COUNTIF($D$2:$D672,$D672)=1,1,0))</f>
        <v/>
      </c>
      <c r="AL672">
        <f>IF($AK672=1,SUMPRODUCT(--($AO$2:$AO$3001&lt;$AO672))+1,"")</f>
        <v/>
      </c>
      <c r="AM672">
        <f>IF($D672="","",IF(OR($R672=TRUE(),$R672="TRUE"),1,0))</f>
        <v/>
      </c>
      <c r="AN672">
        <f>IF($D672="","",IF($X672="Yes",1,0))</f>
        <v/>
      </c>
      <c r="AO672">
        <f>IF($AK672=1,IFERROR(IF(VALUE($D672)&lt;100000000,VALUE($D672),1000000000),IFERROR(IF(VALUE(MID($D672,2,20))&lt;100000000,VALUE(MID($D672,2,20)),1000000000),1000000000))+ROW()/100000,"")</f>
        <v/>
      </c>
    </row>
    <row r="673">
      <c r="F673" s="11" t="n"/>
      <c r="N673" s="7">
        <f>IF($D673="","",M673*V673/100)</f>
        <v/>
      </c>
      <c r="O673" s="7" t="n"/>
      <c r="U673" s="7" t="n"/>
      <c r="V673" s="7" t="n"/>
      <c r="Y673">
        <f>IF($D673="","",IF($AN673=1,0,IF($AM673=1,Settings!$C$6,Settings!$C$7))*100)</f>
        <v/>
      </c>
      <c r="Z673" s="7">
        <f>IF($D673="","",V673*Y673/100)</f>
        <v/>
      </c>
      <c r="AA673" s="7">
        <f>IF($D673="","",V673-Z673)</f>
        <v/>
      </c>
      <c r="AB673" s="7">
        <f>IF($D673="","",AA673-N673)</f>
        <v/>
      </c>
      <c r="AF673" s="7" t="n"/>
      <c r="AI673" s="11" t="n"/>
      <c r="AK673">
        <f>IF($D673="","",IF(COUNTIF($D$2:$D673,$D673)=1,1,0))</f>
        <v/>
      </c>
      <c r="AL673">
        <f>IF($AK673=1,SUMPRODUCT(--($AO$2:$AO$3001&lt;$AO673))+1,"")</f>
        <v/>
      </c>
      <c r="AM673">
        <f>IF($D673="","",IF(OR($R673=TRUE(),$R673="TRUE"),1,0))</f>
        <v/>
      </c>
      <c r="AN673">
        <f>IF($D673="","",IF($X673="Yes",1,0))</f>
        <v/>
      </c>
      <c r="AO673">
        <f>IF($AK673=1,IFERROR(IF(VALUE($D673)&lt;100000000,VALUE($D673),1000000000),IFERROR(IF(VALUE(MID($D673,2,20))&lt;100000000,VALUE(MID($D673,2,20)),1000000000),1000000000))+ROW()/100000,"")</f>
        <v/>
      </c>
    </row>
    <row r="674">
      <c r="F674" s="11" t="n"/>
      <c r="N674" s="7">
        <f>IF($D674="","",M674*V674/100)</f>
        <v/>
      </c>
      <c r="O674" s="7" t="n"/>
      <c r="U674" s="7" t="n"/>
      <c r="V674" s="7" t="n"/>
      <c r="Y674">
        <f>IF($D674="","",IF($AN674=1,0,IF($AM674=1,Settings!$C$6,Settings!$C$7))*100)</f>
        <v/>
      </c>
      <c r="Z674" s="7">
        <f>IF($D674="","",V674*Y674/100)</f>
        <v/>
      </c>
      <c r="AA674" s="7">
        <f>IF($D674="","",V674-Z674)</f>
        <v/>
      </c>
      <c r="AB674" s="7">
        <f>IF($D674="","",AA674-N674)</f>
        <v/>
      </c>
      <c r="AF674" s="7" t="n"/>
      <c r="AI674" s="11" t="n"/>
      <c r="AK674">
        <f>IF($D674="","",IF(COUNTIF($D$2:$D674,$D674)=1,1,0))</f>
        <v/>
      </c>
      <c r="AL674">
        <f>IF($AK674=1,SUMPRODUCT(--($AO$2:$AO$3001&lt;$AO674))+1,"")</f>
        <v/>
      </c>
      <c r="AM674">
        <f>IF($D674="","",IF(OR($R674=TRUE(),$R674="TRUE"),1,0))</f>
        <v/>
      </c>
      <c r="AN674">
        <f>IF($D674="","",IF($X674="Yes",1,0))</f>
        <v/>
      </c>
      <c r="AO674">
        <f>IF($AK674=1,IFERROR(IF(VALUE($D674)&lt;100000000,VALUE($D674),1000000000),IFERROR(IF(VALUE(MID($D674,2,20))&lt;100000000,VALUE(MID($D674,2,20)),1000000000),1000000000))+ROW()/100000,"")</f>
        <v/>
      </c>
    </row>
    <row r="675">
      <c r="F675" s="11" t="n"/>
      <c r="N675" s="7">
        <f>IF($D675="","",M675*V675/100)</f>
        <v/>
      </c>
      <c r="O675" s="7" t="n"/>
      <c r="U675" s="7" t="n"/>
      <c r="V675" s="7" t="n"/>
      <c r="Y675">
        <f>IF($D675="","",IF($AN675=1,0,IF($AM675=1,Settings!$C$6,Settings!$C$7))*100)</f>
        <v/>
      </c>
      <c r="Z675" s="7">
        <f>IF($D675="","",V675*Y675/100)</f>
        <v/>
      </c>
      <c r="AA675" s="7">
        <f>IF($D675="","",V675-Z675)</f>
        <v/>
      </c>
      <c r="AB675" s="7">
        <f>IF($D675="","",AA675-N675)</f>
        <v/>
      </c>
      <c r="AF675" s="7" t="n"/>
      <c r="AI675" s="11" t="n"/>
      <c r="AK675">
        <f>IF($D675="","",IF(COUNTIF($D$2:$D675,$D675)=1,1,0))</f>
        <v/>
      </c>
      <c r="AL675">
        <f>IF($AK675=1,SUMPRODUCT(--($AO$2:$AO$3001&lt;$AO675))+1,"")</f>
        <v/>
      </c>
      <c r="AM675">
        <f>IF($D675="","",IF(OR($R675=TRUE(),$R675="TRUE"),1,0))</f>
        <v/>
      </c>
      <c r="AN675">
        <f>IF($D675="","",IF($X675="Yes",1,0))</f>
        <v/>
      </c>
      <c r="AO675">
        <f>IF($AK675=1,IFERROR(IF(VALUE($D675)&lt;100000000,VALUE($D675),1000000000),IFERROR(IF(VALUE(MID($D675,2,20))&lt;100000000,VALUE(MID($D675,2,20)),1000000000),1000000000))+ROW()/100000,"")</f>
        <v/>
      </c>
    </row>
    <row r="676">
      <c r="F676" s="11" t="n"/>
      <c r="N676" s="7">
        <f>IF($D676="","",M676*V676/100)</f>
        <v/>
      </c>
      <c r="O676" s="7" t="n"/>
      <c r="U676" s="7" t="n"/>
      <c r="V676" s="7" t="n"/>
      <c r="Y676">
        <f>IF($D676="","",IF($AN676=1,0,IF($AM676=1,Settings!$C$6,Settings!$C$7))*100)</f>
        <v/>
      </c>
      <c r="Z676" s="7">
        <f>IF($D676="","",V676*Y676/100)</f>
        <v/>
      </c>
      <c r="AA676" s="7">
        <f>IF($D676="","",V676-Z676)</f>
        <v/>
      </c>
      <c r="AB676" s="7">
        <f>IF($D676="","",AA676-N676)</f>
        <v/>
      </c>
      <c r="AF676" s="7" t="n"/>
      <c r="AI676" s="11" t="n"/>
      <c r="AK676">
        <f>IF($D676="","",IF(COUNTIF($D$2:$D676,$D676)=1,1,0))</f>
        <v/>
      </c>
      <c r="AL676">
        <f>IF($AK676=1,SUMPRODUCT(--($AO$2:$AO$3001&lt;$AO676))+1,"")</f>
        <v/>
      </c>
      <c r="AM676">
        <f>IF($D676="","",IF(OR($R676=TRUE(),$R676="TRUE"),1,0))</f>
        <v/>
      </c>
      <c r="AN676">
        <f>IF($D676="","",IF($X676="Yes",1,0))</f>
        <v/>
      </c>
      <c r="AO676">
        <f>IF($AK676=1,IFERROR(IF(VALUE($D676)&lt;100000000,VALUE($D676),1000000000),IFERROR(IF(VALUE(MID($D676,2,20))&lt;100000000,VALUE(MID($D676,2,20)),1000000000),1000000000))+ROW()/100000,"")</f>
        <v/>
      </c>
    </row>
    <row r="677">
      <c r="F677" s="11" t="n"/>
      <c r="N677" s="7">
        <f>IF($D677="","",M677*V677/100)</f>
        <v/>
      </c>
      <c r="O677" s="7" t="n"/>
      <c r="U677" s="7" t="n"/>
      <c r="V677" s="7" t="n"/>
      <c r="Y677">
        <f>IF($D677="","",IF($AN677=1,0,IF($AM677=1,Settings!$C$6,Settings!$C$7))*100)</f>
        <v/>
      </c>
      <c r="Z677" s="7">
        <f>IF($D677="","",V677*Y677/100)</f>
        <v/>
      </c>
      <c r="AA677" s="7">
        <f>IF($D677="","",V677-Z677)</f>
        <v/>
      </c>
      <c r="AB677" s="7">
        <f>IF($D677="","",AA677-N677)</f>
        <v/>
      </c>
      <c r="AF677" s="7" t="n"/>
      <c r="AI677" s="11" t="n"/>
      <c r="AK677">
        <f>IF($D677="","",IF(COUNTIF($D$2:$D677,$D677)=1,1,0))</f>
        <v/>
      </c>
      <c r="AL677">
        <f>IF($AK677=1,SUMPRODUCT(--($AO$2:$AO$3001&lt;$AO677))+1,"")</f>
        <v/>
      </c>
      <c r="AM677">
        <f>IF($D677="","",IF(OR($R677=TRUE(),$R677="TRUE"),1,0))</f>
        <v/>
      </c>
      <c r="AN677">
        <f>IF($D677="","",IF($X677="Yes",1,0))</f>
        <v/>
      </c>
      <c r="AO677">
        <f>IF($AK677=1,IFERROR(IF(VALUE($D677)&lt;100000000,VALUE($D677),1000000000),IFERROR(IF(VALUE(MID($D677,2,20))&lt;100000000,VALUE(MID($D677,2,20)),1000000000),1000000000))+ROW()/100000,"")</f>
        <v/>
      </c>
    </row>
    <row r="678">
      <c r="F678" s="11" t="n"/>
      <c r="N678" s="7">
        <f>IF($D678="","",M678*V678/100)</f>
        <v/>
      </c>
      <c r="O678" s="7" t="n"/>
      <c r="U678" s="7" t="n"/>
      <c r="V678" s="7" t="n"/>
      <c r="Y678">
        <f>IF($D678="","",IF($AN678=1,0,IF($AM678=1,Settings!$C$6,Settings!$C$7))*100)</f>
        <v/>
      </c>
      <c r="Z678" s="7">
        <f>IF($D678="","",V678*Y678/100)</f>
        <v/>
      </c>
      <c r="AA678" s="7">
        <f>IF($D678="","",V678-Z678)</f>
        <v/>
      </c>
      <c r="AB678" s="7">
        <f>IF($D678="","",AA678-N678)</f>
        <v/>
      </c>
      <c r="AF678" s="7" t="n"/>
      <c r="AI678" s="11" t="n"/>
      <c r="AK678">
        <f>IF($D678="","",IF(COUNTIF($D$2:$D678,$D678)=1,1,0))</f>
        <v/>
      </c>
      <c r="AL678">
        <f>IF($AK678=1,SUMPRODUCT(--($AO$2:$AO$3001&lt;$AO678))+1,"")</f>
        <v/>
      </c>
      <c r="AM678">
        <f>IF($D678="","",IF(OR($R678=TRUE(),$R678="TRUE"),1,0))</f>
        <v/>
      </c>
      <c r="AN678">
        <f>IF($D678="","",IF($X678="Yes",1,0))</f>
        <v/>
      </c>
      <c r="AO678">
        <f>IF($AK678=1,IFERROR(IF(VALUE($D678)&lt;100000000,VALUE($D678),1000000000),IFERROR(IF(VALUE(MID($D678,2,20))&lt;100000000,VALUE(MID($D678,2,20)),1000000000),1000000000))+ROW()/100000,"")</f>
        <v/>
      </c>
    </row>
    <row r="679">
      <c r="F679" s="11" t="n"/>
      <c r="N679" s="7">
        <f>IF($D679="","",M679*V679/100)</f>
        <v/>
      </c>
      <c r="O679" s="7" t="n"/>
      <c r="U679" s="7" t="n"/>
      <c r="V679" s="7" t="n"/>
      <c r="Y679">
        <f>IF($D679="","",IF($AN679=1,0,IF($AM679=1,Settings!$C$6,Settings!$C$7))*100)</f>
        <v/>
      </c>
      <c r="Z679" s="7">
        <f>IF($D679="","",V679*Y679/100)</f>
        <v/>
      </c>
      <c r="AA679" s="7">
        <f>IF($D679="","",V679-Z679)</f>
        <v/>
      </c>
      <c r="AB679" s="7">
        <f>IF($D679="","",AA679-N679)</f>
        <v/>
      </c>
      <c r="AF679" s="7" t="n"/>
      <c r="AI679" s="11" t="n"/>
      <c r="AK679">
        <f>IF($D679="","",IF(COUNTIF($D$2:$D679,$D679)=1,1,0))</f>
        <v/>
      </c>
      <c r="AL679">
        <f>IF($AK679=1,SUMPRODUCT(--($AO$2:$AO$3001&lt;$AO679))+1,"")</f>
        <v/>
      </c>
      <c r="AM679">
        <f>IF($D679="","",IF(OR($R679=TRUE(),$R679="TRUE"),1,0))</f>
        <v/>
      </c>
      <c r="AN679">
        <f>IF($D679="","",IF($X679="Yes",1,0))</f>
        <v/>
      </c>
      <c r="AO679">
        <f>IF($AK679=1,IFERROR(IF(VALUE($D679)&lt;100000000,VALUE($D679),1000000000),IFERROR(IF(VALUE(MID($D679,2,20))&lt;100000000,VALUE(MID($D679,2,20)),1000000000),1000000000))+ROW()/100000,"")</f>
        <v/>
      </c>
    </row>
    <row r="680">
      <c r="F680" s="11" t="n"/>
      <c r="N680" s="7">
        <f>IF($D680="","",M680*V680/100)</f>
        <v/>
      </c>
      <c r="O680" s="7" t="n"/>
      <c r="U680" s="7" t="n"/>
      <c r="V680" s="7" t="n"/>
      <c r="Y680">
        <f>IF($D680="","",IF($AN680=1,0,IF($AM680=1,Settings!$C$6,Settings!$C$7))*100)</f>
        <v/>
      </c>
      <c r="Z680" s="7">
        <f>IF($D680="","",V680*Y680/100)</f>
        <v/>
      </c>
      <c r="AA680" s="7">
        <f>IF($D680="","",V680-Z680)</f>
        <v/>
      </c>
      <c r="AB680" s="7">
        <f>IF($D680="","",AA680-N680)</f>
        <v/>
      </c>
      <c r="AF680" s="7" t="n"/>
      <c r="AI680" s="11" t="n"/>
      <c r="AK680">
        <f>IF($D680="","",IF(COUNTIF($D$2:$D680,$D680)=1,1,0))</f>
        <v/>
      </c>
      <c r="AL680">
        <f>IF($AK680=1,SUMPRODUCT(--($AO$2:$AO$3001&lt;$AO680))+1,"")</f>
        <v/>
      </c>
      <c r="AM680">
        <f>IF($D680="","",IF(OR($R680=TRUE(),$R680="TRUE"),1,0))</f>
        <v/>
      </c>
      <c r="AN680">
        <f>IF($D680="","",IF($X680="Yes",1,0))</f>
        <v/>
      </c>
      <c r="AO680">
        <f>IF($AK680=1,IFERROR(IF(VALUE($D680)&lt;100000000,VALUE($D680),1000000000),IFERROR(IF(VALUE(MID($D680,2,20))&lt;100000000,VALUE(MID($D680,2,20)),1000000000),1000000000))+ROW()/100000,"")</f>
        <v/>
      </c>
    </row>
    <row r="681">
      <c r="F681" s="11" t="n"/>
      <c r="N681" s="7">
        <f>IF($D681="","",M681*V681/100)</f>
        <v/>
      </c>
      <c r="O681" s="7" t="n"/>
      <c r="U681" s="7" t="n"/>
      <c r="V681" s="7" t="n"/>
      <c r="Y681">
        <f>IF($D681="","",IF($AN681=1,0,IF($AM681=1,Settings!$C$6,Settings!$C$7))*100)</f>
        <v/>
      </c>
      <c r="Z681" s="7">
        <f>IF($D681="","",V681*Y681/100)</f>
        <v/>
      </c>
      <c r="AA681" s="7">
        <f>IF($D681="","",V681-Z681)</f>
        <v/>
      </c>
      <c r="AB681" s="7">
        <f>IF($D681="","",AA681-N681)</f>
        <v/>
      </c>
      <c r="AF681" s="7" t="n"/>
      <c r="AI681" s="11" t="n"/>
      <c r="AK681">
        <f>IF($D681="","",IF(COUNTIF($D$2:$D681,$D681)=1,1,0))</f>
        <v/>
      </c>
      <c r="AL681">
        <f>IF($AK681=1,SUMPRODUCT(--($AO$2:$AO$3001&lt;$AO681))+1,"")</f>
        <v/>
      </c>
      <c r="AM681">
        <f>IF($D681="","",IF(OR($R681=TRUE(),$R681="TRUE"),1,0))</f>
        <v/>
      </c>
      <c r="AN681">
        <f>IF($D681="","",IF($X681="Yes",1,0))</f>
        <v/>
      </c>
      <c r="AO681">
        <f>IF($AK681=1,IFERROR(IF(VALUE($D681)&lt;100000000,VALUE($D681),1000000000),IFERROR(IF(VALUE(MID($D681,2,20))&lt;100000000,VALUE(MID($D681,2,20)),1000000000),1000000000))+ROW()/100000,"")</f>
        <v/>
      </c>
    </row>
    <row r="682">
      <c r="F682" s="11" t="n"/>
      <c r="N682" s="7">
        <f>IF($D682="","",M682*V682/100)</f>
        <v/>
      </c>
      <c r="O682" s="7" t="n"/>
      <c r="U682" s="7" t="n"/>
      <c r="V682" s="7" t="n"/>
      <c r="Y682">
        <f>IF($D682="","",IF($AN682=1,0,IF($AM682=1,Settings!$C$6,Settings!$C$7))*100)</f>
        <v/>
      </c>
      <c r="Z682" s="7">
        <f>IF($D682="","",V682*Y682/100)</f>
        <v/>
      </c>
      <c r="AA682" s="7">
        <f>IF($D682="","",V682-Z682)</f>
        <v/>
      </c>
      <c r="AB682" s="7">
        <f>IF($D682="","",AA682-N682)</f>
        <v/>
      </c>
      <c r="AF682" s="7" t="n"/>
      <c r="AI682" s="11" t="n"/>
      <c r="AK682">
        <f>IF($D682="","",IF(COUNTIF($D$2:$D682,$D682)=1,1,0))</f>
        <v/>
      </c>
      <c r="AL682">
        <f>IF($AK682=1,SUMPRODUCT(--($AO$2:$AO$3001&lt;$AO682))+1,"")</f>
        <v/>
      </c>
      <c r="AM682">
        <f>IF($D682="","",IF(OR($R682=TRUE(),$R682="TRUE"),1,0))</f>
        <v/>
      </c>
      <c r="AN682">
        <f>IF($D682="","",IF($X682="Yes",1,0))</f>
        <v/>
      </c>
      <c r="AO682">
        <f>IF($AK682=1,IFERROR(IF(VALUE($D682)&lt;100000000,VALUE($D682),1000000000),IFERROR(IF(VALUE(MID($D682,2,20))&lt;100000000,VALUE(MID($D682,2,20)),1000000000),1000000000))+ROW()/100000,"")</f>
        <v/>
      </c>
    </row>
    <row r="683">
      <c r="F683" s="11" t="n"/>
      <c r="N683" s="7">
        <f>IF($D683="","",M683*V683/100)</f>
        <v/>
      </c>
      <c r="O683" s="7" t="n"/>
      <c r="U683" s="7" t="n"/>
      <c r="V683" s="7" t="n"/>
      <c r="Y683">
        <f>IF($D683="","",IF($AN683=1,0,IF($AM683=1,Settings!$C$6,Settings!$C$7))*100)</f>
        <v/>
      </c>
      <c r="Z683" s="7">
        <f>IF($D683="","",V683*Y683/100)</f>
        <v/>
      </c>
      <c r="AA683" s="7">
        <f>IF($D683="","",V683-Z683)</f>
        <v/>
      </c>
      <c r="AB683" s="7">
        <f>IF($D683="","",AA683-N683)</f>
        <v/>
      </c>
      <c r="AF683" s="7" t="n"/>
      <c r="AI683" s="11" t="n"/>
      <c r="AK683">
        <f>IF($D683="","",IF(COUNTIF($D$2:$D683,$D683)=1,1,0))</f>
        <v/>
      </c>
      <c r="AL683">
        <f>IF($AK683=1,SUMPRODUCT(--($AO$2:$AO$3001&lt;$AO683))+1,"")</f>
        <v/>
      </c>
      <c r="AM683">
        <f>IF($D683="","",IF(OR($R683=TRUE(),$R683="TRUE"),1,0))</f>
        <v/>
      </c>
      <c r="AN683">
        <f>IF($D683="","",IF($X683="Yes",1,0))</f>
        <v/>
      </c>
      <c r="AO683">
        <f>IF($AK683=1,IFERROR(IF(VALUE($D683)&lt;100000000,VALUE($D683),1000000000),IFERROR(IF(VALUE(MID($D683,2,20))&lt;100000000,VALUE(MID($D683,2,20)),1000000000),1000000000))+ROW()/100000,"")</f>
        <v/>
      </c>
    </row>
    <row r="684">
      <c r="F684" s="11" t="n"/>
      <c r="N684" s="7">
        <f>IF($D684="","",M684*V684/100)</f>
        <v/>
      </c>
      <c r="O684" s="7" t="n"/>
      <c r="U684" s="7" t="n"/>
      <c r="V684" s="7" t="n"/>
      <c r="Y684">
        <f>IF($D684="","",IF($AN684=1,0,IF($AM684=1,Settings!$C$6,Settings!$C$7))*100)</f>
        <v/>
      </c>
      <c r="Z684" s="7">
        <f>IF($D684="","",V684*Y684/100)</f>
        <v/>
      </c>
      <c r="AA684" s="7">
        <f>IF($D684="","",V684-Z684)</f>
        <v/>
      </c>
      <c r="AB684" s="7">
        <f>IF($D684="","",AA684-N684)</f>
        <v/>
      </c>
      <c r="AF684" s="7" t="n"/>
      <c r="AI684" s="11" t="n"/>
      <c r="AK684">
        <f>IF($D684="","",IF(COUNTIF($D$2:$D684,$D684)=1,1,0))</f>
        <v/>
      </c>
      <c r="AL684">
        <f>IF($AK684=1,SUMPRODUCT(--($AO$2:$AO$3001&lt;$AO684))+1,"")</f>
        <v/>
      </c>
      <c r="AM684">
        <f>IF($D684="","",IF(OR($R684=TRUE(),$R684="TRUE"),1,0))</f>
        <v/>
      </c>
      <c r="AN684">
        <f>IF($D684="","",IF($X684="Yes",1,0))</f>
        <v/>
      </c>
      <c r="AO684">
        <f>IF($AK684=1,IFERROR(IF(VALUE($D684)&lt;100000000,VALUE($D684),1000000000),IFERROR(IF(VALUE(MID($D684,2,20))&lt;100000000,VALUE(MID($D684,2,20)),1000000000),1000000000))+ROW()/100000,"")</f>
        <v/>
      </c>
    </row>
    <row r="685">
      <c r="F685" s="11" t="n"/>
      <c r="N685" s="7">
        <f>IF($D685="","",M685*V685/100)</f>
        <v/>
      </c>
      <c r="O685" s="7" t="n"/>
      <c r="U685" s="7" t="n"/>
      <c r="V685" s="7" t="n"/>
      <c r="Y685">
        <f>IF($D685="","",IF($AN685=1,0,IF($AM685=1,Settings!$C$6,Settings!$C$7))*100)</f>
        <v/>
      </c>
      <c r="Z685" s="7">
        <f>IF($D685="","",V685*Y685/100)</f>
        <v/>
      </c>
      <c r="AA685" s="7">
        <f>IF($D685="","",V685-Z685)</f>
        <v/>
      </c>
      <c r="AB685" s="7">
        <f>IF($D685="","",AA685-N685)</f>
        <v/>
      </c>
      <c r="AF685" s="7" t="n"/>
      <c r="AI685" s="11" t="n"/>
      <c r="AK685">
        <f>IF($D685="","",IF(COUNTIF($D$2:$D685,$D685)=1,1,0))</f>
        <v/>
      </c>
      <c r="AL685">
        <f>IF($AK685=1,SUMPRODUCT(--($AO$2:$AO$3001&lt;$AO685))+1,"")</f>
        <v/>
      </c>
      <c r="AM685">
        <f>IF($D685="","",IF(OR($R685=TRUE(),$R685="TRUE"),1,0))</f>
        <v/>
      </c>
      <c r="AN685">
        <f>IF($D685="","",IF($X685="Yes",1,0))</f>
        <v/>
      </c>
      <c r="AO685">
        <f>IF($AK685=1,IFERROR(IF(VALUE($D685)&lt;100000000,VALUE($D685),1000000000),IFERROR(IF(VALUE(MID($D685,2,20))&lt;100000000,VALUE(MID($D685,2,20)),1000000000),1000000000))+ROW()/100000,"")</f>
        <v/>
      </c>
    </row>
    <row r="686">
      <c r="F686" s="11" t="n"/>
      <c r="N686" s="7">
        <f>IF($D686="","",M686*V686/100)</f>
        <v/>
      </c>
      <c r="O686" s="7" t="n"/>
      <c r="U686" s="7" t="n"/>
      <c r="V686" s="7" t="n"/>
      <c r="Y686">
        <f>IF($D686="","",IF($AN686=1,0,IF($AM686=1,Settings!$C$6,Settings!$C$7))*100)</f>
        <v/>
      </c>
      <c r="Z686" s="7">
        <f>IF($D686="","",V686*Y686/100)</f>
        <v/>
      </c>
      <c r="AA686" s="7">
        <f>IF($D686="","",V686-Z686)</f>
        <v/>
      </c>
      <c r="AB686" s="7">
        <f>IF($D686="","",AA686-N686)</f>
        <v/>
      </c>
      <c r="AF686" s="7" t="n"/>
      <c r="AI686" s="11" t="n"/>
      <c r="AK686">
        <f>IF($D686="","",IF(COUNTIF($D$2:$D686,$D686)=1,1,0))</f>
        <v/>
      </c>
      <c r="AL686">
        <f>IF($AK686=1,SUMPRODUCT(--($AO$2:$AO$3001&lt;$AO686))+1,"")</f>
        <v/>
      </c>
      <c r="AM686">
        <f>IF($D686="","",IF(OR($R686=TRUE(),$R686="TRUE"),1,0))</f>
        <v/>
      </c>
      <c r="AN686">
        <f>IF($D686="","",IF($X686="Yes",1,0))</f>
        <v/>
      </c>
      <c r="AO686">
        <f>IF($AK686=1,IFERROR(IF(VALUE($D686)&lt;100000000,VALUE($D686),1000000000),IFERROR(IF(VALUE(MID($D686,2,20))&lt;100000000,VALUE(MID($D686,2,20)),1000000000),1000000000))+ROW()/100000,"")</f>
        <v/>
      </c>
    </row>
    <row r="687">
      <c r="F687" s="11" t="n"/>
      <c r="N687" s="7">
        <f>IF($D687="","",M687*V687/100)</f>
        <v/>
      </c>
      <c r="O687" s="7" t="n"/>
      <c r="U687" s="7" t="n"/>
      <c r="V687" s="7" t="n"/>
      <c r="Y687">
        <f>IF($D687="","",IF($AN687=1,0,IF($AM687=1,Settings!$C$6,Settings!$C$7))*100)</f>
        <v/>
      </c>
      <c r="Z687" s="7">
        <f>IF($D687="","",V687*Y687/100)</f>
        <v/>
      </c>
      <c r="AA687" s="7">
        <f>IF($D687="","",V687-Z687)</f>
        <v/>
      </c>
      <c r="AB687" s="7">
        <f>IF($D687="","",AA687-N687)</f>
        <v/>
      </c>
      <c r="AF687" s="7" t="n"/>
      <c r="AI687" s="11" t="n"/>
      <c r="AK687">
        <f>IF($D687="","",IF(COUNTIF($D$2:$D687,$D687)=1,1,0))</f>
        <v/>
      </c>
      <c r="AL687">
        <f>IF($AK687=1,SUMPRODUCT(--($AO$2:$AO$3001&lt;$AO687))+1,"")</f>
        <v/>
      </c>
      <c r="AM687">
        <f>IF($D687="","",IF(OR($R687=TRUE(),$R687="TRUE"),1,0))</f>
        <v/>
      </c>
      <c r="AN687">
        <f>IF($D687="","",IF($X687="Yes",1,0))</f>
        <v/>
      </c>
      <c r="AO687">
        <f>IF($AK687=1,IFERROR(IF(VALUE($D687)&lt;100000000,VALUE($D687),1000000000),IFERROR(IF(VALUE(MID($D687,2,20))&lt;100000000,VALUE(MID($D687,2,20)),1000000000),1000000000))+ROW()/100000,"")</f>
        <v/>
      </c>
    </row>
    <row r="688">
      <c r="F688" s="11" t="n"/>
      <c r="N688" s="7">
        <f>IF($D688="","",M688*V688/100)</f>
        <v/>
      </c>
      <c r="O688" s="7" t="n"/>
      <c r="U688" s="7" t="n"/>
      <c r="V688" s="7" t="n"/>
      <c r="Y688">
        <f>IF($D688="","",IF($AN688=1,0,IF($AM688=1,Settings!$C$6,Settings!$C$7))*100)</f>
        <v/>
      </c>
      <c r="Z688" s="7">
        <f>IF($D688="","",V688*Y688/100)</f>
        <v/>
      </c>
      <c r="AA688" s="7">
        <f>IF($D688="","",V688-Z688)</f>
        <v/>
      </c>
      <c r="AB688" s="7">
        <f>IF($D688="","",AA688-N688)</f>
        <v/>
      </c>
      <c r="AF688" s="7" t="n"/>
      <c r="AI688" s="11" t="n"/>
      <c r="AK688">
        <f>IF($D688="","",IF(COUNTIF($D$2:$D688,$D688)=1,1,0))</f>
        <v/>
      </c>
      <c r="AL688">
        <f>IF($AK688=1,SUMPRODUCT(--($AO$2:$AO$3001&lt;$AO688))+1,"")</f>
        <v/>
      </c>
      <c r="AM688">
        <f>IF($D688="","",IF(OR($R688=TRUE(),$R688="TRUE"),1,0))</f>
        <v/>
      </c>
      <c r="AN688">
        <f>IF($D688="","",IF($X688="Yes",1,0))</f>
        <v/>
      </c>
      <c r="AO688">
        <f>IF($AK688=1,IFERROR(IF(VALUE($D688)&lt;100000000,VALUE($D688),1000000000),IFERROR(IF(VALUE(MID($D688,2,20))&lt;100000000,VALUE(MID($D688,2,20)),1000000000),1000000000))+ROW()/100000,"")</f>
        <v/>
      </c>
    </row>
    <row r="689">
      <c r="F689" s="11" t="n"/>
      <c r="N689" s="7">
        <f>IF($D689="","",M689*V689/100)</f>
        <v/>
      </c>
      <c r="O689" s="7" t="n"/>
      <c r="U689" s="7" t="n"/>
      <c r="V689" s="7" t="n"/>
      <c r="Y689">
        <f>IF($D689="","",IF($AN689=1,0,IF($AM689=1,Settings!$C$6,Settings!$C$7))*100)</f>
        <v/>
      </c>
      <c r="Z689" s="7">
        <f>IF($D689="","",V689*Y689/100)</f>
        <v/>
      </c>
      <c r="AA689" s="7">
        <f>IF($D689="","",V689-Z689)</f>
        <v/>
      </c>
      <c r="AB689" s="7">
        <f>IF($D689="","",AA689-N689)</f>
        <v/>
      </c>
      <c r="AF689" s="7" t="n"/>
      <c r="AI689" s="11" t="n"/>
      <c r="AK689">
        <f>IF($D689="","",IF(COUNTIF($D$2:$D689,$D689)=1,1,0))</f>
        <v/>
      </c>
      <c r="AL689">
        <f>IF($AK689=1,SUMPRODUCT(--($AO$2:$AO$3001&lt;$AO689))+1,"")</f>
        <v/>
      </c>
      <c r="AM689">
        <f>IF($D689="","",IF(OR($R689=TRUE(),$R689="TRUE"),1,0))</f>
        <v/>
      </c>
      <c r="AN689">
        <f>IF($D689="","",IF($X689="Yes",1,0))</f>
        <v/>
      </c>
      <c r="AO689">
        <f>IF($AK689=1,IFERROR(IF(VALUE($D689)&lt;100000000,VALUE($D689),1000000000),IFERROR(IF(VALUE(MID($D689,2,20))&lt;100000000,VALUE(MID($D689,2,20)),1000000000),1000000000))+ROW()/100000,"")</f>
        <v/>
      </c>
    </row>
    <row r="690">
      <c r="F690" s="11" t="n"/>
      <c r="N690" s="7">
        <f>IF($D690="","",M690*V690/100)</f>
        <v/>
      </c>
      <c r="O690" s="7" t="n"/>
      <c r="U690" s="7" t="n"/>
      <c r="V690" s="7" t="n"/>
      <c r="Y690">
        <f>IF($D690="","",IF($AN690=1,0,IF($AM690=1,Settings!$C$6,Settings!$C$7))*100)</f>
        <v/>
      </c>
      <c r="Z690" s="7">
        <f>IF($D690="","",V690*Y690/100)</f>
        <v/>
      </c>
      <c r="AA690" s="7">
        <f>IF($D690="","",V690-Z690)</f>
        <v/>
      </c>
      <c r="AB690" s="7">
        <f>IF($D690="","",AA690-N690)</f>
        <v/>
      </c>
      <c r="AF690" s="7" t="n"/>
      <c r="AI690" s="11" t="n"/>
      <c r="AK690">
        <f>IF($D690="","",IF(COUNTIF($D$2:$D690,$D690)=1,1,0))</f>
        <v/>
      </c>
      <c r="AL690">
        <f>IF($AK690=1,SUMPRODUCT(--($AO$2:$AO$3001&lt;$AO690))+1,"")</f>
        <v/>
      </c>
      <c r="AM690">
        <f>IF($D690="","",IF(OR($R690=TRUE(),$R690="TRUE"),1,0))</f>
        <v/>
      </c>
      <c r="AN690">
        <f>IF($D690="","",IF($X690="Yes",1,0))</f>
        <v/>
      </c>
      <c r="AO690">
        <f>IF($AK690=1,IFERROR(IF(VALUE($D690)&lt;100000000,VALUE($D690),1000000000),IFERROR(IF(VALUE(MID($D690,2,20))&lt;100000000,VALUE(MID($D690,2,20)),1000000000),1000000000))+ROW()/100000,"")</f>
        <v/>
      </c>
    </row>
    <row r="691">
      <c r="F691" s="11" t="n"/>
      <c r="N691" s="7">
        <f>IF($D691="","",M691*V691/100)</f>
        <v/>
      </c>
      <c r="O691" s="7" t="n"/>
      <c r="U691" s="7" t="n"/>
      <c r="V691" s="7" t="n"/>
      <c r="Y691">
        <f>IF($D691="","",IF($AN691=1,0,IF($AM691=1,Settings!$C$6,Settings!$C$7))*100)</f>
        <v/>
      </c>
      <c r="Z691" s="7">
        <f>IF($D691="","",V691*Y691/100)</f>
        <v/>
      </c>
      <c r="AA691" s="7">
        <f>IF($D691="","",V691-Z691)</f>
        <v/>
      </c>
      <c r="AB691" s="7">
        <f>IF($D691="","",AA691-N691)</f>
        <v/>
      </c>
      <c r="AF691" s="7" t="n"/>
      <c r="AI691" s="11" t="n"/>
      <c r="AK691">
        <f>IF($D691="","",IF(COUNTIF($D$2:$D691,$D691)=1,1,0))</f>
        <v/>
      </c>
      <c r="AL691">
        <f>IF($AK691=1,SUMPRODUCT(--($AO$2:$AO$3001&lt;$AO691))+1,"")</f>
        <v/>
      </c>
      <c r="AM691">
        <f>IF($D691="","",IF(OR($R691=TRUE(),$R691="TRUE"),1,0))</f>
        <v/>
      </c>
      <c r="AN691">
        <f>IF($D691="","",IF($X691="Yes",1,0))</f>
        <v/>
      </c>
      <c r="AO691">
        <f>IF($AK691=1,IFERROR(IF(VALUE($D691)&lt;100000000,VALUE($D691),1000000000),IFERROR(IF(VALUE(MID($D691,2,20))&lt;100000000,VALUE(MID($D691,2,20)),1000000000),1000000000))+ROW()/100000,"")</f>
        <v/>
      </c>
    </row>
    <row r="692">
      <c r="F692" s="11" t="n"/>
      <c r="N692" s="7">
        <f>IF($D692="","",M692*V692/100)</f>
        <v/>
      </c>
      <c r="O692" s="7" t="n"/>
      <c r="U692" s="7" t="n"/>
      <c r="V692" s="7" t="n"/>
      <c r="Y692">
        <f>IF($D692="","",IF($AN692=1,0,IF($AM692=1,Settings!$C$6,Settings!$C$7))*100)</f>
        <v/>
      </c>
      <c r="Z692" s="7">
        <f>IF($D692="","",V692*Y692/100)</f>
        <v/>
      </c>
      <c r="AA692" s="7">
        <f>IF($D692="","",V692-Z692)</f>
        <v/>
      </c>
      <c r="AB692" s="7">
        <f>IF($D692="","",AA692-N692)</f>
        <v/>
      </c>
      <c r="AF692" s="7" t="n"/>
      <c r="AI692" s="11" t="n"/>
      <c r="AK692">
        <f>IF($D692="","",IF(COUNTIF($D$2:$D692,$D692)=1,1,0))</f>
        <v/>
      </c>
      <c r="AL692">
        <f>IF($AK692=1,SUMPRODUCT(--($AO$2:$AO$3001&lt;$AO692))+1,"")</f>
        <v/>
      </c>
      <c r="AM692">
        <f>IF($D692="","",IF(OR($R692=TRUE(),$R692="TRUE"),1,0))</f>
        <v/>
      </c>
      <c r="AN692">
        <f>IF($D692="","",IF($X692="Yes",1,0))</f>
        <v/>
      </c>
      <c r="AO692">
        <f>IF($AK692=1,IFERROR(IF(VALUE($D692)&lt;100000000,VALUE($D692),1000000000),IFERROR(IF(VALUE(MID($D692,2,20))&lt;100000000,VALUE(MID($D692,2,20)),1000000000),1000000000))+ROW()/100000,"")</f>
        <v/>
      </c>
    </row>
    <row r="693">
      <c r="F693" s="11" t="n"/>
      <c r="N693" s="7">
        <f>IF($D693="","",M693*V693/100)</f>
        <v/>
      </c>
      <c r="O693" s="7" t="n"/>
      <c r="U693" s="7" t="n"/>
      <c r="V693" s="7" t="n"/>
      <c r="Y693">
        <f>IF($D693="","",IF($AN693=1,0,IF($AM693=1,Settings!$C$6,Settings!$C$7))*100)</f>
        <v/>
      </c>
      <c r="Z693" s="7">
        <f>IF($D693="","",V693*Y693/100)</f>
        <v/>
      </c>
      <c r="AA693" s="7">
        <f>IF($D693="","",V693-Z693)</f>
        <v/>
      </c>
      <c r="AB693" s="7">
        <f>IF($D693="","",AA693-N693)</f>
        <v/>
      </c>
      <c r="AF693" s="7" t="n"/>
      <c r="AI693" s="11" t="n"/>
      <c r="AK693">
        <f>IF($D693="","",IF(COUNTIF($D$2:$D693,$D693)=1,1,0))</f>
        <v/>
      </c>
      <c r="AL693">
        <f>IF($AK693=1,SUMPRODUCT(--($AO$2:$AO$3001&lt;$AO693))+1,"")</f>
        <v/>
      </c>
      <c r="AM693">
        <f>IF($D693="","",IF(OR($R693=TRUE(),$R693="TRUE"),1,0))</f>
        <v/>
      </c>
      <c r="AN693">
        <f>IF($D693="","",IF($X693="Yes",1,0))</f>
        <v/>
      </c>
      <c r="AO693">
        <f>IF($AK693=1,IFERROR(IF(VALUE($D693)&lt;100000000,VALUE($D693),1000000000),IFERROR(IF(VALUE(MID($D693,2,20))&lt;100000000,VALUE(MID($D693,2,20)),1000000000),1000000000))+ROW()/100000,"")</f>
        <v/>
      </c>
    </row>
    <row r="694">
      <c r="F694" s="11" t="n"/>
      <c r="N694" s="7">
        <f>IF($D694="","",M694*V694/100)</f>
        <v/>
      </c>
      <c r="O694" s="7" t="n"/>
      <c r="U694" s="7" t="n"/>
      <c r="V694" s="7" t="n"/>
      <c r="Y694">
        <f>IF($D694="","",IF($AN694=1,0,IF($AM694=1,Settings!$C$6,Settings!$C$7))*100)</f>
        <v/>
      </c>
      <c r="Z694" s="7">
        <f>IF($D694="","",V694*Y694/100)</f>
        <v/>
      </c>
      <c r="AA694" s="7">
        <f>IF($D694="","",V694-Z694)</f>
        <v/>
      </c>
      <c r="AB694" s="7">
        <f>IF($D694="","",AA694-N694)</f>
        <v/>
      </c>
      <c r="AF694" s="7" t="n"/>
      <c r="AI694" s="11" t="n"/>
      <c r="AK694">
        <f>IF($D694="","",IF(COUNTIF($D$2:$D694,$D694)=1,1,0))</f>
        <v/>
      </c>
      <c r="AL694">
        <f>IF($AK694=1,SUMPRODUCT(--($AO$2:$AO$3001&lt;$AO694))+1,"")</f>
        <v/>
      </c>
      <c r="AM694">
        <f>IF($D694="","",IF(OR($R694=TRUE(),$R694="TRUE"),1,0))</f>
        <v/>
      </c>
      <c r="AN694">
        <f>IF($D694="","",IF($X694="Yes",1,0))</f>
        <v/>
      </c>
      <c r="AO694">
        <f>IF($AK694=1,IFERROR(IF(VALUE($D694)&lt;100000000,VALUE($D694),1000000000),IFERROR(IF(VALUE(MID($D694,2,20))&lt;100000000,VALUE(MID($D694,2,20)),1000000000),1000000000))+ROW()/100000,"")</f>
        <v/>
      </c>
    </row>
    <row r="695">
      <c r="F695" s="11" t="n"/>
      <c r="N695" s="7">
        <f>IF($D695="","",M695*V695/100)</f>
        <v/>
      </c>
      <c r="O695" s="7" t="n"/>
      <c r="U695" s="7" t="n"/>
      <c r="V695" s="7" t="n"/>
      <c r="Y695">
        <f>IF($D695="","",IF($AN695=1,0,IF($AM695=1,Settings!$C$6,Settings!$C$7))*100)</f>
        <v/>
      </c>
      <c r="Z695" s="7">
        <f>IF($D695="","",V695*Y695/100)</f>
        <v/>
      </c>
      <c r="AA695" s="7">
        <f>IF($D695="","",V695-Z695)</f>
        <v/>
      </c>
      <c r="AB695" s="7">
        <f>IF($D695="","",AA695-N695)</f>
        <v/>
      </c>
      <c r="AF695" s="7" t="n"/>
      <c r="AI695" s="11" t="n"/>
      <c r="AK695">
        <f>IF($D695="","",IF(COUNTIF($D$2:$D695,$D695)=1,1,0))</f>
        <v/>
      </c>
      <c r="AL695">
        <f>IF($AK695=1,SUMPRODUCT(--($AO$2:$AO$3001&lt;$AO695))+1,"")</f>
        <v/>
      </c>
      <c r="AM695">
        <f>IF($D695="","",IF(OR($R695=TRUE(),$R695="TRUE"),1,0))</f>
        <v/>
      </c>
      <c r="AN695">
        <f>IF($D695="","",IF($X695="Yes",1,0))</f>
        <v/>
      </c>
      <c r="AO695">
        <f>IF($AK695=1,IFERROR(IF(VALUE($D695)&lt;100000000,VALUE($D695),1000000000),IFERROR(IF(VALUE(MID($D695,2,20))&lt;100000000,VALUE(MID($D695,2,20)),1000000000),1000000000))+ROW()/100000,"")</f>
        <v/>
      </c>
    </row>
    <row r="696">
      <c r="F696" s="11" t="n"/>
      <c r="N696" s="7">
        <f>IF($D696="","",M696*V696/100)</f>
        <v/>
      </c>
      <c r="O696" s="7" t="n"/>
      <c r="U696" s="7" t="n"/>
      <c r="V696" s="7" t="n"/>
      <c r="Y696">
        <f>IF($D696="","",IF($AN696=1,0,IF($AM696=1,Settings!$C$6,Settings!$C$7))*100)</f>
        <v/>
      </c>
      <c r="Z696" s="7">
        <f>IF($D696="","",V696*Y696/100)</f>
        <v/>
      </c>
      <c r="AA696" s="7">
        <f>IF($D696="","",V696-Z696)</f>
        <v/>
      </c>
      <c r="AB696" s="7">
        <f>IF($D696="","",AA696-N696)</f>
        <v/>
      </c>
      <c r="AF696" s="7" t="n"/>
      <c r="AI696" s="11" t="n"/>
      <c r="AK696">
        <f>IF($D696="","",IF(COUNTIF($D$2:$D696,$D696)=1,1,0))</f>
        <v/>
      </c>
      <c r="AL696">
        <f>IF($AK696=1,SUMPRODUCT(--($AO$2:$AO$3001&lt;$AO696))+1,"")</f>
        <v/>
      </c>
      <c r="AM696">
        <f>IF($D696="","",IF(OR($R696=TRUE(),$R696="TRUE"),1,0))</f>
        <v/>
      </c>
      <c r="AN696">
        <f>IF($D696="","",IF($X696="Yes",1,0))</f>
        <v/>
      </c>
      <c r="AO696">
        <f>IF($AK696=1,IFERROR(IF(VALUE($D696)&lt;100000000,VALUE($D696),1000000000),IFERROR(IF(VALUE(MID($D696,2,20))&lt;100000000,VALUE(MID($D696,2,20)),1000000000),1000000000))+ROW()/100000,"")</f>
        <v/>
      </c>
    </row>
    <row r="697">
      <c r="F697" s="11" t="n"/>
      <c r="N697" s="7">
        <f>IF($D697="","",M697*V697/100)</f>
        <v/>
      </c>
      <c r="O697" s="7" t="n"/>
      <c r="U697" s="7" t="n"/>
      <c r="V697" s="7" t="n"/>
      <c r="Y697">
        <f>IF($D697="","",IF($AN697=1,0,IF($AM697=1,Settings!$C$6,Settings!$C$7))*100)</f>
        <v/>
      </c>
      <c r="Z697" s="7">
        <f>IF($D697="","",V697*Y697/100)</f>
        <v/>
      </c>
      <c r="AA697" s="7">
        <f>IF($D697="","",V697-Z697)</f>
        <v/>
      </c>
      <c r="AB697" s="7">
        <f>IF($D697="","",AA697-N697)</f>
        <v/>
      </c>
      <c r="AF697" s="7" t="n"/>
      <c r="AI697" s="11" t="n"/>
      <c r="AK697">
        <f>IF($D697="","",IF(COUNTIF($D$2:$D697,$D697)=1,1,0))</f>
        <v/>
      </c>
      <c r="AL697">
        <f>IF($AK697=1,SUMPRODUCT(--($AO$2:$AO$3001&lt;$AO697))+1,"")</f>
        <v/>
      </c>
      <c r="AM697">
        <f>IF($D697="","",IF(OR($R697=TRUE(),$R697="TRUE"),1,0))</f>
        <v/>
      </c>
      <c r="AN697">
        <f>IF($D697="","",IF($X697="Yes",1,0))</f>
        <v/>
      </c>
      <c r="AO697">
        <f>IF($AK697=1,IFERROR(IF(VALUE($D697)&lt;100000000,VALUE($D697),1000000000),IFERROR(IF(VALUE(MID($D697,2,20))&lt;100000000,VALUE(MID($D697,2,20)),1000000000),1000000000))+ROW()/100000,"")</f>
        <v/>
      </c>
    </row>
    <row r="698">
      <c r="F698" s="11" t="n"/>
      <c r="N698" s="7">
        <f>IF($D698="","",M698*V698/100)</f>
        <v/>
      </c>
      <c r="O698" s="7" t="n"/>
      <c r="U698" s="7" t="n"/>
      <c r="V698" s="7" t="n"/>
      <c r="Y698">
        <f>IF($D698="","",IF($AN698=1,0,IF($AM698=1,Settings!$C$6,Settings!$C$7))*100)</f>
        <v/>
      </c>
      <c r="Z698" s="7">
        <f>IF($D698="","",V698*Y698/100)</f>
        <v/>
      </c>
      <c r="AA698" s="7">
        <f>IF($D698="","",V698-Z698)</f>
        <v/>
      </c>
      <c r="AB698" s="7">
        <f>IF($D698="","",AA698-N698)</f>
        <v/>
      </c>
      <c r="AF698" s="7" t="n"/>
      <c r="AI698" s="11" t="n"/>
      <c r="AK698">
        <f>IF($D698="","",IF(COUNTIF($D$2:$D698,$D698)=1,1,0))</f>
        <v/>
      </c>
      <c r="AL698">
        <f>IF($AK698=1,SUMPRODUCT(--($AO$2:$AO$3001&lt;$AO698))+1,"")</f>
        <v/>
      </c>
      <c r="AM698">
        <f>IF($D698="","",IF(OR($R698=TRUE(),$R698="TRUE"),1,0))</f>
        <v/>
      </c>
      <c r="AN698">
        <f>IF($D698="","",IF($X698="Yes",1,0))</f>
        <v/>
      </c>
      <c r="AO698">
        <f>IF($AK698=1,IFERROR(IF(VALUE($D698)&lt;100000000,VALUE($D698),1000000000),IFERROR(IF(VALUE(MID($D698,2,20))&lt;100000000,VALUE(MID($D698,2,20)),1000000000),1000000000))+ROW()/100000,"")</f>
        <v/>
      </c>
    </row>
    <row r="699">
      <c r="F699" s="11" t="n"/>
      <c r="N699" s="7">
        <f>IF($D699="","",M699*V699/100)</f>
        <v/>
      </c>
      <c r="O699" s="7" t="n"/>
      <c r="U699" s="7" t="n"/>
      <c r="V699" s="7" t="n"/>
      <c r="Y699">
        <f>IF($D699="","",IF($AN699=1,0,IF($AM699=1,Settings!$C$6,Settings!$C$7))*100)</f>
        <v/>
      </c>
      <c r="Z699" s="7">
        <f>IF($D699="","",V699*Y699/100)</f>
        <v/>
      </c>
      <c r="AA699" s="7">
        <f>IF($D699="","",V699-Z699)</f>
        <v/>
      </c>
      <c r="AB699" s="7">
        <f>IF($D699="","",AA699-N699)</f>
        <v/>
      </c>
      <c r="AF699" s="7" t="n"/>
      <c r="AI699" s="11" t="n"/>
      <c r="AK699">
        <f>IF($D699="","",IF(COUNTIF($D$2:$D699,$D699)=1,1,0))</f>
        <v/>
      </c>
      <c r="AL699">
        <f>IF($AK699=1,SUMPRODUCT(--($AO$2:$AO$3001&lt;$AO699))+1,"")</f>
        <v/>
      </c>
      <c r="AM699">
        <f>IF($D699="","",IF(OR($R699=TRUE(),$R699="TRUE"),1,0))</f>
        <v/>
      </c>
      <c r="AN699">
        <f>IF($D699="","",IF($X699="Yes",1,0))</f>
        <v/>
      </c>
      <c r="AO699">
        <f>IF($AK699=1,IFERROR(IF(VALUE($D699)&lt;100000000,VALUE($D699),1000000000),IFERROR(IF(VALUE(MID($D699,2,20))&lt;100000000,VALUE(MID($D699,2,20)),1000000000),1000000000))+ROW()/100000,"")</f>
        <v/>
      </c>
    </row>
    <row r="700">
      <c r="F700" s="11" t="n"/>
      <c r="N700" s="7">
        <f>IF($D700="","",M700*V700/100)</f>
        <v/>
      </c>
      <c r="O700" s="7" t="n"/>
      <c r="U700" s="7" t="n"/>
      <c r="V700" s="7" t="n"/>
      <c r="Y700">
        <f>IF($D700="","",IF($AN700=1,0,IF($AM700=1,Settings!$C$6,Settings!$C$7))*100)</f>
        <v/>
      </c>
      <c r="Z700" s="7">
        <f>IF($D700="","",V700*Y700/100)</f>
        <v/>
      </c>
      <c r="AA700" s="7">
        <f>IF($D700="","",V700-Z700)</f>
        <v/>
      </c>
      <c r="AB700" s="7">
        <f>IF($D700="","",AA700-N700)</f>
        <v/>
      </c>
      <c r="AF700" s="7" t="n"/>
      <c r="AI700" s="11" t="n"/>
      <c r="AK700">
        <f>IF($D700="","",IF(COUNTIF($D$2:$D700,$D700)=1,1,0))</f>
        <v/>
      </c>
      <c r="AL700">
        <f>IF($AK700=1,SUMPRODUCT(--($AO$2:$AO$3001&lt;$AO700))+1,"")</f>
        <v/>
      </c>
      <c r="AM700">
        <f>IF($D700="","",IF(OR($R700=TRUE(),$R700="TRUE"),1,0))</f>
        <v/>
      </c>
      <c r="AN700">
        <f>IF($D700="","",IF($X700="Yes",1,0))</f>
        <v/>
      </c>
      <c r="AO700">
        <f>IF($AK700=1,IFERROR(IF(VALUE($D700)&lt;100000000,VALUE($D700),1000000000),IFERROR(IF(VALUE(MID($D700,2,20))&lt;100000000,VALUE(MID($D700,2,20)),1000000000),1000000000))+ROW()/100000,"")</f>
        <v/>
      </c>
    </row>
    <row r="701">
      <c r="F701" s="11" t="n"/>
      <c r="N701" s="7">
        <f>IF($D701="","",M701*V701/100)</f>
        <v/>
      </c>
      <c r="O701" s="7" t="n"/>
      <c r="U701" s="7" t="n"/>
      <c r="V701" s="7" t="n"/>
      <c r="Y701">
        <f>IF($D701="","",IF($AN701=1,0,IF($AM701=1,Settings!$C$6,Settings!$C$7))*100)</f>
        <v/>
      </c>
      <c r="Z701" s="7">
        <f>IF($D701="","",V701*Y701/100)</f>
        <v/>
      </c>
      <c r="AA701" s="7">
        <f>IF($D701="","",V701-Z701)</f>
        <v/>
      </c>
      <c r="AB701" s="7">
        <f>IF($D701="","",AA701-N701)</f>
        <v/>
      </c>
      <c r="AF701" s="7" t="n"/>
      <c r="AI701" s="11" t="n"/>
      <c r="AK701">
        <f>IF($D701="","",IF(COUNTIF($D$2:$D701,$D701)=1,1,0))</f>
        <v/>
      </c>
      <c r="AL701">
        <f>IF($AK701=1,SUMPRODUCT(--($AO$2:$AO$3001&lt;$AO701))+1,"")</f>
        <v/>
      </c>
      <c r="AM701">
        <f>IF($D701="","",IF(OR($R701=TRUE(),$R701="TRUE"),1,0))</f>
        <v/>
      </c>
      <c r="AN701">
        <f>IF($D701="","",IF($X701="Yes",1,0))</f>
        <v/>
      </c>
      <c r="AO701">
        <f>IF($AK701=1,IFERROR(IF(VALUE($D701)&lt;100000000,VALUE($D701),1000000000),IFERROR(IF(VALUE(MID($D701,2,20))&lt;100000000,VALUE(MID($D701,2,20)),1000000000),1000000000))+ROW()/100000,"")</f>
        <v/>
      </c>
    </row>
    <row r="702">
      <c r="F702" s="11" t="n"/>
      <c r="N702" s="7">
        <f>IF($D702="","",M702*V702/100)</f>
        <v/>
      </c>
      <c r="O702" s="7" t="n"/>
      <c r="U702" s="7" t="n"/>
      <c r="V702" s="7" t="n"/>
      <c r="Y702">
        <f>IF($D702="","",IF($AN702=1,0,IF($AM702=1,Settings!$C$6,Settings!$C$7))*100)</f>
        <v/>
      </c>
      <c r="Z702" s="7">
        <f>IF($D702="","",V702*Y702/100)</f>
        <v/>
      </c>
      <c r="AA702" s="7">
        <f>IF($D702="","",V702-Z702)</f>
        <v/>
      </c>
      <c r="AB702" s="7">
        <f>IF($D702="","",AA702-N702)</f>
        <v/>
      </c>
      <c r="AF702" s="7" t="n"/>
      <c r="AI702" s="11" t="n"/>
      <c r="AK702">
        <f>IF($D702="","",IF(COUNTIF($D$2:$D702,$D702)=1,1,0))</f>
        <v/>
      </c>
      <c r="AL702">
        <f>IF($AK702=1,SUMPRODUCT(--($AO$2:$AO$3001&lt;$AO702))+1,"")</f>
        <v/>
      </c>
      <c r="AM702">
        <f>IF($D702="","",IF(OR($R702=TRUE(),$R702="TRUE"),1,0))</f>
        <v/>
      </c>
      <c r="AN702">
        <f>IF($D702="","",IF($X702="Yes",1,0))</f>
        <v/>
      </c>
      <c r="AO702">
        <f>IF($AK702=1,IFERROR(IF(VALUE($D702)&lt;100000000,VALUE($D702),1000000000),IFERROR(IF(VALUE(MID($D702,2,20))&lt;100000000,VALUE(MID($D702,2,20)),1000000000),1000000000))+ROW()/100000,"")</f>
        <v/>
      </c>
    </row>
    <row r="703">
      <c r="F703" s="11" t="n"/>
      <c r="N703" s="7">
        <f>IF($D703="","",M703*V703/100)</f>
        <v/>
      </c>
      <c r="O703" s="7" t="n"/>
      <c r="U703" s="7" t="n"/>
      <c r="V703" s="7" t="n"/>
      <c r="Y703">
        <f>IF($D703="","",IF($AN703=1,0,IF($AM703=1,Settings!$C$6,Settings!$C$7))*100)</f>
        <v/>
      </c>
      <c r="Z703" s="7">
        <f>IF($D703="","",V703*Y703/100)</f>
        <v/>
      </c>
      <c r="AA703" s="7">
        <f>IF($D703="","",V703-Z703)</f>
        <v/>
      </c>
      <c r="AB703" s="7">
        <f>IF($D703="","",AA703-N703)</f>
        <v/>
      </c>
      <c r="AF703" s="7" t="n"/>
      <c r="AI703" s="11" t="n"/>
      <c r="AK703">
        <f>IF($D703="","",IF(COUNTIF($D$2:$D703,$D703)=1,1,0))</f>
        <v/>
      </c>
      <c r="AL703">
        <f>IF($AK703=1,SUMPRODUCT(--($AO$2:$AO$3001&lt;$AO703))+1,"")</f>
        <v/>
      </c>
      <c r="AM703">
        <f>IF($D703="","",IF(OR($R703=TRUE(),$R703="TRUE"),1,0))</f>
        <v/>
      </c>
      <c r="AN703">
        <f>IF($D703="","",IF($X703="Yes",1,0))</f>
        <v/>
      </c>
      <c r="AO703">
        <f>IF($AK703=1,IFERROR(IF(VALUE($D703)&lt;100000000,VALUE($D703),1000000000),IFERROR(IF(VALUE(MID($D703,2,20))&lt;100000000,VALUE(MID($D703,2,20)),1000000000),1000000000))+ROW()/100000,"")</f>
        <v/>
      </c>
    </row>
    <row r="704">
      <c r="F704" s="11" t="n"/>
      <c r="N704" s="7">
        <f>IF($D704="","",M704*V704/100)</f>
        <v/>
      </c>
      <c r="O704" s="7" t="n"/>
      <c r="U704" s="7" t="n"/>
      <c r="V704" s="7" t="n"/>
      <c r="Y704">
        <f>IF($D704="","",IF($AN704=1,0,IF($AM704=1,Settings!$C$6,Settings!$C$7))*100)</f>
        <v/>
      </c>
      <c r="Z704" s="7">
        <f>IF($D704="","",V704*Y704/100)</f>
        <v/>
      </c>
      <c r="AA704" s="7">
        <f>IF($D704="","",V704-Z704)</f>
        <v/>
      </c>
      <c r="AB704" s="7">
        <f>IF($D704="","",AA704-N704)</f>
        <v/>
      </c>
      <c r="AF704" s="7" t="n"/>
      <c r="AI704" s="11" t="n"/>
      <c r="AK704">
        <f>IF($D704="","",IF(COUNTIF($D$2:$D704,$D704)=1,1,0))</f>
        <v/>
      </c>
      <c r="AL704">
        <f>IF($AK704=1,SUMPRODUCT(--($AO$2:$AO$3001&lt;$AO704))+1,"")</f>
        <v/>
      </c>
      <c r="AM704">
        <f>IF($D704="","",IF(OR($R704=TRUE(),$R704="TRUE"),1,0))</f>
        <v/>
      </c>
      <c r="AN704">
        <f>IF($D704="","",IF($X704="Yes",1,0))</f>
        <v/>
      </c>
      <c r="AO704">
        <f>IF($AK704=1,IFERROR(IF(VALUE($D704)&lt;100000000,VALUE($D704),1000000000),IFERROR(IF(VALUE(MID($D704,2,20))&lt;100000000,VALUE(MID($D704,2,20)),1000000000),1000000000))+ROW()/100000,"")</f>
        <v/>
      </c>
    </row>
    <row r="705">
      <c r="F705" s="11" t="n"/>
      <c r="N705" s="7">
        <f>IF($D705="","",M705*V705/100)</f>
        <v/>
      </c>
      <c r="O705" s="7" t="n"/>
      <c r="U705" s="7" t="n"/>
      <c r="V705" s="7" t="n"/>
      <c r="Y705">
        <f>IF($D705="","",IF($AN705=1,0,IF($AM705=1,Settings!$C$6,Settings!$C$7))*100)</f>
        <v/>
      </c>
      <c r="Z705" s="7">
        <f>IF($D705="","",V705*Y705/100)</f>
        <v/>
      </c>
      <c r="AA705" s="7">
        <f>IF($D705="","",V705-Z705)</f>
        <v/>
      </c>
      <c r="AB705" s="7">
        <f>IF($D705="","",AA705-N705)</f>
        <v/>
      </c>
      <c r="AF705" s="7" t="n"/>
      <c r="AI705" s="11" t="n"/>
      <c r="AK705">
        <f>IF($D705="","",IF(COUNTIF($D$2:$D705,$D705)=1,1,0))</f>
        <v/>
      </c>
      <c r="AL705">
        <f>IF($AK705=1,SUMPRODUCT(--($AO$2:$AO$3001&lt;$AO705))+1,"")</f>
        <v/>
      </c>
      <c r="AM705">
        <f>IF($D705="","",IF(OR($R705=TRUE(),$R705="TRUE"),1,0))</f>
        <v/>
      </c>
      <c r="AN705">
        <f>IF($D705="","",IF($X705="Yes",1,0))</f>
        <v/>
      </c>
      <c r="AO705">
        <f>IF($AK705=1,IFERROR(IF(VALUE($D705)&lt;100000000,VALUE($D705),1000000000),IFERROR(IF(VALUE(MID($D705,2,20))&lt;100000000,VALUE(MID($D705,2,20)),1000000000),1000000000))+ROW()/100000,"")</f>
        <v/>
      </c>
    </row>
    <row r="706">
      <c r="F706" s="11" t="n"/>
      <c r="N706" s="7">
        <f>IF($D706="","",M706*V706/100)</f>
        <v/>
      </c>
      <c r="O706" s="7" t="n"/>
      <c r="U706" s="7" t="n"/>
      <c r="V706" s="7" t="n"/>
      <c r="Y706">
        <f>IF($D706="","",IF($AN706=1,0,IF($AM706=1,Settings!$C$6,Settings!$C$7))*100)</f>
        <v/>
      </c>
      <c r="Z706" s="7">
        <f>IF($D706="","",V706*Y706/100)</f>
        <v/>
      </c>
      <c r="AA706" s="7">
        <f>IF($D706="","",V706-Z706)</f>
        <v/>
      </c>
      <c r="AB706" s="7">
        <f>IF($D706="","",AA706-N706)</f>
        <v/>
      </c>
      <c r="AF706" s="7" t="n"/>
      <c r="AI706" s="11" t="n"/>
      <c r="AK706">
        <f>IF($D706="","",IF(COUNTIF($D$2:$D706,$D706)=1,1,0))</f>
        <v/>
      </c>
      <c r="AL706">
        <f>IF($AK706=1,SUMPRODUCT(--($AO$2:$AO$3001&lt;$AO706))+1,"")</f>
        <v/>
      </c>
      <c r="AM706">
        <f>IF($D706="","",IF(OR($R706=TRUE(),$R706="TRUE"),1,0))</f>
        <v/>
      </c>
      <c r="AN706">
        <f>IF($D706="","",IF($X706="Yes",1,0))</f>
        <v/>
      </c>
      <c r="AO706">
        <f>IF($AK706=1,IFERROR(IF(VALUE($D706)&lt;100000000,VALUE($D706),1000000000),IFERROR(IF(VALUE(MID($D706,2,20))&lt;100000000,VALUE(MID($D706,2,20)),1000000000),1000000000))+ROW()/100000,"")</f>
        <v/>
      </c>
    </row>
    <row r="707">
      <c r="F707" s="11" t="n"/>
      <c r="N707" s="7">
        <f>IF($D707="","",M707*V707/100)</f>
        <v/>
      </c>
      <c r="O707" s="7" t="n"/>
      <c r="U707" s="7" t="n"/>
      <c r="V707" s="7" t="n"/>
      <c r="Y707">
        <f>IF($D707="","",IF($AN707=1,0,IF($AM707=1,Settings!$C$6,Settings!$C$7))*100)</f>
        <v/>
      </c>
      <c r="Z707" s="7">
        <f>IF($D707="","",V707*Y707/100)</f>
        <v/>
      </c>
      <c r="AA707" s="7">
        <f>IF($D707="","",V707-Z707)</f>
        <v/>
      </c>
      <c r="AB707" s="7">
        <f>IF($D707="","",AA707-N707)</f>
        <v/>
      </c>
      <c r="AF707" s="7" t="n"/>
      <c r="AI707" s="11" t="n"/>
      <c r="AK707">
        <f>IF($D707="","",IF(COUNTIF($D$2:$D707,$D707)=1,1,0))</f>
        <v/>
      </c>
      <c r="AL707">
        <f>IF($AK707=1,SUMPRODUCT(--($AO$2:$AO$3001&lt;$AO707))+1,"")</f>
        <v/>
      </c>
      <c r="AM707">
        <f>IF($D707="","",IF(OR($R707=TRUE(),$R707="TRUE"),1,0))</f>
        <v/>
      </c>
      <c r="AN707">
        <f>IF($D707="","",IF($X707="Yes",1,0))</f>
        <v/>
      </c>
      <c r="AO707">
        <f>IF($AK707=1,IFERROR(IF(VALUE($D707)&lt;100000000,VALUE($D707),1000000000),IFERROR(IF(VALUE(MID($D707,2,20))&lt;100000000,VALUE(MID($D707,2,20)),1000000000),1000000000))+ROW()/100000,"")</f>
        <v/>
      </c>
    </row>
    <row r="708">
      <c r="F708" s="11" t="n"/>
      <c r="N708" s="7">
        <f>IF($D708="","",M708*V708/100)</f>
        <v/>
      </c>
      <c r="O708" s="7" t="n"/>
      <c r="U708" s="7" t="n"/>
      <c r="V708" s="7" t="n"/>
      <c r="Y708">
        <f>IF($D708="","",IF($AN708=1,0,IF($AM708=1,Settings!$C$6,Settings!$C$7))*100)</f>
        <v/>
      </c>
      <c r="Z708" s="7">
        <f>IF($D708="","",V708*Y708/100)</f>
        <v/>
      </c>
      <c r="AA708" s="7">
        <f>IF($D708="","",V708-Z708)</f>
        <v/>
      </c>
      <c r="AB708" s="7">
        <f>IF($D708="","",AA708-N708)</f>
        <v/>
      </c>
      <c r="AF708" s="7" t="n"/>
      <c r="AI708" s="11" t="n"/>
      <c r="AK708">
        <f>IF($D708="","",IF(COUNTIF($D$2:$D708,$D708)=1,1,0))</f>
        <v/>
      </c>
      <c r="AL708">
        <f>IF($AK708=1,SUMPRODUCT(--($AO$2:$AO$3001&lt;$AO708))+1,"")</f>
        <v/>
      </c>
      <c r="AM708">
        <f>IF($D708="","",IF(OR($R708=TRUE(),$R708="TRUE"),1,0))</f>
        <v/>
      </c>
      <c r="AN708">
        <f>IF($D708="","",IF($X708="Yes",1,0))</f>
        <v/>
      </c>
      <c r="AO708">
        <f>IF($AK708=1,IFERROR(IF(VALUE($D708)&lt;100000000,VALUE($D708),1000000000),IFERROR(IF(VALUE(MID($D708,2,20))&lt;100000000,VALUE(MID($D708,2,20)),1000000000),1000000000))+ROW()/100000,"")</f>
        <v/>
      </c>
    </row>
    <row r="709">
      <c r="F709" s="11" t="n"/>
      <c r="N709" s="7">
        <f>IF($D709="","",M709*V709/100)</f>
        <v/>
      </c>
      <c r="O709" s="7" t="n"/>
      <c r="U709" s="7" t="n"/>
      <c r="V709" s="7" t="n"/>
      <c r="Y709">
        <f>IF($D709="","",IF($AN709=1,0,IF($AM709=1,Settings!$C$6,Settings!$C$7))*100)</f>
        <v/>
      </c>
      <c r="Z709" s="7">
        <f>IF($D709="","",V709*Y709/100)</f>
        <v/>
      </c>
      <c r="AA709" s="7">
        <f>IF($D709="","",V709-Z709)</f>
        <v/>
      </c>
      <c r="AB709" s="7">
        <f>IF($D709="","",AA709-N709)</f>
        <v/>
      </c>
      <c r="AF709" s="7" t="n"/>
      <c r="AI709" s="11" t="n"/>
      <c r="AK709">
        <f>IF($D709="","",IF(COUNTIF($D$2:$D709,$D709)=1,1,0))</f>
        <v/>
      </c>
      <c r="AL709">
        <f>IF($AK709=1,SUMPRODUCT(--($AO$2:$AO$3001&lt;$AO709))+1,"")</f>
        <v/>
      </c>
      <c r="AM709">
        <f>IF($D709="","",IF(OR($R709=TRUE(),$R709="TRUE"),1,0))</f>
        <v/>
      </c>
      <c r="AN709">
        <f>IF($D709="","",IF($X709="Yes",1,0))</f>
        <v/>
      </c>
      <c r="AO709">
        <f>IF($AK709=1,IFERROR(IF(VALUE($D709)&lt;100000000,VALUE($D709),1000000000),IFERROR(IF(VALUE(MID($D709,2,20))&lt;100000000,VALUE(MID($D709,2,20)),1000000000),1000000000))+ROW()/100000,"")</f>
        <v/>
      </c>
    </row>
    <row r="710">
      <c r="F710" s="11" t="n"/>
      <c r="N710" s="7">
        <f>IF($D710="","",M710*V710/100)</f>
        <v/>
      </c>
      <c r="O710" s="7" t="n"/>
      <c r="U710" s="7" t="n"/>
      <c r="V710" s="7" t="n"/>
      <c r="Y710">
        <f>IF($D710="","",IF($AN710=1,0,IF($AM710=1,Settings!$C$6,Settings!$C$7))*100)</f>
        <v/>
      </c>
      <c r="Z710" s="7">
        <f>IF($D710="","",V710*Y710/100)</f>
        <v/>
      </c>
      <c r="AA710" s="7">
        <f>IF($D710="","",V710-Z710)</f>
        <v/>
      </c>
      <c r="AB710" s="7">
        <f>IF($D710="","",AA710-N710)</f>
        <v/>
      </c>
      <c r="AF710" s="7" t="n"/>
      <c r="AI710" s="11" t="n"/>
      <c r="AK710">
        <f>IF($D710="","",IF(COUNTIF($D$2:$D710,$D710)=1,1,0))</f>
        <v/>
      </c>
      <c r="AL710">
        <f>IF($AK710=1,SUMPRODUCT(--($AO$2:$AO$3001&lt;$AO710))+1,"")</f>
        <v/>
      </c>
      <c r="AM710">
        <f>IF($D710="","",IF(OR($R710=TRUE(),$R710="TRUE"),1,0))</f>
        <v/>
      </c>
      <c r="AN710">
        <f>IF($D710="","",IF($X710="Yes",1,0))</f>
        <v/>
      </c>
      <c r="AO710">
        <f>IF($AK710=1,IFERROR(IF(VALUE($D710)&lt;100000000,VALUE($D710),1000000000),IFERROR(IF(VALUE(MID($D710,2,20))&lt;100000000,VALUE(MID($D710,2,20)),1000000000),1000000000))+ROW()/100000,"")</f>
        <v/>
      </c>
    </row>
    <row r="711">
      <c r="F711" s="11" t="n"/>
      <c r="N711" s="7">
        <f>IF($D711="","",M711*V711/100)</f>
        <v/>
      </c>
      <c r="O711" s="7" t="n"/>
      <c r="U711" s="7" t="n"/>
      <c r="V711" s="7" t="n"/>
      <c r="Y711">
        <f>IF($D711="","",IF($AN711=1,0,IF($AM711=1,Settings!$C$6,Settings!$C$7))*100)</f>
        <v/>
      </c>
      <c r="Z711" s="7">
        <f>IF($D711="","",V711*Y711/100)</f>
        <v/>
      </c>
      <c r="AA711" s="7">
        <f>IF($D711="","",V711-Z711)</f>
        <v/>
      </c>
      <c r="AB711" s="7">
        <f>IF($D711="","",AA711-N711)</f>
        <v/>
      </c>
      <c r="AF711" s="7" t="n"/>
      <c r="AI711" s="11" t="n"/>
      <c r="AK711">
        <f>IF($D711="","",IF(COUNTIF($D$2:$D711,$D711)=1,1,0))</f>
        <v/>
      </c>
      <c r="AL711">
        <f>IF($AK711=1,SUMPRODUCT(--($AO$2:$AO$3001&lt;$AO711))+1,"")</f>
        <v/>
      </c>
      <c r="AM711">
        <f>IF($D711="","",IF(OR($R711=TRUE(),$R711="TRUE"),1,0))</f>
        <v/>
      </c>
      <c r="AN711">
        <f>IF($D711="","",IF($X711="Yes",1,0))</f>
        <v/>
      </c>
      <c r="AO711">
        <f>IF($AK711=1,IFERROR(IF(VALUE($D711)&lt;100000000,VALUE($D711),1000000000),IFERROR(IF(VALUE(MID($D711,2,20))&lt;100000000,VALUE(MID($D711,2,20)),1000000000),1000000000))+ROW()/100000,"")</f>
        <v/>
      </c>
    </row>
    <row r="712">
      <c r="F712" s="11" t="n"/>
      <c r="N712" s="7">
        <f>IF($D712="","",M712*V712/100)</f>
        <v/>
      </c>
      <c r="O712" s="7" t="n"/>
      <c r="U712" s="7" t="n"/>
      <c r="V712" s="7" t="n"/>
      <c r="Y712">
        <f>IF($D712="","",IF($AN712=1,0,IF($AM712=1,Settings!$C$6,Settings!$C$7))*100)</f>
        <v/>
      </c>
      <c r="Z712" s="7">
        <f>IF($D712="","",V712*Y712/100)</f>
        <v/>
      </c>
      <c r="AA712" s="7">
        <f>IF($D712="","",V712-Z712)</f>
        <v/>
      </c>
      <c r="AB712" s="7">
        <f>IF($D712="","",AA712-N712)</f>
        <v/>
      </c>
      <c r="AF712" s="7" t="n"/>
      <c r="AI712" s="11" t="n"/>
      <c r="AK712">
        <f>IF($D712="","",IF(COUNTIF($D$2:$D712,$D712)=1,1,0))</f>
        <v/>
      </c>
      <c r="AL712">
        <f>IF($AK712=1,SUMPRODUCT(--($AO$2:$AO$3001&lt;$AO712))+1,"")</f>
        <v/>
      </c>
      <c r="AM712">
        <f>IF($D712="","",IF(OR($R712=TRUE(),$R712="TRUE"),1,0))</f>
        <v/>
      </c>
      <c r="AN712">
        <f>IF($D712="","",IF($X712="Yes",1,0))</f>
        <v/>
      </c>
      <c r="AO712">
        <f>IF($AK712=1,IFERROR(IF(VALUE($D712)&lt;100000000,VALUE($D712),1000000000),IFERROR(IF(VALUE(MID($D712,2,20))&lt;100000000,VALUE(MID($D712,2,20)),1000000000),1000000000))+ROW()/100000,"")</f>
        <v/>
      </c>
    </row>
    <row r="713">
      <c r="F713" s="11" t="n"/>
      <c r="N713" s="7">
        <f>IF($D713="","",M713*V713/100)</f>
        <v/>
      </c>
      <c r="O713" s="7" t="n"/>
      <c r="U713" s="7" t="n"/>
      <c r="V713" s="7" t="n"/>
      <c r="Y713">
        <f>IF($D713="","",IF($AN713=1,0,IF($AM713=1,Settings!$C$6,Settings!$C$7))*100)</f>
        <v/>
      </c>
      <c r="Z713" s="7">
        <f>IF($D713="","",V713*Y713/100)</f>
        <v/>
      </c>
      <c r="AA713" s="7">
        <f>IF($D713="","",V713-Z713)</f>
        <v/>
      </c>
      <c r="AB713" s="7">
        <f>IF($D713="","",AA713-N713)</f>
        <v/>
      </c>
      <c r="AF713" s="7" t="n"/>
      <c r="AI713" s="11" t="n"/>
      <c r="AK713">
        <f>IF($D713="","",IF(COUNTIF($D$2:$D713,$D713)=1,1,0))</f>
        <v/>
      </c>
      <c r="AL713">
        <f>IF($AK713=1,SUMPRODUCT(--($AO$2:$AO$3001&lt;$AO713))+1,"")</f>
        <v/>
      </c>
      <c r="AM713">
        <f>IF($D713="","",IF(OR($R713=TRUE(),$R713="TRUE"),1,0))</f>
        <v/>
      </c>
      <c r="AN713">
        <f>IF($D713="","",IF($X713="Yes",1,0))</f>
        <v/>
      </c>
      <c r="AO713">
        <f>IF($AK713=1,IFERROR(IF(VALUE($D713)&lt;100000000,VALUE($D713),1000000000),IFERROR(IF(VALUE(MID($D713,2,20))&lt;100000000,VALUE(MID($D713,2,20)),1000000000),1000000000))+ROW()/100000,"")</f>
        <v/>
      </c>
    </row>
    <row r="714">
      <c r="F714" s="11" t="n"/>
      <c r="N714" s="7">
        <f>IF($D714="","",M714*V714/100)</f>
        <v/>
      </c>
      <c r="O714" s="7" t="n"/>
      <c r="U714" s="7" t="n"/>
      <c r="V714" s="7" t="n"/>
      <c r="Y714">
        <f>IF($D714="","",IF($AN714=1,0,IF($AM714=1,Settings!$C$6,Settings!$C$7))*100)</f>
        <v/>
      </c>
      <c r="Z714" s="7">
        <f>IF($D714="","",V714*Y714/100)</f>
        <v/>
      </c>
      <c r="AA714" s="7">
        <f>IF($D714="","",V714-Z714)</f>
        <v/>
      </c>
      <c r="AB714" s="7">
        <f>IF($D714="","",AA714-N714)</f>
        <v/>
      </c>
      <c r="AF714" s="7" t="n"/>
      <c r="AI714" s="11" t="n"/>
      <c r="AK714">
        <f>IF($D714="","",IF(COUNTIF($D$2:$D714,$D714)=1,1,0))</f>
        <v/>
      </c>
      <c r="AL714">
        <f>IF($AK714=1,SUMPRODUCT(--($AO$2:$AO$3001&lt;$AO714))+1,"")</f>
        <v/>
      </c>
      <c r="AM714">
        <f>IF($D714="","",IF(OR($R714=TRUE(),$R714="TRUE"),1,0))</f>
        <v/>
      </c>
      <c r="AN714">
        <f>IF($D714="","",IF($X714="Yes",1,0))</f>
        <v/>
      </c>
      <c r="AO714">
        <f>IF($AK714=1,IFERROR(IF(VALUE($D714)&lt;100000000,VALUE($D714),1000000000),IFERROR(IF(VALUE(MID($D714,2,20))&lt;100000000,VALUE(MID($D714,2,20)),1000000000),1000000000))+ROW()/100000,"")</f>
        <v/>
      </c>
    </row>
    <row r="715">
      <c r="F715" s="11" t="n"/>
      <c r="N715" s="7">
        <f>IF($D715="","",M715*V715/100)</f>
        <v/>
      </c>
      <c r="O715" s="7" t="n"/>
      <c r="U715" s="7" t="n"/>
      <c r="V715" s="7" t="n"/>
      <c r="Y715">
        <f>IF($D715="","",IF($AN715=1,0,IF($AM715=1,Settings!$C$6,Settings!$C$7))*100)</f>
        <v/>
      </c>
      <c r="Z715" s="7">
        <f>IF($D715="","",V715*Y715/100)</f>
        <v/>
      </c>
      <c r="AA715" s="7">
        <f>IF($D715="","",V715-Z715)</f>
        <v/>
      </c>
      <c r="AB715" s="7">
        <f>IF($D715="","",AA715-N715)</f>
        <v/>
      </c>
      <c r="AF715" s="7" t="n"/>
      <c r="AI715" s="11" t="n"/>
      <c r="AK715">
        <f>IF($D715="","",IF(COUNTIF($D$2:$D715,$D715)=1,1,0))</f>
        <v/>
      </c>
      <c r="AL715">
        <f>IF($AK715=1,SUMPRODUCT(--($AO$2:$AO$3001&lt;$AO715))+1,"")</f>
        <v/>
      </c>
      <c r="AM715">
        <f>IF($D715="","",IF(OR($R715=TRUE(),$R715="TRUE"),1,0))</f>
        <v/>
      </c>
      <c r="AN715">
        <f>IF($D715="","",IF($X715="Yes",1,0))</f>
        <v/>
      </c>
      <c r="AO715">
        <f>IF($AK715=1,IFERROR(IF(VALUE($D715)&lt;100000000,VALUE($D715),1000000000),IFERROR(IF(VALUE(MID($D715,2,20))&lt;100000000,VALUE(MID($D715,2,20)),1000000000),1000000000))+ROW()/100000,"")</f>
        <v/>
      </c>
    </row>
    <row r="716">
      <c r="F716" s="11" t="n"/>
      <c r="N716" s="7">
        <f>IF($D716="","",M716*V716/100)</f>
        <v/>
      </c>
      <c r="O716" s="7" t="n"/>
      <c r="U716" s="7" t="n"/>
      <c r="V716" s="7" t="n"/>
      <c r="Y716">
        <f>IF($D716="","",IF($AN716=1,0,IF($AM716=1,Settings!$C$6,Settings!$C$7))*100)</f>
        <v/>
      </c>
      <c r="Z716" s="7">
        <f>IF($D716="","",V716*Y716/100)</f>
        <v/>
      </c>
      <c r="AA716" s="7">
        <f>IF($D716="","",V716-Z716)</f>
        <v/>
      </c>
      <c r="AB716" s="7">
        <f>IF($D716="","",AA716-N716)</f>
        <v/>
      </c>
      <c r="AF716" s="7" t="n"/>
      <c r="AI716" s="11" t="n"/>
      <c r="AK716">
        <f>IF($D716="","",IF(COUNTIF($D$2:$D716,$D716)=1,1,0))</f>
        <v/>
      </c>
      <c r="AL716">
        <f>IF($AK716=1,SUMPRODUCT(--($AO$2:$AO$3001&lt;$AO716))+1,"")</f>
        <v/>
      </c>
      <c r="AM716">
        <f>IF($D716="","",IF(OR($R716=TRUE(),$R716="TRUE"),1,0))</f>
        <v/>
      </c>
      <c r="AN716">
        <f>IF($D716="","",IF($X716="Yes",1,0))</f>
        <v/>
      </c>
      <c r="AO716">
        <f>IF($AK716=1,IFERROR(IF(VALUE($D716)&lt;100000000,VALUE($D716),1000000000),IFERROR(IF(VALUE(MID($D716,2,20))&lt;100000000,VALUE(MID($D716,2,20)),1000000000),1000000000))+ROW()/100000,"")</f>
        <v/>
      </c>
    </row>
    <row r="717">
      <c r="F717" s="11" t="n"/>
      <c r="N717" s="7">
        <f>IF($D717="","",M717*V717/100)</f>
        <v/>
      </c>
      <c r="O717" s="7" t="n"/>
      <c r="U717" s="7" t="n"/>
      <c r="V717" s="7" t="n"/>
      <c r="Y717">
        <f>IF($D717="","",IF($AN717=1,0,IF($AM717=1,Settings!$C$6,Settings!$C$7))*100)</f>
        <v/>
      </c>
      <c r="Z717" s="7">
        <f>IF($D717="","",V717*Y717/100)</f>
        <v/>
      </c>
      <c r="AA717" s="7">
        <f>IF($D717="","",V717-Z717)</f>
        <v/>
      </c>
      <c r="AB717" s="7">
        <f>IF($D717="","",AA717-N717)</f>
        <v/>
      </c>
      <c r="AF717" s="7" t="n"/>
      <c r="AI717" s="11" t="n"/>
      <c r="AK717">
        <f>IF($D717="","",IF(COUNTIF($D$2:$D717,$D717)=1,1,0))</f>
        <v/>
      </c>
      <c r="AL717">
        <f>IF($AK717=1,SUMPRODUCT(--($AO$2:$AO$3001&lt;$AO717))+1,"")</f>
        <v/>
      </c>
      <c r="AM717">
        <f>IF($D717="","",IF(OR($R717=TRUE(),$R717="TRUE"),1,0))</f>
        <v/>
      </c>
      <c r="AN717">
        <f>IF($D717="","",IF($X717="Yes",1,0))</f>
        <v/>
      </c>
      <c r="AO717">
        <f>IF($AK717=1,IFERROR(IF(VALUE($D717)&lt;100000000,VALUE($D717),1000000000),IFERROR(IF(VALUE(MID($D717,2,20))&lt;100000000,VALUE(MID($D717,2,20)),1000000000),1000000000))+ROW()/100000,"")</f>
        <v/>
      </c>
    </row>
    <row r="718">
      <c r="F718" s="11" t="n"/>
      <c r="N718" s="7">
        <f>IF($D718="","",M718*V718/100)</f>
        <v/>
      </c>
      <c r="O718" s="7" t="n"/>
      <c r="U718" s="7" t="n"/>
      <c r="V718" s="7" t="n"/>
      <c r="Y718">
        <f>IF($D718="","",IF($AN718=1,0,IF($AM718=1,Settings!$C$6,Settings!$C$7))*100)</f>
        <v/>
      </c>
      <c r="Z718" s="7">
        <f>IF($D718="","",V718*Y718/100)</f>
        <v/>
      </c>
      <c r="AA718" s="7">
        <f>IF($D718="","",V718-Z718)</f>
        <v/>
      </c>
      <c r="AB718" s="7">
        <f>IF($D718="","",AA718-N718)</f>
        <v/>
      </c>
      <c r="AF718" s="7" t="n"/>
      <c r="AI718" s="11" t="n"/>
      <c r="AK718">
        <f>IF($D718="","",IF(COUNTIF($D$2:$D718,$D718)=1,1,0))</f>
        <v/>
      </c>
      <c r="AL718">
        <f>IF($AK718=1,SUMPRODUCT(--($AO$2:$AO$3001&lt;$AO718))+1,"")</f>
        <v/>
      </c>
      <c r="AM718">
        <f>IF($D718="","",IF(OR($R718=TRUE(),$R718="TRUE"),1,0))</f>
        <v/>
      </c>
      <c r="AN718">
        <f>IF($D718="","",IF($X718="Yes",1,0))</f>
        <v/>
      </c>
      <c r="AO718">
        <f>IF($AK718=1,IFERROR(IF(VALUE($D718)&lt;100000000,VALUE($D718),1000000000),IFERROR(IF(VALUE(MID($D718,2,20))&lt;100000000,VALUE(MID($D718,2,20)),1000000000),1000000000))+ROW()/100000,"")</f>
        <v/>
      </c>
    </row>
    <row r="719">
      <c r="F719" s="11" t="n"/>
      <c r="N719" s="7">
        <f>IF($D719="","",M719*V719/100)</f>
        <v/>
      </c>
      <c r="O719" s="7" t="n"/>
      <c r="U719" s="7" t="n"/>
      <c r="V719" s="7" t="n"/>
      <c r="Y719">
        <f>IF($D719="","",IF($AN719=1,0,IF($AM719=1,Settings!$C$6,Settings!$C$7))*100)</f>
        <v/>
      </c>
      <c r="Z719" s="7">
        <f>IF($D719="","",V719*Y719/100)</f>
        <v/>
      </c>
      <c r="AA719" s="7">
        <f>IF($D719="","",V719-Z719)</f>
        <v/>
      </c>
      <c r="AB719" s="7">
        <f>IF($D719="","",AA719-N719)</f>
        <v/>
      </c>
      <c r="AF719" s="7" t="n"/>
      <c r="AI719" s="11" t="n"/>
      <c r="AK719">
        <f>IF($D719="","",IF(COUNTIF($D$2:$D719,$D719)=1,1,0))</f>
        <v/>
      </c>
      <c r="AL719">
        <f>IF($AK719=1,SUMPRODUCT(--($AO$2:$AO$3001&lt;$AO719))+1,"")</f>
        <v/>
      </c>
      <c r="AM719">
        <f>IF($D719="","",IF(OR($R719=TRUE(),$R719="TRUE"),1,0))</f>
        <v/>
      </c>
      <c r="AN719">
        <f>IF($D719="","",IF($X719="Yes",1,0))</f>
        <v/>
      </c>
      <c r="AO719">
        <f>IF($AK719=1,IFERROR(IF(VALUE($D719)&lt;100000000,VALUE($D719),1000000000),IFERROR(IF(VALUE(MID($D719,2,20))&lt;100000000,VALUE(MID($D719,2,20)),1000000000),1000000000))+ROW()/100000,"")</f>
        <v/>
      </c>
    </row>
    <row r="720">
      <c r="F720" s="11" t="n"/>
      <c r="N720" s="7">
        <f>IF($D720="","",M720*V720/100)</f>
        <v/>
      </c>
      <c r="O720" s="7" t="n"/>
      <c r="U720" s="7" t="n"/>
      <c r="V720" s="7" t="n"/>
      <c r="Y720">
        <f>IF($D720="","",IF($AN720=1,0,IF($AM720=1,Settings!$C$6,Settings!$C$7))*100)</f>
        <v/>
      </c>
      <c r="Z720" s="7">
        <f>IF($D720="","",V720*Y720/100)</f>
        <v/>
      </c>
      <c r="AA720" s="7">
        <f>IF($D720="","",V720-Z720)</f>
        <v/>
      </c>
      <c r="AB720" s="7">
        <f>IF($D720="","",AA720-N720)</f>
        <v/>
      </c>
      <c r="AF720" s="7" t="n"/>
      <c r="AI720" s="11" t="n"/>
      <c r="AK720">
        <f>IF($D720="","",IF(COUNTIF($D$2:$D720,$D720)=1,1,0))</f>
        <v/>
      </c>
      <c r="AL720">
        <f>IF($AK720=1,SUMPRODUCT(--($AO$2:$AO$3001&lt;$AO720))+1,"")</f>
        <v/>
      </c>
      <c r="AM720">
        <f>IF($D720="","",IF(OR($R720=TRUE(),$R720="TRUE"),1,0))</f>
        <v/>
      </c>
      <c r="AN720">
        <f>IF($D720="","",IF($X720="Yes",1,0))</f>
        <v/>
      </c>
      <c r="AO720">
        <f>IF($AK720=1,IFERROR(IF(VALUE($D720)&lt;100000000,VALUE($D720),1000000000),IFERROR(IF(VALUE(MID($D720,2,20))&lt;100000000,VALUE(MID($D720,2,20)),1000000000),1000000000))+ROW()/100000,"")</f>
        <v/>
      </c>
    </row>
    <row r="721">
      <c r="F721" s="11" t="n"/>
      <c r="N721" s="7">
        <f>IF($D721="","",M721*V721/100)</f>
        <v/>
      </c>
      <c r="O721" s="7" t="n"/>
      <c r="U721" s="7" t="n"/>
      <c r="V721" s="7" t="n"/>
      <c r="Y721">
        <f>IF($D721="","",IF($AN721=1,0,IF($AM721=1,Settings!$C$6,Settings!$C$7))*100)</f>
        <v/>
      </c>
      <c r="Z721" s="7">
        <f>IF($D721="","",V721*Y721/100)</f>
        <v/>
      </c>
      <c r="AA721" s="7">
        <f>IF($D721="","",V721-Z721)</f>
        <v/>
      </c>
      <c r="AB721" s="7">
        <f>IF($D721="","",AA721-N721)</f>
        <v/>
      </c>
      <c r="AF721" s="7" t="n"/>
      <c r="AI721" s="11" t="n"/>
      <c r="AK721">
        <f>IF($D721="","",IF(COUNTIF($D$2:$D721,$D721)=1,1,0))</f>
        <v/>
      </c>
      <c r="AL721">
        <f>IF($AK721=1,SUMPRODUCT(--($AO$2:$AO$3001&lt;$AO721))+1,"")</f>
        <v/>
      </c>
      <c r="AM721">
        <f>IF($D721="","",IF(OR($R721=TRUE(),$R721="TRUE"),1,0))</f>
        <v/>
      </c>
      <c r="AN721">
        <f>IF($D721="","",IF($X721="Yes",1,0))</f>
        <v/>
      </c>
      <c r="AO721">
        <f>IF($AK721=1,IFERROR(IF(VALUE($D721)&lt;100000000,VALUE($D721),1000000000),IFERROR(IF(VALUE(MID($D721,2,20))&lt;100000000,VALUE(MID($D721,2,20)),1000000000),1000000000))+ROW()/100000,"")</f>
        <v/>
      </c>
    </row>
    <row r="722">
      <c r="F722" s="11" t="n"/>
      <c r="N722" s="7">
        <f>IF($D722="","",M722*V722/100)</f>
        <v/>
      </c>
      <c r="O722" s="7" t="n"/>
      <c r="U722" s="7" t="n"/>
      <c r="V722" s="7" t="n"/>
      <c r="Y722">
        <f>IF($D722="","",IF($AN722=1,0,IF($AM722=1,Settings!$C$6,Settings!$C$7))*100)</f>
        <v/>
      </c>
      <c r="Z722" s="7">
        <f>IF($D722="","",V722*Y722/100)</f>
        <v/>
      </c>
      <c r="AA722" s="7">
        <f>IF($D722="","",V722-Z722)</f>
        <v/>
      </c>
      <c r="AB722" s="7">
        <f>IF($D722="","",AA722-N722)</f>
        <v/>
      </c>
      <c r="AF722" s="7" t="n"/>
      <c r="AI722" s="11" t="n"/>
      <c r="AK722">
        <f>IF($D722="","",IF(COUNTIF($D$2:$D722,$D722)=1,1,0))</f>
        <v/>
      </c>
      <c r="AL722">
        <f>IF($AK722=1,SUMPRODUCT(--($AO$2:$AO$3001&lt;$AO722))+1,"")</f>
        <v/>
      </c>
      <c r="AM722">
        <f>IF($D722="","",IF(OR($R722=TRUE(),$R722="TRUE"),1,0))</f>
        <v/>
      </c>
      <c r="AN722">
        <f>IF($D722="","",IF($X722="Yes",1,0))</f>
        <v/>
      </c>
      <c r="AO722">
        <f>IF($AK722=1,IFERROR(IF(VALUE($D722)&lt;100000000,VALUE($D722),1000000000),IFERROR(IF(VALUE(MID($D722,2,20))&lt;100000000,VALUE(MID($D722,2,20)),1000000000),1000000000))+ROW()/100000,"")</f>
        <v/>
      </c>
    </row>
    <row r="723">
      <c r="F723" s="11" t="n"/>
      <c r="N723" s="7">
        <f>IF($D723="","",M723*V723/100)</f>
        <v/>
      </c>
      <c r="O723" s="7" t="n"/>
      <c r="U723" s="7" t="n"/>
      <c r="V723" s="7" t="n"/>
      <c r="Y723">
        <f>IF($D723="","",IF($AN723=1,0,IF($AM723=1,Settings!$C$6,Settings!$C$7))*100)</f>
        <v/>
      </c>
      <c r="Z723" s="7">
        <f>IF($D723="","",V723*Y723/100)</f>
        <v/>
      </c>
      <c r="AA723" s="7">
        <f>IF($D723="","",V723-Z723)</f>
        <v/>
      </c>
      <c r="AB723" s="7">
        <f>IF($D723="","",AA723-N723)</f>
        <v/>
      </c>
      <c r="AF723" s="7" t="n"/>
      <c r="AI723" s="11" t="n"/>
      <c r="AK723">
        <f>IF($D723="","",IF(COUNTIF($D$2:$D723,$D723)=1,1,0))</f>
        <v/>
      </c>
      <c r="AL723">
        <f>IF($AK723=1,SUMPRODUCT(--($AO$2:$AO$3001&lt;$AO723))+1,"")</f>
        <v/>
      </c>
      <c r="AM723">
        <f>IF($D723="","",IF(OR($R723=TRUE(),$R723="TRUE"),1,0))</f>
        <v/>
      </c>
      <c r="AN723">
        <f>IF($D723="","",IF($X723="Yes",1,0))</f>
        <v/>
      </c>
      <c r="AO723">
        <f>IF($AK723=1,IFERROR(IF(VALUE($D723)&lt;100000000,VALUE($D723),1000000000),IFERROR(IF(VALUE(MID($D723,2,20))&lt;100000000,VALUE(MID($D723,2,20)),1000000000),1000000000))+ROW()/100000,"")</f>
        <v/>
      </c>
    </row>
    <row r="724">
      <c r="F724" s="11" t="n"/>
      <c r="N724" s="7">
        <f>IF($D724="","",M724*V724/100)</f>
        <v/>
      </c>
      <c r="O724" s="7" t="n"/>
      <c r="U724" s="7" t="n"/>
      <c r="V724" s="7" t="n"/>
      <c r="Y724">
        <f>IF($D724="","",IF($AN724=1,0,IF($AM724=1,Settings!$C$6,Settings!$C$7))*100)</f>
        <v/>
      </c>
      <c r="Z724" s="7">
        <f>IF($D724="","",V724*Y724/100)</f>
        <v/>
      </c>
      <c r="AA724" s="7">
        <f>IF($D724="","",V724-Z724)</f>
        <v/>
      </c>
      <c r="AB724" s="7">
        <f>IF($D724="","",AA724-N724)</f>
        <v/>
      </c>
      <c r="AF724" s="7" t="n"/>
      <c r="AI724" s="11" t="n"/>
      <c r="AK724">
        <f>IF($D724="","",IF(COUNTIF($D$2:$D724,$D724)=1,1,0))</f>
        <v/>
      </c>
      <c r="AL724">
        <f>IF($AK724=1,SUMPRODUCT(--($AO$2:$AO$3001&lt;$AO724))+1,"")</f>
        <v/>
      </c>
      <c r="AM724">
        <f>IF($D724="","",IF(OR($R724=TRUE(),$R724="TRUE"),1,0))</f>
        <v/>
      </c>
      <c r="AN724">
        <f>IF($D724="","",IF($X724="Yes",1,0))</f>
        <v/>
      </c>
      <c r="AO724">
        <f>IF($AK724=1,IFERROR(IF(VALUE($D724)&lt;100000000,VALUE($D724),1000000000),IFERROR(IF(VALUE(MID($D724,2,20))&lt;100000000,VALUE(MID($D724,2,20)),1000000000),1000000000))+ROW()/100000,"")</f>
        <v/>
      </c>
    </row>
    <row r="725">
      <c r="F725" s="11" t="n"/>
      <c r="N725" s="7">
        <f>IF($D725="","",M725*V725/100)</f>
        <v/>
      </c>
      <c r="O725" s="7" t="n"/>
      <c r="U725" s="7" t="n"/>
      <c r="V725" s="7" t="n"/>
      <c r="Y725">
        <f>IF($D725="","",IF($AN725=1,0,IF($AM725=1,Settings!$C$6,Settings!$C$7))*100)</f>
        <v/>
      </c>
      <c r="Z725" s="7">
        <f>IF($D725="","",V725*Y725/100)</f>
        <v/>
      </c>
      <c r="AA725" s="7">
        <f>IF($D725="","",V725-Z725)</f>
        <v/>
      </c>
      <c r="AB725" s="7">
        <f>IF($D725="","",AA725-N725)</f>
        <v/>
      </c>
      <c r="AF725" s="7" t="n"/>
      <c r="AI725" s="11" t="n"/>
      <c r="AK725">
        <f>IF($D725="","",IF(COUNTIF($D$2:$D725,$D725)=1,1,0))</f>
        <v/>
      </c>
      <c r="AL725">
        <f>IF($AK725=1,SUMPRODUCT(--($AO$2:$AO$3001&lt;$AO725))+1,"")</f>
        <v/>
      </c>
      <c r="AM725">
        <f>IF($D725="","",IF(OR($R725=TRUE(),$R725="TRUE"),1,0))</f>
        <v/>
      </c>
      <c r="AN725">
        <f>IF($D725="","",IF($X725="Yes",1,0))</f>
        <v/>
      </c>
      <c r="AO725">
        <f>IF($AK725=1,IFERROR(IF(VALUE($D725)&lt;100000000,VALUE($D725),1000000000),IFERROR(IF(VALUE(MID($D725,2,20))&lt;100000000,VALUE(MID($D725,2,20)),1000000000),1000000000))+ROW()/100000,"")</f>
        <v/>
      </c>
    </row>
    <row r="726">
      <c r="F726" s="11" t="n"/>
      <c r="N726" s="7">
        <f>IF($D726="","",M726*V726/100)</f>
        <v/>
      </c>
      <c r="O726" s="7" t="n"/>
      <c r="U726" s="7" t="n"/>
      <c r="V726" s="7" t="n"/>
      <c r="Y726">
        <f>IF($D726="","",IF($AN726=1,0,IF($AM726=1,Settings!$C$6,Settings!$C$7))*100)</f>
        <v/>
      </c>
      <c r="Z726" s="7">
        <f>IF($D726="","",V726*Y726/100)</f>
        <v/>
      </c>
      <c r="AA726" s="7">
        <f>IF($D726="","",V726-Z726)</f>
        <v/>
      </c>
      <c r="AB726" s="7">
        <f>IF($D726="","",AA726-N726)</f>
        <v/>
      </c>
      <c r="AF726" s="7" t="n"/>
      <c r="AI726" s="11" t="n"/>
      <c r="AK726">
        <f>IF($D726="","",IF(COUNTIF($D$2:$D726,$D726)=1,1,0))</f>
        <v/>
      </c>
      <c r="AL726">
        <f>IF($AK726=1,SUMPRODUCT(--($AO$2:$AO$3001&lt;$AO726))+1,"")</f>
        <v/>
      </c>
      <c r="AM726">
        <f>IF($D726="","",IF(OR($R726=TRUE(),$R726="TRUE"),1,0))</f>
        <v/>
      </c>
      <c r="AN726">
        <f>IF($D726="","",IF($X726="Yes",1,0))</f>
        <v/>
      </c>
      <c r="AO726">
        <f>IF($AK726=1,IFERROR(IF(VALUE($D726)&lt;100000000,VALUE($D726),1000000000),IFERROR(IF(VALUE(MID($D726,2,20))&lt;100000000,VALUE(MID($D726,2,20)),1000000000),1000000000))+ROW()/100000,"")</f>
        <v/>
      </c>
    </row>
    <row r="727">
      <c r="F727" s="11" t="n"/>
      <c r="N727" s="7">
        <f>IF($D727="","",M727*V727/100)</f>
        <v/>
      </c>
      <c r="O727" s="7" t="n"/>
      <c r="U727" s="7" t="n"/>
      <c r="V727" s="7" t="n"/>
      <c r="Y727">
        <f>IF($D727="","",IF($AN727=1,0,IF($AM727=1,Settings!$C$6,Settings!$C$7))*100)</f>
        <v/>
      </c>
      <c r="Z727" s="7">
        <f>IF($D727="","",V727*Y727/100)</f>
        <v/>
      </c>
      <c r="AA727" s="7">
        <f>IF($D727="","",V727-Z727)</f>
        <v/>
      </c>
      <c r="AB727" s="7">
        <f>IF($D727="","",AA727-N727)</f>
        <v/>
      </c>
      <c r="AF727" s="7" t="n"/>
      <c r="AI727" s="11" t="n"/>
      <c r="AK727">
        <f>IF($D727="","",IF(COUNTIF($D$2:$D727,$D727)=1,1,0))</f>
        <v/>
      </c>
      <c r="AL727">
        <f>IF($AK727=1,SUMPRODUCT(--($AO$2:$AO$3001&lt;$AO727))+1,"")</f>
        <v/>
      </c>
      <c r="AM727">
        <f>IF($D727="","",IF(OR($R727=TRUE(),$R727="TRUE"),1,0))</f>
        <v/>
      </c>
      <c r="AN727">
        <f>IF($D727="","",IF($X727="Yes",1,0))</f>
        <v/>
      </c>
      <c r="AO727">
        <f>IF($AK727=1,IFERROR(IF(VALUE($D727)&lt;100000000,VALUE($D727),1000000000),IFERROR(IF(VALUE(MID($D727,2,20))&lt;100000000,VALUE(MID($D727,2,20)),1000000000),1000000000))+ROW()/100000,"")</f>
        <v/>
      </c>
    </row>
    <row r="728">
      <c r="F728" s="11" t="n"/>
      <c r="N728" s="7">
        <f>IF($D728="","",M728*V728/100)</f>
        <v/>
      </c>
      <c r="O728" s="7" t="n"/>
      <c r="U728" s="7" t="n"/>
      <c r="V728" s="7" t="n"/>
      <c r="Y728">
        <f>IF($D728="","",IF($AN728=1,0,IF($AM728=1,Settings!$C$6,Settings!$C$7))*100)</f>
        <v/>
      </c>
      <c r="Z728" s="7">
        <f>IF($D728="","",V728*Y728/100)</f>
        <v/>
      </c>
      <c r="AA728" s="7">
        <f>IF($D728="","",V728-Z728)</f>
        <v/>
      </c>
      <c r="AB728" s="7">
        <f>IF($D728="","",AA728-N728)</f>
        <v/>
      </c>
      <c r="AF728" s="7" t="n"/>
      <c r="AI728" s="11" t="n"/>
      <c r="AK728">
        <f>IF($D728="","",IF(COUNTIF($D$2:$D728,$D728)=1,1,0))</f>
        <v/>
      </c>
      <c r="AL728">
        <f>IF($AK728=1,SUMPRODUCT(--($AO$2:$AO$3001&lt;$AO728))+1,"")</f>
        <v/>
      </c>
      <c r="AM728">
        <f>IF($D728="","",IF(OR($R728=TRUE(),$R728="TRUE"),1,0))</f>
        <v/>
      </c>
      <c r="AN728">
        <f>IF($D728="","",IF($X728="Yes",1,0))</f>
        <v/>
      </c>
      <c r="AO728">
        <f>IF($AK728=1,IFERROR(IF(VALUE($D728)&lt;100000000,VALUE($D728),1000000000),IFERROR(IF(VALUE(MID($D728,2,20))&lt;100000000,VALUE(MID($D728,2,20)),1000000000),1000000000))+ROW()/100000,"")</f>
        <v/>
      </c>
    </row>
    <row r="729">
      <c r="F729" s="11" t="n"/>
      <c r="N729" s="7">
        <f>IF($D729="","",M729*V729/100)</f>
        <v/>
      </c>
      <c r="O729" s="7" t="n"/>
      <c r="U729" s="7" t="n"/>
      <c r="V729" s="7" t="n"/>
      <c r="Y729">
        <f>IF($D729="","",IF($AN729=1,0,IF($AM729=1,Settings!$C$6,Settings!$C$7))*100)</f>
        <v/>
      </c>
      <c r="Z729" s="7">
        <f>IF($D729="","",V729*Y729/100)</f>
        <v/>
      </c>
      <c r="AA729" s="7">
        <f>IF($D729="","",V729-Z729)</f>
        <v/>
      </c>
      <c r="AB729" s="7">
        <f>IF($D729="","",AA729-N729)</f>
        <v/>
      </c>
      <c r="AF729" s="7" t="n"/>
      <c r="AI729" s="11" t="n"/>
      <c r="AK729">
        <f>IF($D729="","",IF(COUNTIF($D$2:$D729,$D729)=1,1,0))</f>
        <v/>
      </c>
      <c r="AL729">
        <f>IF($AK729=1,SUMPRODUCT(--($AO$2:$AO$3001&lt;$AO729))+1,"")</f>
        <v/>
      </c>
      <c r="AM729">
        <f>IF($D729="","",IF(OR($R729=TRUE(),$R729="TRUE"),1,0))</f>
        <v/>
      </c>
      <c r="AN729">
        <f>IF($D729="","",IF($X729="Yes",1,0))</f>
        <v/>
      </c>
      <c r="AO729">
        <f>IF($AK729=1,IFERROR(IF(VALUE($D729)&lt;100000000,VALUE($D729),1000000000),IFERROR(IF(VALUE(MID($D729,2,20))&lt;100000000,VALUE(MID($D729,2,20)),1000000000),1000000000))+ROW()/100000,"")</f>
        <v/>
      </c>
    </row>
    <row r="730">
      <c r="F730" s="11" t="n"/>
      <c r="N730" s="7">
        <f>IF($D730="","",M730*V730/100)</f>
        <v/>
      </c>
      <c r="O730" s="7" t="n"/>
      <c r="U730" s="7" t="n"/>
      <c r="V730" s="7" t="n"/>
      <c r="Y730">
        <f>IF($D730="","",IF($AN730=1,0,IF($AM730=1,Settings!$C$6,Settings!$C$7))*100)</f>
        <v/>
      </c>
      <c r="Z730" s="7">
        <f>IF($D730="","",V730*Y730/100)</f>
        <v/>
      </c>
      <c r="AA730" s="7">
        <f>IF($D730="","",V730-Z730)</f>
        <v/>
      </c>
      <c r="AB730" s="7">
        <f>IF($D730="","",AA730-N730)</f>
        <v/>
      </c>
      <c r="AF730" s="7" t="n"/>
      <c r="AI730" s="11" t="n"/>
      <c r="AK730">
        <f>IF($D730="","",IF(COUNTIF($D$2:$D730,$D730)=1,1,0))</f>
        <v/>
      </c>
      <c r="AL730">
        <f>IF($AK730=1,SUMPRODUCT(--($AO$2:$AO$3001&lt;$AO730))+1,"")</f>
        <v/>
      </c>
      <c r="AM730">
        <f>IF($D730="","",IF(OR($R730=TRUE(),$R730="TRUE"),1,0))</f>
        <v/>
      </c>
      <c r="AN730">
        <f>IF($D730="","",IF($X730="Yes",1,0))</f>
        <v/>
      </c>
      <c r="AO730">
        <f>IF($AK730=1,IFERROR(IF(VALUE($D730)&lt;100000000,VALUE($D730),1000000000),IFERROR(IF(VALUE(MID($D730,2,20))&lt;100000000,VALUE(MID($D730,2,20)),1000000000),1000000000))+ROW()/100000,"")</f>
        <v/>
      </c>
    </row>
    <row r="731">
      <c r="F731" s="11" t="n"/>
      <c r="N731" s="7">
        <f>IF($D731="","",M731*V731/100)</f>
        <v/>
      </c>
      <c r="O731" s="7" t="n"/>
      <c r="U731" s="7" t="n"/>
      <c r="V731" s="7" t="n"/>
      <c r="Y731">
        <f>IF($D731="","",IF($AN731=1,0,IF($AM731=1,Settings!$C$6,Settings!$C$7))*100)</f>
        <v/>
      </c>
      <c r="Z731" s="7">
        <f>IF($D731="","",V731*Y731/100)</f>
        <v/>
      </c>
      <c r="AA731" s="7">
        <f>IF($D731="","",V731-Z731)</f>
        <v/>
      </c>
      <c r="AB731" s="7">
        <f>IF($D731="","",AA731-N731)</f>
        <v/>
      </c>
      <c r="AF731" s="7" t="n"/>
      <c r="AI731" s="11" t="n"/>
      <c r="AK731">
        <f>IF($D731="","",IF(COUNTIF($D$2:$D731,$D731)=1,1,0))</f>
        <v/>
      </c>
      <c r="AL731">
        <f>IF($AK731=1,SUMPRODUCT(--($AO$2:$AO$3001&lt;$AO731))+1,"")</f>
        <v/>
      </c>
      <c r="AM731">
        <f>IF($D731="","",IF(OR($R731=TRUE(),$R731="TRUE"),1,0))</f>
        <v/>
      </c>
      <c r="AN731">
        <f>IF($D731="","",IF($X731="Yes",1,0))</f>
        <v/>
      </c>
      <c r="AO731">
        <f>IF($AK731=1,IFERROR(IF(VALUE($D731)&lt;100000000,VALUE($D731),1000000000),IFERROR(IF(VALUE(MID($D731,2,20))&lt;100000000,VALUE(MID($D731,2,20)),1000000000),1000000000))+ROW()/100000,"")</f>
        <v/>
      </c>
    </row>
    <row r="732">
      <c r="F732" s="11" t="n"/>
      <c r="N732" s="7">
        <f>IF($D732="","",M732*V732/100)</f>
        <v/>
      </c>
      <c r="O732" s="7" t="n"/>
      <c r="U732" s="7" t="n"/>
      <c r="V732" s="7" t="n"/>
      <c r="Y732">
        <f>IF($D732="","",IF($AN732=1,0,IF($AM732=1,Settings!$C$6,Settings!$C$7))*100)</f>
        <v/>
      </c>
      <c r="Z732" s="7">
        <f>IF($D732="","",V732*Y732/100)</f>
        <v/>
      </c>
      <c r="AA732" s="7">
        <f>IF($D732="","",V732-Z732)</f>
        <v/>
      </c>
      <c r="AB732" s="7">
        <f>IF($D732="","",AA732-N732)</f>
        <v/>
      </c>
      <c r="AF732" s="7" t="n"/>
      <c r="AI732" s="11" t="n"/>
      <c r="AK732">
        <f>IF($D732="","",IF(COUNTIF($D$2:$D732,$D732)=1,1,0))</f>
        <v/>
      </c>
      <c r="AL732">
        <f>IF($AK732=1,SUMPRODUCT(--($AO$2:$AO$3001&lt;$AO732))+1,"")</f>
        <v/>
      </c>
      <c r="AM732">
        <f>IF($D732="","",IF(OR($R732=TRUE(),$R732="TRUE"),1,0))</f>
        <v/>
      </c>
      <c r="AN732">
        <f>IF($D732="","",IF($X732="Yes",1,0))</f>
        <v/>
      </c>
      <c r="AO732">
        <f>IF($AK732=1,IFERROR(IF(VALUE($D732)&lt;100000000,VALUE($D732),1000000000),IFERROR(IF(VALUE(MID($D732,2,20))&lt;100000000,VALUE(MID($D732,2,20)),1000000000),1000000000))+ROW()/100000,"")</f>
        <v/>
      </c>
    </row>
    <row r="733">
      <c r="F733" s="11" t="n"/>
      <c r="N733" s="7">
        <f>IF($D733="","",M733*V733/100)</f>
        <v/>
      </c>
      <c r="O733" s="7" t="n"/>
      <c r="U733" s="7" t="n"/>
      <c r="V733" s="7" t="n"/>
      <c r="Y733">
        <f>IF($D733="","",IF($AN733=1,0,IF($AM733=1,Settings!$C$6,Settings!$C$7))*100)</f>
        <v/>
      </c>
      <c r="Z733" s="7">
        <f>IF($D733="","",V733*Y733/100)</f>
        <v/>
      </c>
      <c r="AA733" s="7">
        <f>IF($D733="","",V733-Z733)</f>
        <v/>
      </c>
      <c r="AB733" s="7">
        <f>IF($D733="","",AA733-N733)</f>
        <v/>
      </c>
      <c r="AF733" s="7" t="n"/>
      <c r="AI733" s="11" t="n"/>
      <c r="AK733">
        <f>IF($D733="","",IF(COUNTIF($D$2:$D733,$D733)=1,1,0))</f>
        <v/>
      </c>
      <c r="AL733">
        <f>IF($AK733=1,SUMPRODUCT(--($AO$2:$AO$3001&lt;$AO733))+1,"")</f>
        <v/>
      </c>
      <c r="AM733">
        <f>IF($D733="","",IF(OR($R733=TRUE(),$R733="TRUE"),1,0))</f>
        <v/>
      </c>
      <c r="AN733">
        <f>IF($D733="","",IF($X733="Yes",1,0))</f>
        <v/>
      </c>
      <c r="AO733">
        <f>IF($AK733=1,IFERROR(IF(VALUE($D733)&lt;100000000,VALUE($D733),1000000000),IFERROR(IF(VALUE(MID($D733,2,20))&lt;100000000,VALUE(MID($D733,2,20)),1000000000),1000000000))+ROW()/100000,"")</f>
        <v/>
      </c>
    </row>
    <row r="734">
      <c r="F734" s="11" t="n"/>
      <c r="N734" s="7">
        <f>IF($D734="","",M734*V734/100)</f>
        <v/>
      </c>
      <c r="O734" s="7" t="n"/>
      <c r="U734" s="7" t="n"/>
      <c r="V734" s="7" t="n"/>
      <c r="Y734">
        <f>IF($D734="","",IF($AN734=1,0,IF($AM734=1,Settings!$C$6,Settings!$C$7))*100)</f>
        <v/>
      </c>
      <c r="Z734" s="7">
        <f>IF($D734="","",V734*Y734/100)</f>
        <v/>
      </c>
      <c r="AA734" s="7">
        <f>IF($D734="","",V734-Z734)</f>
        <v/>
      </c>
      <c r="AB734" s="7">
        <f>IF($D734="","",AA734-N734)</f>
        <v/>
      </c>
      <c r="AF734" s="7" t="n"/>
      <c r="AI734" s="11" t="n"/>
      <c r="AK734">
        <f>IF($D734="","",IF(COUNTIF($D$2:$D734,$D734)=1,1,0))</f>
        <v/>
      </c>
      <c r="AL734">
        <f>IF($AK734=1,SUMPRODUCT(--($AO$2:$AO$3001&lt;$AO734))+1,"")</f>
        <v/>
      </c>
      <c r="AM734">
        <f>IF($D734="","",IF(OR($R734=TRUE(),$R734="TRUE"),1,0))</f>
        <v/>
      </c>
      <c r="AN734">
        <f>IF($D734="","",IF($X734="Yes",1,0))</f>
        <v/>
      </c>
      <c r="AO734">
        <f>IF($AK734=1,IFERROR(IF(VALUE($D734)&lt;100000000,VALUE($D734),1000000000),IFERROR(IF(VALUE(MID($D734,2,20))&lt;100000000,VALUE(MID($D734,2,20)),1000000000),1000000000))+ROW()/100000,"")</f>
        <v/>
      </c>
    </row>
    <row r="735">
      <c r="F735" s="11" t="n"/>
      <c r="N735" s="7">
        <f>IF($D735="","",M735*V735/100)</f>
        <v/>
      </c>
      <c r="O735" s="7" t="n"/>
      <c r="U735" s="7" t="n"/>
      <c r="V735" s="7" t="n"/>
      <c r="Y735">
        <f>IF($D735="","",IF($AN735=1,0,IF($AM735=1,Settings!$C$6,Settings!$C$7))*100)</f>
        <v/>
      </c>
      <c r="Z735" s="7">
        <f>IF($D735="","",V735*Y735/100)</f>
        <v/>
      </c>
      <c r="AA735" s="7">
        <f>IF($D735="","",V735-Z735)</f>
        <v/>
      </c>
      <c r="AB735" s="7">
        <f>IF($D735="","",AA735-N735)</f>
        <v/>
      </c>
      <c r="AF735" s="7" t="n"/>
      <c r="AI735" s="11" t="n"/>
      <c r="AK735">
        <f>IF($D735="","",IF(COUNTIF($D$2:$D735,$D735)=1,1,0))</f>
        <v/>
      </c>
      <c r="AL735">
        <f>IF($AK735=1,SUMPRODUCT(--($AO$2:$AO$3001&lt;$AO735))+1,"")</f>
        <v/>
      </c>
      <c r="AM735">
        <f>IF($D735="","",IF(OR($R735=TRUE(),$R735="TRUE"),1,0))</f>
        <v/>
      </c>
      <c r="AN735">
        <f>IF($D735="","",IF($X735="Yes",1,0))</f>
        <v/>
      </c>
      <c r="AO735">
        <f>IF($AK735=1,IFERROR(IF(VALUE($D735)&lt;100000000,VALUE($D735),1000000000),IFERROR(IF(VALUE(MID($D735,2,20))&lt;100000000,VALUE(MID($D735,2,20)),1000000000),1000000000))+ROW()/100000,"")</f>
        <v/>
      </c>
    </row>
    <row r="736">
      <c r="F736" s="11" t="n"/>
      <c r="N736" s="7">
        <f>IF($D736="","",M736*V736/100)</f>
        <v/>
      </c>
      <c r="O736" s="7" t="n"/>
      <c r="U736" s="7" t="n"/>
      <c r="V736" s="7" t="n"/>
      <c r="Y736">
        <f>IF($D736="","",IF($AN736=1,0,IF($AM736=1,Settings!$C$6,Settings!$C$7))*100)</f>
        <v/>
      </c>
      <c r="Z736" s="7">
        <f>IF($D736="","",V736*Y736/100)</f>
        <v/>
      </c>
      <c r="AA736" s="7">
        <f>IF($D736="","",V736-Z736)</f>
        <v/>
      </c>
      <c r="AB736" s="7">
        <f>IF($D736="","",AA736-N736)</f>
        <v/>
      </c>
      <c r="AF736" s="7" t="n"/>
      <c r="AI736" s="11" t="n"/>
      <c r="AK736">
        <f>IF($D736="","",IF(COUNTIF($D$2:$D736,$D736)=1,1,0))</f>
        <v/>
      </c>
      <c r="AL736">
        <f>IF($AK736=1,SUMPRODUCT(--($AO$2:$AO$3001&lt;$AO736))+1,"")</f>
        <v/>
      </c>
      <c r="AM736">
        <f>IF($D736="","",IF(OR($R736=TRUE(),$R736="TRUE"),1,0))</f>
        <v/>
      </c>
      <c r="AN736">
        <f>IF($D736="","",IF($X736="Yes",1,0))</f>
        <v/>
      </c>
      <c r="AO736">
        <f>IF($AK736=1,IFERROR(IF(VALUE($D736)&lt;100000000,VALUE($D736),1000000000),IFERROR(IF(VALUE(MID($D736,2,20))&lt;100000000,VALUE(MID($D736,2,20)),1000000000),1000000000))+ROW()/100000,"")</f>
        <v/>
      </c>
    </row>
    <row r="737">
      <c r="F737" s="11" t="n"/>
      <c r="N737" s="7">
        <f>IF($D737="","",M737*V737/100)</f>
        <v/>
      </c>
      <c r="O737" s="7" t="n"/>
      <c r="U737" s="7" t="n"/>
      <c r="V737" s="7" t="n"/>
      <c r="Y737">
        <f>IF($D737="","",IF($AN737=1,0,IF($AM737=1,Settings!$C$6,Settings!$C$7))*100)</f>
        <v/>
      </c>
      <c r="Z737" s="7">
        <f>IF($D737="","",V737*Y737/100)</f>
        <v/>
      </c>
      <c r="AA737" s="7">
        <f>IF($D737="","",V737-Z737)</f>
        <v/>
      </c>
      <c r="AB737" s="7">
        <f>IF($D737="","",AA737-N737)</f>
        <v/>
      </c>
      <c r="AF737" s="7" t="n"/>
      <c r="AI737" s="11" t="n"/>
      <c r="AK737">
        <f>IF($D737="","",IF(COUNTIF($D$2:$D737,$D737)=1,1,0))</f>
        <v/>
      </c>
      <c r="AL737">
        <f>IF($AK737=1,SUMPRODUCT(--($AO$2:$AO$3001&lt;$AO737))+1,"")</f>
        <v/>
      </c>
      <c r="AM737">
        <f>IF($D737="","",IF(OR($R737=TRUE(),$R737="TRUE"),1,0))</f>
        <v/>
      </c>
      <c r="AN737">
        <f>IF($D737="","",IF($X737="Yes",1,0))</f>
        <v/>
      </c>
      <c r="AO737">
        <f>IF($AK737=1,IFERROR(IF(VALUE($D737)&lt;100000000,VALUE($D737),1000000000),IFERROR(IF(VALUE(MID($D737,2,20))&lt;100000000,VALUE(MID($D737,2,20)),1000000000),1000000000))+ROW()/100000,"")</f>
        <v/>
      </c>
    </row>
    <row r="738">
      <c r="F738" s="11" t="n"/>
      <c r="N738" s="7">
        <f>IF($D738="","",M738*V738/100)</f>
        <v/>
      </c>
      <c r="O738" s="7" t="n"/>
      <c r="U738" s="7" t="n"/>
      <c r="V738" s="7" t="n"/>
      <c r="Y738">
        <f>IF($D738="","",IF($AN738=1,0,IF($AM738=1,Settings!$C$6,Settings!$C$7))*100)</f>
        <v/>
      </c>
      <c r="Z738" s="7">
        <f>IF($D738="","",V738*Y738/100)</f>
        <v/>
      </c>
      <c r="AA738" s="7">
        <f>IF($D738="","",V738-Z738)</f>
        <v/>
      </c>
      <c r="AB738" s="7">
        <f>IF($D738="","",AA738-N738)</f>
        <v/>
      </c>
      <c r="AF738" s="7" t="n"/>
      <c r="AI738" s="11" t="n"/>
      <c r="AK738">
        <f>IF($D738="","",IF(COUNTIF($D$2:$D738,$D738)=1,1,0))</f>
        <v/>
      </c>
      <c r="AL738">
        <f>IF($AK738=1,SUMPRODUCT(--($AO$2:$AO$3001&lt;$AO738))+1,"")</f>
        <v/>
      </c>
      <c r="AM738">
        <f>IF($D738="","",IF(OR($R738=TRUE(),$R738="TRUE"),1,0))</f>
        <v/>
      </c>
      <c r="AN738">
        <f>IF($D738="","",IF($X738="Yes",1,0))</f>
        <v/>
      </c>
      <c r="AO738">
        <f>IF($AK738=1,IFERROR(IF(VALUE($D738)&lt;100000000,VALUE($D738),1000000000),IFERROR(IF(VALUE(MID($D738,2,20))&lt;100000000,VALUE(MID($D738,2,20)),1000000000),1000000000))+ROW()/100000,"")</f>
        <v/>
      </c>
    </row>
    <row r="739">
      <c r="F739" s="11" t="n"/>
      <c r="N739" s="7">
        <f>IF($D739="","",M739*V739/100)</f>
        <v/>
      </c>
      <c r="O739" s="7" t="n"/>
      <c r="U739" s="7" t="n"/>
      <c r="V739" s="7" t="n"/>
      <c r="Y739">
        <f>IF($D739="","",IF($AN739=1,0,IF($AM739=1,Settings!$C$6,Settings!$C$7))*100)</f>
        <v/>
      </c>
      <c r="Z739" s="7">
        <f>IF($D739="","",V739*Y739/100)</f>
        <v/>
      </c>
      <c r="AA739" s="7">
        <f>IF($D739="","",V739-Z739)</f>
        <v/>
      </c>
      <c r="AB739" s="7">
        <f>IF($D739="","",AA739-N739)</f>
        <v/>
      </c>
      <c r="AF739" s="7" t="n"/>
      <c r="AI739" s="11" t="n"/>
      <c r="AK739">
        <f>IF($D739="","",IF(COUNTIF($D$2:$D739,$D739)=1,1,0))</f>
        <v/>
      </c>
      <c r="AL739">
        <f>IF($AK739=1,SUMPRODUCT(--($AO$2:$AO$3001&lt;$AO739))+1,"")</f>
        <v/>
      </c>
      <c r="AM739">
        <f>IF($D739="","",IF(OR($R739=TRUE(),$R739="TRUE"),1,0))</f>
        <v/>
      </c>
      <c r="AN739">
        <f>IF($D739="","",IF($X739="Yes",1,0))</f>
        <v/>
      </c>
      <c r="AO739">
        <f>IF($AK739=1,IFERROR(IF(VALUE($D739)&lt;100000000,VALUE($D739),1000000000),IFERROR(IF(VALUE(MID($D739,2,20))&lt;100000000,VALUE(MID($D739,2,20)),1000000000),1000000000))+ROW()/100000,"")</f>
        <v/>
      </c>
    </row>
    <row r="740">
      <c r="F740" s="11" t="n"/>
      <c r="N740" s="7">
        <f>IF($D740="","",M740*V740/100)</f>
        <v/>
      </c>
      <c r="O740" s="7" t="n"/>
      <c r="U740" s="7" t="n"/>
      <c r="V740" s="7" t="n"/>
      <c r="Y740">
        <f>IF($D740="","",IF($AN740=1,0,IF($AM740=1,Settings!$C$6,Settings!$C$7))*100)</f>
        <v/>
      </c>
      <c r="Z740" s="7">
        <f>IF($D740="","",V740*Y740/100)</f>
        <v/>
      </c>
      <c r="AA740" s="7">
        <f>IF($D740="","",V740-Z740)</f>
        <v/>
      </c>
      <c r="AB740" s="7">
        <f>IF($D740="","",AA740-N740)</f>
        <v/>
      </c>
      <c r="AF740" s="7" t="n"/>
      <c r="AI740" s="11" t="n"/>
      <c r="AK740">
        <f>IF($D740="","",IF(COUNTIF($D$2:$D740,$D740)=1,1,0))</f>
        <v/>
      </c>
      <c r="AL740">
        <f>IF($AK740=1,SUMPRODUCT(--($AO$2:$AO$3001&lt;$AO740))+1,"")</f>
        <v/>
      </c>
      <c r="AM740">
        <f>IF($D740="","",IF(OR($R740=TRUE(),$R740="TRUE"),1,0))</f>
        <v/>
      </c>
      <c r="AN740">
        <f>IF($D740="","",IF($X740="Yes",1,0))</f>
        <v/>
      </c>
      <c r="AO740">
        <f>IF($AK740=1,IFERROR(IF(VALUE($D740)&lt;100000000,VALUE($D740),1000000000),IFERROR(IF(VALUE(MID($D740,2,20))&lt;100000000,VALUE(MID($D740,2,20)),1000000000),1000000000))+ROW()/100000,"")</f>
        <v/>
      </c>
    </row>
    <row r="741">
      <c r="F741" s="11" t="n"/>
      <c r="N741" s="7">
        <f>IF($D741="","",M741*V741/100)</f>
        <v/>
      </c>
      <c r="O741" s="7" t="n"/>
      <c r="U741" s="7" t="n"/>
      <c r="V741" s="7" t="n"/>
      <c r="Y741">
        <f>IF($D741="","",IF($AN741=1,0,IF($AM741=1,Settings!$C$6,Settings!$C$7))*100)</f>
        <v/>
      </c>
      <c r="Z741" s="7">
        <f>IF($D741="","",V741*Y741/100)</f>
        <v/>
      </c>
      <c r="AA741" s="7">
        <f>IF($D741="","",V741-Z741)</f>
        <v/>
      </c>
      <c r="AB741" s="7">
        <f>IF($D741="","",AA741-N741)</f>
        <v/>
      </c>
      <c r="AF741" s="7" t="n"/>
      <c r="AI741" s="11" t="n"/>
      <c r="AK741">
        <f>IF($D741="","",IF(COUNTIF($D$2:$D741,$D741)=1,1,0))</f>
        <v/>
      </c>
      <c r="AL741">
        <f>IF($AK741=1,SUMPRODUCT(--($AO$2:$AO$3001&lt;$AO741))+1,"")</f>
        <v/>
      </c>
      <c r="AM741">
        <f>IF($D741="","",IF(OR($R741=TRUE(),$R741="TRUE"),1,0))</f>
        <v/>
      </c>
      <c r="AN741">
        <f>IF($D741="","",IF($X741="Yes",1,0))</f>
        <v/>
      </c>
      <c r="AO741">
        <f>IF($AK741=1,IFERROR(IF(VALUE($D741)&lt;100000000,VALUE($D741),1000000000),IFERROR(IF(VALUE(MID($D741,2,20))&lt;100000000,VALUE(MID($D741,2,20)),1000000000),1000000000))+ROW()/100000,"")</f>
        <v/>
      </c>
    </row>
    <row r="742">
      <c r="F742" s="11" t="n"/>
      <c r="N742" s="7">
        <f>IF($D742="","",M742*V742/100)</f>
        <v/>
      </c>
      <c r="O742" s="7" t="n"/>
      <c r="U742" s="7" t="n"/>
      <c r="V742" s="7" t="n"/>
      <c r="Y742">
        <f>IF($D742="","",IF($AN742=1,0,IF($AM742=1,Settings!$C$6,Settings!$C$7))*100)</f>
        <v/>
      </c>
      <c r="Z742" s="7">
        <f>IF($D742="","",V742*Y742/100)</f>
        <v/>
      </c>
      <c r="AA742" s="7">
        <f>IF($D742="","",V742-Z742)</f>
        <v/>
      </c>
      <c r="AB742" s="7">
        <f>IF($D742="","",AA742-N742)</f>
        <v/>
      </c>
      <c r="AF742" s="7" t="n"/>
      <c r="AI742" s="11" t="n"/>
      <c r="AK742">
        <f>IF($D742="","",IF(COUNTIF($D$2:$D742,$D742)=1,1,0))</f>
        <v/>
      </c>
      <c r="AL742">
        <f>IF($AK742=1,SUMPRODUCT(--($AO$2:$AO$3001&lt;$AO742))+1,"")</f>
        <v/>
      </c>
      <c r="AM742">
        <f>IF($D742="","",IF(OR($R742=TRUE(),$R742="TRUE"),1,0))</f>
        <v/>
      </c>
      <c r="AN742">
        <f>IF($D742="","",IF($X742="Yes",1,0))</f>
        <v/>
      </c>
      <c r="AO742">
        <f>IF($AK742=1,IFERROR(IF(VALUE($D742)&lt;100000000,VALUE($D742),1000000000),IFERROR(IF(VALUE(MID($D742,2,20))&lt;100000000,VALUE(MID($D742,2,20)),1000000000),1000000000))+ROW()/100000,"")</f>
        <v/>
      </c>
    </row>
    <row r="743">
      <c r="F743" s="11" t="n"/>
      <c r="N743" s="7">
        <f>IF($D743="","",M743*V743/100)</f>
        <v/>
      </c>
      <c r="O743" s="7" t="n"/>
      <c r="U743" s="7" t="n"/>
      <c r="V743" s="7" t="n"/>
      <c r="Y743">
        <f>IF($D743="","",IF($AN743=1,0,IF($AM743=1,Settings!$C$6,Settings!$C$7))*100)</f>
        <v/>
      </c>
      <c r="Z743" s="7">
        <f>IF($D743="","",V743*Y743/100)</f>
        <v/>
      </c>
      <c r="AA743" s="7">
        <f>IF($D743="","",V743-Z743)</f>
        <v/>
      </c>
      <c r="AB743" s="7">
        <f>IF($D743="","",AA743-N743)</f>
        <v/>
      </c>
      <c r="AF743" s="7" t="n"/>
      <c r="AI743" s="11" t="n"/>
      <c r="AK743">
        <f>IF($D743="","",IF(COUNTIF($D$2:$D743,$D743)=1,1,0))</f>
        <v/>
      </c>
      <c r="AL743">
        <f>IF($AK743=1,SUMPRODUCT(--($AO$2:$AO$3001&lt;$AO743))+1,"")</f>
        <v/>
      </c>
      <c r="AM743">
        <f>IF($D743="","",IF(OR($R743=TRUE(),$R743="TRUE"),1,0))</f>
        <v/>
      </c>
      <c r="AN743">
        <f>IF($D743="","",IF($X743="Yes",1,0))</f>
        <v/>
      </c>
      <c r="AO743">
        <f>IF($AK743=1,IFERROR(IF(VALUE($D743)&lt;100000000,VALUE($D743),1000000000),IFERROR(IF(VALUE(MID($D743,2,20))&lt;100000000,VALUE(MID($D743,2,20)),1000000000),1000000000))+ROW()/100000,"")</f>
        <v/>
      </c>
    </row>
    <row r="744">
      <c r="F744" s="11" t="n"/>
      <c r="N744" s="7">
        <f>IF($D744="","",M744*V744/100)</f>
        <v/>
      </c>
      <c r="O744" s="7" t="n"/>
      <c r="U744" s="7" t="n"/>
      <c r="V744" s="7" t="n"/>
      <c r="Y744">
        <f>IF($D744="","",IF($AN744=1,0,IF($AM744=1,Settings!$C$6,Settings!$C$7))*100)</f>
        <v/>
      </c>
      <c r="Z744" s="7">
        <f>IF($D744="","",V744*Y744/100)</f>
        <v/>
      </c>
      <c r="AA744" s="7">
        <f>IF($D744="","",V744-Z744)</f>
        <v/>
      </c>
      <c r="AB744" s="7">
        <f>IF($D744="","",AA744-N744)</f>
        <v/>
      </c>
      <c r="AF744" s="7" t="n"/>
      <c r="AI744" s="11" t="n"/>
      <c r="AK744">
        <f>IF($D744="","",IF(COUNTIF($D$2:$D744,$D744)=1,1,0))</f>
        <v/>
      </c>
      <c r="AL744">
        <f>IF($AK744=1,SUMPRODUCT(--($AO$2:$AO$3001&lt;$AO744))+1,"")</f>
        <v/>
      </c>
      <c r="AM744">
        <f>IF($D744="","",IF(OR($R744=TRUE(),$R744="TRUE"),1,0))</f>
        <v/>
      </c>
      <c r="AN744">
        <f>IF($D744="","",IF($X744="Yes",1,0))</f>
        <v/>
      </c>
      <c r="AO744">
        <f>IF($AK744=1,IFERROR(IF(VALUE($D744)&lt;100000000,VALUE($D744),1000000000),IFERROR(IF(VALUE(MID($D744,2,20))&lt;100000000,VALUE(MID($D744,2,20)),1000000000),1000000000))+ROW()/100000,"")</f>
        <v/>
      </c>
    </row>
    <row r="745">
      <c r="F745" s="11" t="n"/>
      <c r="N745" s="7">
        <f>IF($D745="","",M745*V745/100)</f>
        <v/>
      </c>
      <c r="O745" s="7" t="n"/>
      <c r="U745" s="7" t="n"/>
      <c r="V745" s="7" t="n"/>
      <c r="Y745">
        <f>IF($D745="","",IF($AN745=1,0,IF($AM745=1,Settings!$C$6,Settings!$C$7))*100)</f>
        <v/>
      </c>
      <c r="Z745" s="7">
        <f>IF($D745="","",V745*Y745/100)</f>
        <v/>
      </c>
      <c r="AA745" s="7">
        <f>IF($D745="","",V745-Z745)</f>
        <v/>
      </c>
      <c r="AB745" s="7">
        <f>IF($D745="","",AA745-N745)</f>
        <v/>
      </c>
      <c r="AF745" s="7" t="n"/>
      <c r="AI745" s="11" t="n"/>
      <c r="AK745">
        <f>IF($D745="","",IF(COUNTIF($D$2:$D745,$D745)=1,1,0))</f>
        <v/>
      </c>
      <c r="AL745">
        <f>IF($AK745=1,SUMPRODUCT(--($AO$2:$AO$3001&lt;$AO745))+1,"")</f>
        <v/>
      </c>
      <c r="AM745">
        <f>IF($D745="","",IF(OR($R745=TRUE(),$R745="TRUE"),1,0))</f>
        <v/>
      </c>
      <c r="AN745">
        <f>IF($D745="","",IF($X745="Yes",1,0))</f>
        <v/>
      </c>
      <c r="AO745">
        <f>IF($AK745=1,IFERROR(IF(VALUE($D745)&lt;100000000,VALUE($D745),1000000000),IFERROR(IF(VALUE(MID($D745,2,20))&lt;100000000,VALUE(MID($D745,2,20)),1000000000),1000000000))+ROW()/100000,"")</f>
        <v/>
      </c>
    </row>
    <row r="746">
      <c r="F746" s="11" t="n"/>
      <c r="N746" s="7">
        <f>IF($D746="","",M746*V746/100)</f>
        <v/>
      </c>
      <c r="O746" s="7" t="n"/>
      <c r="U746" s="7" t="n"/>
      <c r="V746" s="7" t="n"/>
      <c r="Y746">
        <f>IF($D746="","",IF($AN746=1,0,IF($AM746=1,Settings!$C$6,Settings!$C$7))*100)</f>
        <v/>
      </c>
      <c r="Z746" s="7">
        <f>IF($D746="","",V746*Y746/100)</f>
        <v/>
      </c>
      <c r="AA746" s="7">
        <f>IF($D746="","",V746-Z746)</f>
        <v/>
      </c>
      <c r="AB746" s="7">
        <f>IF($D746="","",AA746-N746)</f>
        <v/>
      </c>
      <c r="AF746" s="7" t="n"/>
      <c r="AI746" s="11" t="n"/>
      <c r="AK746">
        <f>IF($D746="","",IF(COUNTIF($D$2:$D746,$D746)=1,1,0))</f>
        <v/>
      </c>
      <c r="AL746">
        <f>IF($AK746=1,SUMPRODUCT(--($AO$2:$AO$3001&lt;$AO746))+1,"")</f>
        <v/>
      </c>
      <c r="AM746">
        <f>IF($D746="","",IF(OR($R746=TRUE(),$R746="TRUE"),1,0))</f>
        <v/>
      </c>
      <c r="AN746">
        <f>IF($D746="","",IF($X746="Yes",1,0))</f>
        <v/>
      </c>
      <c r="AO746">
        <f>IF($AK746=1,IFERROR(IF(VALUE($D746)&lt;100000000,VALUE($D746),1000000000),IFERROR(IF(VALUE(MID($D746,2,20))&lt;100000000,VALUE(MID($D746,2,20)),1000000000),1000000000))+ROW()/100000,"")</f>
        <v/>
      </c>
    </row>
    <row r="747">
      <c r="F747" s="11" t="n"/>
      <c r="N747" s="7">
        <f>IF($D747="","",M747*V747/100)</f>
        <v/>
      </c>
      <c r="O747" s="7" t="n"/>
      <c r="U747" s="7" t="n"/>
      <c r="V747" s="7" t="n"/>
      <c r="Y747">
        <f>IF($D747="","",IF($AN747=1,0,IF($AM747=1,Settings!$C$6,Settings!$C$7))*100)</f>
        <v/>
      </c>
      <c r="Z747" s="7">
        <f>IF($D747="","",V747*Y747/100)</f>
        <v/>
      </c>
      <c r="AA747" s="7">
        <f>IF($D747="","",V747-Z747)</f>
        <v/>
      </c>
      <c r="AB747" s="7">
        <f>IF($D747="","",AA747-N747)</f>
        <v/>
      </c>
      <c r="AF747" s="7" t="n"/>
      <c r="AI747" s="11" t="n"/>
      <c r="AK747">
        <f>IF($D747="","",IF(COUNTIF($D$2:$D747,$D747)=1,1,0))</f>
        <v/>
      </c>
      <c r="AL747">
        <f>IF($AK747=1,SUMPRODUCT(--($AO$2:$AO$3001&lt;$AO747))+1,"")</f>
        <v/>
      </c>
      <c r="AM747">
        <f>IF($D747="","",IF(OR($R747=TRUE(),$R747="TRUE"),1,0))</f>
        <v/>
      </c>
      <c r="AN747">
        <f>IF($D747="","",IF($X747="Yes",1,0))</f>
        <v/>
      </c>
      <c r="AO747">
        <f>IF($AK747=1,IFERROR(IF(VALUE($D747)&lt;100000000,VALUE($D747),1000000000),IFERROR(IF(VALUE(MID($D747,2,20))&lt;100000000,VALUE(MID($D747,2,20)),1000000000),1000000000))+ROW()/100000,"")</f>
        <v/>
      </c>
    </row>
    <row r="748">
      <c r="F748" s="11" t="n"/>
      <c r="N748" s="7">
        <f>IF($D748="","",M748*V748/100)</f>
        <v/>
      </c>
      <c r="O748" s="7" t="n"/>
      <c r="U748" s="7" t="n"/>
      <c r="V748" s="7" t="n"/>
      <c r="Y748">
        <f>IF($D748="","",IF($AN748=1,0,IF($AM748=1,Settings!$C$6,Settings!$C$7))*100)</f>
        <v/>
      </c>
      <c r="Z748" s="7">
        <f>IF($D748="","",V748*Y748/100)</f>
        <v/>
      </c>
      <c r="AA748" s="7">
        <f>IF($D748="","",V748-Z748)</f>
        <v/>
      </c>
      <c r="AB748" s="7">
        <f>IF($D748="","",AA748-N748)</f>
        <v/>
      </c>
      <c r="AF748" s="7" t="n"/>
      <c r="AI748" s="11" t="n"/>
      <c r="AK748">
        <f>IF($D748="","",IF(COUNTIF($D$2:$D748,$D748)=1,1,0))</f>
        <v/>
      </c>
      <c r="AL748">
        <f>IF($AK748=1,SUMPRODUCT(--($AO$2:$AO$3001&lt;$AO748))+1,"")</f>
        <v/>
      </c>
      <c r="AM748">
        <f>IF($D748="","",IF(OR($R748=TRUE(),$R748="TRUE"),1,0))</f>
        <v/>
      </c>
      <c r="AN748">
        <f>IF($D748="","",IF($X748="Yes",1,0))</f>
        <v/>
      </c>
      <c r="AO748">
        <f>IF($AK748=1,IFERROR(IF(VALUE($D748)&lt;100000000,VALUE($D748),1000000000),IFERROR(IF(VALUE(MID($D748,2,20))&lt;100000000,VALUE(MID($D748,2,20)),1000000000),1000000000))+ROW()/100000,"")</f>
        <v/>
      </c>
    </row>
    <row r="749">
      <c r="F749" s="11" t="n"/>
      <c r="N749" s="7">
        <f>IF($D749="","",M749*V749/100)</f>
        <v/>
      </c>
      <c r="O749" s="7" t="n"/>
      <c r="U749" s="7" t="n"/>
      <c r="V749" s="7" t="n"/>
      <c r="Y749">
        <f>IF($D749="","",IF($AN749=1,0,IF($AM749=1,Settings!$C$6,Settings!$C$7))*100)</f>
        <v/>
      </c>
      <c r="Z749" s="7">
        <f>IF($D749="","",V749*Y749/100)</f>
        <v/>
      </c>
      <c r="AA749" s="7">
        <f>IF($D749="","",V749-Z749)</f>
        <v/>
      </c>
      <c r="AB749" s="7">
        <f>IF($D749="","",AA749-N749)</f>
        <v/>
      </c>
      <c r="AF749" s="7" t="n"/>
      <c r="AI749" s="11" t="n"/>
      <c r="AK749">
        <f>IF($D749="","",IF(COUNTIF($D$2:$D749,$D749)=1,1,0))</f>
        <v/>
      </c>
      <c r="AL749">
        <f>IF($AK749=1,SUMPRODUCT(--($AO$2:$AO$3001&lt;$AO749))+1,"")</f>
        <v/>
      </c>
      <c r="AM749">
        <f>IF($D749="","",IF(OR($R749=TRUE(),$R749="TRUE"),1,0))</f>
        <v/>
      </c>
      <c r="AN749">
        <f>IF($D749="","",IF($X749="Yes",1,0))</f>
        <v/>
      </c>
      <c r="AO749">
        <f>IF($AK749=1,IFERROR(IF(VALUE($D749)&lt;100000000,VALUE($D749),1000000000),IFERROR(IF(VALUE(MID($D749,2,20))&lt;100000000,VALUE(MID($D749,2,20)),1000000000),1000000000))+ROW()/100000,"")</f>
        <v/>
      </c>
    </row>
    <row r="750">
      <c r="F750" s="11" t="n"/>
      <c r="N750" s="7">
        <f>IF($D750="","",M750*V750/100)</f>
        <v/>
      </c>
      <c r="O750" s="7" t="n"/>
      <c r="U750" s="7" t="n"/>
      <c r="V750" s="7" t="n"/>
      <c r="Y750">
        <f>IF($D750="","",IF($AN750=1,0,IF($AM750=1,Settings!$C$6,Settings!$C$7))*100)</f>
        <v/>
      </c>
      <c r="Z750" s="7">
        <f>IF($D750="","",V750*Y750/100)</f>
        <v/>
      </c>
      <c r="AA750" s="7">
        <f>IF($D750="","",V750-Z750)</f>
        <v/>
      </c>
      <c r="AB750" s="7">
        <f>IF($D750="","",AA750-N750)</f>
        <v/>
      </c>
      <c r="AF750" s="7" t="n"/>
      <c r="AI750" s="11" t="n"/>
      <c r="AK750">
        <f>IF($D750="","",IF(COUNTIF($D$2:$D750,$D750)=1,1,0))</f>
        <v/>
      </c>
      <c r="AL750">
        <f>IF($AK750=1,SUMPRODUCT(--($AO$2:$AO$3001&lt;$AO750))+1,"")</f>
        <v/>
      </c>
      <c r="AM750">
        <f>IF($D750="","",IF(OR($R750=TRUE(),$R750="TRUE"),1,0))</f>
        <v/>
      </c>
      <c r="AN750">
        <f>IF($D750="","",IF($X750="Yes",1,0))</f>
        <v/>
      </c>
      <c r="AO750">
        <f>IF($AK750=1,IFERROR(IF(VALUE($D750)&lt;100000000,VALUE($D750),1000000000),IFERROR(IF(VALUE(MID($D750,2,20))&lt;100000000,VALUE(MID($D750,2,20)),1000000000),1000000000))+ROW()/100000,"")</f>
        <v/>
      </c>
    </row>
    <row r="751">
      <c r="F751" s="11" t="n"/>
      <c r="N751" s="7">
        <f>IF($D751="","",M751*V751/100)</f>
        <v/>
      </c>
      <c r="O751" s="7" t="n"/>
      <c r="U751" s="7" t="n"/>
      <c r="V751" s="7" t="n"/>
      <c r="Y751">
        <f>IF($D751="","",IF($AN751=1,0,IF($AM751=1,Settings!$C$6,Settings!$C$7))*100)</f>
        <v/>
      </c>
      <c r="Z751" s="7">
        <f>IF($D751="","",V751*Y751/100)</f>
        <v/>
      </c>
      <c r="AA751" s="7">
        <f>IF($D751="","",V751-Z751)</f>
        <v/>
      </c>
      <c r="AB751" s="7">
        <f>IF($D751="","",AA751-N751)</f>
        <v/>
      </c>
      <c r="AF751" s="7" t="n"/>
      <c r="AI751" s="11" t="n"/>
      <c r="AK751">
        <f>IF($D751="","",IF(COUNTIF($D$2:$D751,$D751)=1,1,0))</f>
        <v/>
      </c>
      <c r="AL751">
        <f>IF($AK751=1,SUMPRODUCT(--($AO$2:$AO$3001&lt;$AO751))+1,"")</f>
        <v/>
      </c>
      <c r="AM751">
        <f>IF($D751="","",IF(OR($R751=TRUE(),$R751="TRUE"),1,0))</f>
        <v/>
      </c>
      <c r="AN751">
        <f>IF($D751="","",IF($X751="Yes",1,0))</f>
        <v/>
      </c>
      <c r="AO751">
        <f>IF($AK751=1,IFERROR(IF(VALUE($D751)&lt;100000000,VALUE($D751),1000000000),IFERROR(IF(VALUE(MID($D751,2,20))&lt;100000000,VALUE(MID($D751,2,20)),1000000000),1000000000))+ROW()/100000,"")</f>
        <v/>
      </c>
    </row>
    <row r="752">
      <c r="F752" s="11" t="n"/>
      <c r="N752" s="7">
        <f>IF($D752="","",M752*V752/100)</f>
        <v/>
      </c>
      <c r="O752" s="7" t="n"/>
      <c r="U752" s="7" t="n"/>
      <c r="V752" s="7" t="n"/>
      <c r="Y752">
        <f>IF($D752="","",IF($AN752=1,0,IF($AM752=1,Settings!$C$6,Settings!$C$7))*100)</f>
        <v/>
      </c>
      <c r="Z752" s="7">
        <f>IF($D752="","",V752*Y752/100)</f>
        <v/>
      </c>
      <c r="AA752" s="7">
        <f>IF($D752="","",V752-Z752)</f>
        <v/>
      </c>
      <c r="AB752" s="7">
        <f>IF($D752="","",AA752-N752)</f>
        <v/>
      </c>
      <c r="AF752" s="7" t="n"/>
      <c r="AI752" s="11" t="n"/>
      <c r="AK752">
        <f>IF($D752="","",IF(COUNTIF($D$2:$D752,$D752)=1,1,0))</f>
        <v/>
      </c>
      <c r="AL752">
        <f>IF($AK752=1,SUMPRODUCT(--($AO$2:$AO$3001&lt;$AO752))+1,"")</f>
        <v/>
      </c>
      <c r="AM752">
        <f>IF($D752="","",IF(OR($R752=TRUE(),$R752="TRUE"),1,0))</f>
        <v/>
      </c>
      <c r="AN752">
        <f>IF($D752="","",IF($X752="Yes",1,0))</f>
        <v/>
      </c>
      <c r="AO752">
        <f>IF($AK752=1,IFERROR(IF(VALUE($D752)&lt;100000000,VALUE($D752),1000000000),IFERROR(IF(VALUE(MID($D752,2,20))&lt;100000000,VALUE(MID($D752,2,20)),1000000000),1000000000))+ROW()/100000,"")</f>
        <v/>
      </c>
    </row>
    <row r="753">
      <c r="F753" s="11" t="n"/>
      <c r="N753" s="7">
        <f>IF($D753="","",M753*V753/100)</f>
        <v/>
      </c>
      <c r="O753" s="7" t="n"/>
      <c r="U753" s="7" t="n"/>
      <c r="V753" s="7" t="n"/>
      <c r="Y753">
        <f>IF($D753="","",IF($AN753=1,0,IF($AM753=1,Settings!$C$6,Settings!$C$7))*100)</f>
        <v/>
      </c>
      <c r="Z753" s="7">
        <f>IF($D753="","",V753*Y753/100)</f>
        <v/>
      </c>
      <c r="AA753" s="7">
        <f>IF($D753="","",V753-Z753)</f>
        <v/>
      </c>
      <c r="AB753" s="7">
        <f>IF($D753="","",AA753-N753)</f>
        <v/>
      </c>
      <c r="AF753" s="7" t="n"/>
      <c r="AI753" s="11" t="n"/>
      <c r="AK753">
        <f>IF($D753="","",IF(COUNTIF($D$2:$D753,$D753)=1,1,0))</f>
        <v/>
      </c>
      <c r="AL753">
        <f>IF($AK753=1,SUMPRODUCT(--($AO$2:$AO$3001&lt;$AO753))+1,"")</f>
        <v/>
      </c>
      <c r="AM753">
        <f>IF($D753="","",IF(OR($R753=TRUE(),$R753="TRUE"),1,0))</f>
        <v/>
      </c>
      <c r="AN753">
        <f>IF($D753="","",IF($X753="Yes",1,0))</f>
        <v/>
      </c>
      <c r="AO753">
        <f>IF($AK753=1,IFERROR(IF(VALUE($D753)&lt;100000000,VALUE($D753),1000000000),IFERROR(IF(VALUE(MID($D753,2,20))&lt;100000000,VALUE(MID($D753,2,20)),1000000000),1000000000))+ROW()/100000,"")</f>
        <v/>
      </c>
    </row>
    <row r="754">
      <c r="F754" s="11" t="n"/>
      <c r="N754" s="7">
        <f>IF($D754="","",M754*V754/100)</f>
        <v/>
      </c>
      <c r="O754" s="7" t="n"/>
      <c r="U754" s="7" t="n"/>
      <c r="V754" s="7" t="n"/>
      <c r="Y754">
        <f>IF($D754="","",IF($AN754=1,0,IF($AM754=1,Settings!$C$6,Settings!$C$7))*100)</f>
        <v/>
      </c>
      <c r="Z754" s="7">
        <f>IF($D754="","",V754*Y754/100)</f>
        <v/>
      </c>
      <c r="AA754" s="7">
        <f>IF($D754="","",V754-Z754)</f>
        <v/>
      </c>
      <c r="AB754" s="7">
        <f>IF($D754="","",AA754-N754)</f>
        <v/>
      </c>
      <c r="AF754" s="7" t="n"/>
      <c r="AI754" s="11" t="n"/>
      <c r="AK754">
        <f>IF($D754="","",IF(COUNTIF($D$2:$D754,$D754)=1,1,0))</f>
        <v/>
      </c>
      <c r="AL754">
        <f>IF($AK754=1,SUMPRODUCT(--($AO$2:$AO$3001&lt;$AO754))+1,"")</f>
        <v/>
      </c>
      <c r="AM754">
        <f>IF($D754="","",IF(OR($R754=TRUE(),$R754="TRUE"),1,0))</f>
        <v/>
      </c>
      <c r="AN754">
        <f>IF($D754="","",IF($X754="Yes",1,0))</f>
        <v/>
      </c>
      <c r="AO754">
        <f>IF($AK754=1,IFERROR(IF(VALUE($D754)&lt;100000000,VALUE($D754),1000000000),IFERROR(IF(VALUE(MID($D754,2,20))&lt;100000000,VALUE(MID($D754,2,20)),1000000000),1000000000))+ROW()/100000,"")</f>
        <v/>
      </c>
    </row>
    <row r="755">
      <c r="F755" s="11" t="n"/>
      <c r="N755" s="7">
        <f>IF($D755="","",M755*V755/100)</f>
        <v/>
      </c>
      <c r="O755" s="7" t="n"/>
      <c r="U755" s="7" t="n"/>
      <c r="V755" s="7" t="n"/>
      <c r="Y755">
        <f>IF($D755="","",IF($AN755=1,0,IF($AM755=1,Settings!$C$6,Settings!$C$7))*100)</f>
        <v/>
      </c>
      <c r="Z755" s="7">
        <f>IF($D755="","",V755*Y755/100)</f>
        <v/>
      </c>
      <c r="AA755" s="7">
        <f>IF($D755="","",V755-Z755)</f>
        <v/>
      </c>
      <c r="AB755" s="7">
        <f>IF($D755="","",AA755-N755)</f>
        <v/>
      </c>
      <c r="AF755" s="7" t="n"/>
      <c r="AI755" s="11" t="n"/>
      <c r="AK755">
        <f>IF($D755="","",IF(COUNTIF($D$2:$D755,$D755)=1,1,0))</f>
        <v/>
      </c>
      <c r="AL755">
        <f>IF($AK755=1,SUMPRODUCT(--($AO$2:$AO$3001&lt;$AO755))+1,"")</f>
        <v/>
      </c>
      <c r="AM755">
        <f>IF($D755="","",IF(OR($R755=TRUE(),$R755="TRUE"),1,0))</f>
        <v/>
      </c>
      <c r="AN755">
        <f>IF($D755="","",IF($X755="Yes",1,0))</f>
        <v/>
      </c>
      <c r="AO755">
        <f>IF($AK755=1,IFERROR(IF(VALUE($D755)&lt;100000000,VALUE($D755),1000000000),IFERROR(IF(VALUE(MID($D755,2,20))&lt;100000000,VALUE(MID($D755,2,20)),1000000000),1000000000))+ROW()/100000,"")</f>
        <v/>
      </c>
    </row>
    <row r="756">
      <c r="F756" s="11" t="n"/>
      <c r="N756" s="7">
        <f>IF($D756="","",M756*V756/100)</f>
        <v/>
      </c>
      <c r="O756" s="7" t="n"/>
      <c r="U756" s="7" t="n"/>
      <c r="V756" s="7" t="n"/>
      <c r="Y756">
        <f>IF($D756="","",IF($AN756=1,0,IF($AM756=1,Settings!$C$6,Settings!$C$7))*100)</f>
        <v/>
      </c>
      <c r="Z756" s="7">
        <f>IF($D756="","",V756*Y756/100)</f>
        <v/>
      </c>
      <c r="AA756" s="7">
        <f>IF($D756="","",V756-Z756)</f>
        <v/>
      </c>
      <c r="AB756" s="7">
        <f>IF($D756="","",AA756-N756)</f>
        <v/>
      </c>
      <c r="AF756" s="7" t="n"/>
      <c r="AI756" s="11" t="n"/>
      <c r="AK756">
        <f>IF($D756="","",IF(COUNTIF($D$2:$D756,$D756)=1,1,0))</f>
        <v/>
      </c>
      <c r="AL756">
        <f>IF($AK756=1,SUMPRODUCT(--($AO$2:$AO$3001&lt;$AO756))+1,"")</f>
        <v/>
      </c>
      <c r="AM756">
        <f>IF($D756="","",IF(OR($R756=TRUE(),$R756="TRUE"),1,0))</f>
        <v/>
      </c>
      <c r="AN756">
        <f>IF($D756="","",IF($X756="Yes",1,0))</f>
        <v/>
      </c>
      <c r="AO756">
        <f>IF($AK756=1,IFERROR(IF(VALUE($D756)&lt;100000000,VALUE($D756),1000000000),IFERROR(IF(VALUE(MID($D756,2,20))&lt;100000000,VALUE(MID($D756,2,20)),1000000000),1000000000))+ROW()/100000,"")</f>
        <v/>
      </c>
    </row>
    <row r="757">
      <c r="F757" s="11" t="n"/>
      <c r="N757" s="7">
        <f>IF($D757="","",M757*V757/100)</f>
        <v/>
      </c>
      <c r="O757" s="7" t="n"/>
      <c r="U757" s="7" t="n"/>
      <c r="V757" s="7" t="n"/>
      <c r="Y757">
        <f>IF($D757="","",IF($AN757=1,0,IF($AM757=1,Settings!$C$6,Settings!$C$7))*100)</f>
        <v/>
      </c>
      <c r="Z757" s="7">
        <f>IF($D757="","",V757*Y757/100)</f>
        <v/>
      </c>
      <c r="AA757" s="7">
        <f>IF($D757="","",V757-Z757)</f>
        <v/>
      </c>
      <c r="AB757" s="7">
        <f>IF($D757="","",AA757-N757)</f>
        <v/>
      </c>
      <c r="AF757" s="7" t="n"/>
      <c r="AI757" s="11" t="n"/>
      <c r="AK757">
        <f>IF($D757="","",IF(COUNTIF($D$2:$D757,$D757)=1,1,0))</f>
        <v/>
      </c>
      <c r="AL757">
        <f>IF($AK757=1,SUMPRODUCT(--($AO$2:$AO$3001&lt;$AO757))+1,"")</f>
        <v/>
      </c>
      <c r="AM757">
        <f>IF($D757="","",IF(OR($R757=TRUE(),$R757="TRUE"),1,0))</f>
        <v/>
      </c>
      <c r="AN757">
        <f>IF($D757="","",IF($X757="Yes",1,0))</f>
        <v/>
      </c>
      <c r="AO757">
        <f>IF($AK757=1,IFERROR(IF(VALUE($D757)&lt;100000000,VALUE($D757),1000000000),IFERROR(IF(VALUE(MID($D757,2,20))&lt;100000000,VALUE(MID($D757,2,20)),1000000000),1000000000))+ROW()/100000,"")</f>
        <v/>
      </c>
    </row>
    <row r="758">
      <c r="F758" s="11" t="n"/>
      <c r="N758" s="7">
        <f>IF($D758="","",M758*V758/100)</f>
        <v/>
      </c>
      <c r="O758" s="7" t="n"/>
      <c r="U758" s="7" t="n"/>
      <c r="V758" s="7" t="n"/>
      <c r="Y758">
        <f>IF($D758="","",IF($AN758=1,0,IF($AM758=1,Settings!$C$6,Settings!$C$7))*100)</f>
        <v/>
      </c>
      <c r="Z758" s="7">
        <f>IF($D758="","",V758*Y758/100)</f>
        <v/>
      </c>
      <c r="AA758" s="7">
        <f>IF($D758="","",V758-Z758)</f>
        <v/>
      </c>
      <c r="AB758" s="7">
        <f>IF($D758="","",AA758-N758)</f>
        <v/>
      </c>
      <c r="AF758" s="7" t="n"/>
      <c r="AI758" s="11" t="n"/>
      <c r="AK758">
        <f>IF($D758="","",IF(COUNTIF($D$2:$D758,$D758)=1,1,0))</f>
        <v/>
      </c>
      <c r="AL758">
        <f>IF($AK758=1,SUMPRODUCT(--($AO$2:$AO$3001&lt;$AO758))+1,"")</f>
        <v/>
      </c>
      <c r="AM758">
        <f>IF($D758="","",IF(OR($R758=TRUE(),$R758="TRUE"),1,0))</f>
        <v/>
      </c>
      <c r="AN758">
        <f>IF($D758="","",IF($X758="Yes",1,0))</f>
        <v/>
      </c>
      <c r="AO758">
        <f>IF($AK758=1,IFERROR(IF(VALUE($D758)&lt;100000000,VALUE($D758),1000000000),IFERROR(IF(VALUE(MID($D758,2,20))&lt;100000000,VALUE(MID($D758,2,20)),1000000000),1000000000))+ROW()/100000,"")</f>
        <v/>
      </c>
    </row>
    <row r="759">
      <c r="F759" s="11" t="n"/>
      <c r="N759" s="7">
        <f>IF($D759="","",M759*V759/100)</f>
        <v/>
      </c>
      <c r="O759" s="7" t="n"/>
      <c r="U759" s="7" t="n"/>
      <c r="V759" s="7" t="n"/>
      <c r="Y759">
        <f>IF($D759="","",IF($AN759=1,0,IF($AM759=1,Settings!$C$6,Settings!$C$7))*100)</f>
        <v/>
      </c>
      <c r="Z759" s="7">
        <f>IF($D759="","",V759*Y759/100)</f>
        <v/>
      </c>
      <c r="AA759" s="7">
        <f>IF($D759="","",V759-Z759)</f>
        <v/>
      </c>
      <c r="AB759" s="7">
        <f>IF($D759="","",AA759-N759)</f>
        <v/>
      </c>
      <c r="AF759" s="7" t="n"/>
      <c r="AI759" s="11" t="n"/>
      <c r="AK759">
        <f>IF($D759="","",IF(COUNTIF($D$2:$D759,$D759)=1,1,0))</f>
        <v/>
      </c>
      <c r="AL759">
        <f>IF($AK759=1,SUMPRODUCT(--($AO$2:$AO$3001&lt;$AO759))+1,"")</f>
        <v/>
      </c>
      <c r="AM759">
        <f>IF($D759="","",IF(OR($R759=TRUE(),$R759="TRUE"),1,0))</f>
        <v/>
      </c>
      <c r="AN759">
        <f>IF($D759="","",IF($X759="Yes",1,0))</f>
        <v/>
      </c>
      <c r="AO759">
        <f>IF($AK759=1,IFERROR(IF(VALUE($D759)&lt;100000000,VALUE($D759),1000000000),IFERROR(IF(VALUE(MID($D759,2,20))&lt;100000000,VALUE(MID($D759,2,20)),1000000000),1000000000))+ROW()/100000,"")</f>
        <v/>
      </c>
    </row>
    <row r="760">
      <c r="F760" s="11" t="n"/>
      <c r="N760" s="7">
        <f>IF($D760="","",M760*V760/100)</f>
        <v/>
      </c>
      <c r="O760" s="7" t="n"/>
      <c r="U760" s="7" t="n"/>
      <c r="V760" s="7" t="n"/>
      <c r="Y760">
        <f>IF($D760="","",IF($AN760=1,0,IF($AM760=1,Settings!$C$6,Settings!$C$7))*100)</f>
        <v/>
      </c>
      <c r="Z760" s="7">
        <f>IF($D760="","",V760*Y760/100)</f>
        <v/>
      </c>
      <c r="AA760" s="7">
        <f>IF($D760="","",V760-Z760)</f>
        <v/>
      </c>
      <c r="AB760" s="7">
        <f>IF($D760="","",AA760-N760)</f>
        <v/>
      </c>
      <c r="AF760" s="7" t="n"/>
      <c r="AI760" s="11" t="n"/>
      <c r="AK760">
        <f>IF($D760="","",IF(COUNTIF($D$2:$D760,$D760)=1,1,0))</f>
        <v/>
      </c>
      <c r="AL760">
        <f>IF($AK760=1,SUMPRODUCT(--($AO$2:$AO$3001&lt;$AO760))+1,"")</f>
        <v/>
      </c>
      <c r="AM760">
        <f>IF($D760="","",IF(OR($R760=TRUE(),$R760="TRUE"),1,0))</f>
        <v/>
      </c>
      <c r="AN760">
        <f>IF($D760="","",IF($X760="Yes",1,0))</f>
        <v/>
      </c>
      <c r="AO760">
        <f>IF($AK760=1,IFERROR(IF(VALUE($D760)&lt;100000000,VALUE($D760),1000000000),IFERROR(IF(VALUE(MID($D760,2,20))&lt;100000000,VALUE(MID($D760,2,20)),1000000000),1000000000))+ROW()/100000,"")</f>
        <v/>
      </c>
    </row>
    <row r="761">
      <c r="F761" s="11" t="n"/>
      <c r="N761" s="7">
        <f>IF($D761="","",M761*V761/100)</f>
        <v/>
      </c>
      <c r="O761" s="7" t="n"/>
      <c r="U761" s="7" t="n"/>
      <c r="V761" s="7" t="n"/>
      <c r="Y761">
        <f>IF($D761="","",IF($AN761=1,0,IF($AM761=1,Settings!$C$6,Settings!$C$7))*100)</f>
        <v/>
      </c>
      <c r="Z761" s="7">
        <f>IF($D761="","",V761*Y761/100)</f>
        <v/>
      </c>
      <c r="AA761" s="7">
        <f>IF($D761="","",V761-Z761)</f>
        <v/>
      </c>
      <c r="AB761" s="7">
        <f>IF($D761="","",AA761-N761)</f>
        <v/>
      </c>
      <c r="AF761" s="7" t="n"/>
      <c r="AI761" s="11" t="n"/>
      <c r="AK761">
        <f>IF($D761="","",IF(COUNTIF($D$2:$D761,$D761)=1,1,0))</f>
        <v/>
      </c>
      <c r="AL761">
        <f>IF($AK761=1,SUMPRODUCT(--($AO$2:$AO$3001&lt;$AO761))+1,"")</f>
        <v/>
      </c>
      <c r="AM761">
        <f>IF($D761="","",IF(OR($R761=TRUE(),$R761="TRUE"),1,0))</f>
        <v/>
      </c>
      <c r="AN761">
        <f>IF($D761="","",IF($X761="Yes",1,0))</f>
        <v/>
      </c>
      <c r="AO761">
        <f>IF($AK761=1,IFERROR(IF(VALUE($D761)&lt;100000000,VALUE($D761),1000000000),IFERROR(IF(VALUE(MID($D761,2,20))&lt;100000000,VALUE(MID($D761,2,20)),1000000000),1000000000))+ROW()/100000,"")</f>
        <v/>
      </c>
    </row>
    <row r="762">
      <c r="F762" s="11" t="n"/>
      <c r="N762" s="7">
        <f>IF($D762="","",M762*V762/100)</f>
        <v/>
      </c>
      <c r="O762" s="7" t="n"/>
      <c r="U762" s="7" t="n"/>
      <c r="V762" s="7" t="n"/>
      <c r="Y762">
        <f>IF($D762="","",IF($AN762=1,0,IF($AM762=1,Settings!$C$6,Settings!$C$7))*100)</f>
        <v/>
      </c>
      <c r="Z762" s="7">
        <f>IF($D762="","",V762*Y762/100)</f>
        <v/>
      </c>
      <c r="AA762" s="7">
        <f>IF($D762="","",V762-Z762)</f>
        <v/>
      </c>
      <c r="AB762" s="7">
        <f>IF($D762="","",AA762-N762)</f>
        <v/>
      </c>
      <c r="AF762" s="7" t="n"/>
      <c r="AI762" s="11" t="n"/>
      <c r="AK762">
        <f>IF($D762="","",IF(COUNTIF($D$2:$D762,$D762)=1,1,0))</f>
        <v/>
      </c>
      <c r="AL762">
        <f>IF($AK762=1,SUMPRODUCT(--($AO$2:$AO$3001&lt;$AO762))+1,"")</f>
        <v/>
      </c>
      <c r="AM762">
        <f>IF($D762="","",IF(OR($R762=TRUE(),$R762="TRUE"),1,0))</f>
        <v/>
      </c>
      <c r="AN762">
        <f>IF($D762="","",IF($X762="Yes",1,0))</f>
        <v/>
      </c>
      <c r="AO762">
        <f>IF($AK762=1,IFERROR(IF(VALUE($D762)&lt;100000000,VALUE($D762),1000000000),IFERROR(IF(VALUE(MID($D762,2,20))&lt;100000000,VALUE(MID($D762,2,20)),1000000000),1000000000))+ROW()/100000,"")</f>
        <v/>
      </c>
    </row>
    <row r="763">
      <c r="F763" s="11" t="n"/>
      <c r="N763" s="7">
        <f>IF($D763="","",M763*V763/100)</f>
        <v/>
      </c>
      <c r="O763" s="7" t="n"/>
      <c r="U763" s="7" t="n"/>
      <c r="V763" s="7" t="n"/>
      <c r="Y763">
        <f>IF($D763="","",IF($AN763=1,0,IF($AM763=1,Settings!$C$6,Settings!$C$7))*100)</f>
        <v/>
      </c>
      <c r="Z763" s="7">
        <f>IF($D763="","",V763*Y763/100)</f>
        <v/>
      </c>
      <c r="AA763" s="7">
        <f>IF($D763="","",V763-Z763)</f>
        <v/>
      </c>
      <c r="AB763" s="7">
        <f>IF($D763="","",AA763-N763)</f>
        <v/>
      </c>
      <c r="AF763" s="7" t="n"/>
      <c r="AI763" s="11" t="n"/>
      <c r="AK763">
        <f>IF($D763="","",IF(COUNTIF($D$2:$D763,$D763)=1,1,0))</f>
        <v/>
      </c>
      <c r="AL763">
        <f>IF($AK763=1,SUMPRODUCT(--($AO$2:$AO$3001&lt;$AO763))+1,"")</f>
        <v/>
      </c>
      <c r="AM763">
        <f>IF($D763="","",IF(OR($R763=TRUE(),$R763="TRUE"),1,0))</f>
        <v/>
      </c>
      <c r="AN763">
        <f>IF($D763="","",IF($X763="Yes",1,0))</f>
        <v/>
      </c>
      <c r="AO763">
        <f>IF($AK763=1,IFERROR(IF(VALUE($D763)&lt;100000000,VALUE($D763),1000000000),IFERROR(IF(VALUE(MID($D763,2,20))&lt;100000000,VALUE(MID($D763,2,20)),1000000000),1000000000))+ROW()/100000,"")</f>
        <v/>
      </c>
    </row>
    <row r="764">
      <c r="F764" s="11" t="n"/>
      <c r="N764" s="7">
        <f>IF($D764="","",M764*V764/100)</f>
        <v/>
      </c>
      <c r="O764" s="7" t="n"/>
      <c r="U764" s="7" t="n"/>
      <c r="V764" s="7" t="n"/>
      <c r="Y764">
        <f>IF($D764="","",IF($AN764=1,0,IF($AM764=1,Settings!$C$6,Settings!$C$7))*100)</f>
        <v/>
      </c>
      <c r="Z764" s="7">
        <f>IF($D764="","",V764*Y764/100)</f>
        <v/>
      </c>
      <c r="AA764" s="7">
        <f>IF($D764="","",V764-Z764)</f>
        <v/>
      </c>
      <c r="AB764" s="7">
        <f>IF($D764="","",AA764-N764)</f>
        <v/>
      </c>
      <c r="AF764" s="7" t="n"/>
      <c r="AI764" s="11" t="n"/>
      <c r="AK764">
        <f>IF($D764="","",IF(COUNTIF($D$2:$D764,$D764)=1,1,0))</f>
        <v/>
      </c>
      <c r="AL764">
        <f>IF($AK764=1,SUMPRODUCT(--($AO$2:$AO$3001&lt;$AO764))+1,"")</f>
        <v/>
      </c>
      <c r="AM764">
        <f>IF($D764="","",IF(OR($R764=TRUE(),$R764="TRUE"),1,0))</f>
        <v/>
      </c>
      <c r="AN764">
        <f>IF($D764="","",IF($X764="Yes",1,0))</f>
        <v/>
      </c>
      <c r="AO764">
        <f>IF($AK764=1,IFERROR(IF(VALUE($D764)&lt;100000000,VALUE($D764),1000000000),IFERROR(IF(VALUE(MID($D764,2,20))&lt;100000000,VALUE(MID($D764,2,20)),1000000000),1000000000))+ROW()/100000,"")</f>
        <v/>
      </c>
    </row>
    <row r="765">
      <c r="F765" s="11" t="n"/>
      <c r="N765" s="7">
        <f>IF($D765="","",M765*V765/100)</f>
        <v/>
      </c>
      <c r="O765" s="7" t="n"/>
      <c r="U765" s="7" t="n"/>
      <c r="V765" s="7" t="n"/>
      <c r="Y765">
        <f>IF($D765="","",IF($AN765=1,0,IF($AM765=1,Settings!$C$6,Settings!$C$7))*100)</f>
        <v/>
      </c>
      <c r="Z765" s="7">
        <f>IF($D765="","",V765*Y765/100)</f>
        <v/>
      </c>
      <c r="AA765" s="7">
        <f>IF($D765="","",V765-Z765)</f>
        <v/>
      </c>
      <c r="AB765" s="7">
        <f>IF($D765="","",AA765-N765)</f>
        <v/>
      </c>
      <c r="AF765" s="7" t="n"/>
      <c r="AI765" s="11" t="n"/>
      <c r="AK765">
        <f>IF($D765="","",IF(COUNTIF($D$2:$D765,$D765)=1,1,0))</f>
        <v/>
      </c>
      <c r="AL765">
        <f>IF($AK765=1,SUMPRODUCT(--($AO$2:$AO$3001&lt;$AO765))+1,"")</f>
        <v/>
      </c>
      <c r="AM765">
        <f>IF($D765="","",IF(OR($R765=TRUE(),$R765="TRUE"),1,0))</f>
        <v/>
      </c>
      <c r="AN765">
        <f>IF($D765="","",IF($X765="Yes",1,0))</f>
        <v/>
      </c>
      <c r="AO765">
        <f>IF($AK765=1,IFERROR(IF(VALUE($D765)&lt;100000000,VALUE($D765),1000000000),IFERROR(IF(VALUE(MID($D765,2,20))&lt;100000000,VALUE(MID($D765,2,20)),1000000000),1000000000))+ROW()/100000,"")</f>
        <v/>
      </c>
    </row>
    <row r="766">
      <c r="F766" s="11" t="n"/>
      <c r="N766" s="7">
        <f>IF($D766="","",M766*V766/100)</f>
        <v/>
      </c>
      <c r="O766" s="7" t="n"/>
      <c r="U766" s="7" t="n"/>
      <c r="V766" s="7" t="n"/>
      <c r="Y766">
        <f>IF($D766="","",IF($AN766=1,0,IF($AM766=1,Settings!$C$6,Settings!$C$7))*100)</f>
        <v/>
      </c>
      <c r="Z766" s="7">
        <f>IF($D766="","",V766*Y766/100)</f>
        <v/>
      </c>
      <c r="AA766" s="7">
        <f>IF($D766="","",V766-Z766)</f>
        <v/>
      </c>
      <c r="AB766" s="7">
        <f>IF($D766="","",AA766-N766)</f>
        <v/>
      </c>
      <c r="AF766" s="7" t="n"/>
      <c r="AI766" s="11" t="n"/>
      <c r="AK766">
        <f>IF($D766="","",IF(COUNTIF($D$2:$D766,$D766)=1,1,0))</f>
        <v/>
      </c>
      <c r="AL766">
        <f>IF($AK766=1,SUMPRODUCT(--($AO$2:$AO$3001&lt;$AO766))+1,"")</f>
        <v/>
      </c>
      <c r="AM766">
        <f>IF($D766="","",IF(OR($R766=TRUE(),$R766="TRUE"),1,0))</f>
        <v/>
      </c>
      <c r="AN766">
        <f>IF($D766="","",IF($X766="Yes",1,0))</f>
        <v/>
      </c>
      <c r="AO766">
        <f>IF($AK766=1,IFERROR(IF(VALUE($D766)&lt;100000000,VALUE($D766),1000000000),IFERROR(IF(VALUE(MID($D766,2,20))&lt;100000000,VALUE(MID($D766,2,20)),1000000000),1000000000))+ROW()/100000,"")</f>
        <v/>
      </c>
    </row>
    <row r="767">
      <c r="F767" s="11" t="n"/>
      <c r="N767" s="7">
        <f>IF($D767="","",M767*V767/100)</f>
        <v/>
      </c>
      <c r="O767" s="7" t="n"/>
      <c r="U767" s="7" t="n"/>
      <c r="V767" s="7" t="n"/>
      <c r="Y767">
        <f>IF($D767="","",IF($AN767=1,0,IF($AM767=1,Settings!$C$6,Settings!$C$7))*100)</f>
        <v/>
      </c>
      <c r="Z767" s="7">
        <f>IF($D767="","",V767*Y767/100)</f>
        <v/>
      </c>
      <c r="AA767" s="7">
        <f>IF($D767="","",V767-Z767)</f>
        <v/>
      </c>
      <c r="AB767" s="7">
        <f>IF($D767="","",AA767-N767)</f>
        <v/>
      </c>
      <c r="AF767" s="7" t="n"/>
      <c r="AI767" s="11" t="n"/>
      <c r="AK767">
        <f>IF($D767="","",IF(COUNTIF($D$2:$D767,$D767)=1,1,0))</f>
        <v/>
      </c>
      <c r="AL767">
        <f>IF($AK767=1,SUMPRODUCT(--($AO$2:$AO$3001&lt;$AO767))+1,"")</f>
        <v/>
      </c>
      <c r="AM767">
        <f>IF($D767="","",IF(OR($R767=TRUE(),$R767="TRUE"),1,0))</f>
        <v/>
      </c>
      <c r="AN767">
        <f>IF($D767="","",IF($X767="Yes",1,0))</f>
        <v/>
      </c>
      <c r="AO767">
        <f>IF($AK767=1,IFERROR(IF(VALUE($D767)&lt;100000000,VALUE($D767),1000000000),IFERROR(IF(VALUE(MID($D767,2,20))&lt;100000000,VALUE(MID($D767,2,20)),1000000000),1000000000))+ROW()/100000,"")</f>
        <v/>
      </c>
    </row>
    <row r="768">
      <c r="F768" s="11" t="n"/>
      <c r="N768" s="7">
        <f>IF($D768="","",M768*V768/100)</f>
        <v/>
      </c>
      <c r="O768" s="7" t="n"/>
      <c r="U768" s="7" t="n"/>
      <c r="V768" s="7" t="n"/>
      <c r="Y768">
        <f>IF($D768="","",IF($AN768=1,0,IF($AM768=1,Settings!$C$6,Settings!$C$7))*100)</f>
        <v/>
      </c>
      <c r="Z768" s="7">
        <f>IF($D768="","",V768*Y768/100)</f>
        <v/>
      </c>
      <c r="AA768" s="7">
        <f>IF($D768="","",V768-Z768)</f>
        <v/>
      </c>
      <c r="AB768" s="7">
        <f>IF($D768="","",AA768-N768)</f>
        <v/>
      </c>
      <c r="AF768" s="7" t="n"/>
      <c r="AI768" s="11" t="n"/>
      <c r="AK768">
        <f>IF($D768="","",IF(COUNTIF($D$2:$D768,$D768)=1,1,0))</f>
        <v/>
      </c>
      <c r="AL768">
        <f>IF($AK768=1,SUMPRODUCT(--($AO$2:$AO$3001&lt;$AO768))+1,"")</f>
        <v/>
      </c>
      <c r="AM768">
        <f>IF($D768="","",IF(OR($R768=TRUE(),$R768="TRUE"),1,0))</f>
        <v/>
      </c>
      <c r="AN768">
        <f>IF($D768="","",IF($X768="Yes",1,0))</f>
        <v/>
      </c>
      <c r="AO768">
        <f>IF($AK768=1,IFERROR(IF(VALUE($D768)&lt;100000000,VALUE($D768),1000000000),IFERROR(IF(VALUE(MID($D768,2,20))&lt;100000000,VALUE(MID($D768,2,20)),1000000000),1000000000))+ROW()/100000,"")</f>
        <v/>
      </c>
    </row>
    <row r="769">
      <c r="F769" s="11" t="n"/>
      <c r="N769" s="7">
        <f>IF($D769="","",M769*V769/100)</f>
        <v/>
      </c>
      <c r="O769" s="7" t="n"/>
      <c r="U769" s="7" t="n"/>
      <c r="V769" s="7" t="n"/>
      <c r="Y769">
        <f>IF($D769="","",IF($AN769=1,0,IF($AM769=1,Settings!$C$6,Settings!$C$7))*100)</f>
        <v/>
      </c>
      <c r="Z769" s="7">
        <f>IF($D769="","",V769*Y769/100)</f>
        <v/>
      </c>
      <c r="AA769" s="7">
        <f>IF($D769="","",V769-Z769)</f>
        <v/>
      </c>
      <c r="AB769" s="7">
        <f>IF($D769="","",AA769-N769)</f>
        <v/>
      </c>
      <c r="AF769" s="7" t="n"/>
      <c r="AI769" s="11" t="n"/>
      <c r="AK769">
        <f>IF($D769="","",IF(COUNTIF($D$2:$D769,$D769)=1,1,0))</f>
        <v/>
      </c>
      <c r="AL769">
        <f>IF($AK769=1,SUMPRODUCT(--($AO$2:$AO$3001&lt;$AO769))+1,"")</f>
        <v/>
      </c>
      <c r="AM769">
        <f>IF($D769="","",IF(OR($R769=TRUE(),$R769="TRUE"),1,0))</f>
        <v/>
      </c>
      <c r="AN769">
        <f>IF($D769="","",IF($X769="Yes",1,0))</f>
        <v/>
      </c>
      <c r="AO769">
        <f>IF($AK769=1,IFERROR(IF(VALUE($D769)&lt;100000000,VALUE($D769),1000000000),IFERROR(IF(VALUE(MID($D769,2,20))&lt;100000000,VALUE(MID($D769,2,20)),1000000000),1000000000))+ROW()/100000,"")</f>
        <v/>
      </c>
    </row>
    <row r="770">
      <c r="F770" s="11" t="n"/>
      <c r="N770" s="7">
        <f>IF($D770="","",M770*V770/100)</f>
        <v/>
      </c>
      <c r="O770" s="7" t="n"/>
      <c r="U770" s="7" t="n"/>
      <c r="V770" s="7" t="n"/>
      <c r="Y770">
        <f>IF($D770="","",IF($AN770=1,0,IF($AM770=1,Settings!$C$6,Settings!$C$7))*100)</f>
        <v/>
      </c>
      <c r="Z770" s="7">
        <f>IF($D770="","",V770*Y770/100)</f>
        <v/>
      </c>
      <c r="AA770" s="7">
        <f>IF($D770="","",V770-Z770)</f>
        <v/>
      </c>
      <c r="AB770" s="7">
        <f>IF($D770="","",AA770-N770)</f>
        <v/>
      </c>
      <c r="AF770" s="7" t="n"/>
      <c r="AI770" s="11" t="n"/>
      <c r="AK770">
        <f>IF($D770="","",IF(COUNTIF($D$2:$D770,$D770)=1,1,0))</f>
        <v/>
      </c>
      <c r="AL770">
        <f>IF($AK770=1,SUMPRODUCT(--($AO$2:$AO$3001&lt;$AO770))+1,"")</f>
        <v/>
      </c>
      <c r="AM770">
        <f>IF($D770="","",IF(OR($R770=TRUE(),$R770="TRUE"),1,0))</f>
        <v/>
      </c>
      <c r="AN770">
        <f>IF($D770="","",IF($X770="Yes",1,0))</f>
        <v/>
      </c>
      <c r="AO770">
        <f>IF($AK770=1,IFERROR(IF(VALUE($D770)&lt;100000000,VALUE($D770),1000000000),IFERROR(IF(VALUE(MID($D770,2,20))&lt;100000000,VALUE(MID($D770,2,20)),1000000000),1000000000))+ROW()/100000,"")</f>
        <v/>
      </c>
    </row>
    <row r="771">
      <c r="F771" s="11" t="n"/>
      <c r="N771" s="7">
        <f>IF($D771="","",M771*V771/100)</f>
        <v/>
      </c>
      <c r="O771" s="7" t="n"/>
      <c r="U771" s="7" t="n"/>
      <c r="V771" s="7" t="n"/>
      <c r="Y771">
        <f>IF($D771="","",IF($AN771=1,0,IF($AM771=1,Settings!$C$6,Settings!$C$7))*100)</f>
        <v/>
      </c>
      <c r="Z771" s="7">
        <f>IF($D771="","",V771*Y771/100)</f>
        <v/>
      </c>
      <c r="AA771" s="7">
        <f>IF($D771="","",V771-Z771)</f>
        <v/>
      </c>
      <c r="AB771" s="7">
        <f>IF($D771="","",AA771-N771)</f>
        <v/>
      </c>
      <c r="AF771" s="7" t="n"/>
      <c r="AI771" s="11" t="n"/>
      <c r="AK771">
        <f>IF($D771="","",IF(COUNTIF($D$2:$D771,$D771)=1,1,0))</f>
        <v/>
      </c>
      <c r="AL771">
        <f>IF($AK771=1,SUMPRODUCT(--($AO$2:$AO$3001&lt;$AO771))+1,"")</f>
        <v/>
      </c>
      <c r="AM771">
        <f>IF($D771="","",IF(OR($R771=TRUE(),$R771="TRUE"),1,0))</f>
        <v/>
      </c>
      <c r="AN771">
        <f>IF($D771="","",IF($X771="Yes",1,0))</f>
        <v/>
      </c>
      <c r="AO771">
        <f>IF($AK771=1,IFERROR(IF(VALUE($D771)&lt;100000000,VALUE($D771),1000000000),IFERROR(IF(VALUE(MID($D771,2,20))&lt;100000000,VALUE(MID($D771,2,20)),1000000000),1000000000))+ROW()/100000,"")</f>
        <v/>
      </c>
    </row>
    <row r="772">
      <c r="F772" s="11" t="n"/>
      <c r="N772" s="7">
        <f>IF($D772="","",M772*V772/100)</f>
        <v/>
      </c>
      <c r="O772" s="7" t="n"/>
      <c r="U772" s="7" t="n"/>
      <c r="V772" s="7" t="n"/>
      <c r="Y772">
        <f>IF($D772="","",IF($AN772=1,0,IF($AM772=1,Settings!$C$6,Settings!$C$7))*100)</f>
        <v/>
      </c>
      <c r="Z772" s="7">
        <f>IF($D772="","",V772*Y772/100)</f>
        <v/>
      </c>
      <c r="AA772" s="7">
        <f>IF($D772="","",V772-Z772)</f>
        <v/>
      </c>
      <c r="AB772" s="7">
        <f>IF($D772="","",AA772-N772)</f>
        <v/>
      </c>
      <c r="AF772" s="7" t="n"/>
      <c r="AI772" s="11" t="n"/>
      <c r="AK772">
        <f>IF($D772="","",IF(COUNTIF($D$2:$D772,$D772)=1,1,0))</f>
        <v/>
      </c>
      <c r="AL772">
        <f>IF($AK772=1,SUMPRODUCT(--($AO$2:$AO$3001&lt;$AO772))+1,"")</f>
        <v/>
      </c>
      <c r="AM772">
        <f>IF($D772="","",IF(OR($R772=TRUE(),$R772="TRUE"),1,0))</f>
        <v/>
      </c>
      <c r="AN772">
        <f>IF($D772="","",IF($X772="Yes",1,0))</f>
        <v/>
      </c>
      <c r="AO772">
        <f>IF($AK772=1,IFERROR(IF(VALUE($D772)&lt;100000000,VALUE($D772),1000000000),IFERROR(IF(VALUE(MID($D772,2,20))&lt;100000000,VALUE(MID($D772,2,20)),1000000000),1000000000))+ROW()/100000,"")</f>
        <v/>
      </c>
    </row>
    <row r="773">
      <c r="F773" s="11" t="n"/>
      <c r="N773" s="7">
        <f>IF($D773="","",M773*V773/100)</f>
        <v/>
      </c>
      <c r="O773" s="7" t="n"/>
      <c r="U773" s="7" t="n"/>
      <c r="V773" s="7" t="n"/>
      <c r="Y773">
        <f>IF($D773="","",IF($AN773=1,0,IF($AM773=1,Settings!$C$6,Settings!$C$7))*100)</f>
        <v/>
      </c>
      <c r="Z773" s="7">
        <f>IF($D773="","",V773*Y773/100)</f>
        <v/>
      </c>
      <c r="AA773" s="7">
        <f>IF($D773="","",V773-Z773)</f>
        <v/>
      </c>
      <c r="AB773" s="7">
        <f>IF($D773="","",AA773-N773)</f>
        <v/>
      </c>
      <c r="AF773" s="7" t="n"/>
      <c r="AI773" s="11" t="n"/>
      <c r="AK773">
        <f>IF($D773="","",IF(COUNTIF($D$2:$D773,$D773)=1,1,0))</f>
        <v/>
      </c>
      <c r="AL773">
        <f>IF($AK773=1,SUMPRODUCT(--($AO$2:$AO$3001&lt;$AO773))+1,"")</f>
        <v/>
      </c>
      <c r="AM773">
        <f>IF($D773="","",IF(OR($R773=TRUE(),$R773="TRUE"),1,0))</f>
        <v/>
      </c>
      <c r="AN773">
        <f>IF($D773="","",IF($X773="Yes",1,0))</f>
        <v/>
      </c>
      <c r="AO773">
        <f>IF($AK773=1,IFERROR(IF(VALUE($D773)&lt;100000000,VALUE($D773),1000000000),IFERROR(IF(VALUE(MID($D773,2,20))&lt;100000000,VALUE(MID($D773,2,20)),1000000000),1000000000))+ROW()/100000,"")</f>
        <v/>
      </c>
    </row>
    <row r="774">
      <c r="F774" s="11" t="n"/>
      <c r="N774" s="7">
        <f>IF($D774="","",M774*V774/100)</f>
        <v/>
      </c>
      <c r="O774" s="7" t="n"/>
      <c r="U774" s="7" t="n"/>
      <c r="V774" s="7" t="n"/>
      <c r="Y774">
        <f>IF($D774="","",IF($AN774=1,0,IF($AM774=1,Settings!$C$6,Settings!$C$7))*100)</f>
        <v/>
      </c>
      <c r="Z774" s="7">
        <f>IF($D774="","",V774*Y774/100)</f>
        <v/>
      </c>
      <c r="AA774" s="7">
        <f>IF($D774="","",V774-Z774)</f>
        <v/>
      </c>
      <c r="AB774" s="7">
        <f>IF($D774="","",AA774-N774)</f>
        <v/>
      </c>
      <c r="AF774" s="7" t="n"/>
      <c r="AI774" s="11" t="n"/>
      <c r="AK774">
        <f>IF($D774="","",IF(COUNTIF($D$2:$D774,$D774)=1,1,0))</f>
        <v/>
      </c>
      <c r="AL774">
        <f>IF($AK774=1,SUMPRODUCT(--($AO$2:$AO$3001&lt;$AO774))+1,"")</f>
        <v/>
      </c>
      <c r="AM774">
        <f>IF($D774="","",IF(OR($R774=TRUE(),$R774="TRUE"),1,0))</f>
        <v/>
      </c>
      <c r="AN774">
        <f>IF($D774="","",IF($X774="Yes",1,0))</f>
        <v/>
      </c>
      <c r="AO774">
        <f>IF($AK774=1,IFERROR(IF(VALUE($D774)&lt;100000000,VALUE($D774),1000000000),IFERROR(IF(VALUE(MID($D774,2,20))&lt;100000000,VALUE(MID($D774,2,20)),1000000000),1000000000))+ROW()/100000,"")</f>
        <v/>
      </c>
    </row>
    <row r="775">
      <c r="F775" s="11" t="n"/>
      <c r="N775" s="7">
        <f>IF($D775="","",M775*V775/100)</f>
        <v/>
      </c>
      <c r="O775" s="7" t="n"/>
      <c r="U775" s="7" t="n"/>
      <c r="V775" s="7" t="n"/>
      <c r="Y775">
        <f>IF($D775="","",IF($AN775=1,0,IF($AM775=1,Settings!$C$6,Settings!$C$7))*100)</f>
        <v/>
      </c>
      <c r="Z775" s="7">
        <f>IF($D775="","",V775*Y775/100)</f>
        <v/>
      </c>
      <c r="AA775" s="7">
        <f>IF($D775="","",V775-Z775)</f>
        <v/>
      </c>
      <c r="AB775" s="7">
        <f>IF($D775="","",AA775-N775)</f>
        <v/>
      </c>
      <c r="AF775" s="7" t="n"/>
      <c r="AI775" s="11" t="n"/>
      <c r="AK775">
        <f>IF($D775="","",IF(COUNTIF($D$2:$D775,$D775)=1,1,0))</f>
        <v/>
      </c>
      <c r="AL775">
        <f>IF($AK775=1,SUMPRODUCT(--($AO$2:$AO$3001&lt;$AO775))+1,"")</f>
        <v/>
      </c>
      <c r="AM775">
        <f>IF($D775="","",IF(OR($R775=TRUE(),$R775="TRUE"),1,0))</f>
        <v/>
      </c>
      <c r="AN775">
        <f>IF($D775="","",IF($X775="Yes",1,0))</f>
        <v/>
      </c>
      <c r="AO775">
        <f>IF($AK775=1,IFERROR(IF(VALUE($D775)&lt;100000000,VALUE($D775),1000000000),IFERROR(IF(VALUE(MID($D775,2,20))&lt;100000000,VALUE(MID($D775,2,20)),1000000000),1000000000))+ROW()/100000,"")</f>
        <v/>
      </c>
    </row>
    <row r="776">
      <c r="F776" s="11" t="n"/>
      <c r="N776" s="7">
        <f>IF($D776="","",M776*V776/100)</f>
        <v/>
      </c>
      <c r="O776" s="7" t="n"/>
      <c r="U776" s="7" t="n"/>
      <c r="V776" s="7" t="n"/>
      <c r="Y776">
        <f>IF($D776="","",IF($AN776=1,0,IF($AM776=1,Settings!$C$6,Settings!$C$7))*100)</f>
        <v/>
      </c>
      <c r="Z776" s="7">
        <f>IF($D776="","",V776*Y776/100)</f>
        <v/>
      </c>
      <c r="AA776" s="7">
        <f>IF($D776="","",V776-Z776)</f>
        <v/>
      </c>
      <c r="AB776" s="7">
        <f>IF($D776="","",AA776-N776)</f>
        <v/>
      </c>
      <c r="AF776" s="7" t="n"/>
      <c r="AI776" s="11" t="n"/>
      <c r="AK776">
        <f>IF($D776="","",IF(COUNTIF($D$2:$D776,$D776)=1,1,0))</f>
        <v/>
      </c>
      <c r="AL776">
        <f>IF($AK776=1,SUMPRODUCT(--($AO$2:$AO$3001&lt;$AO776))+1,"")</f>
        <v/>
      </c>
      <c r="AM776">
        <f>IF($D776="","",IF(OR($R776=TRUE(),$R776="TRUE"),1,0))</f>
        <v/>
      </c>
      <c r="AN776">
        <f>IF($D776="","",IF($X776="Yes",1,0))</f>
        <v/>
      </c>
      <c r="AO776">
        <f>IF($AK776=1,IFERROR(IF(VALUE($D776)&lt;100000000,VALUE($D776),1000000000),IFERROR(IF(VALUE(MID($D776,2,20))&lt;100000000,VALUE(MID($D776,2,20)),1000000000),1000000000))+ROW()/100000,"")</f>
        <v/>
      </c>
    </row>
    <row r="777">
      <c r="F777" s="11" t="n"/>
      <c r="N777" s="7">
        <f>IF($D777="","",M777*V777/100)</f>
        <v/>
      </c>
      <c r="O777" s="7" t="n"/>
      <c r="U777" s="7" t="n"/>
      <c r="V777" s="7" t="n"/>
      <c r="Y777">
        <f>IF($D777="","",IF($AN777=1,0,IF($AM777=1,Settings!$C$6,Settings!$C$7))*100)</f>
        <v/>
      </c>
      <c r="Z777" s="7">
        <f>IF($D777="","",V777*Y777/100)</f>
        <v/>
      </c>
      <c r="AA777" s="7">
        <f>IF($D777="","",V777-Z777)</f>
        <v/>
      </c>
      <c r="AB777" s="7">
        <f>IF($D777="","",AA777-N777)</f>
        <v/>
      </c>
      <c r="AF777" s="7" t="n"/>
      <c r="AI777" s="11" t="n"/>
      <c r="AK777">
        <f>IF($D777="","",IF(COUNTIF($D$2:$D777,$D777)=1,1,0))</f>
        <v/>
      </c>
      <c r="AL777">
        <f>IF($AK777=1,SUMPRODUCT(--($AO$2:$AO$3001&lt;$AO777))+1,"")</f>
        <v/>
      </c>
      <c r="AM777">
        <f>IF($D777="","",IF(OR($R777=TRUE(),$R777="TRUE"),1,0))</f>
        <v/>
      </c>
      <c r="AN777">
        <f>IF($D777="","",IF($X777="Yes",1,0))</f>
        <v/>
      </c>
      <c r="AO777">
        <f>IF($AK777=1,IFERROR(IF(VALUE($D777)&lt;100000000,VALUE($D777),1000000000),IFERROR(IF(VALUE(MID($D777,2,20))&lt;100000000,VALUE(MID($D777,2,20)),1000000000),1000000000))+ROW()/100000,"")</f>
        <v/>
      </c>
    </row>
    <row r="778">
      <c r="F778" s="11" t="n"/>
      <c r="N778" s="7">
        <f>IF($D778="","",M778*V778/100)</f>
        <v/>
      </c>
      <c r="O778" s="7" t="n"/>
      <c r="U778" s="7" t="n"/>
      <c r="V778" s="7" t="n"/>
      <c r="Y778">
        <f>IF($D778="","",IF($AN778=1,0,IF($AM778=1,Settings!$C$6,Settings!$C$7))*100)</f>
        <v/>
      </c>
      <c r="Z778" s="7">
        <f>IF($D778="","",V778*Y778/100)</f>
        <v/>
      </c>
      <c r="AA778" s="7">
        <f>IF($D778="","",V778-Z778)</f>
        <v/>
      </c>
      <c r="AB778" s="7">
        <f>IF($D778="","",AA778-N778)</f>
        <v/>
      </c>
      <c r="AF778" s="7" t="n"/>
      <c r="AI778" s="11" t="n"/>
      <c r="AK778">
        <f>IF($D778="","",IF(COUNTIF($D$2:$D778,$D778)=1,1,0))</f>
        <v/>
      </c>
      <c r="AL778">
        <f>IF($AK778=1,SUMPRODUCT(--($AO$2:$AO$3001&lt;$AO778))+1,"")</f>
        <v/>
      </c>
      <c r="AM778">
        <f>IF($D778="","",IF(OR($R778=TRUE(),$R778="TRUE"),1,0))</f>
        <v/>
      </c>
      <c r="AN778">
        <f>IF($D778="","",IF($X778="Yes",1,0))</f>
        <v/>
      </c>
      <c r="AO778">
        <f>IF($AK778=1,IFERROR(IF(VALUE($D778)&lt;100000000,VALUE($D778),1000000000),IFERROR(IF(VALUE(MID($D778,2,20))&lt;100000000,VALUE(MID($D778,2,20)),1000000000),1000000000))+ROW()/100000,"")</f>
        <v/>
      </c>
    </row>
    <row r="779">
      <c r="F779" s="11" t="n"/>
      <c r="N779" s="7">
        <f>IF($D779="","",M779*V779/100)</f>
        <v/>
      </c>
      <c r="O779" s="7" t="n"/>
      <c r="U779" s="7" t="n"/>
      <c r="V779" s="7" t="n"/>
      <c r="Y779">
        <f>IF($D779="","",IF($AN779=1,0,IF($AM779=1,Settings!$C$6,Settings!$C$7))*100)</f>
        <v/>
      </c>
      <c r="Z779" s="7">
        <f>IF($D779="","",V779*Y779/100)</f>
        <v/>
      </c>
      <c r="AA779" s="7">
        <f>IF($D779="","",V779-Z779)</f>
        <v/>
      </c>
      <c r="AB779" s="7">
        <f>IF($D779="","",AA779-N779)</f>
        <v/>
      </c>
      <c r="AF779" s="7" t="n"/>
      <c r="AI779" s="11" t="n"/>
      <c r="AK779">
        <f>IF($D779="","",IF(COUNTIF($D$2:$D779,$D779)=1,1,0))</f>
        <v/>
      </c>
      <c r="AL779">
        <f>IF($AK779=1,SUMPRODUCT(--($AO$2:$AO$3001&lt;$AO779))+1,"")</f>
        <v/>
      </c>
      <c r="AM779">
        <f>IF($D779="","",IF(OR($R779=TRUE(),$R779="TRUE"),1,0))</f>
        <v/>
      </c>
      <c r="AN779">
        <f>IF($D779="","",IF($X779="Yes",1,0))</f>
        <v/>
      </c>
      <c r="AO779">
        <f>IF($AK779=1,IFERROR(IF(VALUE($D779)&lt;100000000,VALUE($D779),1000000000),IFERROR(IF(VALUE(MID($D779,2,20))&lt;100000000,VALUE(MID($D779,2,20)),1000000000),1000000000))+ROW()/100000,"")</f>
        <v/>
      </c>
    </row>
    <row r="780">
      <c r="F780" s="11" t="n"/>
      <c r="N780" s="7">
        <f>IF($D780="","",M780*V780/100)</f>
        <v/>
      </c>
      <c r="O780" s="7" t="n"/>
      <c r="U780" s="7" t="n"/>
      <c r="V780" s="7" t="n"/>
      <c r="Y780">
        <f>IF($D780="","",IF($AN780=1,0,IF($AM780=1,Settings!$C$6,Settings!$C$7))*100)</f>
        <v/>
      </c>
      <c r="Z780" s="7">
        <f>IF($D780="","",V780*Y780/100)</f>
        <v/>
      </c>
      <c r="AA780" s="7">
        <f>IF($D780="","",V780-Z780)</f>
        <v/>
      </c>
      <c r="AB780" s="7">
        <f>IF($D780="","",AA780-N780)</f>
        <v/>
      </c>
      <c r="AF780" s="7" t="n"/>
      <c r="AI780" s="11" t="n"/>
      <c r="AK780">
        <f>IF($D780="","",IF(COUNTIF($D$2:$D780,$D780)=1,1,0))</f>
        <v/>
      </c>
      <c r="AL780">
        <f>IF($AK780=1,SUMPRODUCT(--($AO$2:$AO$3001&lt;$AO780))+1,"")</f>
        <v/>
      </c>
      <c r="AM780">
        <f>IF($D780="","",IF(OR($R780=TRUE(),$R780="TRUE"),1,0))</f>
        <v/>
      </c>
      <c r="AN780">
        <f>IF($D780="","",IF($X780="Yes",1,0))</f>
        <v/>
      </c>
      <c r="AO780">
        <f>IF($AK780=1,IFERROR(IF(VALUE($D780)&lt;100000000,VALUE($D780),1000000000),IFERROR(IF(VALUE(MID($D780,2,20))&lt;100000000,VALUE(MID($D780,2,20)),1000000000),1000000000))+ROW()/100000,"")</f>
        <v/>
      </c>
    </row>
    <row r="781">
      <c r="F781" s="11" t="n"/>
      <c r="N781" s="7">
        <f>IF($D781="","",M781*V781/100)</f>
        <v/>
      </c>
      <c r="O781" s="7" t="n"/>
      <c r="U781" s="7" t="n"/>
      <c r="V781" s="7" t="n"/>
      <c r="Y781">
        <f>IF($D781="","",IF($AN781=1,0,IF($AM781=1,Settings!$C$6,Settings!$C$7))*100)</f>
        <v/>
      </c>
      <c r="Z781" s="7">
        <f>IF($D781="","",V781*Y781/100)</f>
        <v/>
      </c>
      <c r="AA781" s="7">
        <f>IF($D781="","",V781-Z781)</f>
        <v/>
      </c>
      <c r="AB781" s="7">
        <f>IF($D781="","",AA781-N781)</f>
        <v/>
      </c>
      <c r="AF781" s="7" t="n"/>
      <c r="AI781" s="11" t="n"/>
      <c r="AK781">
        <f>IF($D781="","",IF(COUNTIF($D$2:$D781,$D781)=1,1,0))</f>
        <v/>
      </c>
      <c r="AL781">
        <f>IF($AK781=1,SUMPRODUCT(--($AO$2:$AO$3001&lt;$AO781))+1,"")</f>
        <v/>
      </c>
      <c r="AM781">
        <f>IF($D781="","",IF(OR($R781=TRUE(),$R781="TRUE"),1,0))</f>
        <v/>
      </c>
      <c r="AN781">
        <f>IF($D781="","",IF($X781="Yes",1,0))</f>
        <v/>
      </c>
      <c r="AO781">
        <f>IF($AK781=1,IFERROR(IF(VALUE($D781)&lt;100000000,VALUE($D781),1000000000),IFERROR(IF(VALUE(MID($D781,2,20))&lt;100000000,VALUE(MID($D781,2,20)),1000000000),1000000000))+ROW()/100000,"")</f>
        <v/>
      </c>
    </row>
    <row r="782">
      <c r="F782" s="11" t="n"/>
      <c r="N782" s="7">
        <f>IF($D782="","",M782*V782/100)</f>
        <v/>
      </c>
      <c r="O782" s="7" t="n"/>
      <c r="U782" s="7" t="n"/>
      <c r="V782" s="7" t="n"/>
      <c r="Y782">
        <f>IF($D782="","",IF($AN782=1,0,IF($AM782=1,Settings!$C$6,Settings!$C$7))*100)</f>
        <v/>
      </c>
      <c r="Z782" s="7">
        <f>IF($D782="","",V782*Y782/100)</f>
        <v/>
      </c>
      <c r="AA782" s="7">
        <f>IF($D782="","",V782-Z782)</f>
        <v/>
      </c>
      <c r="AB782" s="7">
        <f>IF($D782="","",AA782-N782)</f>
        <v/>
      </c>
      <c r="AF782" s="7" t="n"/>
      <c r="AI782" s="11" t="n"/>
      <c r="AK782">
        <f>IF($D782="","",IF(COUNTIF($D$2:$D782,$D782)=1,1,0))</f>
        <v/>
      </c>
      <c r="AL782">
        <f>IF($AK782=1,SUMPRODUCT(--($AO$2:$AO$3001&lt;$AO782))+1,"")</f>
        <v/>
      </c>
      <c r="AM782">
        <f>IF($D782="","",IF(OR($R782=TRUE(),$R782="TRUE"),1,0))</f>
        <v/>
      </c>
      <c r="AN782">
        <f>IF($D782="","",IF($X782="Yes",1,0))</f>
        <v/>
      </c>
      <c r="AO782">
        <f>IF($AK782=1,IFERROR(IF(VALUE($D782)&lt;100000000,VALUE($D782),1000000000),IFERROR(IF(VALUE(MID($D782,2,20))&lt;100000000,VALUE(MID($D782,2,20)),1000000000),1000000000))+ROW()/100000,"")</f>
        <v/>
      </c>
    </row>
    <row r="783">
      <c r="F783" s="11" t="n"/>
      <c r="N783" s="7">
        <f>IF($D783="","",M783*V783/100)</f>
        <v/>
      </c>
      <c r="O783" s="7" t="n"/>
      <c r="U783" s="7" t="n"/>
      <c r="V783" s="7" t="n"/>
      <c r="Y783">
        <f>IF($D783="","",IF($AN783=1,0,IF($AM783=1,Settings!$C$6,Settings!$C$7))*100)</f>
        <v/>
      </c>
      <c r="Z783" s="7">
        <f>IF($D783="","",V783*Y783/100)</f>
        <v/>
      </c>
      <c r="AA783" s="7">
        <f>IF($D783="","",V783-Z783)</f>
        <v/>
      </c>
      <c r="AB783" s="7">
        <f>IF($D783="","",AA783-N783)</f>
        <v/>
      </c>
      <c r="AF783" s="7" t="n"/>
      <c r="AI783" s="11" t="n"/>
      <c r="AK783">
        <f>IF($D783="","",IF(COUNTIF($D$2:$D783,$D783)=1,1,0))</f>
        <v/>
      </c>
      <c r="AL783">
        <f>IF($AK783=1,SUMPRODUCT(--($AO$2:$AO$3001&lt;$AO783))+1,"")</f>
        <v/>
      </c>
      <c r="AM783">
        <f>IF($D783="","",IF(OR($R783=TRUE(),$R783="TRUE"),1,0))</f>
        <v/>
      </c>
      <c r="AN783">
        <f>IF($D783="","",IF($X783="Yes",1,0))</f>
        <v/>
      </c>
      <c r="AO783">
        <f>IF($AK783=1,IFERROR(IF(VALUE($D783)&lt;100000000,VALUE($D783),1000000000),IFERROR(IF(VALUE(MID($D783,2,20))&lt;100000000,VALUE(MID($D783,2,20)),1000000000),1000000000))+ROW()/100000,"")</f>
        <v/>
      </c>
    </row>
    <row r="784">
      <c r="F784" s="11" t="n"/>
      <c r="N784" s="7">
        <f>IF($D784="","",M784*V784/100)</f>
        <v/>
      </c>
      <c r="O784" s="7" t="n"/>
      <c r="U784" s="7" t="n"/>
      <c r="V784" s="7" t="n"/>
      <c r="Y784">
        <f>IF($D784="","",IF($AN784=1,0,IF($AM784=1,Settings!$C$6,Settings!$C$7))*100)</f>
        <v/>
      </c>
      <c r="Z784" s="7">
        <f>IF($D784="","",V784*Y784/100)</f>
        <v/>
      </c>
      <c r="AA784" s="7">
        <f>IF($D784="","",V784-Z784)</f>
        <v/>
      </c>
      <c r="AB784" s="7">
        <f>IF($D784="","",AA784-N784)</f>
        <v/>
      </c>
      <c r="AF784" s="7" t="n"/>
      <c r="AI784" s="11" t="n"/>
      <c r="AK784">
        <f>IF($D784="","",IF(COUNTIF($D$2:$D784,$D784)=1,1,0))</f>
        <v/>
      </c>
      <c r="AL784">
        <f>IF($AK784=1,SUMPRODUCT(--($AO$2:$AO$3001&lt;$AO784))+1,"")</f>
        <v/>
      </c>
      <c r="AM784">
        <f>IF($D784="","",IF(OR($R784=TRUE(),$R784="TRUE"),1,0))</f>
        <v/>
      </c>
      <c r="AN784">
        <f>IF($D784="","",IF($X784="Yes",1,0))</f>
        <v/>
      </c>
      <c r="AO784">
        <f>IF($AK784=1,IFERROR(IF(VALUE($D784)&lt;100000000,VALUE($D784),1000000000),IFERROR(IF(VALUE(MID($D784,2,20))&lt;100000000,VALUE(MID($D784,2,20)),1000000000),1000000000))+ROW()/100000,"")</f>
        <v/>
      </c>
    </row>
    <row r="785">
      <c r="F785" s="11" t="n"/>
      <c r="N785" s="7">
        <f>IF($D785="","",M785*V785/100)</f>
        <v/>
      </c>
      <c r="O785" s="7" t="n"/>
      <c r="U785" s="7" t="n"/>
      <c r="V785" s="7" t="n"/>
      <c r="Y785">
        <f>IF($D785="","",IF($AN785=1,0,IF($AM785=1,Settings!$C$6,Settings!$C$7))*100)</f>
        <v/>
      </c>
      <c r="Z785" s="7">
        <f>IF($D785="","",V785*Y785/100)</f>
        <v/>
      </c>
      <c r="AA785" s="7">
        <f>IF($D785="","",V785-Z785)</f>
        <v/>
      </c>
      <c r="AB785" s="7">
        <f>IF($D785="","",AA785-N785)</f>
        <v/>
      </c>
      <c r="AF785" s="7" t="n"/>
      <c r="AI785" s="11" t="n"/>
      <c r="AK785">
        <f>IF($D785="","",IF(COUNTIF($D$2:$D785,$D785)=1,1,0))</f>
        <v/>
      </c>
      <c r="AL785">
        <f>IF($AK785=1,SUMPRODUCT(--($AO$2:$AO$3001&lt;$AO785))+1,"")</f>
        <v/>
      </c>
      <c r="AM785">
        <f>IF($D785="","",IF(OR($R785=TRUE(),$R785="TRUE"),1,0))</f>
        <v/>
      </c>
      <c r="AN785">
        <f>IF($D785="","",IF($X785="Yes",1,0))</f>
        <v/>
      </c>
      <c r="AO785">
        <f>IF($AK785=1,IFERROR(IF(VALUE($D785)&lt;100000000,VALUE($D785),1000000000),IFERROR(IF(VALUE(MID($D785,2,20))&lt;100000000,VALUE(MID($D785,2,20)),1000000000),1000000000))+ROW()/100000,"")</f>
        <v/>
      </c>
    </row>
    <row r="786">
      <c r="F786" s="11" t="n"/>
      <c r="N786" s="7">
        <f>IF($D786="","",M786*V786/100)</f>
        <v/>
      </c>
      <c r="O786" s="7" t="n"/>
      <c r="U786" s="7" t="n"/>
      <c r="V786" s="7" t="n"/>
      <c r="Y786">
        <f>IF($D786="","",IF($AN786=1,0,IF($AM786=1,Settings!$C$6,Settings!$C$7))*100)</f>
        <v/>
      </c>
      <c r="Z786" s="7">
        <f>IF($D786="","",V786*Y786/100)</f>
        <v/>
      </c>
      <c r="AA786" s="7">
        <f>IF($D786="","",V786-Z786)</f>
        <v/>
      </c>
      <c r="AB786" s="7">
        <f>IF($D786="","",AA786-N786)</f>
        <v/>
      </c>
      <c r="AF786" s="7" t="n"/>
      <c r="AI786" s="11" t="n"/>
      <c r="AK786">
        <f>IF($D786="","",IF(COUNTIF($D$2:$D786,$D786)=1,1,0))</f>
        <v/>
      </c>
      <c r="AL786">
        <f>IF($AK786=1,SUMPRODUCT(--($AO$2:$AO$3001&lt;$AO786))+1,"")</f>
        <v/>
      </c>
      <c r="AM786">
        <f>IF($D786="","",IF(OR($R786=TRUE(),$R786="TRUE"),1,0))</f>
        <v/>
      </c>
      <c r="AN786">
        <f>IF($D786="","",IF($X786="Yes",1,0))</f>
        <v/>
      </c>
      <c r="AO786">
        <f>IF($AK786=1,IFERROR(IF(VALUE($D786)&lt;100000000,VALUE($D786),1000000000),IFERROR(IF(VALUE(MID($D786,2,20))&lt;100000000,VALUE(MID($D786,2,20)),1000000000),1000000000))+ROW()/100000,"")</f>
        <v/>
      </c>
    </row>
    <row r="787">
      <c r="F787" s="11" t="n"/>
      <c r="N787" s="7">
        <f>IF($D787="","",M787*V787/100)</f>
        <v/>
      </c>
      <c r="O787" s="7" t="n"/>
      <c r="U787" s="7" t="n"/>
      <c r="V787" s="7" t="n"/>
      <c r="Y787">
        <f>IF($D787="","",IF($AN787=1,0,IF($AM787=1,Settings!$C$6,Settings!$C$7))*100)</f>
        <v/>
      </c>
      <c r="Z787" s="7">
        <f>IF($D787="","",V787*Y787/100)</f>
        <v/>
      </c>
      <c r="AA787" s="7">
        <f>IF($D787="","",V787-Z787)</f>
        <v/>
      </c>
      <c r="AB787" s="7">
        <f>IF($D787="","",AA787-N787)</f>
        <v/>
      </c>
      <c r="AF787" s="7" t="n"/>
      <c r="AI787" s="11" t="n"/>
      <c r="AK787">
        <f>IF($D787="","",IF(COUNTIF($D$2:$D787,$D787)=1,1,0))</f>
        <v/>
      </c>
      <c r="AL787">
        <f>IF($AK787=1,SUMPRODUCT(--($AO$2:$AO$3001&lt;$AO787))+1,"")</f>
        <v/>
      </c>
      <c r="AM787">
        <f>IF($D787="","",IF(OR($R787=TRUE(),$R787="TRUE"),1,0))</f>
        <v/>
      </c>
      <c r="AN787">
        <f>IF($D787="","",IF($X787="Yes",1,0))</f>
        <v/>
      </c>
      <c r="AO787">
        <f>IF($AK787=1,IFERROR(IF(VALUE($D787)&lt;100000000,VALUE($D787),1000000000),IFERROR(IF(VALUE(MID($D787,2,20))&lt;100000000,VALUE(MID($D787,2,20)),1000000000),1000000000))+ROW()/100000,"")</f>
        <v/>
      </c>
    </row>
    <row r="788">
      <c r="F788" s="11" t="n"/>
      <c r="N788" s="7">
        <f>IF($D788="","",M788*V788/100)</f>
        <v/>
      </c>
      <c r="O788" s="7" t="n"/>
      <c r="U788" s="7" t="n"/>
      <c r="V788" s="7" t="n"/>
      <c r="Y788">
        <f>IF($D788="","",IF($AN788=1,0,IF($AM788=1,Settings!$C$6,Settings!$C$7))*100)</f>
        <v/>
      </c>
      <c r="Z788" s="7">
        <f>IF($D788="","",V788*Y788/100)</f>
        <v/>
      </c>
      <c r="AA788" s="7">
        <f>IF($D788="","",V788-Z788)</f>
        <v/>
      </c>
      <c r="AB788" s="7">
        <f>IF($D788="","",AA788-N788)</f>
        <v/>
      </c>
      <c r="AF788" s="7" t="n"/>
      <c r="AI788" s="11" t="n"/>
      <c r="AK788">
        <f>IF($D788="","",IF(COUNTIF($D$2:$D788,$D788)=1,1,0))</f>
        <v/>
      </c>
      <c r="AL788">
        <f>IF($AK788=1,SUMPRODUCT(--($AO$2:$AO$3001&lt;$AO788))+1,"")</f>
        <v/>
      </c>
      <c r="AM788">
        <f>IF($D788="","",IF(OR($R788=TRUE(),$R788="TRUE"),1,0))</f>
        <v/>
      </c>
      <c r="AN788">
        <f>IF($D788="","",IF($X788="Yes",1,0))</f>
        <v/>
      </c>
      <c r="AO788">
        <f>IF($AK788=1,IFERROR(IF(VALUE($D788)&lt;100000000,VALUE($D788),1000000000),IFERROR(IF(VALUE(MID($D788,2,20))&lt;100000000,VALUE(MID($D788,2,20)),1000000000),1000000000))+ROW()/100000,"")</f>
        <v/>
      </c>
    </row>
    <row r="789">
      <c r="F789" s="11" t="n"/>
      <c r="N789" s="7">
        <f>IF($D789="","",M789*V789/100)</f>
        <v/>
      </c>
      <c r="O789" s="7" t="n"/>
      <c r="U789" s="7" t="n"/>
      <c r="V789" s="7" t="n"/>
      <c r="Y789">
        <f>IF($D789="","",IF($AN789=1,0,IF($AM789=1,Settings!$C$6,Settings!$C$7))*100)</f>
        <v/>
      </c>
      <c r="Z789" s="7">
        <f>IF($D789="","",V789*Y789/100)</f>
        <v/>
      </c>
      <c r="AA789" s="7">
        <f>IF($D789="","",V789-Z789)</f>
        <v/>
      </c>
      <c r="AB789" s="7">
        <f>IF($D789="","",AA789-N789)</f>
        <v/>
      </c>
      <c r="AF789" s="7" t="n"/>
      <c r="AI789" s="11" t="n"/>
      <c r="AK789">
        <f>IF($D789="","",IF(COUNTIF($D$2:$D789,$D789)=1,1,0))</f>
        <v/>
      </c>
      <c r="AL789">
        <f>IF($AK789=1,SUMPRODUCT(--($AO$2:$AO$3001&lt;$AO789))+1,"")</f>
        <v/>
      </c>
      <c r="AM789">
        <f>IF($D789="","",IF(OR($R789=TRUE(),$R789="TRUE"),1,0))</f>
        <v/>
      </c>
      <c r="AN789">
        <f>IF($D789="","",IF($X789="Yes",1,0))</f>
        <v/>
      </c>
      <c r="AO789">
        <f>IF($AK789=1,IFERROR(IF(VALUE($D789)&lt;100000000,VALUE($D789),1000000000),IFERROR(IF(VALUE(MID($D789,2,20))&lt;100000000,VALUE(MID($D789,2,20)),1000000000),1000000000))+ROW()/100000,"")</f>
        <v/>
      </c>
    </row>
    <row r="790">
      <c r="F790" s="11" t="n"/>
      <c r="N790" s="7">
        <f>IF($D790="","",M790*V790/100)</f>
        <v/>
      </c>
      <c r="O790" s="7" t="n"/>
      <c r="U790" s="7" t="n"/>
      <c r="V790" s="7" t="n"/>
      <c r="Y790">
        <f>IF($D790="","",IF($AN790=1,0,IF($AM790=1,Settings!$C$6,Settings!$C$7))*100)</f>
        <v/>
      </c>
      <c r="Z790" s="7">
        <f>IF($D790="","",V790*Y790/100)</f>
        <v/>
      </c>
      <c r="AA790" s="7">
        <f>IF($D790="","",V790-Z790)</f>
        <v/>
      </c>
      <c r="AB790" s="7">
        <f>IF($D790="","",AA790-N790)</f>
        <v/>
      </c>
      <c r="AF790" s="7" t="n"/>
      <c r="AI790" s="11" t="n"/>
      <c r="AK790">
        <f>IF($D790="","",IF(COUNTIF($D$2:$D790,$D790)=1,1,0))</f>
        <v/>
      </c>
      <c r="AL790">
        <f>IF($AK790=1,SUMPRODUCT(--($AO$2:$AO$3001&lt;$AO790))+1,"")</f>
        <v/>
      </c>
      <c r="AM790">
        <f>IF($D790="","",IF(OR($R790=TRUE(),$R790="TRUE"),1,0))</f>
        <v/>
      </c>
      <c r="AN790">
        <f>IF($D790="","",IF($X790="Yes",1,0))</f>
        <v/>
      </c>
      <c r="AO790">
        <f>IF($AK790=1,IFERROR(IF(VALUE($D790)&lt;100000000,VALUE($D790),1000000000),IFERROR(IF(VALUE(MID($D790,2,20))&lt;100000000,VALUE(MID($D790,2,20)),1000000000),1000000000))+ROW()/100000,"")</f>
        <v/>
      </c>
    </row>
    <row r="791">
      <c r="F791" s="11" t="n"/>
      <c r="N791" s="7">
        <f>IF($D791="","",M791*V791/100)</f>
        <v/>
      </c>
      <c r="O791" s="7" t="n"/>
      <c r="U791" s="7" t="n"/>
      <c r="V791" s="7" t="n"/>
      <c r="Y791">
        <f>IF($D791="","",IF($AN791=1,0,IF($AM791=1,Settings!$C$6,Settings!$C$7))*100)</f>
        <v/>
      </c>
      <c r="Z791" s="7">
        <f>IF($D791="","",V791*Y791/100)</f>
        <v/>
      </c>
      <c r="AA791" s="7">
        <f>IF($D791="","",V791-Z791)</f>
        <v/>
      </c>
      <c r="AB791" s="7">
        <f>IF($D791="","",AA791-N791)</f>
        <v/>
      </c>
      <c r="AF791" s="7" t="n"/>
      <c r="AI791" s="11" t="n"/>
      <c r="AK791">
        <f>IF($D791="","",IF(COUNTIF($D$2:$D791,$D791)=1,1,0))</f>
        <v/>
      </c>
      <c r="AL791">
        <f>IF($AK791=1,SUMPRODUCT(--($AO$2:$AO$3001&lt;$AO791))+1,"")</f>
        <v/>
      </c>
      <c r="AM791">
        <f>IF($D791="","",IF(OR($R791=TRUE(),$R791="TRUE"),1,0))</f>
        <v/>
      </c>
      <c r="AN791">
        <f>IF($D791="","",IF($X791="Yes",1,0))</f>
        <v/>
      </c>
      <c r="AO791">
        <f>IF($AK791=1,IFERROR(IF(VALUE($D791)&lt;100000000,VALUE($D791),1000000000),IFERROR(IF(VALUE(MID($D791,2,20))&lt;100000000,VALUE(MID($D791,2,20)),1000000000),1000000000))+ROW()/100000,"")</f>
        <v/>
      </c>
    </row>
    <row r="792">
      <c r="F792" s="11" t="n"/>
      <c r="N792" s="7">
        <f>IF($D792="","",M792*V792/100)</f>
        <v/>
      </c>
      <c r="O792" s="7" t="n"/>
      <c r="U792" s="7" t="n"/>
      <c r="V792" s="7" t="n"/>
      <c r="Y792">
        <f>IF($D792="","",IF($AN792=1,0,IF($AM792=1,Settings!$C$6,Settings!$C$7))*100)</f>
        <v/>
      </c>
      <c r="Z792" s="7">
        <f>IF($D792="","",V792*Y792/100)</f>
        <v/>
      </c>
      <c r="AA792" s="7">
        <f>IF($D792="","",V792-Z792)</f>
        <v/>
      </c>
      <c r="AB792" s="7">
        <f>IF($D792="","",AA792-N792)</f>
        <v/>
      </c>
      <c r="AF792" s="7" t="n"/>
      <c r="AI792" s="11" t="n"/>
      <c r="AK792">
        <f>IF($D792="","",IF(COUNTIF($D$2:$D792,$D792)=1,1,0))</f>
        <v/>
      </c>
      <c r="AL792">
        <f>IF($AK792=1,SUMPRODUCT(--($AO$2:$AO$3001&lt;$AO792))+1,"")</f>
        <v/>
      </c>
      <c r="AM792">
        <f>IF($D792="","",IF(OR($R792=TRUE(),$R792="TRUE"),1,0))</f>
        <v/>
      </c>
      <c r="AN792">
        <f>IF($D792="","",IF($X792="Yes",1,0))</f>
        <v/>
      </c>
      <c r="AO792">
        <f>IF($AK792=1,IFERROR(IF(VALUE($D792)&lt;100000000,VALUE($D792),1000000000),IFERROR(IF(VALUE(MID($D792,2,20))&lt;100000000,VALUE(MID($D792,2,20)),1000000000),1000000000))+ROW()/100000,"")</f>
        <v/>
      </c>
    </row>
    <row r="793">
      <c r="F793" s="11" t="n"/>
      <c r="N793" s="7">
        <f>IF($D793="","",M793*V793/100)</f>
        <v/>
      </c>
      <c r="O793" s="7" t="n"/>
      <c r="U793" s="7" t="n"/>
      <c r="V793" s="7" t="n"/>
      <c r="Y793">
        <f>IF($D793="","",IF($AN793=1,0,IF($AM793=1,Settings!$C$6,Settings!$C$7))*100)</f>
        <v/>
      </c>
      <c r="Z793" s="7">
        <f>IF($D793="","",V793*Y793/100)</f>
        <v/>
      </c>
      <c r="AA793" s="7">
        <f>IF($D793="","",V793-Z793)</f>
        <v/>
      </c>
      <c r="AB793" s="7">
        <f>IF($D793="","",AA793-N793)</f>
        <v/>
      </c>
      <c r="AF793" s="7" t="n"/>
      <c r="AI793" s="11" t="n"/>
      <c r="AK793">
        <f>IF($D793="","",IF(COUNTIF($D$2:$D793,$D793)=1,1,0))</f>
        <v/>
      </c>
      <c r="AL793">
        <f>IF($AK793=1,SUMPRODUCT(--($AO$2:$AO$3001&lt;$AO793))+1,"")</f>
        <v/>
      </c>
      <c r="AM793">
        <f>IF($D793="","",IF(OR($R793=TRUE(),$R793="TRUE"),1,0))</f>
        <v/>
      </c>
      <c r="AN793">
        <f>IF($D793="","",IF($X793="Yes",1,0))</f>
        <v/>
      </c>
      <c r="AO793">
        <f>IF($AK793=1,IFERROR(IF(VALUE($D793)&lt;100000000,VALUE($D793),1000000000),IFERROR(IF(VALUE(MID($D793,2,20))&lt;100000000,VALUE(MID($D793,2,20)),1000000000),1000000000))+ROW()/100000,"")</f>
        <v/>
      </c>
    </row>
    <row r="794">
      <c r="F794" s="11" t="n"/>
      <c r="N794" s="7">
        <f>IF($D794="","",M794*V794/100)</f>
        <v/>
      </c>
      <c r="O794" s="7" t="n"/>
      <c r="U794" s="7" t="n"/>
      <c r="V794" s="7" t="n"/>
      <c r="Y794">
        <f>IF($D794="","",IF($AN794=1,0,IF($AM794=1,Settings!$C$6,Settings!$C$7))*100)</f>
        <v/>
      </c>
      <c r="Z794" s="7">
        <f>IF($D794="","",V794*Y794/100)</f>
        <v/>
      </c>
      <c r="AA794" s="7">
        <f>IF($D794="","",V794-Z794)</f>
        <v/>
      </c>
      <c r="AB794" s="7">
        <f>IF($D794="","",AA794-N794)</f>
        <v/>
      </c>
      <c r="AF794" s="7" t="n"/>
      <c r="AI794" s="11" t="n"/>
      <c r="AK794">
        <f>IF($D794="","",IF(COUNTIF($D$2:$D794,$D794)=1,1,0))</f>
        <v/>
      </c>
      <c r="AL794">
        <f>IF($AK794=1,SUMPRODUCT(--($AO$2:$AO$3001&lt;$AO794))+1,"")</f>
        <v/>
      </c>
      <c r="AM794">
        <f>IF($D794="","",IF(OR($R794=TRUE(),$R794="TRUE"),1,0))</f>
        <v/>
      </c>
      <c r="AN794">
        <f>IF($D794="","",IF($X794="Yes",1,0))</f>
        <v/>
      </c>
      <c r="AO794">
        <f>IF($AK794=1,IFERROR(IF(VALUE($D794)&lt;100000000,VALUE($D794),1000000000),IFERROR(IF(VALUE(MID($D794,2,20))&lt;100000000,VALUE(MID($D794,2,20)),1000000000),1000000000))+ROW()/100000,"")</f>
        <v/>
      </c>
    </row>
    <row r="795">
      <c r="F795" s="11" t="n"/>
      <c r="N795" s="7">
        <f>IF($D795="","",M795*V795/100)</f>
        <v/>
      </c>
      <c r="O795" s="7" t="n"/>
      <c r="U795" s="7" t="n"/>
      <c r="V795" s="7" t="n"/>
      <c r="Y795">
        <f>IF($D795="","",IF($AN795=1,0,IF($AM795=1,Settings!$C$6,Settings!$C$7))*100)</f>
        <v/>
      </c>
      <c r="Z795" s="7">
        <f>IF($D795="","",V795*Y795/100)</f>
        <v/>
      </c>
      <c r="AA795" s="7">
        <f>IF($D795="","",V795-Z795)</f>
        <v/>
      </c>
      <c r="AB795" s="7">
        <f>IF($D795="","",AA795-N795)</f>
        <v/>
      </c>
      <c r="AF795" s="7" t="n"/>
      <c r="AI795" s="11" t="n"/>
      <c r="AK795">
        <f>IF($D795="","",IF(COUNTIF($D$2:$D795,$D795)=1,1,0))</f>
        <v/>
      </c>
      <c r="AL795">
        <f>IF($AK795=1,SUMPRODUCT(--($AO$2:$AO$3001&lt;$AO795))+1,"")</f>
        <v/>
      </c>
      <c r="AM795">
        <f>IF($D795="","",IF(OR($R795=TRUE(),$R795="TRUE"),1,0))</f>
        <v/>
      </c>
      <c r="AN795">
        <f>IF($D795="","",IF($X795="Yes",1,0))</f>
        <v/>
      </c>
      <c r="AO795">
        <f>IF($AK795=1,IFERROR(IF(VALUE($D795)&lt;100000000,VALUE($D795),1000000000),IFERROR(IF(VALUE(MID($D795,2,20))&lt;100000000,VALUE(MID($D795,2,20)),1000000000),1000000000))+ROW()/100000,"")</f>
        <v/>
      </c>
    </row>
    <row r="796">
      <c r="F796" s="11" t="n"/>
      <c r="N796" s="7">
        <f>IF($D796="","",M796*V796/100)</f>
        <v/>
      </c>
      <c r="O796" s="7" t="n"/>
      <c r="U796" s="7" t="n"/>
      <c r="V796" s="7" t="n"/>
      <c r="Y796">
        <f>IF($D796="","",IF($AN796=1,0,IF($AM796=1,Settings!$C$6,Settings!$C$7))*100)</f>
        <v/>
      </c>
      <c r="Z796" s="7">
        <f>IF($D796="","",V796*Y796/100)</f>
        <v/>
      </c>
      <c r="AA796" s="7">
        <f>IF($D796="","",V796-Z796)</f>
        <v/>
      </c>
      <c r="AB796" s="7">
        <f>IF($D796="","",AA796-N796)</f>
        <v/>
      </c>
      <c r="AF796" s="7" t="n"/>
      <c r="AI796" s="11" t="n"/>
      <c r="AK796">
        <f>IF($D796="","",IF(COUNTIF($D$2:$D796,$D796)=1,1,0))</f>
        <v/>
      </c>
      <c r="AL796">
        <f>IF($AK796=1,SUMPRODUCT(--($AO$2:$AO$3001&lt;$AO796))+1,"")</f>
        <v/>
      </c>
      <c r="AM796">
        <f>IF($D796="","",IF(OR($R796=TRUE(),$R796="TRUE"),1,0))</f>
        <v/>
      </c>
      <c r="AN796">
        <f>IF($D796="","",IF($X796="Yes",1,0))</f>
        <v/>
      </c>
      <c r="AO796">
        <f>IF($AK796=1,IFERROR(IF(VALUE($D796)&lt;100000000,VALUE($D796),1000000000),IFERROR(IF(VALUE(MID($D796,2,20))&lt;100000000,VALUE(MID($D796,2,20)),1000000000),1000000000))+ROW()/100000,"")</f>
        <v/>
      </c>
    </row>
    <row r="797">
      <c r="F797" s="11" t="n"/>
      <c r="N797" s="7">
        <f>IF($D797="","",M797*V797/100)</f>
        <v/>
      </c>
      <c r="O797" s="7" t="n"/>
      <c r="U797" s="7" t="n"/>
      <c r="V797" s="7" t="n"/>
      <c r="Y797">
        <f>IF($D797="","",IF($AN797=1,0,IF($AM797=1,Settings!$C$6,Settings!$C$7))*100)</f>
        <v/>
      </c>
      <c r="Z797" s="7">
        <f>IF($D797="","",V797*Y797/100)</f>
        <v/>
      </c>
      <c r="AA797" s="7">
        <f>IF($D797="","",V797-Z797)</f>
        <v/>
      </c>
      <c r="AB797" s="7">
        <f>IF($D797="","",AA797-N797)</f>
        <v/>
      </c>
      <c r="AF797" s="7" t="n"/>
      <c r="AI797" s="11" t="n"/>
      <c r="AK797">
        <f>IF($D797="","",IF(COUNTIF($D$2:$D797,$D797)=1,1,0))</f>
        <v/>
      </c>
      <c r="AL797">
        <f>IF($AK797=1,SUMPRODUCT(--($AO$2:$AO$3001&lt;$AO797))+1,"")</f>
        <v/>
      </c>
      <c r="AM797">
        <f>IF($D797="","",IF(OR($R797=TRUE(),$R797="TRUE"),1,0))</f>
        <v/>
      </c>
      <c r="AN797">
        <f>IF($D797="","",IF($X797="Yes",1,0))</f>
        <v/>
      </c>
      <c r="AO797">
        <f>IF($AK797=1,IFERROR(IF(VALUE($D797)&lt;100000000,VALUE($D797),1000000000),IFERROR(IF(VALUE(MID($D797,2,20))&lt;100000000,VALUE(MID($D797,2,20)),1000000000),1000000000))+ROW()/100000,"")</f>
        <v/>
      </c>
    </row>
    <row r="798">
      <c r="F798" s="11" t="n"/>
      <c r="N798" s="7">
        <f>IF($D798="","",M798*V798/100)</f>
        <v/>
      </c>
      <c r="O798" s="7" t="n"/>
      <c r="U798" s="7" t="n"/>
      <c r="V798" s="7" t="n"/>
      <c r="Y798">
        <f>IF($D798="","",IF($AN798=1,0,IF($AM798=1,Settings!$C$6,Settings!$C$7))*100)</f>
        <v/>
      </c>
      <c r="Z798" s="7">
        <f>IF($D798="","",V798*Y798/100)</f>
        <v/>
      </c>
      <c r="AA798" s="7">
        <f>IF($D798="","",V798-Z798)</f>
        <v/>
      </c>
      <c r="AB798" s="7">
        <f>IF($D798="","",AA798-N798)</f>
        <v/>
      </c>
      <c r="AF798" s="7" t="n"/>
      <c r="AI798" s="11" t="n"/>
      <c r="AK798">
        <f>IF($D798="","",IF(COUNTIF($D$2:$D798,$D798)=1,1,0))</f>
        <v/>
      </c>
      <c r="AL798">
        <f>IF($AK798=1,SUMPRODUCT(--($AO$2:$AO$3001&lt;$AO798))+1,"")</f>
        <v/>
      </c>
      <c r="AM798">
        <f>IF($D798="","",IF(OR($R798=TRUE(),$R798="TRUE"),1,0))</f>
        <v/>
      </c>
      <c r="AN798">
        <f>IF($D798="","",IF($X798="Yes",1,0))</f>
        <v/>
      </c>
      <c r="AO798">
        <f>IF($AK798=1,IFERROR(IF(VALUE($D798)&lt;100000000,VALUE($D798),1000000000),IFERROR(IF(VALUE(MID($D798,2,20))&lt;100000000,VALUE(MID($D798,2,20)),1000000000),1000000000))+ROW()/100000,"")</f>
        <v/>
      </c>
    </row>
    <row r="799">
      <c r="F799" s="11" t="n"/>
      <c r="N799" s="7">
        <f>IF($D799="","",M799*V799/100)</f>
        <v/>
      </c>
      <c r="O799" s="7" t="n"/>
      <c r="U799" s="7" t="n"/>
      <c r="V799" s="7" t="n"/>
      <c r="Y799">
        <f>IF($D799="","",IF($AN799=1,0,IF($AM799=1,Settings!$C$6,Settings!$C$7))*100)</f>
        <v/>
      </c>
      <c r="Z799" s="7">
        <f>IF($D799="","",V799*Y799/100)</f>
        <v/>
      </c>
      <c r="AA799" s="7">
        <f>IF($D799="","",V799-Z799)</f>
        <v/>
      </c>
      <c r="AB799" s="7">
        <f>IF($D799="","",AA799-N799)</f>
        <v/>
      </c>
      <c r="AF799" s="7" t="n"/>
      <c r="AI799" s="11" t="n"/>
      <c r="AK799">
        <f>IF($D799="","",IF(COUNTIF($D$2:$D799,$D799)=1,1,0))</f>
        <v/>
      </c>
      <c r="AL799">
        <f>IF($AK799=1,SUMPRODUCT(--($AO$2:$AO$3001&lt;$AO799))+1,"")</f>
        <v/>
      </c>
      <c r="AM799">
        <f>IF($D799="","",IF(OR($R799=TRUE(),$R799="TRUE"),1,0))</f>
        <v/>
      </c>
      <c r="AN799">
        <f>IF($D799="","",IF($X799="Yes",1,0))</f>
        <v/>
      </c>
      <c r="AO799">
        <f>IF($AK799=1,IFERROR(IF(VALUE($D799)&lt;100000000,VALUE($D799),1000000000),IFERROR(IF(VALUE(MID($D799,2,20))&lt;100000000,VALUE(MID($D799,2,20)),1000000000),1000000000))+ROW()/100000,"")</f>
        <v/>
      </c>
    </row>
    <row r="800">
      <c r="F800" s="11" t="n"/>
      <c r="N800" s="7">
        <f>IF($D800="","",M800*V800/100)</f>
        <v/>
      </c>
      <c r="O800" s="7" t="n"/>
      <c r="U800" s="7" t="n"/>
      <c r="V800" s="7" t="n"/>
      <c r="Y800">
        <f>IF($D800="","",IF($AN800=1,0,IF($AM800=1,Settings!$C$6,Settings!$C$7))*100)</f>
        <v/>
      </c>
      <c r="Z800" s="7">
        <f>IF($D800="","",V800*Y800/100)</f>
        <v/>
      </c>
      <c r="AA800" s="7">
        <f>IF($D800="","",V800-Z800)</f>
        <v/>
      </c>
      <c r="AB800" s="7">
        <f>IF($D800="","",AA800-N800)</f>
        <v/>
      </c>
      <c r="AF800" s="7" t="n"/>
      <c r="AI800" s="11" t="n"/>
      <c r="AK800">
        <f>IF($D800="","",IF(COUNTIF($D$2:$D800,$D800)=1,1,0))</f>
        <v/>
      </c>
      <c r="AL800">
        <f>IF($AK800=1,SUMPRODUCT(--($AO$2:$AO$3001&lt;$AO800))+1,"")</f>
        <v/>
      </c>
      <c r="AM800">
        <f>IF($D800="","",IF(OR($R800=TRUE(),$R800="TRUE"),1,0))</f>
        <v/>
      </c>
      <c r="AN800">
        <f>IF($D800="","",IF($X800="Yes",1,0))</f>
        <v/>
      </c>
      <c r="AO800">
        <f>IF($AK800=1,IFERROR(IF(VALUE($D800)&lt;100000000,VALUE($D800),1000000000),IFERROR(IF(VALUE(MID($D800,2,20))&lt;100000000,VALUE(MID($D800,2,20)),1000000000),1000000000))+ROW()/100000,"")</f>
        <v/>
      </c>
    </row>
    <row r="801">
      <c r="F801" s="11" t="n"/>
      <c r="N801" s="7">
        <f>IF($D801="","",M801*V801/100)</f>
        <v/>
      </c>
      <c r="O801" s="7" t="n"/>
      <c r="U801" s="7" t="n"/>
      <c r="V801" s="7" t="n"/>
      <c r="Y801">
        <f>IF($D801="","",IF($AN801=1,0,IF($AM801=1,Settings!$C$6,Settings!$C$7))*100)</f>
        <v/>
      </c>
      <c r="Z801" s="7">
        <f>IF($D801="","",V801*Y801/100)</f>
        <v/>
      </c>
      <c r="AA801" s="7">
        <f>IF($D801="","",V801-Z801)</f>
        <v/>
      </c>
      <c r="AB801" s="7">
        <f>IF($D801="","",AA801-N801)</f>
        <v/>
      </c>
      <c r="AF801" s="7" t="n"/>
      <c r="AI801" s="11" t="n"/>
      <c r="AK801">
        <f>IF($D801="","",IF(COUNTIF($D$2:$D801,$D801)=1,1,0))</f>
        <v/>
      </c>
      <c r="AL801">
        <f>IF($AK801=1,SUMPRODUCT(--($AO$2:$AO$3001&lt;$AO801))+1,"")</f>
        <v/>
      </c>
      <c r="AM801">
        <f>IF($D801="","",IF(OR($R801=TRUE(),$R801="TRUE"),1,0))</f>
        <v/>
      </c>
      <c r="AN801">
        <f>IF($D801="","",IF($X801="Yes",1,0))</f>
        <v/>
      </c>
      <c r="AO801">
        <f>IF($AK801=1,IFERROR(IF(VALUE($D801)&lt;100000000,VALUE($D801),1000000000),IFERROR(IF(VALUE(MID($D801,2,20))&lt;100000000,VALUE(MID($D801,2,20)),1000000000),1000000000))+ROW()/100000,"")</f>
        <v/>
      </c>
    </row>
    <row r="802">
      <c r="F802" s="11" t="n"/>
      <c r="N802" s="7">
        <f>IF($D802="","",M802*V802/100)</f>
        <v/>
      </c>
      <c r="O802" s="7" t="n"/>
      <c r="U802" s="7" t="n"/>
      <c r="V802" s="7" t="n"/>
      <c r="Y802">
        <f>IF($D802="","",IF($AN802=1,0,IF($AM802=1,Settings!$C$6,Settings!$C$7))*100)</f>
        <v/>
      </c>
      <c r="Z802" s="7">
        <f>IF($D802="","",V802*Y802/100)</f>
        <v/>
      </c>
      <c r="AA802" s="7">
        <f>IF($D802="","",V802-Z802)</f>
        <v/>
      </c>
      <c r="AB802" s="7">
        <f>IF($D802="","",AA802-N802)</f>
        <v/>
      </c>
      <c r="AF802" s="7" t="n"/>
      <c r="AI802" s="11" t="n"/>
      <c r="AK802">
        <f>IF($D802="","",IF(COUNTIF($D$2:$D802,$D802)=1,1,0))</f>
        <v/>
      </c>
      <c r="AL802">
        <f>IF($AK802=1,SUMPRODUCT(--($AO$2:$AO$3001&lt;$AO802))+1,"")</f>
        <v/>
      </c>
      <c r="AM802">
        <f>IF($D802="","",IF(OR($R802=TRUE(),$R802="TRUE"),1,0))</f>
        <v/>
      </c>
      <c r="AN802">
        <f>IF($D802="","",IF($X802="Yes",1,0))</f>
        <v/>
      </c>
      <c r="AO802">
        <f>IF($AK802=1,IFERROR(IF(VALUE($D802)&lt;100000000,VALUE($D802),1000000000),IFERROR(IF(VALUE(MID($D802,2,20))&lt;100000000,VALUE(MID($D802,2,20)),1000000000),1000000000))+ROW()/100000,"")</f>
        <v/>
      </c>
    </row>
    <row r="803">
      <c r="F803" s="11" t="n"/>
      <c r="N803" s="7">
        <f>IF($D803="","",M803*V803/100)</f>
        <v/>
      </c>
      <c r="O803" s="7" t="n"/>
      <c r="U803" s="7" t="n"/>
      <c r="V803" s="7" t="n"/>
      <c r="Y803">
        <f>IF($D803="","",IF($AN803=1,0,IF($AM803=1,Settings!$C$6,Settings!$C$7))*100)</f>
        <v/>
      </c>
      <c r="Z803" s="7">
        <f>IF($D803="","",V803*Y803/100)</f>
        <v/>
      </c>
      <c r="AA803" s="7">
        <f>IF($D803="","",V803-Z803)</f>
        <v/>
      </c>
      <c r="AB803" s="7">
        <f>IF($D803="","",AA803-N803)</f>
        <v/>
      </c>
      <c r="AF803" s="7" t="n"/>
      <c r="AI803" s="11" t="n"/>
      <c r="AK803">
        <f>IF($D803="","",IF(COUNTIF($D$2:$D803,$D803)=1,1,0))</f>
        <v/>
      </c>
      <c r="AL803">
        <f>IF($AK803=1,SUMPRODUCT(--($AO$2:$AO$3001&lt;$AO803))+1,"")</f>
        <v/>
      </c>
      <c r="AM803">
        <f>IF($D803="","",IF(OR($R803=TRUE(),$R803="TRUE"),1,0))</f>
        <v/>
      </c>
      <c r="AN803">
        <f>IF($D803="","",IF($X803="Yes",1,0))</f>
        <v/>
      </c>
      <c r="AO803">
        <f>IF($AK803=1,IFERROR(IF(VALUE($D803)&lt;100000000,VALUE($D803),1000000000),IFERROR(IF(VALUE(MID($D803,2,20))&lt;100000000,VALUE(MID($D803,2,20)),1000000000),1000000000))+ROW()/100000,"")</f>
        <v/>
      </c>
    </row>
    <row r="804">
      <c r="F804" s="11" t="n"/>
      <c r="N804" s="7">
        <f>IF($D804="","",M804*V804/100)</f>
        <v/>
      </c>
      <c r="O804" s="7" t="n"/>
      <c r="U804" s="7" t="n"/>
      <c r="V804" s="7" t="n"/>
      <c r="Y804">
        <f>IF($D804="","",IF($AN804=1,0,IF($AM804=1,Settings!$C$6,Settings!$C$7))*100)</f>
        <v/>
      </c>
      <c r="Z804" s="7">
        <f>IF($D804="","",V804*Y804/100)</f>
        <v/>
      </c>
      <c r="AA804" s="7">
        <f>IF($D804="","",V804-Z804)</f>
        <v/>
      </c>
      <c r="AB804" s="7">
        <f>IF($D804="","",AA804-N804)</f>
        <v/>
      </c>
      <c r="AF804" s="7" t="n"/>
      <c r="AI804" s="11" t="n"/>
      <c r="AK804">
        <f>IF($D804="","",IF(COUNTIF($D$2:$D804,$D804)=1,1,0))</f>
        <v/>
      </c>
      <c r="AL804">
        <f>IF($AK804=1,SUMPRODUCT(--($AO$2:$AO$3001&lt;$AO804))+1,"")</f>
        <v/>
      </c>
      <c r="AM804">
        <f>IF($D804="","",IF(OR($R804=TRUE(),$R804="TRUE"),1,0))</f>
        <v/>
      </c>
      <c r="AN804">
        <f>IF($D804="","",IF($X804="Yes",1,0))</f>
        <v/>
      </c>
      <c r="AO804">
        <f>IF($AK804=1,IFERROR(IF(VALUE($D804)&lt;100000000,VALUE($D804),1000000000),IFERROR(IF(VALUE(MID($D804,2,20))&lt;100000000,VALUE(MID($D804,2,20)),1000000000),1000000000))+ROW()/100000,"")</f>
        <v/>
      </c>
    </row>
    <row r="805">
      <c r="F805" s="11" t="n"/>
      <c r="N805" s="7">
        <f>IF($D805="","",M805*V805/100)</f>
        <v/>
      </c>
      <c r="O805" s="7" t="n"/>
      <c r="U805" s="7" t="n"/>
      <c r="V805" s="7" t="n"/>
      <c r="Y805">
        <f>IF($D805="","",IF($AN805=1,0,IF($AM805=1,Settings!$C$6,Settings!$C$7))*100)</f>
        <v/>
      </c>
      <c r="Z805" s="7">
        <f>IF($D805="","",V805*Y805/100)</f>
        <v/>
      </c>
      <c r="AA805" s="7">
        <f>IF($D805="","",V805-Z805)</f>
        <v/>
      </c>
      <c r="AB805" s="7">
        <f>IF($D805="","",AA805-N805)</f>
        <v/>
      </c>
      <c r="AF805" s="7" t="n"/>
      <c r="AI805" s="11" t="n"/>
      <c r="AK805">
        <f>IF($D805="","",IF(COUNTIF($D$2:$D805,$D805)=1,1,0))</f>
        <v/>
      </c>
      <c r="AL805">
        <f>IF($AK805=1,SUMPRODUCT(--($AO$2:$AO$3001&lt;$AO805))+1,"")</f>
        <v/>
      </c>
      <c r="AM805">
        <f>IF($D805="","",IF(OR($R805=TRUE(),$R805="TRUE"),1,0))</f>
        <v/>
      </c>
      <c r="AN805">
        <f>IF($D805="","",IF($X805="Yes",1,0))</f>
        <v/>
      </c>
      <c r="AO805">
        <f>IF($AK805=1,IFERROR(IF(VALUE($D805)&lt;100000000,VALUE($D805),1000000000),IFERROR(IF(VALUE(MID($D805,2,20))&lt;100000000,VALUE(MID($D805,2,20)),1000000000),1000000000))+ROW()/100000,"")</f>
        <v/>
      </c>
    </row>
    <row r="806">
      <c r="F806" s="11" t="n"/>
      <c r="N806" s="7">
        <f>IF($D806="","",M806*V806/100)</f>
        <v/>
      </c>
      <c r="O806" s="7" t="n"/>
      <c r="U806" s="7" t="n"/>
      <c r="V806" s="7" t="n"/>
      <c r="Y806">
        <f>IF($D806="","",IF($AN806=1,0,IF($AM806=1,Settings!$C$6,Settings!$C$7))*100)</f>
        <v/>
      </c>
      <c r="Z806" s="7">
        <f>IF($D806="","",V806*Y806/100)</f>
        <v/>
      </c>
      <c r="AA806" s="7">
        <f>IF($D806="","",V806-Z806)</f>
        <v/>
      </c>
      <c r="AB806" s="7">
        <f>IF($D806="","",AA806-N806)</f>
        <v/>
      </c>
      <c r="AF806" s="7" t="n"/>
      <c r="AI806" s="11" t="n"/>
      <c r="AK806">
        <f>IF($D806="","",IF(COUNTIF($D$2:$D806,$D806)=1,1,0))</f>
        <v/>
      </c>
      <c r="AL806">
        <f>IF($AK806=1,SUMPRODUCT(--($AO$2:$AO$3001&lt;$AO806))+1,"")</f>
        <v/>
      </c>
      <c r="AM806">
        <f>IF($D806="","",IF(OR($R806=TRUE(),$R806="TRUE"),1,0))</f>
        <v/>
      </c>
      <c r="AN806">
        <f>IF($D806="","",IF($X806="Yes",1,0))</f>
        <v/>
      </c>
      <c r="AO806">
        <f>IF($AK806=1,IFERROR(IF(VALUE($D806)&lt;100000000,VALUE($D806),1000000000),IFERROR(IF(VALUE(MID($D806,2,20))&lt;100000000,VALUE(MID($D806,2,20)),1000000000),1000000000))+ROW()/100000,"")</f>
        <v/>
      </c>
    </row>
    <row r="807">
      <c r="F807" s="11" t="n"/>
      <c r="N807" s="7">
        <f>IF($D807="","",M807*V807/100)</f>
        <v/>
      </c>
      <c r="O807" s="7" t="n"/>
      <c r="U807" s="7" t="n"/>
      <c r="V807" s="7" t="n"/>
      <c r="Y807">
        <f>IF($D807="","",IF($AN807=1,0,IF($AM807=1,Settings!$C$6,Settings!$C$7))*100)</f>
        <v/>
      </c>
      <c r="Z807" s="7">
        <f>IF($D807="","",V807*Y807/100)</f>
        <v/>
      </c>
      <c r="AA807" s="7">
        <f>IF($D807="","",V807-Z807)</f>
        <v/>
      </c>
      <c r="AB807" s="7">
        <f>IF($D807="","",AA807-N807)</f>
        <v/>
      </c>
      <c r="AF807" s="7" t="n"/>
      <c r="AI807" s="11" t="n"/>
      <c r="AK807">
        <f>IF($D807="","",IF(COUNTIF($D$2:$D807,$D807)=1,1,0))</f>
        <v/>
      </c>
      <c r="AL807">
        <f>IF($AK807=1,SUMPRODUCT(--($AO$2:$AO$3001&lt;$AO807))+1,"")</f>
        <v/>
      </c>
      <c r="AM807">
        <f>IF($D807="","",IF(OR($R807=TRUE(),$R807="TRUE"),1,0))</f>
        <v/>
      </c>
      <c r="AN807">
        <f>IF($D807="","",IF($X807="Yes",1,0))</f>
        <v/>
      </c>
      <c r="AO807">
        <f>IF($AK807=1,IFERROR(IF(VALUE($D807)&lt;100000000,VALUE($D807),1000000000),IFERROR(IF(VALUE(MID($D807,2,20))&lt;100000000,VALUE(MID($D807,2,20)),1000000000),1000000000))+ROW()/100000,"")</f>
        <v/>
      </c>
    </row>
    <row r="808">
      <c r="F808" s="11" t="n"/>
      <c r="N808" s="7">
        <f>IF($D808="","",M808*V808/100)</f>
        <v/>
      </c>
      <c r="O808" s="7" t="n"/>
      <c r="U808" s="7" t="n"/>
      <c r="V808" s="7" t="n"/>
      <c r="Y808">
        <f>IF($D808="","",IF($AN808=1,0,IF($AM808=1,Settings!$C$6,Settings!$C$7))*100)</f>
        <v/>
      </c>
      <c r="Z808" s="7">
        <f>IF($D808="","",V808*Y808/100)</f>
        <v/>
      </c>
      <c r="AA808" s="7">
        <f>IF($D808="","",V808-Z808)</f>
        <v/>
      </c>
      <c r="AB808" s="7">
        <f>IF($D808="","",AA808-N808)</f>
        <v/>
      </c>
      <c r="AF808" s="7" t="n"/>
      <c r="AI808" s="11" t="n"/>
      <c r="AK808">
        <f>IF($D808="","",IF(COUNTIF($D$2:$D808,$D808)=1,1,0))</f>
        <v/>
      </c>
      <c r="AL808">
        <f>IF($AK808=1,SUMPRODUCT(--($AO$2:$AO$3001&lt;$AO808))+1,"")</f>
        <v/>
      </c>
      <c r="AM808">
        <f>IF($D808="","",IF(OR($R808=TRUE(),$R808="TRUE"),1,0))</f>
        <v/>
      </c>
      <c r="AN808">
        <f>IF($D808="","",IF($X808="Yes",1,0))</f>
        <v/>
      </c>
      <c r="AO808">
        <f>IF($AK808=1,IFERROR(IF(VALUE($D808)&lt;100000000,VALUE($D808),1000000000),IFERROR(IF(VALUE(MID($D808,2,20))&lt;100000000,VALUE(MID($D808,2,20)),1000000000),1000000000))+ROW()/100000,"")</f>
        <v/>
      </c>
    </row>
    <row r="809">
      <c r="F809" s="11" t="n"/>
      <c r="N809" s="7">
        <f>IF($D809="","",M809*V809/100)</f>
        <v/>
      </c>
      <c r="O809" s="7" t="n"/>
      <c r="U809" s="7" t="n"/>
      <c r="V809" s="7" t="n"/>
      <c r="Y809">
        <f>IF($D809="","",IF($AN809=1,0,IF($AM809=1,Settings!$C$6,Settings!$C$7))*100)</f>
        <v/>
      </c>
      <c r="Z809" s="7">
        <f>IF($D809="","",V809*Y809/100)</f>
        <v/>
      </c>
      <c r="AA809" s="7">
        <f>IF($D809="","",V809-Z809)</f>
        <v/>
      </c>
      <c r="AB809" s="7">
        <f>IF($D809="","",AA809-N809)</f>
        <v/>
      </c>
      <c r="AF809" s="7" t="n"/>
      <c r="AI809" s="11" t="n"/>
      <c r="AK809">
        <f>IF($D809="","",IF(COUNTIF($D$2:$D809,$D809)=1,1,0))</f>
        <v/>
      </c>
      <c r="AL809">
        <f>IF($AK809=1,SUMPRODUCT(--($AO$2:$AO$3001&lt;$AO809))+1,"")</f>
        <v/>
      </c>
      <c r="AM809">
        <f>IF($D809="","",IF(OR($R809=TRUE(),$R809="TRUE"),1,0))</f>
        <v/>
      </c>
      <c r="AN809">
        <f>IF($D809="","",IF($X809="Yes",1,0))</f>
        <v/>
      </c>
      <c r="AO809">
        <f>IF($AK809=1,IFERROR(IF(VALUE($D809)&lt;100000000,VALUE($D809),1000000000),IFERROR(IF(VALUE(MID($D809,2,20))&lt;100000000,VALUE(MID($D809,2,20)),1000000000),1000000000))+ROW()/100000,"")</f>
        <v/>
      </c>
    </row>
    <row r="810">
      <c r="F810" s="11" t="n"/>
      <c r="N810" s="7">
        <f>IF($D810="","",M810*V810/100)</f>
        <v/>
      </c>
      <c r="O810" s="7" t="n"/>
      <c r="U810" s="7" t="n"/>
      <c r="V810" s="7" t="n"/>
      <c r="Y810">
        <f>IF($D810="","",IF($AN810=1,0,IF($AM810=1,Settings!$C$6,Settings!$C$7))*100)</f>
        <v/>
      </c>
      <c r="Z810" s="7">
        <f>IF($D810="","",V810*Y810/100)</f>
        <v/>
      </c>
      <c r="AA810" s="7">
        <f>IF($D810="","",V810-Z810)</f>
        <v/>
      </c>
      <c r="AB810" s="7">
        <f>IF($D810="","",AA810-N810)</f>
        <v/>
      </c>
      <c r="AF810" s="7" t="n"/>
      <c r="AI810" s="11" t="n"/>
      <c r="AK810">
        <f>IF($D810="","",IF(COUNTIF($D$2:$D810,$D810)=1,1,0))</f>
        <v/>
      </c>
      <c r="AL810">
        <f>IF($AK810=1,SUMPRODUCT(--($AO$2:$AO$3001&lt;$AO810))+1,"")</f>
        <v/>
      </c>
      <c r="AM810">
        <f>IF($D810="","",IF(OR($R810=TRUE(),$R810="TRUE"),1,0))</f>
        <v/>
      </c>
      <c r="AN810">
        <f>IF($D810="","",IF($X810="Yes",1,0))</f>
        <v/>
      </c>
      <c r="AO810">
        <f>IF($AK810=1,IFERROR(IF(VALUE($D810)&lt;100000000,VALUE($D810),1000000000),IFERROR(IF(VALUE(MID($D810,2,20))&lt;100000000,VALUE(MID($D810,2,20)),1000000000),1000000000))+ROW()/100000,"")</f>
        <v/>
      </c>
    </row>
    <row r="811">
      <c r="F811" s="11" t="n"/>
      <c r="N811" s="7">
        <f>IF($D811="","",M811*V811/100)</f>
        <v/>
      </c>
      <c r="O811" s="7" t="n"/>
      <c r="U811" s="7" t="n"/>
      <c r="V811" s="7" t="n"/>
      <c r="Y811">
        <f>IF($D811="","",IF($AN811=1,0,IF($AM811=1,Settings!$C$6,Settings!$C$7))*100)</f>
        <v/>
      </c>
      <c r="Z811" s="7">
        <f>IF($D811="","",V811*Y811/100)</f>
        <v/>
      </c>
      <c r="AA811" s="7">
        <f>IF($D811="","",V811-Z811)</f>
        <v/>
      </c>
      <c r="AB811" s="7">
        <f>IF($D811="","",AA811-N811)</f>
        <v/>
      </c>
      <c r="AF811" s="7" t="n"/>
      <c r="AI811" s="11" t="n"/>
      <c r="AK811">
        <f>IF($D811="","",IF(COUNTIF($D$2:$D811,$D811)=1,1,0))</f>
        <v/>
      </c>
      <c r="AL811">
        <f>IF($AK811=1,SUMPRODUCT(--($AO$2:$AO$3001&lt;$AO811))+1,"")</f>
        <v/>
      </c>
      <c r="AM811">
        <f>IF($D811="","",IF(OR($R811=TRUE(),$R811="TRUE"),1,0))</f>
        <v/>
      </c>
      <c r="AN811">
        <f>IF($D811="","",IF($X811="Yes",1,0))</f>
        <v/>
      </c>
      <c r="AO811">
        <f>IF($AK811=1,IFERROR(IF(VALUE($D811)&lt;100000000,VALUE($D811),1000000000),IFERROR(IF(VALUE(MID($D811,2,20))&lt;100000000,VALUE(MID($D811,2,20)),1000000000),1000000000))+ROW()/100000,"")</f>
        <v/>
      </c>
    </row>
    <row r="812">
      <c r="F812" s="11" t="n"/>
      <c r="N812" s="7">
        <f>IF($D812="","",M812*V812/100)</f>
        <v/>
      </c>
      <c r="O812" s="7" t="n"/>
      <c r="U812" s="7" t="n"/>
      <c r="V812" s="7" t="n"/>
      <c r="Y812">
        <f>IF($D812="","",IF($AN812=1,0,IF($AM812=1,Settings!$C$6,Settings!$C$7))*100)</f>
        <v/>
      </c>
      <c r="Z812" s="7">
        <f>IF($D812="","",V812*Y812/100)</f>
        <v/>
      </c>
      <c r="AA812" s="7">
        <f>IF($D812="","",V812-Z812)</f>
        <v/>
      </c>
      <c r="AB812" s="7">
        <f>IF($D812="","",AA812-N812)</f>
        <v/>
      </c>
      <c r="AF812" s="7" t="n"/>
      <c r="AI812" s="11" t="n"/>
      <c r="AK812">
        <f>IF($D812="","",IF(COUNTIF($D$2:$D812,$D812)=1,1,0))</f>
        <v/>
      </c>
      <c r="AL812">
        <f>IF($AK812=1,SUMPRODUCT(--($AO$2:$AO$3001&lt;$AO812))+1,"")</f>
        <v/>
      </c>
      <c r="AM812">
        <f>IF($D812="","",IF(OR($R812=TRUE(),$R812="TRUE"),1,0))</f>
        <v/>
      </c>
      <c r="AN812">
        <f>IF($D812="","",IF($X812="Yes",1,0))</f>
        <v/>
      </c>
      <c r="AO812">
        <f>IF($AK812=1,IFERROR(IF(VALUE($D812)&lt;100000000,VALUE($D812),1000000000),IFERROR(IF(VALUE(MID($D812,2,20))&lt;100000000,VALUE(MID($D812,2,20)),1000000000),1000000000))+ROW()/100000,"")</f>
        <v/>
      </c>
    </row>
    <row r="813">
      <c r="F813" s="11" t="n"/>
      <c r="N813" s="7">
        <f>IF($D813="","",M813*V813/100)</f>
        <v/>
      </c>
      <c r="O813" s="7" t="n"/>
      <c r="U813" s="7" t="n"/>
      <c r="V813" s="7" t="n"/>
      <c r="Y813">
        <f>IF($D813="","",IF($AN813=1,0,IF($AM813=1,Settings!$C$6,Settings!$C$7))*100)</f>
        <v/>
      </c>
      <c r="Z813" s="7">
        <f>IF($D813="","",V813*Y813/100)</f>
        <v/>
      </c>
      <c r="AA813" s="7">
        <f>IF($D813="","",V813-Z813)</f>
        <v/>
      </c>
      <c r="AB813" s="7">
        <f>IF($D813="","",AA813-N813)</f>
        <v/>
      </c>
      <c r="AF813" s="7" t="n"/>
      <c r="AI813" s="11" t="n"/>
      <c r="AK813">
        <f>IF($D813="","",IF(COUNTIF($D$2:$D813,$D813)=1,1,0))</f>
        <v/>
      </c>
      <c r="AL813">
        <f>IF($AK813=1,SUMPRODUCT(--($AO$2:$AO$3001&lt;$AO813))+1,"")</f>
        <v/>
      </c>
      <c r="AM813">
        <f>IF($D813="","",IF(OR($R813=TRUE(),$R813="TRUE"),1,0))</f>
        <v/>
      </c>
      <c r="AN813">
        <f>IF($D813="","",IF($X813="Yes",1,0))</f>
        <v/>
      </c>
      <c r="AO813">
        <f>IF($AK813=1,IFERROR(IF(VALUE($D813)&lt;100000000,VALUE($D813),1000000000),IFERROR(IF(VALUE(MID($D813,2,20))&lt;100000000,VALUE(MID($D813,2,20)),1000000000),1000000000))+ROW()/100000,"")</f>
        <v/>
      </c>
    </row>
    <row r="814">
      <c r="F814" s="11" t="n"/>
      <c r="N814" s="7">
        <f>IF($D814="","",M814*V814/100)</f>
        <v/>
      </c>
      <c r="O814" s="7" t="n"/>
      <c r="U814" s="7" t="n"/>
      <c r="V814" s="7" t="n"/>
      <c r="Y814">
        <f>IF($D814="","",IF($AN814=1,0,IF($AM814=1,Settings!$C$6,Settings!$C$7))*100)</f>
        <v/>
      </c>
      <c r="Z814" s="7">
        <f>IF($D814="","",V814*Y814/100)</f>
        <v/>
      </c>
      <c r="AA814" s="7">
        <f>IF($D814="","",V814-Z814)</f>
        <v/>
      </c>
      <c r="AB814" s="7">
        <f>IF($D814="","",AA814-N814)</f>
        <v/>
      </c>
      <c r="AF814" s="7" t="n"/>
      <c r="AI814" s="11" t="n"/>
      <c r="AK814">
        <f>IF($D814="","",IF(COUNTIF($D$2:$D814,$D814)=1,1,0))</f>
        <v/>
      </c>
      <c r="AL814">
        <f>IF($AK814=1,SUMPRODUCT(--($AO$2:$AO$3001&lt;$AO814))+1,"")</f>
        <v/>
      </c>
      <c r="AM814">
        <f>IF($D814="","",IF(OR($R814=TRUE(),$R814="TRUE"),1,0))</f>
        <v/>
      </c>
      <c r="AN814">
        <f>IF($D814="","",IF($X814="Yes",1,0))</f>
        <v/>
      </c>
      <c r="AO814">
        <f>IF($AK814=1,IFERROR(IF(VALUE($D814)&lt;100000000,VALUE($D814),1000000000),IFERROR(IF(VALUE(MID($D814,2,20))&lt;100000000,VALUE(MID($D814,2,20)),1000000000),1000000000))+ROW()/100000,"")</f>
        <v/>
      </c>
    </row>
    <row r="815">
      <c r="F815" s="11" t="n"/>
      <c r="N815" s="7">
        <f>IF($D815="","",M815*V815/100)</f>
        <v/>
      </c>
      <c r="O815" s="7" t="n"/>
      <c r="U815" s="7" t="n"/>
      <c r="V815" s="7" t="n"/>
      <c r="Y815">
        <f>IF($D815="","",IF($AN815=1,0,IF($AM815=1,Settings!$C$6,Settings!$C$7))*100)</f>
        <v/>
      </c>
      <c r="Z815" s="7">
        <f>IF($D815="","",V815*Y815/100)</f>
        <v/>
      </c>
      <c r="AA815" s="7">
        <f>IF($D815="","",V815-Z815)</f>
        <v/>
      </c>
      <c r="AB815" s="7">
        <f>IF($D815="","",AA815-N815)</f>
        <v/>
      </c>
      <c r="AF815" s="7" t="n"/>
      <c r="AI815" s="11" t="n"/>
      <c r="AK815">
        <f>IF($D815="","",IF(COUNTIF($D$2:$D815,$D815)=1,1,0))</f>
        <v/>
      </c>
      <c r="AL815">
        <f>IF($AK815=1,SUMPRODUCT(--($AO$2:$AO$3001&lt;$AO815))+1,"")</f>
        <v/>
      </c>
      <c r="AM815">
        <f>IF($D815="","",IF(OR($R815=TRUE(),$R815="TRUE"),1,0))</f>
        <v/>
      </c>
      <c r="AN815">
        <f>IF($D815="","",IF($X815="Yes",1,0))</f>
        <v/>
      </c>
      <c r="AO815">
        <f>IF($AK815=1,IFERROR(IF(VALUE($D815)&lt;100000000,VALUE($D815),1000000000),IFERROR(IF(VALUE(MID($D815,2,20))&lt;100000000,VALUE(MID($D815,2,20)),1000000000),1000000000))+ROW()/100000,"")</f>
        <v/>
      </c>
    </row>
    <row r="816">
      <c r="F816" s="11" t="n"/>
      <c r="N816" s="7">
        <f>IF($D816="","",M816*V816/100)</f>
        <v/>
      </c>
      <c r="O816" s="7" t="n"/>
      <c r="U816" s="7" t="n"/>
      <c r="V816" s="7" t="n"/>
      <c r="Y816">
        <f>IF($D816="","",IF($AN816=1,0,IF($AM816=1,Settings!$C$6,Settings!$C$7))*100)</f>
        <v/>
      </c>
      <c r="Z816" s="7">
        <f>IF($D816="","",V816*Y816/100)</f>
        <v/>
      </c>
      <c r="AA816" s="7">
        <f>IF($D816="","",V816-Z816)</f>
        <v/>
      </c>
      <c r="AB816" s="7">
        <f>IF($D816="","",AA816-N816)</f>
        <v/>
      </c>
      <c r="AF816" s="7" t="n"/>
      <c r="AI816" s="11" t="n"/>
      <c r="AK816">
        <f>IF($D816="","",IF(COUNTIF($D$2:$D816,$D816)=1,1,0))</f>
        <v/>
      </c>
      <c r="AL816">
        <f>IF($AK816=1,SUMPRODUCT(--($AO$2:$AO$3001&lt;$AO816))+1,"")</f>
        <v/>
      </c>
      <c r="AM816">
        <f>IF($D816="","",IF(OR($R816=TRUE(),$R816="TRUE"),1,0))</f>
        <v/>
      </c>
      <c r="AN816">
        <f>IF($D816="","",IF($X816="Yes",1,0))</f>
        <v/>
      </c>
      <c r="AO816">
        <f>IF($AK816=1,IFERROR(IF(VALUE($D816)&lt;100000000,VALUE($D816),1000000000),IFERROR(IF(VALUE(MID($D816,2,20))&lt;100000000,VALUE(MID($D816,2,20)),1000000000),1000000000))+ROW()/100000,"")</f>
        <v/>
      </c>
    </row>
    <row r="817">
      <c r="F817" s="11" t="n"/>
      <c r="N817" s="7">
        <f>IF($D817="","",M817*V817/100)</f>
        <v/>
      </c>
      <c r="O817" s="7" t="n"/>
      <c r="U817" s="7" t="n"/>
      <c r="V817" s="7" t="n"/>
      <c r="Y817">
        <f>IF($D817="","",IF($AN817=1,0,IF($AM817=1,Settings!$C$6,Settings!$C$7))*100)</f>
        <v/>
      </c>
      <c r="Z817" s="7">
        <f>IF($D817="","",V817*Y817/100)</f>
        <v/>
      </c>
      <c r="AA817" s="7">
        <f>IF($D817="","",V817-Z817)</f>
        <v/>
      </c>
      <c r="AB817" s="7">
        <f>IF($D817="","",AA817-N817)</f>
        <v/>
      </c>
      <c r="AF817" s="7" t="n"/>
      <c r="AI817" s="11" t="n"/>
      <c r="AK817">
        <f>IF($D817="","",IF(COUNTIF($D$2:$D817,$D817)=1,1,0))</f>
        <v/>
      </c>
      <c r="AL817">
        <f>IF($AK817=1,SUMPRODUCT(--($AO$2:$AO$3001&lt;$AO817))+1,"")</f>
        <v/>
      </c>
      <c r="AM817">
        <f>IF($D817="","",IF(OR($R817=TRUE(),$R817="TRUE"),1,0))</f>
        <v/>
      </c>
      <c r="AN817">
        <f>IF($D817="","",IF($X817="Yes",1,0))</f>
        <v/>
      </c>
      <c r="AO817">
        <f>IF($AK817=1,IFERROR(IF(VALUE($D817)&lt;100000000,VALUE($D817),1000000000),IFERROR(IF(VALUE(MID($D817,2,20))&lt;100000000,VALUE(MID($D817,2,20)),1000000000),1000000000))+ROW()/100000,"")</f>
        <v/>
      </c>
    </row>
    <row r="818">
      <c r="F818" s="11" t="n"/>
      <c r="N818" s="7">
        <f>IF($D818="","",M818*V818/100)</f>
        <v/>
      </c>
      <c r="O818" s="7" t="n"/>
      <c r="U818" s="7" t="n"/>
      <c r="V818" s="7" t="n"/>
      <c r="Y818">
        <f>IF($D818="","",IF($AN818=1,0,IF($AM818=1,Settings!$C$6,Settings!$C$7))*100)</f>
        <v/>
      </c>
      <c r="Z818" s="7">
        <f>IF($D818="","",V818*Y818/100)</f>
        <v/>
      </c>
      <c r="AA818" s="7">
        <f>IF($D818="","",V818-Z818)</f>
        <v/>
      </c>
      <c r="AB818" s="7">
        <f>IF($D818="","",AA818-N818)</f>
        <v/>
      </c>
      <c r="AF818" s="7" t="n"/>
      <c r="AI818" s="11" t="n"/>
      <c r="AK818">
        <f>IF($D818="","",IF(COUNTIF($D$2:$D818,$D818)=1,1,0))</f>
        <v/>
      </c>
      <c r="AL818">
        <f>IF($AK818=1,SUMPRODUCT(--($AO$2:$AO$3001&lt;$AO818))+1,"")</f>
        <v/>
      </c>
      <c r="AM818">
        <f>IF($D818="","",IF(OR($R818=TRUE(),$R818="TRUE"),1,0))</f>
        <v/>
      </c>
      <c r="AN818">
        <f>IF($D818="","",IF($X818="Yes",1,0))</f>
        <v/>
      </c>
      <c r="AO818">
        <f>IF($AK818=1,IFERROR(IF(VALUE($D818)&lt;100000000,VALUE($D818),1000000000),IFERROR(IF(VALUE(MID($D818,2,20))&lt;100000000,VALUE(MID($D818,2,20)),1000000000),1000000000))+ROW()/100000,"")</f>
        <v/>
      </c>
    </row>
    <row r="819">
      <c r="F819" s="11" t="n"/>
      <c r="N819" s="7">
        <f>IF($D819="","",M819*V819/100)</f>
        <v/>
      </c>
      <c r="O819" s="7" t="n"/>
      <c r="U819" s="7" t="n"/>
      <c r="V819" s="7" t="n"/>
      <c r="Y819">
        <f>IF($D819="","",IF($AN819=1,0,IF($AM819=1,Settings!$C$6,Settings!$C$7))*100)</f>
        <v/>
      </c>
      <c r="Z819" s="7">
        <f>IF($D819="","",V819*Y819/100)</f>
        <v/>
      </c>
      <c r="AA819" s="7">
        <f>IF($D819="","",V819-Z819)</f>
        <v/>
      </c>
      <c r="AB819" s="7">
        <f>IF($D819="","",AA819-N819)</f>
        <v/>
      </c>
      <c r="AF819" s="7" t="n"/>
      <c r="AI819" s="11" t="n"/>
      <c r="AK819">
        <f>IF($D819="","",IF(COUNTIF($D$2:$D819,$D819)=1,1,0))</f>
        <v/>
      </c>
      <c r="AL819">
        <f>IF($AK819=1,SUMPRODUCT(--($AO$2:$AO$3001&lt;$AO819))+1,"")</f>
        <v/>
      </c>
      <c r="AM819">
        <f>IF($D819="","",IF(OR($R819=TRUE(),$R819="TRUE"),1,0))</f>
        <v/>
      </c>
      <c r="AN819">
        <f>IF($D819="","",IF($X819="Yes",1,0))</f>
        <v/>
      </c>
      <c r="AO819">
        <f>IF($AK819=1,IFERROR(IF(VALUE($D819)&lt;100000000,VALUE($D819),1000000000),IFERROR(IF(VALUE(MID($D819,2,20))&lt;100000000,VALUE(MID($D819,2,20)),1000000000),1000000000))+ROW()/100000,"")</f>
        <v/>
      </c>
    </row>
    <row r="820">
      <c r="F820" s="11" t="n"/>
      <c r="N820" s="7">
        <f>IF($D820="","",M820*V820/100)</f>
        <v/>
      </c>
      <c r="O820" s="7" t="n"/>
      <c r="U820" s="7" t="n"/>
      <c r="V820" s="7" t="n"/>
      <c r="Y820">
        <f>IF($D820="","",IF($AN820=1,0,IF($AM820=1,Settings!$C$6,Settings!$C$7))*100)</f>
        <v/>
      </c>
      <c r="Z820" s="7">
        <f>IF($D820="","",V820*Y820/100)</f>
        <v/>
      </c>
      <c r="AA820" s="7">
        <f>IF($D820="","",V820-Z820)</f>
        <v/>
      </c>
      <c r="AB820" s="7">
        <f>IF($D820="","",AA820-N820)</f>
        <v/>
      </c>
      <c r="AF820" s="7" t="n"/>
      <c r="AI820" s="11" t="n"/>
      <c r="AK820">
        <f>IF($D820="","",IF(COUNTIF($D$2:$D820,$D820)=1,1,0))</f>
        <v/>
      </c>
      <c r="AL820">
        <f>IF($AK820=1,SUMPRODUCT(--($AO$2:$AO$3001&lt;$AO820))+1,"")</f>
        <v/>
      </c>
      <c r="AM820">
        <f>IF($D820="","",IF(OR($R820=TRUE(),$R820="TRUE"),1,0))</f>
        <v/>
      </c>
      <c r="AN820">
        <f>IF($D820="","",IF($X820="Yes",1,0))</f>
        <v/>
      </c>
      <c r="AO820">
        <f>IF($AK820=1,IFERROR(IF(VALUE($D820)&lt;100000000,VALUE($D820),1000000000),IFERROR(IF(VALUE(MID($D820,2,20))&lt;100000000,VALUE(MID($D820,2,20)),1000000000),1000000000))+ROW()/100000,"")</f>
        <v/>
      </c>
    </row>
    <row r="821">
      <c r="F821" s="11" t="n"/>
      <c r="N821" s="7">
        <f>IF($D821="","",M821*V821/100)</f>
        <v/>
      </c>
      <c r="O821" s="7" t="n"/>
      <c r="U821" s="7" t="n"/>
      <c r="V821" s="7" t="n"/>
      <c r="Y821">
        <f>IF($D821="","",IF($AN821=1,0,IF($AM821=1,Settings!$C$6,Settings!$C$7))*100)</f>
        <v/>
      </c>
      <c r="Z821" s="7">
        <f>IF($D821="","",V821*Y821/100)</f>
        <v/>
      </c>
      <c r="AA821" s="7">
        <f>IF($D821="","",V821-Z821)</f>
        <v/>
      </c>
      <c r="AB821" s="7">
        <f>IF($D821="","",AA821-N821)</f>
        <v/>
      </c>
      <c r="AF821" s="7" t="n"/>
      <c r="AI821" s="11" t="n"/>
      <c r="AK821">
        <f>IF($D821="","",IF(COUNTIF($D$2:$D821,$D821)=1,1,0))</f>
        <v/>
      </c>
      <c r="AL821">
        <f>IF($AK821=1,SUMPRODUCT(--($AO$2:$AO$3001&lt;$AO821))+1,"")</f>
        <v/>
      </c>
      <c r="AM821">
        <f>IF($D821="","",IF(OR($R821=TRUE(),$R821="TRUE"),1,0))</f>
        <v/>
      </c>
      <c r="AN821">
        <f>IF($D821="","",IF($X821="Yes",1,0))</f>
        <v/>
      </c>
      <c r="AO821">
        <f>IF($AK821=1,IFERROR(IF(VALUE($D821)&lt;100000000,VALUE($D821),1000000000),IFERROR(IF(VALUE(MID($D821,2,20))&lt;100000000,VALUE(MID($D821,2,20)),1000000000),1000000000))+ROW()/100000,"")</f>
        <v/>
      </c>
    </row>
    <row r="822">
      <c r="F822" s="11" t="n"/>
      <c r="N822" s="7">
        <f>IF($D822="","",M822*V822/100)</f>
        <v/>
      </c>
      <c r="O822" s="7" t="n"/>
      <c r="U822" s="7" t="n"/>
      <c r="V822" s="7" t="n"/>
      <c r="Y822">
        <f>IF($D822="","",IF($AN822=1,0,IF($AM822=1,Settings!$C$6,Settings!$C$7))*100)</f>
        <v/>
      </c>
      <c r="Z822" s="7">
        <f>IF($D822="","",V822*Y822/100)</f>
        <v/>
      </c>
      <c r="AA822" s="7">
        <f>IF($D822="","",V822-Z822)</f>
        <v/>
      </c>
      <c r="AB822" s="7">
        <f>IF($D822="","",AA822-N822)</f>
        <v/>
      </c>
      <c r="AF822" s="7" t="n"/>
      <c r="AI822" s="11" t="n"/>
      <c r="AK822">
        <f>IF($D822="","",IF(COUNTIF($D$2:$D822,$D822)=1,1,0))</f>
        <v/>
      </c>
      <c r="AL822">
        <f>IF($AK822=1,SUMPRODUCT(--($AO$2:$AO$3001&lt;$AO822))+1,"")</f>
        <v/>
      </c>
      <c r="AM822">
        <f>IF($D822="","",IF(OR($R822=TRUE(),$R822="TRUE"),1,0))</f>
        <v/>
      </c>
      <c r="AN822">
        <f>IF($D822="","",IF($X822="Yes",1,0))</f>
        <v/>
      </c>
      <c r="AO822">
        <f>IF($AK822=1,IFERROR(IF(VALUE($D822)&lt;100000000,VALUE($D822),1000000000),IFERROR(IF(VALUE(MID($D822,2,20))&lt;100000000,VALUE(MID($D822,2,20)),1000000000),1000000000))+ROW()/100000,"")</f>
        <v/>
      </c>
    </row>
    <row r="823">
      <c r="F823" s="11" t="n"/>
      <c r="N823" s="7">
        <f>IF($D823="","",M823*V823/100)</f>
        <v/>
      </c>
      <c r="O823" s="7" t="n"/>
      <c r="U823" s="7" t="n"/>
      <c r="V823" s="7" t="n"/>
      <c r="Y823">
        <f>IF($D823="","",IF($AN823=1,0,IF($AM823=1,Settings!$C$6,Settings!$C$7))*100)</f>
        <v/>
      </c>
      <c r="Z823" s="7">
        <f>IF($D823="","",V823*Y823/100)</f>
        <v/>
      </c>
      <c r="AA823" s="7">
        <f>IF($D823="","",V823-Z823)</f>
        <v/>
      </c>
      <c r="AB823" s="7">
        <f>IF($D823="","",AA823-N823)</f>
        <v/>
      </c>
      <c r="AF823" s="7" t="n"/>
      <c r="AI823" s="11" t="n"/>
      <c r="AK823">
        <f>IF($D823="","",IF(COUNTIF($D$2:$D823,$D823)=1,1,0))</f>
        <v/>
      </c>
      <c r="AL823">
        <f>IF($AK823=1,SUMPRODUCT(--($AO$2:$AO$3001&lt;$AO823))+1,"")</f>
        <v/>
      </c>
      <c r="AM823">
        <f>IF($D823="","",IF(OR($R823=TRUE(),$R823="TRUE"),1,0))</f>
        <v/>
      </c>
      <c r="AN823">
        <f>IF($D823="","",IF($X823="Yes",1,0))</f>
        <v/>
      </c>
      <c r="AO823">
        <f>IF($AK823=1,IFERROR(IF(VALUE($D823)&lt;100000000,VALUE($D823),1000000000),IFERROR(IF(VALUE(MID($D823,2,20))&lt;100000000,VALUE(MID($D823,2,20)),1000000000),1000000000))+ROW()/100000,"")</f>
        <v/>
      </c>
    </row>
    <row r="824">
      <c r="F824" s="11" t="n"/>
      <c r="N824" s="7">
        <f>IF($D824="","",M824*V824/100)</f>
        <v/>
      </c>
      <c r="O824" s="7" t="n"/>
      <c r="U824" s="7" t="n"/>
      <c r="V824" s="7" t="n"/>
      <c r="Y824">
        <f>IF($D824="","",IF($AN824=1,0,IF($AM824=1,Settings!$C$6,Settings!$C$7))*100)</f>
        <v/>
      </c>
      <c r="Z824" s="7">
        <f>IF($D824="","",V824*Y824/100)</f>
        <v/>
      </c>
      <c r="AA824" s="7">
        <f>IF($D824="","",V824-Z824)</f>
        <v/>
      </c>
      <c r="AB824" s="7">
        <f>IF($D824="","",AA824-N824)</f>
        <v/>
      </c>
      <c r="AF824" s="7" t="n"/>
      <c r="AI824" s="11" t="n"/>
      <c r="AK824">
        <f>IF($D824="","",IF(COUNTIF($D$2:$D824,$D824)=1,1,0))</f>
        <v/>
      </c>
      <c r="AL824">
        <f>IF($AK824=1,SUMPRODUCT(--($AO$2:$AO$3001&lt;$AO824))+1,"")</f>
        <v/>
      </c>
      <c r="AM824">
        <f>IF($D824="","",IF(OR($R824=TRUE(),$R824="TRUE"),1,0))</f>
        <v/>
      </c>
      <c r="AN824">
        <f>IF($D824="","",IF($X824="Yes",1,0))</f>
        <v/>
      </c>
      <c r="AO824">
        <f>IF($AK824=1,IFERROR(IF(VALUE($D824)&lt;100000000,VALUE($D824),1000000000),IFERROR(IF(VALUE(MID($D824,2,20))&lt;100000000,VALUE(MID($D824,2,20)),1000000000),1000000000))+ROW()/100000,"")</f>
        <v/>
      </c>
    </row>
    <row r="825">
      <c r="F825" s="11" t="n"/>
      <c r="N825" s="7">
        <f>IF($D825="","",M825*V825/100)</f>
        <v/>
      </c>
      <c r="O825" s="7" t="n"/>
      <c r="U825" s="7" t="n"/>
      <c r="V825" s="7" t="n"/>
      <c r="Y825">
        <f>IF($D825="","",IF($AN825=1,0,IF($AM825=1,Settings!$C$6,Settings!$C$7))*100)</f>
        <v/>
      </c>
      <c r="Z825" s="7">
        <f>IF($D825="","",V825*Y825/100)</f>
        <v/>
      </c>
      <c r="AA825" s="7">
        <f>IF($D825="","",V825-Z825)</f>
        <v/>
      </c>
      <c r="AB825" s="7">
        <f>IF($D825="","",AA825-N825)</f>
        <v/>
      </c>
      <c r="AF825" s="7" t="n"/>
      <c r="AI825" s="11" t="n"/>
      <c r="AK825">
        <f>IF($D825="","",IF(COUNTIF($D$2:$D825,$D825)=1,1,0))</f>
        <v/>
      </c>
      <c r="AL825">
        <f>IF($AK825=1,SUMPRODUCT(--($AO$2:$AO$3001&lt;$AO825))+1,"")</f>
        <v/>
      </c>
      <c r="AM825">
        <f>IF($D825="","",IF(OR($R825=TRUE(),$R825="TRUE"),1,0))</f>
        <v/>
      </c>
      <c r="AN825">
        <f>IF($D825="","",IF($X825="Yes",1,0))</f>
        <v/>
      </c>
      <c r="AO825">
        <f>IF($AK825=1,IFERROR(IF(VALUE($D825)&lt;100000000,VALUE($D825),1000000000),IFERROR(IF(VALUE(MID($D825,2,20))&lt;100000000,VALUE(MID($D825,2,20)),1000000000),1000000000))+ROW()/100000,"")</f>
        <v/>
      </c>
    </row>
    <row r="826">
      <c r="F826" s="11" t="n"/>
      <c r="N826" s="7">
        <f>IF($D826="","",M826*V826/100)</f>
        <v/>
      </c>
      <c r="O826" s="7" t="n"/>
      <c r="U826" s="7" t="n"/>
      <c r="V826" s="7" t="n"/>
      <c r="Y826">
        <f>IF($D826="","",IF($AN826=1,0,IF($AM826=1,Settings!$C$6,Settings!$C$7))*100)</f>
        <v/>
      </c>
      <c r="Z826" s="7">
        <f>IF($D826="","",V826*Y826/100)</f>
        <v/>
      </c>
      <c r="AA826" s="7">
        <f>IF($D826="","",V826-Z826)</f>
        <v/>
      </c>
      <c r="AB826" s="7">
        <f>IF($D826="","",AA826-N826)</f>
        <v/>
      </c>
      <c r="AF826" s="7" t="n"/>
      <c r="AI826" s="11" t="n"/>
      <c r="AK826">
        <f>IF($D826="","",IF(COUNTIF($D$2:$D826,$D826)=1,1,0))</f>
        <v/>
      </c>
      <c r="AL826">
        <f>IF($AK826=1,SUMPRODUCT(--($AO$2:$AO$3001&lt;$AO826))+1,"")</f>
        <v/>
      </c>
      <c r="AM826">
        <f>IF($D826="","",IF(OR($R826=TRUE(),$R826="TRUE"),1,0))</f>
        <v/>
      </c>
      <c r="AN826">
        <f>IF($D826="","",IF($X826="Yes",1,0))</f>
        <v/>
      </c>
      <c r="AO826">
        <f>IF($AK826=1,IFERROR(IF(VALUE($D826)&lt;100000000,VALUE($D826),1000000000),IFERROR(IF(VALUE(MID($D826,2,20))&lt;100000000,VALUE(MID($D826,2,20)),1000000000),1000000000))+ROW()/100000,"")</f>
        <v/>
      </c>
    </row>
    <row r="827">
      <c r="F827" s="11" t="n"/>
      <c r="N827" s="7">
        <f>IF($D827="","",M827*V827/100)</f>
        <v/>
      </c>
      <c r="O827" s="7" t="n"/>
      <c r="U827" s="7" t="n"/>
      <c r="V827" s="7" t="n"/>
      <c r="Y827">
        <f>IF($D827="","",IF($AN827=1,0,IF($AM827=1,Settings!$C$6,Settings!$C$7))*100)</f>
        <v/>
      </c>
      <c r="Z827" s="7">
        <f>IF($D827="","",V827*Y827/100)</f>
        <v/>
      </c>
      <c r="AA827" s="7">
        <f>IF($D827="","",V827-Z827)</f>
        <v/>
      </c>
      <c r="AB827" s="7">
        <f>IF($D827="","",AA827-N827)</f>
        <v/>
      </c>
      <c r="AF827" s="7" t="n"/>
      <c r="AI827" s="11" t="n"/>
      <c r="AK827">
        <f>IF($D827="","",IF(COUNTIF($D$2:$D827,$D827)=1,1,0))</f>
        <v/>
      </c>
      <c r="AL827">
        <f>IF($AK827=1,SUMPRODUCT(--($AO$2:$AO$3001&lt;$AO827))+1,"")</f>
        <v/>
      </c>
      <c r="AM827">
        <f>IF($D827="","",IF(OR($R827=TRUE(),$R827="TRUE"),1,0))</f>
        <v/>
      </c>
      <c r="AN827">
        <f>IF($D827="","",IF($X827="Yes",1,0))</f>
        <v/>
      </c>
      <c r="AO827">
        <f>IF($AK827=1,IFERROR(IF(VALUE($D827)&lt;100000000,VALUE($D827),1000000000),IFERROR(IF(VALUE(MID($D827,2,20))&lt;100000000,VALUE(MID($D827,2,20)),1000000000),1000000000))+ROW()/100000,"")</f>
        <v/>
      </c>
    </row>
    <row r="828">
      <c r="F828" s="11" t="n"/>
      <c r="N828" s="7">
        <f>IF($D828="","",M828*V828/100)</f>
        <v/>
      </c>
      <c r="O828" s="7" t="n"/>
      <c r="U828" s="7" t="n"/>
      <c r="V828" s="7" t="n"/>
      <c r="Y828">
        <f>IF($D828="","",IF($AN828=1,0,IF($AM828=1,Settings!$C$6,Settings!$C$7))*100)</f>
        <v/>
      </c>
      <c r="Z828" s="7">
        <f>IF($D828="","",V828*Y828/100)</f>
        <v/>
      </c>
      <c r="AA828" s="7">
        <f>IF($D828="","",V828-Z828)</f>
        <v/>
      </c>
      <c r="AB828" s="7">
        <f>IF($D828="","",AA828-N828)</f>
        <v/>
      </c>
      <c r="AF828" s="7" t="n"/>
      <c r="AI828" s="11" t="n"/>
      <c r="AK828">
        <f>IF($D828="","",IF(COUNTIF($D$2:$D828,$D828)=1,1,0))</f>
        <v/>
      </c>
      <c r="AL828">
        <f>IF($AK828=1,SUMPRODUCT(--($AO$2:$AO$3001&lt;$AO828))+1,"")</f>
        <v/>
      </c>
      <c r="AM828">
        <f>IF($D828="","",IF(OR($R828=TRUE(),$R828="TRUE"),1,0))</f>
        <v/>
      </c>
      <c r="AN828">
        <f>IF($D828="","",IF($X828="Yes",1,0))</f>
        <v/>
      </c>
      <c r="AO828">
        <f>IF($AK828=1,IFERROR(IF(VALUE($D828)&lt;100000000,VALUE($D828),1000000000),IFERROR(IF(VALUE(MID($D828,2,20))&lt;100000000,VALUE(MID($D828,2,20)),1000000000),1000000000))+ROW()/100000,"")</f>
        <v/>
      </c>
    </row>
    <row r="829">
      <c r="F829" s="11" t="n"/>
      <c r="N829" s="7">
        <f>IF($D829="","",M829*V829/100)</f>
        <v/>
      </c>
      <c r="O829" s="7" t="n"/>
      <c r="U829" s="7" t="n"/>
      <c r="V829" s="7" t="n"/>
      <c r="Y829">
        <f>IF($D829="","",IF($AN829=1,0,IF($AM829=1,Settings!$C$6,Settings!$C$7))*100)</f>
        <v/>
      </c>
      <c r="Z829" s="7">
        <f>IF($D829="","",V829*Y829/100)</f>
        <v/>
      </c>
      <c r="AA829" s="7">
        <f>IF($D829="","",V829-Z829)</f>
        <v/>
      </c>
      <c r="AB829" s="7">
        <f>IF($D829="","",AA829-N829)</f>
        <v/>
      </c>
      <c r="AF829" s="7" t="n"/>
      <c r="AI829" s="11" t="n"/>
      <c r="AK829">
        <f>IF($D829="","",IF(COUNTIF($D$2:$D829,$D829)=1,1,0))</f>
        <v/>
      </c>
      <c r="AL829">
        <f>IF($AK829=1,SUMPRODUCT(--($AO$2:$AO$3001&lt;$AO829))+1,"")</f>
        <v/>
      </c>
      <c r="AM829">
        <f>IF($D829="","",IF(OR($R829=TRUE(),$R829="TRUE"),1,0))</f>
        <v/>
      </c>
      <c r="AN829">
        <f>IF($D829="","",IF($X829="Yes",1,0))</f>
        <v/>
      </c>
      <c r="AO829">
        <f>IF($AK829=1,IFERROR(IF(VALUE($D829)&lt;100000000,VALUE($D829),1000000000),IFERROR(IF(VALUE(MID($D829,2,20))&lt;100000000,VALUE(MID($D829,2,20)),1000000000),1000000000))+ROW()/100000,"")</f>
        <v/>
      </c>
    </row>
    <row r="830">
      <c r="F830" s="11" t="n"/>
      <c r="N830" s="7">
        <f>IF($D830="","",M830*V830/100)</f>
        <v/>
      </c>
      <c r="O830" s="7" t="n"/>
      <c r="U830" s="7" t="n"/>
      <c r="V830" s="7" t="n"/>
      <c r="Y830">
        <f>IF($D830="","",IF($AN830=1,0,IF($AM830=1,Settings!$C$6,Settings!$C$7))*100)</f>
        <v/>
      </c>
      <c r="Z830" s="7">
        <f>IF($D830="","",V830*Y830/100)</f>
        <v/>
      </c>
      <c r="AA830" s="7">
        <f>IF($D830="","",V830-Z830)</f>
        <v/>
      </c>
      <c r="AB830" s="7">
        <f>IF($D830="","",AA830-N830)</f>
        <v/>
      </c>
      <c r="AF830" s="7" t="n"/>
      <c r="AI830" s="11" t="n"/>
      <c r="AK830">
        <f>IF($D830="","",IF(COUNTIF($D$2:$D830,$D830)=1,1,0))</f>
        <v/>
      </c>
      <c r="AL830">
        <f>IF($AK830=1,SUMPRODUCT(--($AO$2:$AO$3001&lt;$AO830))+1,"")</f>
        <v/>
      </c>
      <c r="AM830">
        <f>IF($D830="","",IF(OR($R830=TRUE(),$R830="TRUE"),1,0))</f>
        <v/>
      </c>
      <c r="AN830">
        <f>IF($D830="","",IF($X830="Yes",1,0))</f>
        <v/>
      </c>
      <c r="AO830">
        <f>IF($AK830=1,IFERROR(IF(VALUE($D830)&lt;100000000,VALUE($D830),1000000000),IFERROR(IF(VALUE(MID($D830,2,20))&lt;100000000,VALUE(MID($D830,2,20)),1000000000),1000000000))+ROW()/100000,"")</f>
        <v/>
      </c>
    </row>
    <row r="831">
      <c r="F831" s="11" t="n"/>
      <c r="N831" s="7">
        <f>IF($D831="","",M831*V831/100)</f>
        <v/>
      </c>
      <c r="O831" s="7" t="n"/>
      <c r="U831" s="7" t="n"/>
      <c r="V831" s="7" t="n"/>
      <c r="Y831">
        <f>IF($D831="","",IF($AN831=1,0,IF($AM831=1,Settings!$C$6,Settings!$C$7))*100)</f>
        <v/>
      </c>
      <c r="Z831" s="7">
        <f>IF($D831="","",V831*Y831/100)</f>
        <v/>
      </c>
      <c r="AA831" s="7">
        <f>IF($D831="","",V831-Z831)</f>
        <v/>
      </c>
      <c r="AB831" s="7">
        <f>IF($D831="","",AA831-N831)</f>
        <v/>
      </c>
      <c r="AF831" s="7" t="n"/>
      <c r="AI831" s="11" t="n"/>
      <c r="AK831">
        <f>IF($D831="","",IF(COUNTIF($D$2:$D831,$D831)=1,1,0))</f>
        <v/>
      </c>
      <c r="AL831">
        <f>IF($AK831=1,SUMPRODUCT(--($AO$2:$AO$3001&lt;$AO831))+1,"")</f>
        <v/>
      </c>
      <c r="AM831">
        <f>IF($D831="","",IF(OR($R831=TRUE(),$R831="TRUE"),1,0))</f>
        <v/>
      </c>
      <c r="AN831">
        <f>IF($D831="","",IF($X831="Yes",1,0))</f>
        <v/>
      </c>
      <c r="AO831">
        <f>IF($AK831=1,IFERROR(IF(VALUE($D831)&lt;100000000,VALUE($D831),1000000000),IFERROR(IF(VALUE(MID($D831,2,20))&lt;100000000,VALUE(MID($D831,2,20)),1000000000),1000000000))+ROW()/100000,"")</f>
        <v/>
      </c>
    </row>
    <row r="832">
      <c r="F832" s="11" t="n"/>
      <c r="N832" s="7">
        <f>IF($D832="","",M832*V832/100)</f>
        <v/>
      </c>
      <c r="O832" s="7" t="n"/>
      <c r="U832" s="7" t="n"/>
      <c r="V832" s="7" t="n"/>
      <c r="Y832">
        <f>IF($D832="","",IF($AN832=1,0,IF($AM832=1,Settings!$C$6,Settings!$C$7))*100)</f>
        <v/>
      </c>
      <c r="Z832" s="7">
        <f>IF($D832="","",V832*Y832/100)</f>
        <v/>
      </c>
      <c r="AA832" s="7">
        <f>IF($D832="","",V832-Z832)</f>
        <v/>
      </c>
      <c r="AB832" s="7">
        <f>IF($D832="","",AA832-N832)</f>
        <v/>
      </c>
      <c r="AF832" s="7" t="n"/>
      <c r="AI832" s="11" t="n"/>
      <c r="AK832">
        <f>IF($D832="","",IF(COUNTIF($D$2:$D832,$D832)=1,1,0))</f>
        <v/>
      </c>
      <c r="AL832">
        <f>IF($AK832=1,SUMPRODUCT(--($AO$2:$AO$3001&lt;$AO832))+1,"")</f>
        <v/>
      </c>
      <c r="AM832">
        <f>IF($D832="","",IF(OR($R832=TRUE(),$R832="TRUE"),1,0))</f>
        <v/>
      </c>
      <c r="AN832">
        <f>IF($D832="","",IF($X832="Yes",1,0))</f>
        <v/>
      </c>
      <c r="AO832">
        <f>IF($AK832=1,IFERROR(IF(VALUE($D832)&lt;100000000,VALUE($D832),1000000000),IFERROR(IF(VALUE(MID($D832,2,20))&lt;100000000,VALUE(MID($D832,2,20)),1000000000),1000000000))+ROW()/100000,"")</f>
        <v/>
      </c>
    </row>
    <row r="833">
      <c r="F833" s="11" t="n"/>
      <c r="N833" s="7">
        <f>IF($D833="","",M833*V833/100)</f>
        <v/>
      </c>
      <c r="O833" s="7" t="n"/>
      <c r="U833" s="7" t="n"/>
      <c r="V833" s="7" t="n"/>
      <c r="Y833">
        <f>IF($D833="","",IF($AN833=1,0,IF($AM833=1,Settings!$C$6,Settings!$C$7))*100)</f>
        <v/>
      </c>
      <c r="Z833" s="7">
        <f>IF($D833="","",V833*Y833/100)</f>
        <v/>
      </c>
      <c r="AA833" s="7">
        <f>IF($D833="","",V833-Z833)</f>
        <v/>
      </c>
      <c r="AB833" s="7">
        <f>IF($D833="","",AA833-N833)</f>
        <v/>
      </c>
      <c r="AF833" s="7" t="n"/>
      <c r="AI833" s="11" t="n"/>
      <c r="AK833">
        <f>IF($D833="","",IF(COUNTIF($D$2:$D833,$D833)=1,1,0))</f>
        <v/>
      </c>
      <c r="AL833">
        <f>IF($AK833=1,SUMPRODUCT(--($AO$2:$AO$3001&lt;$AO833))+1,"")</f>
        <v/>
      </c>
      <c r="AM833">
        <f>IF($D833="","",IF(OR($R833=TRUE(),$R833="TRUE"),1,0))</f>
        <v/>
      </c>
      <c r="AN833">
        <f>IF($D833="","",IF($X833="Yes",1,0))</f>
        <v/>
      </c>
      <c r="AO833">
        <f>IF($AK833=1,IFERROR(IF(VALUE($D833)&lt;100000000,VALUE($D833),1000000000),IFERROR(IF(VALUE(MID($D833,2,20))&lt;100000000,VALUE(MID($D833,2,20)),1000000000),1000000000))+ROW()/100000,"")</f>
        <v/>
      </c>
    </row>
    <row r="834">
      <c r="F834" s="11" t="n"/>
      <c r="N834" s="7">
        <f>IF($D834="","",M834*V834/100)</f>
        <v/>
      </c>
      <c r="O834" s="7" t="n"/>
      <c r="U834" s="7" t="n"/>
      <c r="V834" s="7" t="n"/>
      <c r="Y834">
        <f>IF($D834="","",IF($AN834=1,0,IF($AM834=1,Settings!$C$6,Settings!$C$7))*100)</f>
        <v/>
      </c>
      <c r="Z834" s="7">
        <f>IF($D834="","",V834*Y834/100)</f>
        <v/>
      </c>
      <c r="AA834" s="7">
        <f>IF($D834="","",V834-Z834)</f>
        <v/>
      </c>
      <c r="AB834" s="7">
        <f>IF($D834="","",AA834-N834)</f>
        <v/>
      </c>
      <c r="AF834" s="7" t="n"/>
      <c r="AI834" s="11" t="n"/>
      <c r="AK834">
        <f>IF($D834="","",IF(COUNTIF($D$2:$D834,$D834)=1,1,0))</f>
        <v/>
      </c>
      <c r="AL834">
        <f>IF($AK834=1,SUMPRODUCT(--($AO$2:$AO$3001&lt;$AO834))+1,"")</f>
        <v/>
      </c>
      <c r="AM834">
        <f>IF($D834="","",IF(OR($R834=TRUE(),$R834="TRUE"),1,0))</f>
        <v/>
      </c>
      <c r="AN834">
        <f>IF($D834="","",IF($X834="Yes",1,0))</f>
        <v/>
      </c>
      <c r="AO834">
        <f>IF($AK834=1,IFERROR(IF(VALUE($D834)&lt;100000000,VALUE($D834),1000000000),IFERROR(IF(VALUE(MID($D834,2,20))&lt;100000000,VALUE(MID($D834,2,20)),1000000000),1000000000))+ROW()/100000,"")</f>
        <v/>
      </c>
    </row>
    <row r="835">
      <c r="F835" s="11" t="n"/>
      <c r="N835" s="7">
        <f>IF($D835="","",M835*V835/100)</f>
        <v/>
      </c>
      <c r="O835" s="7" t="n"/>
      <c r="U835" s="7" t="n"/>
      <c r="V835" s="7" t="n"/>
      <c r="Y835">
        <f>IF($D835="","",IF($AN835=1,0,IF($AM835=1,Settings!$C$6,Settings!$C$7))*100)</f>
        <v/>
      </c>
      <c r="Z835" s="7">
        <f>IF($D835="","",V835*Y835/100)</f>
        <v/>
      </c>
      <c r="AA835" s="7">
        <f>IF($D835="","",V835-Z835)</f>
        <v/>
      </c>
      <c r="AB835" s="7">
        <f>IF($D835="","",AA835-N835)</f>
        <v/>
      </c>
      <c r="AF835" s="7" t="n"/>
      <c r="AI835" s="11" t="n"/>
      <c r="AK835">
        <f>IF($D835="","",IF(COUNTIF($D$2:$D835,$D835)=1,1,0))</f>
        <v/>
      </c>
      <c r="AL835">
        <f>IF($AK835=1,SUMPRODUCT(--($AO$2:$AO$3001&lt;$AO835))+1,"")</f>
        <v/>
      </c>
      <c r="AM835">
        <f>IF($D835="","",IF(OR($R835=TRUE(),$R835="TRUE"),1,0))</f>
        <v/>
      </c>
      <c r="AN835">
        <f>IF($D835="","",IF($X835="Yes",1,0))</f>
        <v/>
      </c>
      <c r="AO835">
        <f>IF($AK835=1,IFERROR(IF(VALUE($D835)&lt;100000000,VALUE($D835),1000000000),IFERROR(IF(VALUE(MID($D835,2,20))&lt;100000000,VALUE(MID($D835,2,20)),1000000000),1000000000))+ROW()/100000,"")</f>
        <v/>
      </c>
    </row>
    <row r="836">
      <c r="F836" s="11" t="n"/>
      <c r="N836" s="7">
        <f>IF($D836="","",M836*V836/100)</f>
        <v/>
      </c>
      <c r="O836" s="7" t="n"/>
      <c r="U836" s="7" t="n"/>
      <c r="V836" s="7" t="n"/>
      <c r="Y836">
        <f>IF($D836="","",IF($AN836=1,0,IF($AM836=1,Settings!$C$6,Settings!$C$7))*100)</f>
        <v/>
      </c>
      <c r="Z836" s="7">
        <f>IF($D836="","",V836*Y836/100)</f>
        <v/>
      </c>
      <c r="AA836" s="7">
        <f>IF($D836="","",V836-Z836)</f>
        <v/>
      </c>
      <c r="AB836" s="7">
        <f>IF($D836="","",AA836-N836)</f>
        <v/>
      </c>
      <c r="AF836" s="7" t="n"/>
      <c r="AI836" s="11" t="n"/>
      <c r="AK836">
        <f>IF($D836="","",IF(COUNTIF($D$2:$D836,$D836)=1,1,0))</f>
        <v/>
      </c>
      <c r="AL836">
        <f>IF($AK836=1,SUMPRODUCT(--($AO$2:$AO$3001&lt;$AO836))+1,"")</f>
        <v/>
      </c>
      <c r="AM836">
        <f>IF($D836="","",IF(OR($R836=TRUE(),$R836="TRUE"),1,0))</f>
        <v/>
      </c>
      <c r="AN836">
        <f>IF($D836="","",IF($X836="Yes",1,0))</f>
        <v/>
      </c>
      <c r="AO836">
        <f>IF($AK836=1,IFERROR(IF(VALUE($D836)&lt;100000000,VALUE($D836),1000000000),IFERROR(IF(VALUE(MID($D836,2,20))&lt;100000000,VALUE(MID($D836,2,20)),1000000000),1000000000))+ROW()/100000,"")</f>
        <v/>
      </c>
    </row>
    <row r="837">
      <c r="F837" s="11" t="n"/>
      <c r="N837" s="7">
        <f>IF($D837="","",M837*V837/100)</f>
        <v/>
      </c>
      <c r="O837" s="7" t="n"/>
      <c r="U837" s="7" t="n"/>
      <c r="V837" s="7" t="n"/>
      <c r="Y837">
        <f>IF($D837="","",IF($AN837=1,0,IF($AM837=1,Settings!$C$6,Settings!$C$7))*100)</f>
        <v/>
      </c>
      <c r="Z837" s="7">
        <f>IF($D837="","",V837*Y837/100)</f>
        <v/>
      </c>
      <c r="AA837" s="7">
        <f>IF($D837="","",V837-Z837)</f>
        <v/>
      </c>
      <c r="AB837" s="7">
        <f>IF($D837="","",AA837-N837)</f>
        <v/>
      </c>
      <c r="AF837" s="7" t="n"/>
      <c r="AI837" s="11" t="n"/>
      <c r="AK837">
        <f>IF($D837="","",IF(COUNTIF($D$2:$D837,$D837)=1,1,0))</f>
        <v/>
      </c>
      <c r="AL837">
        <f>IF($AK837=1,SUMPRODUCT(--($AO$2:$AO$3001&lt;$AO837))+1,"")</f>
        <v/>
      </c>
      <c r="AM837">
        <f>IF($D837="","",IF(OR($R837=TRUE(),$R837="TRUE"),1,0))</f>
        <v/>
      </c>
      <c r="AN837">
        <f>IF($D837="","",IF($X837="Yes",1,0))</f>
        <v/>
      </c>
      <c r="AO837">
        <f>IF($AK837=1,IFERROR(IF(VALUE($D837)&lt;100000000,VALUE($D837),1000000000),IFERROR(IF(VALUE(MID($D837,2,20))&lt;100000000,VALUE(MID($D837,2,20)),1000000000),1000000000))+ROW()/100000,"")</f>
        <v/>
      </c>
    </row>
    <row r="838">
      <c r="F838" s="11" t="n"/>
      <c r="N838" s="7">
        <f>IF($D838="","",M838*V838/100)</f>
        <v/>
      </c>
      <c r="O838" s="7" t="n"/>
      <c r="U838" s="7" t="n"/>
      <c r="V838" s="7" t="n"/>
      <c r="Y838">
        <f>IF($D838="","",IF($AN838=1,0,IF($AM838=1,Settings!$C$6,Settings!$C$7))*100)</f>
        <v/>
      </c>
      <c r="Z838" s="7">
        <f>IF($D838="","",V838*Y838/100)</f>
        <v/>
      </c>
      <c r="AA838" s="7">
        <f>IF($D838="","",V838-Z838)</f>
        <v/>
      </c>
      <c r="AB838" s="7">
        <f>IF($D838="","",AA838-N838)</f>
        <v/>
      </c>
      <c r="AF838" s="7" t="n"/>
      <c r="AI838" s="11" t="n"/>
      <c r="AK838">
        <f>IF($D838="","",IF(COUNTIF($D$2:$D838,$D838)=1,1,0))</f>
        <v/>
      </c>
      <c r="AL838">
        <f>IF($AK838=1,SUMPRODUCT(--($AO$2:$AO$3001&lt;$AO838))+1,"")</f>
        <v/>
      </c>
      <c r="AM838">
        <f>IF($D838="","",IF(OR($R838=TRUE(),$R838="TRUE"),1,0))</f>
        <v/>
      </c>
      <c r="AN838">
        <f>IF($D838="","",IF($X838="Yes",1,0))</f>
        <v/>
      </c>
      <c r="AO838">
        <f>IF($AK838=1,IFERROR(IF(VALUE($D838)&lt;100000000,VALUE($D838),1000000000),IFERROR(IF(VALUE(MID($D838,2,20))&lt;100000000,VALUE(MID($D838,2,20)),1000000000),1000000000))+ROW()/100000,"")</f>
        <v/>
      </c>
    </row>
    <row r="839">
      <c r="F839" s="11" t="n"/>
      <c r="N839" s="7">
        <f>IF($D839="","",M839*V839/100)</f>
        <v/>
      </c>
      <c r="O839" s="7" t="n"/>
      <c r="U839" s="7" t="n"/>
      <c r="V839" s="7" t="n"/>
      <c r="Y839">
        <f>IF($D839="","",IF($AN839=1,0,IF($AM839=1,Settings!$C$6,Settings!$C$7))*100)</f>
        <v/>
      </c>
      <c r="Z839" s="7">
        <f>IF($D839="","",V839*Y839/100)</f>
        <v/>
      </c>
      <c r="AA839" s="7">
        <f>IF($D839="","",V839-Z839)</f>
        <v/>
      </c>
      <c r="AB839" s="7">
        <f>IF($D839="","",AA839-N839)</f>
        <v/>
      </c>
      <c r="AF839" s="7" t="n"/>
      <c r="AI839" s="11" t="n"/>
      <c r="AK839">
        <f>IF($D839="","",IF(COUNTIF($D$2:$D839,$D839)=1,1,0))</f>
        <v/>
      </c>
      <c r="AL839">
        <f>IF($AK839=1,SUMPRODUCT(--($AO$2:$AO$3001&lt;$AO839))+1,"")</f>
        <v/>
      </c>
      <c r="AM839">
        <f>IF($D839="","",IF(OR($R839=TRUE(),$R839="TRUE"),1,0))</f>
        <v/>
      </c>
      <c r="AN839">
        <f>IF($D839="","",IF($X839="Yes",1,0))</f>
        <v/>
      </c>
      <c r="AO839">
        <f>IF($AK839=1,IFERROR(IF(VALUE($D839)&lt;100000000,VALUE($D839),1000000000),IFERROR(IF(VALUE(MID($D839,2,20))&lt;100000000,VALUE(MID($D839,2,20)),1000000000),1000000000))+ROW()/100000,"")</f>
        <v/>
      </c>
    </row>
    <row r="840">
      <c r="F840" s="11" t="n"/>
      <c r="N840" s="7">
        <f>IF($D840="","",M840*V840/100)</f>
        <v/>
      </c>
      <c r="O840" s="7" t="n"/>
      <c r="U840" s="7" t="n"/>
      <c r="V840" s="7" t="n"/>
      <c r="Y840">
        <f>IF($D840="","",IF($AN840=1,0,IF($AM840=1,Settings!$C$6,Settings!$C$7))*100)</f>
        <v/>
      </c>
      <c r="Z840" s="7">
        <f>IF($D840="","",V840*Y840/100)</f>
        <v/>
      </c>
      <c r="AA840" s="7">
        <f>IF($D840="","",V840-Z840)</f>
        <v/>
      </c>
      <c r="AB840" s="7">
        <f>IF($D840="","",AA840-N840)</f>
        <v/>
      </c>
      <c r="AF840" s="7" t="n"/>
      <c r="AI840" s="11" t="n"/>
      <c r="AK840">
        <f>IF($D840="","",IF(COUNTIF($D$2:$D840,$D840)=1,1,0))</f>
        <v/>
      </c>
      <c r="AL840">
        <f>IF($AK840=1,SUMPRODUCT(--($AO$2:$AO$3001&lt;$AO840))+1,"")</f>
        <v/>
      </c>
      <c r="AM840">
        <f>IF($D840="","",IF(OR($R840=TRUE(),$R840="TRUE"),1,0))</f>
        <v/>
      </c>
      <c r="AN840">
        <f>IF($D840="","",IF($X840="Yes",1,0))</f>
        <v/>
      </c>
      <c r="AO840">
        <f>IF($AK840=1,IFERROR(IF(VALUE($D840)&lt;100000000,VALUE($D840),1000000000),IFERROR(IF(VALUE(MID($D840,2,20))&lt;100000000,VALUE(MID($D840,2,20)),1000000000),1000000000))+ROW()/100000,"")</f>
        <v/>
      </c>
    </row>
    <row r="841">
      <c r="F841" s="11" t="n"/>
      <c r="N841" s="7">
        <f>IF($D841="","",M841*V841/100)</f>
        <v/>
      </c>
      <c r="O841" s="7" t="n"/>
      <c r="U841" s="7" t="n"/>
      <c r="V841" s="7" t="n"/>
      <c r="Y841">
        <f>IF($D841="","",IF($AN841=1,0,IF($AM841=1,Settings!$C$6,Settings!$C$7))*100)</f>
        <v/>
      </c>
      <c r="Z841" s="7">
        <f>IF($D841="","",V841*Y841/100)</f>
        <v/>
      </c>
      <c r="AA841" s="7">
        <f>IF($D841="","",V841-Z841)</f>
        <v/>
      </c>
      <c r="AB841" s="7">
        <f>IF($D841="","",AA841-N841)</f>
        <v/>
      </c>
      <c r="AF841" s="7" t="n"/>
      <c r="AI841" s="11" t="n"/>
      <c r="AK841">
        <f>IF($D841="","",IF(COUNTIF($D$2:$D841,$D841)=1,1,0))</f>
        <v/>
      </c>
      <c r="AL841">
        <f>IF($AK841=1,SUMPRODUCT(--($AO$2:$AO$3001&lt;$AO841))+1,"")</f>
        <v/>
      </c>
      <c r="AM841">
        <f>IF($D841="","",IF(OR($R841=TRUE(),$R841="TRUE"),1,0))</f>
        <v/>
      </c>
      <c r="AN841">
        <f>IF($D841="","",IF($X841="Yes",1,0))</f>
        <v/>
      </c>
      <c r="AO841">
        <f>IF($AK841=1,IFERROR(IF(VALUE($D841)&lt;100000000,VALUE($D841),1000000000),IFERROR(IF(VALUE(MID($D841,2,20))&lt;100000000,VALUE(MID($D841,2,20)),1000000000),1000000000))+ROW()/100000,"")</f>
        <v/>
      </c>
    </row>
    <row r="842">
      <c r="F842" s="11" t="n"/>
      <c r="N842" s="7">
        <f>IF($D842="","",M842*V842/100)</f>
        <v/>
      </c>
      <c r="O842" s="7" t="n"/>
      <c r="U842" s="7" t="n"/>
      <c r="V842" s="7" t="n"/>
      <c r="Y842">
        <f>IF($D842="","",IF($AN842=1,0,IF($AM842=1,Settings!$C$6,Settings!$C$7))*100)</f>
        <v/>
      </c>
      <c r="Z842" s="7">
        <f>IF($D842="","",V842*Y842/100)</f>
        <v/>
      </c>
      <c r="AA842" s="7">
        <f>IF($D842="","",V842-Z842)</f>
        <v/>
      </c>
      <c r="AB842" s="7">
        <f>IF($D842="","",AA842-N842)</f>
        <v/>
      </c>
      <c r="AF842" s="7" t="n"/>
      <c r="AI842" s="11" t="n"/>
      <c r="AK842">
        <f>IF($D842="","",IF(COUNTIF($D$2:$D842,$D842)=1,1,0))</f>
        <v/>
      </c>
      <c r="AL842">
        <f>IF($AK842=1,SUMPRODUCT(--($AO$2:$AO$3001&lt;$AO842))+1,"")</f>
        <v/>
      </c>
      <c r="AM842">
        <f>IF($D842="","",IF(OR($R842=TRUE(),$R842="TRUE"),1,0))</f>
        <v/>
      </c>
      <c r="AN842">
        <f>IF($D842="","",IF($X842="Yes",1,0))</f>
        <v/>
      </c>
      <c r="AO842">
        <f>IF($AK842=1,IFERROR(IF(VALUE($D842)&lt;100000000,VALUE($D842),1000000000),IFERROR(IF(VALUE(MID($D842,2,20))&lt;100000000,VALUE(MID($D842,2,20)),1000000000),1000000000))+ROW()/100000,"")</f>
        <v/>
      </c>
    </row>
    <row r="843">
      <c r="F843" s="11" t="n"/>
      <c r="N843" s="7">
        <f>IF($D843="","",M843*V843/100)</f>
        <v/>
      </c>
      <c r="O843" s="7" t="n"/>
      <c r="U843" s="7" t="n"/>
      <c r="V843" s="7" t="n"/>
      <c r="Y843">
        <f>IF($D843="","",IF($AN843=1,0,IF($AM843=1,Settings!$C$6,Settings!$C$7))*100)</f>
        <v/>
      </c>
      <c r="Z843" s="7">
        <f>IF($D843="","",V843*Y843/100)</f>
        <v/>
      </c>
      <c r="AA843" s="7">
        <f>IF($D843="","",V843-Z843)</f>
        <v/>
      </c>
      <c r="AB843" s="7">
        <f>IF($D843="","",AA843-N843)</f>
        <v/>
      </c>
      <c r="AF843" s="7" t="n"/>
      <c r="AI843" s="11" t="n"/>
      <c r="AK843">
        <f>IF($D843="","",IF(COUNTIF($D$2:$D843,$D843)=1,1,0))</f>
        <v/>
      </c>
      <c r="AL843">
        <f>IF($AK843=1,SUMPRODUCT(--($AO$2:$AO$3001&lt;$AO843))+1,"")</f>
        <v/>
      </c>
      <c r="AM843">
        <f>IF($D843="","",IF(OR($R843=TRUE(),$R843="TRUE"),1,0))</f>
        <v/>
      </c>
      <c r="AN843">
        <f>IF($D843="","",IF($X843="Yes",1,0))</f>
        <v/>
      </c>
      <c r="AO843">
        <f>IF($AK843=1,IFERROR(IF(VALUE($D843)&lt;100000000,VALUE($D843),1000000000),IFERROR(IF(VALUE(MID($D843,2,20))&lt;100000000,VALUE(MID($D843,2,20)),1000000000),1000000000))+ROW()/100000,"")</f>
        <v/>
      </c>
    </row>
    <row r="844">
      <c r="F844" s="11" t="n"/>
      <c r="N844" s="7">
        <f>IF($D844="","",M844*V844/100)</f>
        <v/>
      </c>
      <c r="O844" s="7" t="n"/>
      <c r="U844" s="7" t="n"/>
      <c r="V844" s="7" t="n"/>
      <c r="Y844">
        <f>IF($D844="","",IF($AN844=1,0,IF($AM844=1,Settings!$C$6,Settings!$C$7))*100)</f>
        <v/>
      </c>
      <c r="Z844" s="7">
        <f>IF($D844="","",V844*Y844/100)</f>
        <v/>
      </c>
      <c r="AA844" s="7">
        <f>IF($D844="","",V844-Z844)</f>
        <v/>
      </c>
      <c r="AB844" s="7">
        <f>IF($D844="","",AA844-N844)</f>
        <v/>
      </c>
      <c r="AF844" s="7" t="n"/>
      <c r="AI844" s="11" t="n"/>
      <c r="AK844">
        <f>IF($D844="","",IF(COUNTIF($D$2:$D844,$D844)=1,1,0))</f>
        <v/>
      </c>
      <c r="AL844">
        <f>IF($AK844=1,SUMPRODUCT(--($AO$2:$AO$3001&lt;$AO844))+1,"")</f>
        <v/>
      </c>
      <c r="AM844">
        <f>IF($D844="","",IF(OR($R844=TRUE(),$R844="TRUE"),1,0))</f>
        <v/>
      </c>
      <c r="AN844">
        <f>IF($D844="","",IF($X844="Yes",1,0))</f>
        <v/>
      </c>
      <c r="AO844">
        <f>IF($AK844=1,IFERROR(IF(VALUE($D844)&lt;100000000,VALUE($D844),1000000000),IFERROR(IF(VALUE(MID($D844,2,20))&lt;100000000,VALUE(MID($D844,2,20)),1000000000),1000000000))+ROW()/100000,"")</f>
        <v/>
      </c>
    </row>
    <row r="845">
      <c r="F845" s="11" t="n"/>
      <c r="N845" s="7">
        <f>IF($D845="","",M845*V845/100)</f>
        <v/>
      </c>
      <c r="O845" s="7" t="n"/>
      <c r="U845" s="7" t="n"/>
      <c r="V845" s="7" t="n"/>
      <c r="Y845">
        <f>IF($D845="","",IF($AN845=1,0,IF($AM845=1,Settings!$C$6,Settings!$C$7))*100)</f>
        <v/>
      </c>
      <c r="Z845" s="7">
        <f>IF($D845="","",V845*Y845/100)</f>
        <v/>
      </c>
      <c r="AA845" s="7">
        <f>IF($D845="","",V845-Z845)</f>
        <v/>
      </c>
      <c r="AB845" s="7">
        <f>IF($D845="","",AA845-N845)</f>
        <v/>
      </c>
      <c r="AF845" s="7" t="n"/>
      <c r="AI845" s="11" t="n"/>
      <c r="AK845">
        <f>IF($D845="","",IF(COUNTIF($D$2:$D845,$D845)=1,1,0))</f>
        <v/>
      </c>
      <c r="AL845">
        <f>IF($AK845=1,SUMPRODUCT(--($AO$2:$AO$3001&lt;$AO845))+1,"")</f>
        <v/>
      </c>
      <c r="AM845">
        <f>IF($D845="","",IF(OR($R845=TRUE(),$R845="TRUE"),1,0))</f>
        <v/>
      </c>
      <c r="AN845">
        <f>IF($D845="","",IF($X845="Yes",1,0))</f>
        <v/>
      </c>
      <c r="AO845">
        <f>IF($AK845=1,IFERROR(IF(VALUE($D845)&lt;100000000,VALUE($D845),1000000000),IFERROR(IF(VALUE(MID($D845,2,20))&lt;100000000,VALUE(MID($D845,2,20)),1000000000),1000000000))+ROW()/100000,"")</f>
        <v/>
      </c>
    </row>
    <row r="846">
      <c r="F846" s="11" t="n"/>
      <c r="N846" s="7">
        <f>IF($D846="","",M846*V846/100)</f>
        <v/>
      </c>
      <c r="O846" s="7" t="n"/>
      <c r="U846" s="7" t="n"/>
      <c r="V846" s="7" t="n"/>
      <c r="Y846">
        <f>IF($D846="","",IF($AN846=1,0,IF($AM846=1,Settings!$C$6,Settings!$C$7))*100)</f>
        <v/>
      </c>
      <c r="Z846" s="7">
        <f>IF($D846="","",V846*Y846/100)</f>
        <v/>
      </c>
      <c r="AA846" s="7">
        <f>IF($D846="","",V846-Z846)</f>
        <v/>
      </c>
      <c r="AB846" s="7">
        <f>IF($D846="","",AA846-N846)</f>
        <v/>
      </c>
      <c r="AF846" s="7" t="n"/>
      <c r="AI846" s="11" t="n"/>
      <c r="AK846">
        <f>IF($D846="","",IF(COUNTIF($D$2:$D846,$D846)=1,1,0))</f>
        <v/>
      </c>
      <c r="AL846">
        <f>IF($AK846=1,SUMPRODUCT(--($AO$2:$AO$3001&lt;$AO846))+1,"")</f>
        <v/>
      </c>
      <c r="AM846">
        <f>IF($D846="","",IF(OR($R846=TRUE(),$R846="TRUE"),1,0))</f>
        <v/>
      </c>
      <c r="AN846">
        <f>IF($D846="","",IF($X846="Yes",1,0))</f>
        <v/>
      </c>
      <c r="AO846">
        <f>IF($AK846=1,IFERROR(IF(VALUE($D846)&lt;100000000,VALUE($D846),1000000000),IFERROR(IF(VALUE(MID($D846,2,20))&lt;100000000,VALUE(MID($D846,2,20)),1000000000),1000000000))+ROW()/100000,"")</f>
        <v/>
      </c>
    </row>
    <row r="847">
      <c r="F847" s="11" t="n"/>
      <c r="N847" s="7">
        <f>IF($D847="","",M847*V847/100)</f>
        <v/>
      </c>
      <c r="O847" s="7" t="n"/>
      <c r="U847" s="7" t="n"/>
      <c r="V847" s="7" t="n"/>
      <c r="Y847">
        <f>IF($D847="","",IF($AN847=1,0,IF($AM847=1,Settings!$C$6,Settings!$C$7))*100)</f>
        <v/>
      </c>
      <c r="Z847" s="7">
        <f>IF($D847="","",V847*Y847/100)</f>
        <v/>
      </c>
      <c r="AA847" s="7">
        <f>IF($D847="","",V847-Z847)</f>
        <v/>
      </c>
      <c r="AB847" s="7">
        <f>IF($D847="","",AA847-N847)</f>
        <v/>
      </c>
      <c r="AF847" s="7" t="n"/>
      <c r="AI847" s="11" t="n"/>
      <c r="AK847">
        <f>IF($D847="","",IF(COUNTIF($D$2:$D847,$D847)=1,1,0))</f>
        <v/>
      </c>
      <c r="AL847">
        <f>IF($AK847=1,SUMPRODUCT(--($AO$2:$AO$3001&lt;$AO847))+1,"")</f>
        <v/>
      </c>
      <c r="AM847">
        <f>IF($D847="","",IF(OR($R847=TRUE(),$R847="TRUE"),1,0))</f>
        <v/>
      </c>
      <c r="AN847">
        <f>IF($D847="","",IF($X847="Yes",1,0))</f>
        <v/>
      </c>
      <c r="AO847">
        <f>IF($AK847=1,IFERROR(IF(VALUE($D847)&lt;100000000,VALUE($D847),1000000000),IFERROR(IF(VALUE(MID($D847,2,20))&lt;100000000,VALUE(MID($D847,2,20)),1000000000),1000000000))+ROW()/100000,"")</f>
        <v/>
      </c>
    </row>
    <row r="848">
      <c r="F848" s="11" t="n"/>
      <c r="N848" s="7">
        <f>IF($D848="","",M848*V848/100)</f>
        <v/>
      </c>
      <c r="O848" s="7" t="n"/>
      <c r="U848" s="7" t="n"/>
      <c r="V848" s="7" t="n"/>
      <c r="Y848">
        <f>IF($D848="","",IF($AN848=1,0,IF($AM848=1,Settings!$C$6,Settings!$C$7))*100)</f>
        <v/>
      </c>
      <c r="Z848" s="7">
        <f>IF($D848="","",V848*Y848/100)</f>
        <v/>
      </c>
      <c r="AA848" s="7">
        <f>IF($D848="","",V848-Z848)</f>
        <v/>
      </c>
      <c r="AB848" s="7">
        <f>IF($D848="","",AA848-N848)</f>
        <v/>
      </c>
      <c r="AF848" s="7" t="n"/>
      <c r="AI848" s="11" t="n"/>
      <c r="AK848">
        <f>IF($D848="","",IF(COUNTIF($D$2:$D848,$D848)=1,1,0))</f>
        <v/>
      </c>
      <c r="AL848">
        <f>IF($AK848=1,SUMPRODUCT(--($AO$2:$AO$3001&lt;$AO848))+1,"")</f>
        <v/>
      </c>
      <c r="AM848">
        <f>IF($D848="","",IF(OR($R848=TRUE(),$R848="TRUE"),1,0))</f>
        <v/>
      </c>
      <c r="AN848">
        <f>IF($D848="","",IF($X848="Yes",1,0))</f>
        <v/>
      </c>
      <c r="AO848">
        <f>IF($AK848=1,IFERROR(IF(VALUE($D848)&lt;100000000,VALUE($D848),1000000000),IFERROR(IF(VALUE(MID($D848,2,20))&lt;100000000,VALUE(MID($D848,2,20)),1000000000),1000000000))+ROW()/100000,"")</f>
        <v/>
      </c>
    </row>
    <row r="849">
      <c r="F849" s="11" t="n"/>
      <c r="N849" s="7">
        <f>IF($D849="","",M849*V849/100)</f>
        <v/>
      </c>
      <c r="O849" s="7" t="n"/>
      <c r="U849" s="7" t="n"/>
      <c r="V849" s="7" t="n"/>
      <c r="Y849">
        <f>IF($D849="","",IF($AN849=1,0,IF($AM849=1,Settings!$C$6,Settings!$C$7))*100)</f>
        <v/>
      </c>
      <c r="Z849" s="7">
        <f>IF($D849="","",V849*Y849/100)</f>
        <v/>
      </c>
      <c r="AA849" s="7">
        <f>IF($D849="","",V849-Z849)</f>
        <v/>
      </c>
      <c r="AB849" s="7">
        <f>IF($D849="","",AA849-N849)</f>
        <v/>
      </c>
      <c r="AF849" s="7" t="n"/>
      <c r="AI849" s="11" t="n"/>
      <c r="AK849">
        <f>IF($D849="","",IF(COUNTIF($D$2:$D849,$D849)=1,1,0))</f>
        <v/>
      </c>
      <c r="AL849">
        <f>IF($AK849=1,SUMPRODUCT(--($AO$2:$AO$3001&lt;$AO849))+1,"")</f>
        <v/>
      </c>
      <c r="AM849">
        <f>IF($D849="","",IF(OR($R849=TRUE(),$R849="TRUE"),1,0))</f>
        <v/>
      </c>
      <c r="AN849">
        <f>IF($D849="","",IF($X849="Yes",1,0))</f>
        <v/>
      </c>
      <c r="AO849">
        <f>IF($AK849=1,IFERROR(IF(VALUE($D849)&lt;100000000,VALUE($D849),1000000000),IFERROR(IF(VALUE(MID($D849,2,20))&lt;100000000,VALUE(MID($D849,2,20)),1000000000),1000000000))+ROW()/100000,"")</f>
        <v/>
      </c>
    </row>
    <row r="850">
      <c r="F850" s="11" t="n"/>
      <c r="N850" s="7">
        <f>IF($D850="","",M850*V850/100)</f>
        <v/>
      </c>
      <c r="O850" s="7" t="n"/>
      <c r="U850" s="7" t="n"/>
      <c r="V850" s="7" t="n"/>
      <c r="Y850">
        <f>IF($D850="","",IF($AN850=1,0,IF($AM850=1,Settings!$C$6,Settings!$C$7))*100)</f>
        <v/>
      </c>
      <c r="Z850" s="7">
        <f>IF($D850="","",V850*Y850/100)</f>
        <v/>
      </c>
      <c r="AA850" s="7">
        <f>IF($D850="","",V850-Z850)</f>
        <v/>
      </c>
      <c r="AB850" s="7">
        <f>IF($D850="","",AA850-N850)</f>
        <v/>
      </c>
      <c r="AF850" s="7" t="n"/>
      <c r="AI850" s="11" t="n"/>
      <c r="AK850">
        <f>IF($D850="","",IF(COUNTIF($D$2:$D850,$D850)=1,1,0))</f>
        <v/>
      </c>
      <c r="AL850">
        <f>IF($AK850=1,SUMPRODUCT(--($AO$2:$AO$3001&lt;$AO850))+1,"")</f>
        <v/>
      </c>
      <c r="AM850">
        <f>IF($D850="","",IF(OR($R850=TRUE(),$R850="TRUE"),1,0))</f>
        <v/>
      </c>
      <c r="AN850">
        <f>IF($D850="","",IF($X850="Yes",1,0))</f>
        <v/>
      </c>
      <c r="AO850">
        <f>IF($AK850=1,IFERROR(IF(VALUE($D850)&lt;100000000,VALUE($D850),1000000000),IFERROR(IF(VALUE(MID($D850,2,20))&lt;100000000,VALUE(MID($D850,2,20)),1000000000),1000000000))+ROW()/100000,"")</f>
        <v/>
      </c>
    </row>
    <row r="851">
      <c r="F851" s="11" t="n"/>
      <c r="N851" s="7">
        <f>IF($D851="","",M851*V851/100)</f>
        <v/>
      </c>
      <c r="O851" s="7" t="n"/>
      <c r="U851" s="7" t="n"/>
      <c r="V851" s="7" t="n"/>
      <c r="Y851">
        <f>IF($D851="","",IF($AN851=1,0,IF($AM851=1,Settings!$C$6,Settings!$C$7))*100)</f>
        <v/>
      </c>
      <c r="Z851" s="7">
        <f>IF($D851="","",V851*Y851/100)</f>
        <v/>
      </c>
      <c r="AA851" s="7">
        <f>IF($D851="","",V851-Z851)</f>
        <v/>
      </c>
      <c r="AB851" s="7">
        <f>IF($D851="","",AA851-N851)</f>
        <v/>
      </c>
      <c r="AF851" s="7" t="n"/>
      <c r="AI851" s="11" t="n"/>
      <c r="AK851">
        <f>IF($D851="","",IF(COUNTIF($D$2:$D851,$D851)=1,1,0))</f>
        <v/>
      </c>
      <c r="AL851">
        <f>IF($AK851=1,SUMPRODUCT(--($AO$2:$AO$3001&lt;$AO851))+1,"")</f>
        <v/>
      </c>
      <c r="AM851">
        <f>IF($D851="","",IF(OR($R851=TRUE(),$R851="TRUE"),1,0))</f>
        <v/>
      </c>
      <c r="AN851">
        <f>IF($D851="","",IF($X851="Yes",1,0))</f>
        <v/>
      </c>
      <c r="AO851">
        <f>IF($AK851=1,IFERROR(IF(VALUE($D851)&lt;100000000,VALUE($D851),1000000000),IFERROR(IF(VALUE(MID($D851,2,20))&lt;100000000,VALUE(MID($D851,2,20)),1000000000),1000000000))+ROW()/100000,"")</f>
        <v/>
      </c>
    </row>
    <row r="852">
      <c r="F852" s="11" t="n"/>
      <c r="N852" s="7">
        <f>IF($D852="","",M852*V852/100)</f>
        <v/>
      </c>
      <c r="O852" s="7" t="n"/>
      <c r="U852" s="7" t="n"/>
      <c r="V852" s="7" t="n"/>
      <c r="Y852">
        <f>IF($D852="","",IF($AN852=1,0,IF($AM852=1,Settings!$C$6,Settings!$C$7))*100)</f>
        <v/>
      </c>
      <c r="Z852" s="7">
        <f>IF($D852="","",V852*Y852/100)</f>
        <v/>
      </c>
      <c r="AA852" s="7">
        <f>IF($D852="","",V852-Z852)</f>
        <v/>
      </c>
      <c r="AB852" s="7">
        <f>IF($D852="","",AA852-N852)</f>
        <v/>
      </c>
      <c r="AF852" s="7" t="n"/>
      <c r="AI852" s="11" t="n"/>
      <c r="AK852">
        <f>IF($D852="","",IF(COUNTIF($D$2:$D852,$D852)=1,1,0))</f>
        <v/>
      </c>
      <c r="AL852">
        <f>IF($AK852=1,SUMPRODUCT(--($AO$2:$AO$3001&lt;$AO852))+1,"")</f>
        <v/>
      </c>
      <c r="AM852">
        <f>IF($D852="","",IF(OR($R852=TRUE(),$R852="TRUE"),1,0))</f>
        <v/>
      </c>
      <c r="AN852">
        <f>IF($D852="","",IF($X852="Yes",1,0))</f>
        <v/>
      </c>
      <c r="AO852">
        <f>IF($AK852=1,IFERROR(IF(VALUE($D852)&lt;100000000,VALUE($D852),1000000000),IFERROR(IF(VALUE(MID($D852,2,20))&lt;100000000,VALUE(MID($D852,2,20)),1000000000),1000000000))+ROW()/100000,"")</f>
        <v/>
      </c>
    </row>
    <row r="853">
      <c r="F853" s="11" t="n"/>
      <c r="N853" s="7">
        <f>IF($D853="","",M853*V853/100)</f>
        <v/>
      </c>
      <c r="O853" s="7" t="n"/>
      <c r="U853" s="7" t="n"/>
      <c r="V853" s="7" t="n"/>
      <c r="Y853">
        <f>IF($D853="","",IF($AN853=1,0,IF($AM853=1,Settings!$C$6,Settings!$C$7))*100)</f>
        <v/>
      </c>
      <c r="Z853" s="7">
        <f>IF($D853="","",V853*Y853/100)</f>
        <v/>
      </c>
      <c r="AA853" s="7">
        <f>IF($D853="","",V853-Z853)</f>
        <v/>
      </c>
      <c r="AB853" s="7">
        <f>IF($D853="","",AA853-N853)</f>
        <v/>
      </c>
      <c r="AF853" s="7" t="n"/>
      <c r="AI853" s="11" t="n"/>
      <c r="AK853">
        <f>IF($D853="","",IF(COUNTIF($D$2:$D853,$D853)=1,1,0))</f>
        <v/>
      </c>
      <c r="AL853">
        <f>IF($AK853=1,SUMPRODUCT(--($AO$2:$AO$3001&lt;$AO853))+1,"")</f>
        <v/>
      </c>
      <c r="AM853">
        <f>IF($D853="","",IF(OR($R853=TRUE(),$R853="TRUE"),1,0))</f>
        <v/>
      </c>
      <c r="AN853">
        <f>IF($D853="","",IF($X853="Yes",1,0))</f>
        <v/>
      </c>
      <c r="AO853">
        <f>IF($AK853=1,IFERROR(IF(VALUE($D853)&lt;100000000,VALUE($D853),1000000000),IFERROR(IF(VALUE(MID($D853,2,20))&lt;100000000,VALUE(MID($D853,2,20)),1000000000),1000000000))+ROW()/100000,"")</f>
        <v/>
      </c>
    </row>
    <row r="854">
      <c r="F854" s="11" t="n"/>
      <c r="N854" s="7">
        <f>IF($D854="","",M854*V854/100)</f>
        <v/>
      </c>
      <c r="O854" s="7" t="n"/>
      <c r="U854" s="7" t="n"/>
      <c r="V854" s="7" t="n"/>
      <c r="Y854">
        <f>IF($D854="","",IF($AN854=1,0,IF($AM854=1,Settings!$C$6,Settings!$C$7))*100)</f>
        <v/>
      </c>
      <c r="Z854" s="7">
        <f>IF($D854="","",V854*Y854/100)</f>
        <v/>
      </c>
      <c r="AA854" s="7">
        <f>IF($D854="","",V854-Z854)</f>
        <v/>
      </c>
      <c r="AB854" s="7">
        <f>IF($D854="","",AA854-N854)</f>
        <v/>
      </c>
      <c r="AF854" s="7" t="n"/>
      <c r="AI854" s="11" t="n"/>
      <c r="AK854">
        <f>IF($D854="","",IF(COUNTIF($D$2:$D854,$D854)=1,1,0))</f>
        <v/>
      </c>
      <c r="AL854">
        <f>IF($AK854=1,SUMPRODUCT(--($AO$2:$AO$3001&lt;$AO854))+1,"")</f>
        <v/>
      </c>
      <c r="AM854">
        <f>IF($D854="","",IF(OR($R854=TRUE(),$R854="TRUE"),1,0))</f>
        <v/>
      </c>
      <c r="AN854">
        <f>IF($D854="","",IF($X854="Yes",1,0))</f>
        <v/>
      </c>
      <c r="AO854">
        <f>IF($AK854=1,IFERROR(IF(VALUE($D854)&lt;100000000,VALUE($D854),1000000000),IFERROR(IF(VALUE(MID($D854,2,20))&lt;100000000,VALUE(MID($D854,2,20)),1000000000),1000000000))+ROW()/100000,"")</f>
        <v/>
      </c>
    </row>
    <row r="855">
      <c r="F855" s="11" t="n"/>
      <c r="N855" s="7">
        <f>IF($D855="","",M855*V855/100)</f>
        <v/>
      </c>
      <c r="O855" s="7" t="n"/>
      <c r="U855" s="7" t="n"/>
      <c r="V855" s="7" t="n"/>
      <c r="Y855">
        <f>IF($D855="","",IF($AN855=1,0,IF($AM855=1,Settings!$C$6,Settings!$C$7))*100)</f>
        <v/>
      </c>
      <c r="Z855" s="7">
        <f>IF($D855="","",V855*Y855/100)</f>
        <v/>
      </c>
      <c r="AA855" s="7">
        <f>IF($D855="","",V855-Z855)</f>
        <v/>
      </c>
      <c r="AB855" s="7">
        <f>IF($D855="","",AA855-N855)</f>
        <v/>
      </c>
      <c r="AF855" s="7" t="n"/>
      <c r="AI855" s="11" t="n"/>
      <c r="AK855">
        <f>IF($D855="","",IF(COUNTIF($D$2:$D855,$D855)=1,1,0))</f>
        <v/>
      </c>
      <c r="AL855">
        <f>IF($AK855=1,SUMPRODUCT(--($AO$2:$AO$3001&lt;$AO855))+1,"")</f>
        <v/>
      </c>
      <c r="AM855">
        <f>IF($D855="","",IF(OR($R855=TRUE(),$R855="TRUE"),1,0))</f>
        <v/>
      </c>
      <c r="AN855">
        <f>IF($D855="","",IF($X855="Yes",1,0))</f>
        <v/>
      </c>
      <c r="AO855">
        <f>IF($AK855=1,IFERROR(IF(VALUE($D855)&lt;100000000,VALUE($D855),1000000000),IFERROR(IF(VALUE(MID($D855,2,20))&lt;100000000,VALUE(MID($D855,2,20)),1000000000),1000000000))+ROW()/100000,"")</f>
        <v/>
      </c>
    </row>
    <row r="856">
      <c r="F856" s="11" t="n"/>
      <c r="N856" s="7">
        <f>IF($D856="","",M856*V856/100)</f>
        <v/>
      </c>
      <c r="O856" s="7" t="n"/>
      <c r="U856" s="7" t="n"/>
      <c r="V856" s="7" t="n"/>
      <c r="Y856">
        <f>IF($D856="","",IF($AN856=1,0,IF($AM856=1,Settings!$C$6,Settings!$C$7))*100)</f>
        <v/>
      </c>
      <c r="Z856" s="7">
        <f>IF($D856="","",V856*Y856/100)</f>
        <v/>
      </c>
      <c r="AA856" s="7">
        <f>IF($D856="","",V856-Z856)</f>
        <v/>
      </c>
      <c r="AB856" s="7">
        <f>IF($D856="","",AA856-N856)</f>
        <v/>
      </c>
      <c r="AF856" s="7" t="n"/>
      <c r="AI856" s="11" t="n"/>
      <c r="AK856">
        <f>IF($D856="","",IF(COUNTIF($D$2:$D856,$D856)=1,1,0))</f>
        <v/>
      </c>
      <c r="AL856">
        <f>IF($AK856=1,SUMPRODUCT(--($AO$2:$AO$3001&lt;$AO856))+1,"")</f>
        <v/>
      </c>
      <c r="AM856">
        <f>IF($D856="","",IF(OR($R856=TRUE(),$R856="TRUE"),1,0))</f>
        <v/>
      </c>
      <c r="AN856">
        <f>IF($D856="","",IF($X856="Yes",1,0))</f>
        <v/>
      </c>
      <c r="AO856">
        <f>IF($AK856=1,IFERROR(IF(VALUE($D856)&lt;100000000,VALUE($D856),1000000000),IFERROR(IF(VALUE(MID($D856,2,20))&lt;100000000,VALUE(MID($D856,2,20)),1000000000),1000000000))+ROW()/100000,"")</f>
        <v/>
      </c>
    </row>
    <row r="857">
      <c r="F857" s="11" t="n"/>
      <c r="N857" s="7">
        <f>IF($D857="","",M857*V857/100)</f>
        <v/>
      </c>
      <c r="O857" s="7" t="n"/>
      <c r="U857" s="7" t="n"/>
      <c r="V857" s="7" t="n"/>
      <c r="Y857">
        <f>IF($D857="","",IF($AN857=1,0,IF($AM857=1,Settings!$C$6,Settings!$C$7))*100)</f>
        <v/>
      </c>
      <c r="Z857" s="7">
        <f>IF($D857="","",V857*Y857/100)</f>
        <v/>
      </c>
      <c r="AA857" s="7">
        <f>IF($D857="","",V857-Z857)</f>
        <v/>
      </c>
      <c r="AB857" s="7">
        <f>IF($D857="","",AA857-N857)</f>
        <v/>
      </c>
      <c r="AF857" s="7" t="n"/>
      <c r="AI857" s="11" t="n"/>
      <c r="AK857">
        <f>IF($D857="","",IF(COUNTIF($D$2:$D857,$D857)=1,1,0))</f>
        <v/>
      </c>
      <c r="AL857">
        <f>IF($AK857=1,SUMPRODUCT(--($AO$2:$AO$3001&lt;$AO857))+1,"")</f>
        <v/>
      </c>
      <c r="AM857">
        <f>IF($D857="","",IF(OR($R857=TRUE(),$R857="TRUE"),1,0))</f>
        <v/>
      </c>
      <c r="AN857">
        <f>IF($D857="","",IF($X857="Yes",1,0))</f>
        <v/>
      </c>
      <c r="AO857">
        <f>IF($AK857=1,IFERROR(IF(VALUE($D857)&lt;100000000,VALUE($D857),1000000000),IFERROR(IF(VALUE(MID($D857,2,20))&lt;100000000,VALUE(MID($D857,2,20)),1000000000),1000000000))+ROW()/100000,"")</f>
        <v/>
      </c>
    </row>
    <row r="858">
      <c r="F858" s="11" t="n"/>
      <c r="N858" s="7">
        <f>IF($D858="","",M858*V858/100)</f>
        <v/>
      </c>
      <c r="O858" s="7" t="n"/>
      <c r="U858" s="7" t="n"/>
      <c r="V858" s="7" t="n"/>
      <c r="Y858">
        <f>IF($D858="","",IF($AN858=1,0,IF($AM858=1,Settings!$C$6,Settings!$C$7))*100)</f>
        <v/>
      </c>
      <c r="Z858" s="7">
        <f>IF($D858="","",V858*Y858/100)</f>
        <v/>
      </c>
      <c r="AA858" s="7">
        <f>IF($D858="","",V858-Z858)</f>
        <v/>
      </c>
      <c r="AB858" s="7">
        <f>IF($D858="","",AA858-N858)</f>
        <v/>
      </c>
      <c r="AF858" s="7" t="n"/>
      <c r="AI858" s="11" t="n"/>
      <c r="AK858">
        <f>IF($D858="","",IF(COUNTIF($D$2:$D858,$D858)=1,1,0))</f>
        <v/>
      </c>
      <c r="AL858">
        <f>IF($AK858=1,SUMPRODUCT(--($AO$2:$AO$3001&lt;$AO858))+1,"")</f>
        <v/>
      </c>
      <c r="AM858">
        <f>IF($D858="","",IF(OR($R858=TRUE(),$R858="TRUE"),1,0))</f>
        <v/>
      </c>
      <c r="AN858">
        <f>IF($D858="","",IF($X858="Yes",1,0))</f>
        <v/>
      </c>
      <c r="AO858">
        <f>IF($AK858=1,IFERROR(IF(VALUE($D858)&lt;100000000,VALUE($D858),1000000000),IFERROR(IF(VALUE(MID($D858,2,20))&lt;100000000,VALUE(MID($D858,2,20)),1000000000),1000000000))+ROW()/100000,"")</f>
        <v/>
      </c>
    </row>
    <row r="859">
      <c r="F859" s="11" t="n"/>
      <c r="N859" s="7">
        <f>IF($D859="","",M859*V859/100)</f>
        <v/>
      </c>
      <c r="O859" s="7" t="n"/>
      <c r="U859" s="7" t="n"/>
      <c r="V859" s="7" t="n"/>
      <c r="Y859">
        <f>IF($D859="","",IF($AN859=1,0,IF($AM859=1,Settings!$C$6,Settings!$C$7))*100)</f>
        <v/>
      </c>
      <c r="Z859" s="7">
        <f>IF($D859="","",V859*Y859/100)</f>
        <v/>
      </c>
      <c r="AA859" s="7">
        <f>IF($D859="","",V859-Z859)</f>
        <v/>
      </c>
      <c r="AB859" s="7">
        <f>IF($D859="","",AA859-N859)</f>
        <v/>
      </c>
      <c r="AF859" s="7" t="n"/>
      <c r="AI859" s="11" t="n"/>
      <c r="AK859">
        <f>IF($D859="","",IF(COUNTIF($D$2:$D859,$D859)=1,1,0))</f>
        <v/>
      </c>
      <c r="AL859">
        <f>IF($AK859=1,SUMPRODUCT(--($AO$2:$AO$3001&lt;$AO859))+1,"")</f>
        <v/>
      </c>
      <c r="AM859">
        <f>IF($D859="","",IF(OR($R859=TRUE(),$R859="TRUE"),1,0))</f>
        <v/>
      </c>
      <c r="AN859">
        <f>IF($D859="","",IF($X859="Yes",1,0))</f>
        <v/>
      </c>
      <c r="AO859">
        <f>IF($AK859=1,IFERROR(IF(VALUE($D859)&lt;100000000,VALUE($D859),1000000000),IFERROR(IF(VALUE(MID($D859,2,20))&lt;100000000,VALUE(MID($D859,2,20)),1000000000),1000000000))+ROW()/100000,"")</f>
        <v/>
      </c>
    </row>
    <row r="860">
      <c r="F860" s="11" t="n"/>
      <c r="N860" s="7">
        <f>IF($D860="","",M860*V860/100)</f>
        <v/>
      </c>
      <c r="O860" s="7" t="n"/>
      <c r="U860" s="7" t="n"/>
      <c r="V860" s="7" t="n"/>
      <c r="Y860">
        <f>IF($D860="","",IF($AN860=1,0,IF($AM860=1,Settings!$C$6,Settings!$C$7))*100)</f>
        <v/>
      </c>
      <c r="Z860" s="7">
        <f>IF($D860="","",V860*Y860/100)</f>
        <v/>
      </c>
      <c r="AA860" s="7">
        <f>IF($D860="","",V860-Z860)</f>
        <v/>
      </c>
      <c r="AB860" s="7">
        <f>IF($D860="","",AA860-N860)</f>
        <v/>
      </c>
      <c r="AF860" s="7" t="n"/>
      <c r="AI860" s="11" t="n"/>
      <c r="AK860">
        <f>IF($D860="","",IF(COUNTIF($D$2:$D860,$D860)=1,1,0))</f>
        <v/>
      </c>
      <c r="AL860">
        <f>IF($AK860=1,SUMPRODUCT(--($AO$2:$AO$3001&lt;$AO860))+1,"")</f>
        <v/>
      </c>
      <c r="AM860">
        <f>IF($D860="","",IF(OR($R860=TRUE(),$R860="TRUE"),1,0))</f>
        <v/>
      </c>
      <c r="AN860">
        <f>IF($D860="","",IF($X860="Yes",1,0))</f>
        <v/>
      </c>
      <c r="AO860">
        <f>IF($AK860=1,IFERROR(IF(VALUE($D860)&lt;100000000,VALUE($D860),1000000000),IFERROR(IF(VALUE(MID($D860,2,20))&lt;100000000,VALUE(MID($D860,2,20)),1000000000),1000000000))+ROW()/100000,"")</f>
        <v/>
      </c>
    </row>
    <row r="861">
      <c r="F861" s="11" t="n"/>
      <c r="N861" s="7">
        <f>IF($D861="","",M861*V861/100)</f>
        <v/>
      </c>
      <c r="O861" s="7" t="n"/>
      <c r="U861" s="7" t="n"/>
      <c r="V861" s="7" t="n"/>
      <c r="Y861">
        <f>IF($D861="","",IF($AN861=1,0,IF($AM861=1,Settings!$C$6,Settings!$C$7))*100)</f>
        <v/>
      </c>
      <c r="Z861" s="7">
        <f>IF($D861="","",V861*Y861/100)</f>
        <v/>
      </c>
      <c r="AA861" s="7">
        <f>IF($D861="","",V861-Z861)</f>
        <v/>
      </c>
      <c r="AB861" s="7">
        <f>IF($D861="","",AA861-N861)</f>
        <v/>
      </c>
      <c r="AF861" s="7" t="n"/>
      <c r="AI861" s="11" t="n"/>
      <c r="AK861">
        <f>IF($D861="","",IF(COUNTIF($D$2:$D861,$D861)=1,1,0))</f>
        <v/>
      </c>
      <c r="AL861">
        <f>IF($AK861=1,SUMPRODUCT(--($AO$2:$AO$3001&lt;$AO861))+1,"")</f>
        <v/>
      </c>
      <c r="AM861">
        <f>IF($D861="","",IF(OR($R861=TRUE(),$R861="TRUE"),1,0))</f>
        <v/>
      </c>
      <c r="AN861">
        <f>IF($D861="","",IF($X861="Yes",1,0))</f>
        <v/>
      </c>
      <c r="AO861">
        <f>IF($AK861=1,IFERROR(IF(VALUE($D861)&lt;100000000,VALUE($D861),1000000000),IFERROR(IF(VALUE(MID($D861,2,20))&lt;100000000,VALUE(MID($D861,2,20)),1000000000),1000000000))+ROW()/100000,"")</f>
        <v/>
      </c>
    </row>
    <row r="862">
      <c r="F862" s="11" t="n"/>
      <c r="N862" s="7">
        <f>IF($D862="","",M862*V862/100)</f>
        <v/>
      </c>
      <c r="O862" s="7" t="n"/>
      <c r="U862" s="7" t="n"/>
      <c r="V862" s="7" t="n"/>
      <c r="Y862">
        <f>IF($D862="","",IF($AN862=1,0,IF($AM862=1,Settings!$C$6,Settings!$C$7))*100)</f>
        <v/>
      </c>
      <c r="Z862" s="7">
        <f>IF($D862="","",V862*Y862/100)</f>
        <v/>
      </c>
      <c r="AA862" s="7">
        <f>IF($D862="","",V862-Z862)</f>
        <v/>
      </c>
      <c r="AB862" s="7">
        <f>IF($D862="","",AA862-N862)</f>
        <v/>
      </c>
      <c r="AF862" s="7" t="n"/>
      <c r="AI862" s="11" t="n"/>
      <c r="AK862">
        <f>IF($D862="","",IF(COUNTIF($D$2:$D862,$D862)=1,1,0))</f>
        <v/>
      </c>
      <c r="AL862">
        <f>IF($AK862=1,SUMPRODUCT(--($AO$2:$AO$3001&lt;$AO862))+1,"")</f>
        <v/>
      </c>
      <c r="AM862">
        <f>IF($D862="","",IF(OR($R862=TRUE(),$R862="TRUE"),1,0))</f>
        <v/>
      </c>
      <c r="AN862">
        <f>IF($D862="","",IF($X862="Yes",1,0))</f>
        <v/>
      </c>
      <c r="AO862">
        <f>IF($AK862=1,IFERROR(IF(VALUE($D862)&lt;100000000,VALUE($D862),1000000000),IFERROR(IF(VALUE(MID($D862,2,20))&lt;100000000,VALUE(MID($D862,2,20)),1000000000),1000000000))+ROW()/100000,"")</f>
        <v/>
      </c>
    </row>
    <row r="863">
      <c r="F863" s="11" t="n"/>
      <c r="N863" s="7">
        <f>IF($D863="","",M863*V863/100)</f>
        <v/>
      </c>
      <c r="O863" s="7" t="n"/>
      <c r="U863" s="7" t="n"/>
      <c r="V863" s="7" t="n"/>
      <c r="Y863">
        <f>IF($D863="","",IF($AN863=1,0,IF($AM863=1,Settings!$C$6,Settings!$C$7))*100)</f>
        <v/>
      </c>
      <c r="Z863" s="7">
        <f>IF($D863="","",V863*Y863/100)</f>
        <v/>
      </c>
      <c r="AA863" s="7">
        <f>IF($D863="","",V863-Z863)</f>
        <v/>
      </c>
      <c r="AB863" s="7">
        <f>IF($D863="","",AA863-N863)</f>
        <v/>
      </c>
      <c r="AF863" s="7" t="n"/>
      <c r="AI863" s="11" t="n"/>
      <c r="AK863">
        <f>IF($D863="","",IF(COUNTIF($D$2:$D863,$D863)=1,1,0))</f>
        <v/>
      </c>
      <c r="AL863">
        <f>IF($AK863=1,SUMPRODUCT(--($AO$2:$AO$3001&lt;$AO863))+1,"")</f>
        <v/>
      </c>
      <c r="AM863">
        <f>IF($D863="","",IF(OR($R863=TRUE(),$R863="TRUE"),1,0))</f>
        <v/>
      </c>
      <c r="AN863">
        <f>IF($D863="","",IF($X863="Yes",1,0))</f>
        <v/>
      </c>
      <c r="AO863">
        <f>IF($AK863=1,IFERROR(IF(VALUE($D863)&lt;100000000,VALUE($D863),1000000000),IFERROR(IF(VALUE(MID($D863,2,20))&lt;100000000,VALUE(MID($D863,2,20)),1000000000),1000000000))+ROW()/100000,"")</f>
        <v/>
      </c>
    </row>
    <row r="864">
      <c r="F864" s="11" t="n"/>
      <c r="N864" s="7">
        <f>IF($D864="","",M864*V864/100)</f>
        <v/>
      </c>
      <c r="O864" s="7" t="n"/>
      <c r="U864" s="7" t="n"/>
      <c r="V864" s="7" t="n"/>
      <c r="Y864">
        <f>IF($D864="","",IF($AN864=1,0,IF($AM864=1,Settings!$C$6,Settings!$C$7))*100)</f>
        <v/>
      </c>
      <c r="Z864" s="7">
        <f>IF($D864="","",V864*Y864/100)</f>
        <v/>
      </c>
      <c r="AA864" s="7">
        <f>IF($D864="","",V864-Z864)</f>
        <v/>
      </c>
      <c r="AB864" s="7">
        <f>IF($D864="","",AA864-N864)</f>
        <v/>
      </c>
      <c r="AF864" s="7" t="n"/>
      <c r="AI864" s="11" t="n"/>
      <c r="AK864">
        <f>IF($D864="","",IF(COUNTIF($D$2:$D864,$D864)=1,1,0))</f>
        <v/>
      </c>
      <c r="AL864">
        <f>IF($AK864=1,SUMPRODUCT(--($AO$2:$AO$3001&lt;$AO864))+1,"")</f>
        <v/>
      </c>
      <c r="AM864">
        <f>IF($D864="","",IF(OR($R864=TRUE(),$R864="TRUE"),1,0))</f>
        <v/>
      </c>
      <c r="AN864">
        <f>IF($D864="","",IF($X864="Yes",1,0))</f>
        <v/>
      </c>
      <c r="AO864">
        <f>IF($AK864=1,IFERROR(IF(VALUE($D864)&lt;100000000,VALUE($D864),1000000000),IFERROR(IF(VALUE(MID($D864,2,20))&lt;100000000,VALUE(MID($D864,2,20)),1000000000),1000000000))+ROW()/100000,"")</f>
        <v/>
      </c>
    </row>
    <row r="865">
      <c r="F865" s="11" t="n"/>
      <c r="N865" s="7">
        <f>IF($D865="","",M865*V865/100)</f>
        <v/>
      </c>
      <c r="O865" s="7" t="n"/>
      <c r="U865" s="7" t="n"/>
      <c r="V865" s="7" t="n"/>
      <c r="Y865">
        <f>IF($D865="","",IF($AN865=1,0,IF($AM865=1,Settings!$C$6,Settings!$C$7))*100)</f>
        <v/>
      </c>
      <c r="Z865" s="7">
        <f>IF($D865="","",V865*Y865/100)</f>
        <v/>
      </c>
      <c r="AA865" s="7">
        <f>IF($D865="","",V865-Z865)</f>
        <v/>
      </c>
      <c r="AB865" s="7">
        <f>IF($D865="","",AA865-N865)</f>
        <v/>
      </c>
      <c r="AF865" s="7" t="n"/>
      <c r="AI865" s="11" t="n"/>
      <c r="AK865">
        <f>IF($D865="","",IF(COUNTIF($D$2:$D865,$D865)=1,1,0))</f>
        <v/>
      </c>
      <c r="AL865">
        <f>IF($AK865=1,SUMPRODUCT(--($AO$2:$AO$3001&lt;$AO865))+1,"")</f>
        <v/>
      </c>
      <c r="AM865">
        <f>IF($D865="","",IF(OR($R865=TRUE(),$R865="TRUE"),1,0))</f>
        <v/>
      </c>
      <c r="AN865">
        <f>IF($D865="","",IF($X865="Yes",1,0))</f>
        <v/>
      </c>
      <c r="AO865">
        <f>IF($AK865=1,IFERROR(IF(VALUE($D865)&lt;100000000,VALUE($D865),1000000000),IFERROR(IF(VALUE(MID($D865,2,20))&lt;100000000,VALUE(MID($D865,2,20)),1000000000),1000000000))+ROW()/100000,"")</f>
        <v/>
      </c>
    </row>
    <row r="866">
      <c r="F866" s="11" t="n"/>
      <c r="N866" s="7">
        <f>IF($D866="","",M866*V866/100)</f>
        <v/>
      </c>
      <c r="O866" s="7" t="n"/>
      <c r="U866" s="7" t="n"/>
      <c r="V866" s="7" t="n"/>
      <c r="Y866">
        <f>IF($D866="","",IF($AN866=1,0,IF($AM866=1,Settings!$C$6,Settings!$C$7))*100)</f>
        <v/>
      </c>
      <c r="Z866" s="7">
        <f>IF($D866="","",V866*Y866/100)</f>
        <v/>
      </c>
      <c r="AA866" s="7">
        <f>IF($D866="","",V866-Z866)</f>
        <v/>
      </c>
      <c r="AB866" s="7">
        <f>IF($D866="","",AA866-N866)</f>
        <v/>
      </c>
      <c r="AF866" s="7" t="n"/>
      <c r="AI866" s="11" t="n"/>
      <c r="AK866">
        <f>IF($D866="","",IF(COUNTIF($D$2:$D866,$D866)=1,1,0))</f>
        <v/>
      </c>
      <c r="AL866">
        <f>IF($AK866=1,SUMPRODUCT(--($AO$2:$AO$3001&lt;$AO866))+1,"")</f>
        <v/>
      </c>
      <c r="AM866">
        <f>IF($D866="","",IF(OR($R866=TRUE(),$R866="TRUE"),1,0))</f>
        <v/>
      </c>
      <c r="AN866">
        <f>IF($D866="","",IF($X866="Yes",1,0))</f>
        <v/>
      </c>
      <c r="AO866">
        <f>IF($AK866=1,IFERROR(IF(VALUE($D866)&lt;100000000,VALUE($D866),1000000000),IFERROR(IF(VALUE(MID($D866,2,20))&lt;100000000,VALUE(MID($D866,2,20)),1000000000),1000000000))+ROW()/100000,"")</f>
        <v/>
      </c>
    </row>
    <row r="867">
      <c r="F867" s="11" t="n"/>
      <c r="N867" s="7">
        <f>IF($D867="","",M867*V867/100)</f>
        <v/>
      </c>
      <c r="O867" s="7" t="n"/>
      <c r="U867" s="7" t="n"/>
      <c r="V867" s="7" t="n"/>
      <c r="Y867">
        <f>IF($D867="","",IF($AN867=1,0,IF($AM867=1,Settings!$C$6,Settings!$C$7))*100)</f>
        <v/>
      </c>
      <c r="Z867" s="7">
        <f>IF($D867="","",V867*Y867/100)</f>
        <v/>
      </c>
      <c r="AA867" s="7">
        <f>IF($D867="","",V867-Z867)</f>
        <v/>
      </c>
      <c r="AB867" s="7">
        <f>IF($D867="","",AA867-N867)</f>
        <v/>
      </c>
      <c r="AF867" s="7" t="n"/>
      <c r="AI867" s="11" t="n"/>
      <c r="AK867">
        <f>IF($D867="","",IF(COUNTIF($D$2:$D867,$D867)=1,1,0))</f>
        <v/>
      </c>
      <c r="AL867">
        <f>IF($AK867=1,SUMPRODUCT(--($AO$2:$AO$3001&lt;$AO867))+1,"")</f>
        <v/>
      </c>
      <c r="AM867">
        <f>IF($D867="","",IF(OR($R867=TRUE(),$R867="TRUE"),1,0))</f>
        <v/>
      </c>
      <c r="AN867">
        <f>IF($D867="","",IF($X867="Yes",1,0))</f>
        <v/>
      </c>
      <c r="AO867">
        <f>IF($AK867=1,IFERROR(IF(VALUE($D867)&lt;100000000,VALUE($D867),1000000000),IFERROR(IF(VALUE(MID($D867,2,20))&lt;100000000,VALUE(MID($D867,2,20)),1000000000),1000000000))+ROW()/100000,"")</f>
        <v/>
      </c>
    </row>
    <row r="868">
      <c r="F868" s="11" t="n"/>
      <c r="N868" s="7">
        <f>IF($D868="","",M868*V868/100)</f>
        <v/>
      </c>
      <c r="O868" s="7" t="n"/>
      <c r="U868" s="7" t="n"/>
      <c r="V868" s="7" t="n"/>
      <c r="Y868">
        <f>IF($D868="","",IF($AN868=1,0,IF($AM868=1,Settings!$C$6,Settings!$C$7))*100)</f>
        <v/>
      </c>
      <c r="Z868" s="7">
        <f>IF($D868="","",V868*Y868/100)</f>
        <v/>
      </c>
      <c r="AA868" s="7">
        <f>IF($D868="","",V868-Z868)</f>
        <v/>
      </c>
      <c r="AB868" s="7">
        <f>IF($D868="","",AA868-N868)</f>
        <v/>
      </c>
      <c r="AF868" s="7" t="n"/>
      <c r="AI868" s="11" t="n"/>
      <c r="AK868">
        <f>IF($D868="","",IF(COUNTIF($D$2:$D868,$D868)=1,1,0))</f>
        <v/>
      </c>
      <c r="AL868">
        <f>IF($AK868=1,SUMPRODUCT(--($AO$2:$AO$3001&lt;$AO868))+1,"")</f>
        <v/>
      </c>
      <c r="AM868">
        <f>IF($D868="","",IF(OR($R868=TRUE(),$R868="TRUE"),1,0))</f>
        <v/>
      </c>
      <c r="AN868">
        <f>IF($D868="","",IF($X868="Yes",1,0))</f>
        <v/>
      </c>
      <c r="AO868">
        <f>IF($AK868=1,IFERROR(IF(VALUE($D868)&lt;100000000,VALUE($D868),1000000000),IFERROR(IF(VALUE(MID($D868,2,20))&lt;100000000,VALUE(MID($D868,2,20)),1000000000),1000000000))+ROW()/100000,"")</f>
        <v/>
      </c>
    </row>
    <row r="869">
      <c r="F869" s="11" t="n"/>
      <c r="N869" s="7">
        <f>IF($D869="","",M869*V869/100)</f>
        <v/>
      </c>
      <c r="O869" s="7" t="n"/>
      <c r="U869" s="7" t="n"/>
      <c r="V869" s="7" t="n"/>
      <c r="Y869">
        <f>IF($D869="","",IF($AN869=1,0,IF($AM869=1,Settings!$C$6,Settings!$C$7))*100)</f>
        <v/>
      </c>
      <c r="Z869" s="7">
        <f>IF($D869="","",V869*Y869/100)</f>
        <v/>
      </c>
      <c r="AA869" s="7">
        <f>IF($D869="","",V869-Z869)</f>
        <v/>
      </c>
      <c r="AB869" s="7">
        <f>IF($D869="","",AA869-N869)</f>
        <v/>
      </c>
      <c r="AF869" s="7" t="n"/>
      <c r="AI869" s="11" t="n"/>
      <c r="AK869">
        <f>IF($D869="","",IF(COUNTIF($D$2:$D869,$D869)=1,1,0))</f>
        <v/>
      </c>
      <c r="AL869">
        <f>IF($AK869=1,SUMPRODUCT(--($AO$2:$AO$3001&lt;$AO869))+1,"")</f>
        <v/>
      </c>
      <c r="AM869">
        <f>IF($D869="","",IF(OR($R869=TRUE(),$R869="TRUE"),1,0))</f>
        <v/>
      </c>
      <c r="AN869">
        <f>IF($D869="","",IF($X869="Yes",1,0))</f>
        <v/>
      </c>
      <c r="AO869">
        <f>IF($AK869=1,IFERROR(IF(VALUE($D869)&lt;100000000,VALUE($D869),1000000000),IFERROR(IF(VALUE(MID($D869,2,20))&lt;100000000,VALUE(MID($D869,2,20)),1000000000),1000000000))+ROW()/100000,"")</f>
        <v/>
      </c>
    </row>
    <row r="870">
      <c r="F870" s="11" t="n"/>
      <c r="N870" s="7">
        <f>IF($D870="","",M870*V870/100)</f>
        <v/>
      </c>
      <c r="O870" s="7" t="n"/>
      <c r="U870" s="7" t="n"/>
      <c r="V870" s="7" t="n"/>
      <c r="Y870">
        <f>IF($D870="","",IF($AN870=1,0,IF($AM870=1,Settings!$C$6,Settings!$C$7))*100)</f>
        <v/>
      </c>
      <c r="Z870" s="7">
        <f>IF($D870="","",V870*Y870/100)</f>
        <v/>
      </c>
      <c r="AA870" s="7">
        <f>IF($D870="","",V870-Z870)</f>
        <v/>
      </c>
      <c r="AB870" s="7">
        <f>IF($D870="","",AA870-N870)</f>
        <v/>
      </c>
      <c r="AF870" s="7" t="n"/>
      <c r="AI870" s="11" t="n"/>
      <c r="AK870">
        <f>IF($D870="","",IF(COUNTIF($D$2:$D870,$D870)=1,1,0))</f>
        <v/>
      </c>
      <c r="AL870">
        <f>IF($AK870=1,SUMPRODUCT(--($AO$2:$AO$3001&lt;$AO870))+1,"")</f>
        <v/>
      </c>
      <c r="AM870">
        <f>IF($D870="","",IF(OR($R870=TRUE(),$R870="TRUE"),1,0))</f>
        <v/>
      </c>
      <c r="AN870">
        <f>IF($D870="","",IF($X870="Yes",1,0))</f>
        <v/>
      </c>
      <c r="AO870">
        <f>IF($AK870=1,IFERROR(IF(VALUE($D870)&lt;100000000,VALUE($D870),1000000000),IFERROR(IF(VALUE(MID($D870,2,20))&lt;100000000,VALUE(MID($D870,2,20)),1000000000),1000000000))+ROW()/100000,"")</f>
        <v/>
      </c>
    </row>
    <row r="871">
      <c r="F871" s="11" t="n"/>
      <c r="N871" s="7">
        <f>IF($D871="","",M871*V871/100)</f>
        <v/>
      </c>
      <c r="O871" s="7" t="n"/>
      <c r="U871" s="7" t="n"/>
      <c r="V871" s="7" t="n"/>
      <c r="Y871">
        <f>IF($D871="","",IF($AN871=1,0,IF($AM871=1,Settings!$C$6,Settings!$C$7))*100)</f>
        <v/>
      </c>
      <c r="Z871" s="7">
        <f>IF($D871="","",V871*Y871/100)</f>
        <v/>
      </c>
      <c r="AA871" s="7">
        <f>IF($D871="","",V871-Z871)</f>
        <v/>
      </c>
      <c r="AB871" s="7">
        <f>IF($D871="","",AA871-N871)</f>
        <v/>
      </c>
      <c r="AF871" s="7" t="n"/>
      <c r="AI871" s="11" t="n"/>
      <c r="AK871">
        <f>IF($D871="","",IF(COUNTIF($D$2:$D871,$D871)=1,1,0))</f>
        <v/>
      </c>
      <c r="AL871">
        <f>IF($AK871=1,SUMPRODUCT(--($AO$2:$AO$3001&lt;$AO871))+1,"")</f>
        <v/>
      </c>
      <c r="AM871">
        <f>IF($D871="","",IF(OR($R871=TRUE(),$R871="TRUE"),1,0))</f>
        <v/>
      </c>
      <c r="AN871">
        <f>IF($D871="","",IF($X871="Yes",1,0))</f>
        <v/>
      </c>
      <c r="AO871">
        <f>IF($AK871=1,IFERROR(IF(VALUE($D871)&lt;100000000,VALUE($D871),1000000000),IFERROR(IF(VALUE(MID($D871,2,20))&lt;100000000,VALUE(MID($D871,2,20)),1000000000),1000000000))+ROW()/100000,"")</f>
        <v/>
      </c>
    </row>
    <row r="872">
      <c r="F872" s="11" t="n"/>
      <c r="N872" s="7">
        <f>IF($D872="","",M872*V872/100)</f>
        <v/>
      </c>
      <c r="O872" s="7" t="n"/>
      <c r="U872" s="7" t="n"/>
      <c r="V872" s="7" t="n"/>
      <c r="Y872">
        <f>IF($D872="","",IF($AN872=1,0,IF($AM872=1,Settings!$C$6,Settings!$C$7))*100)</f>
        <v/>
      </c>
      <c r="Z872" s="7">
        <f>IF($D872="","",V872*Y872/100)</f>
        <v/>
      </c>
      <c r="AA872" s="7">
        <f>IF($D872="","",V872-Z872)</f>
        <v/>
      </c>
      <c r="AB872" s="7">
        <f>IF($D872="","",AA872-N872)</f>
        <v/>
      </c>
      <c r="AF872" s="7" t="n"/>
      <c r="AI872" s="11" t="n"/>
      <c r="AK872">
        <f>IF($D872="","",IF(COUNTIF($D$2:$D872,$D872)=1,1,0))</f>
        <v/>
      </c>
      <c r="AL872">
        <f>IF($AK872=1,SUMPRODUCT(--($AO$2:$AO$3001&lt;$AO872))+1,"")</f>
        <v/>
      </c>
      <c r="AM872">
        <f>IF($D872="","",IF(OR($R872=TRUE(),$R872="TRUE"),1,0))</f>
        <v/>
      </c>
      <c r="AN872">
        <f>IF($D872="","",IF($X872="Yes",1,0))</f>
        <v/>
      </c>
      <c r="AO872">
        <f>IF($AK872=1,IFERROR(IF(VALUE($D872)&lt;100000000,VALUE($D872),1000000000),IFERROR(IF(VALUE(MID($D872,2,20))&lt;100000000,VALUE(MID($D872,2,20)),1000000000),1000000000))+ROW()/100000,"")</f>
        <v/>
      </c>
    </row>
    <row r="873">
      <c r="F873" s="11" t="n"/>
      <c r="N873" s="7">
        <f>IF($D873="","",M873*V873/100)</f>
        <v/>
      </c>
      <c r="O873" s="7" t="n"/>
      <c r="U873" s="7" t="n"/>
      <c r="V873" s="7" t="n"/>
      <c r="Y873">
        <f>IF($D873="","",IF($AN873=1,0,IF($AM873=1,Settings!$C$6,Settings!$C$7))*100)</f>
        <v/>
      </c>
      <c r="Z873" s="7">
        <f>IF($D873="","",V873*Y873/100)</f>
        <v/>
      </c>
      <c r="AA873" s="7">
        <f>IF($D873="","",V873-Z873)</f>
        <v/>
      </c>
      <c r="AB873" s="7">
        <f>IF($D873="","",AA873-N873)</f>
        <v/>
      </c>
      <c r="AF873" s="7" t="n"/>
      <c r="AI873" s="11" t="n"/>
      <c r="AK873">
        <f>IF($D873="","",IF(COUNTIF($D$2:$D873,$D873)=1,1,0))</f>
        <v/>
      </c>
      <c r="AL873">
        <f>IF($AK873=1,SUMPRODUCT(--($AO$2:$AO$3001&lt;$AO873))+1,"")</f>
        <v/>
      </c>
      <c r="AM873">
        <f>IF($D873="","",IF(OR($R873=TRUE(),$R873="TRUE"),1,0))</f>
        <v/>
      </c>
      <c r="AN873">
        <f>IF($D873="","",IF($X873="Yes",1,0))</f>
        <v/>
      </c>
      <c r="AO873">
        <f>IF($AK873=1,IFERROR(IF(VALUE($D873)&lt;100000000,VALUE($D873),1000000000),IFERROR(IF(VALUE(MID($D873,2,20))&lt;100000000,VALUE(MID($D873,2,20)),1000000000),1000000000))+ROW()/100000,"")</f>
        <v/>
      </c>
    </row>
    <row r="874">
      <c r="F874" s="11" t="n"/>
      <c r="N874" s="7">
        <f>IF($D874="","",M874*V874/100)</f>
        <v/>
      </c>
      <c r="O874" s="7" t="n"/>
      <c r="U874" s="7" t="n"/>
      <c r="V874" s="7" t="n"/>
      <c r="Y874">
        <f>IF($D874="","",IF($AN874=1,0,IF($AM874=1,Settings!$C$6,Settings!$C$7))*100)</f>
        <v/>
      </c>
      <c r="Z874" s="7">
        <f>IF($D874="","",V874*Y874/100)</f>
        <v/>
      </c>
      <c r="AA874" s="7">
        <f>IF($D874="","",V874-Z874)</f>
        <v/>
      </c>
      <c r="AB874" s="7">
        <f>IF($D874="","",AA874-N874)</f>
        <v/>
      </c>
      <c r="AF874" s="7" t="n"/>
      <c r="AI874" s="11" t="n"/>
      <c r="AK874">
        <f>IF($D874="","",IF(COUNTIF($D$2:$D874,$D874)=1,1,0))</f>
        <v/>
      </c>
      <c r="AL874">
        <f>IF($AK874=1,SUMPRODUCT(--($AO$2:$AO$3001&lt;$AO874))+1,"")</f>
        <v/>
      </c>
      <c r="AM874">
        <f>IF($D874="","",IF(OR($R874=TRUE(),$R874="TRUE"),1,0))</f>
        <v/>
      </c>
      <c r="AN874">
        <f>IF($D874="","",IF($X874="Yes",1,0))</f>
        <v/>
      </c>
      <c r="AO874">
        <f>IF($AK874=1,IFERROR(IF(VALUE($D874)&lt;100000000,VALUE($D874),1000000000),IFERROR(IF(VALUE(MID($D874,2,20))&lt;100000000,VALUE(MID($D874,2,20)),1000000000),1000000000))+ROW()/100000,"")</f>
        <v/>
      </c>
    </row>
    <row r="875">
      <c r="F875" s="11" t="n"/>
      <c r="N875" s="7">
        <f>IF($D875="","",M875*V875/100)</f>
        <v/>
      </c>
      <c r="O875" s="7" t="n"/>
      <c r="U875" s="7" t="n"/>
      <c r="V875" s="7" t="n"/>
      <c r="Y875">
        <f>IF($D875="","",IF($AN875=1,0,IF($AM875=1,Settings!$C$6,Settings!$C$7))*100)</f>
        <v/>
      </c>
      <c r="Z875" s="7">
        <f>IF($D875="","",V875*Y875/100)</f>
        <v/>
      </c>
      <c r="AA875" s="7">
        <f>IF($D875="","",V875-Z875)</f>
        <v/>
      </c>
      <c r="AB875" s="7">
        <f>IF($D875="","",AA875-N875)</f>
        <v/>
      </c>
      <c r="AF875" s="7" t="n"/>
      <c r="AI875" s="11" t="n"/>
      <c r="AK875">
        <f>IF($D875="","",IF(COUNTIF($D$2:$D875,$D875)=1,1,0))</f>
        <v/>
      </c>
      <c r="AL875">
        <f>IF($AK875=1,SUMPRODUCT(--($AO$2:$AO$3001&lt;$AO875))+1,"")</f>
        <v/>
      </c>
      <c r="AM875">
        <f>IF($D875="","",IF(OR($R875=TRUE(),$R875="TRUE"),1,0))</f>
        <v/>
      </c>
      <c r="AN875">
        <f>IF($D875="","",IF($X875="Yes",1,0))</f>
        <v/>
      </c>
      <c r="AO875">
        <f>IF($AK875=1,IFERROR(IF(VALUE($D875)&lt;100000000,VALUE($D875),1000000000),IFERROR(IF(VALUE(MID($D875,2,20))&lt;100000000,VALUE(MID($D875,2,20)),1000000000),1000000000))+ROW()/100000,"")</f>
        <v/>
      </c>
    </row>
    <row r="876">
      <c r="F876" s="11" t="n"/>
      <c r="N876" s="7">
        <f>IF($D876="","",M876*V876/100)</f>
        <v/>
      </c>
      <c r="O876" s="7" t="n"/>
      <c r="U876" s="7" t="n"/>
      <c r="V876" s="7" t="n"/>
      <c r="Y876">
        <f>IF($D876="","",IF($AN876=1,0,IF($AM876=1,Settings!$C$6,Settings!$C$7))*100)</f>
        <v/>
      </c>
      <c r="Z876" s="7">
        <f>IF($D876="","",V876*Y876/100)</f>
        <v/>
      </c>
      <c r="AA876" s="7">
        <f>IF($D876="","",V876-Z876)</f>
        <v/>
      </c>
      <c r="AB876" s="7">
        <f>IF($D876="","",AA876-N876)</f>
        <v/>
      </c>
      <c r="AF876" s="7" t="n"/>
      <c r="AI876" s="11" t="n"/>
      <c r="AK876">
        <f>IF($D876="","",IF(COUNTIF($D$2:$D876,$D876)=1,1,0))</f>
        <v/>
      </c>
      <c r="AL876">
        <f>IF($AK876=1,SUMPRODUCT(--($AO$2:$AO$3001&lt;$AO876))+1,"")</f>
        <v/>
      </c>
      <c r="AM876">
        <f>IF($D876="","",IF(OR($R876=TRUE(),$R876="TRUE"),1,0))</f>
        <v/>
      </c>
      <c r="AN876">
        <f>IF($D876="","",IF($X876="Yes",1,0))</f>
        <v/>
      </c>
      <c r="AO876">
        <f>IF($AK876=1,IFERROR(IF(VALUE($D876)&lt;100000000,VALUE($D876),1000000000),IFERROR(IF(VALUE(MID($D876,2,20))&lt;100000000,VALUE(MID($D876,2,20)),1000000000),1000000000))+ROW()/100000,"")</f>
        <v/>
      </c>
    </row>
    <row r="877">
      <c r="F877" s="11" t="n"/>
      <c r="N877" s="7">
        <f>IF($D877="","",M877*V877/100)</f>
        <v/>
      </c>
      <c r="O877" s="7" t="n"/>
      <c r="U877" s="7" t="n"/>
      <c r="V877" s="7" t="n"/>
      <c r="Y877">
        <f>IF($D877="","",IF($AN877=1,0,IF($AM877=1,Settings!$C$6,Settings!$C$7))*100)</f>
        <v/>
      </c>
      <c r="Z877" s="7">
        <f>IF($D877="","",V877*Y877/100)</f>
        <v/>
      </c>
      <c r="AA877" s="7">
        <f>IF($D877="","",V877-Z877)</f>
        <v/>
      </c>
      <c r="AB877" s="7">
        <f>IF($D877="","",AA877-N877)</f>
        <v/>
      </c>
      <c r="AF877" s="7" t="n"/>
      <c r="AI877" s="11" t="n"/>
      <c r="AK877">
        <f>IF($D877="","",IF(COUNTIF($D$2:$D877,$D877)=1,1,0))</f>
        <v/>
      </c>
      <c r="AL877">
        <f>IF($AK877=1,SUMPRODUCT(--($AO$2:$AO$3001&lt;$AO877))+1,"")</f>
        <v/>
      </c>
      <c r="AM877">
        <f>IF($D877="","",IF(OR($R877=TRUE(),$R877="TRUE"),1,0))</f>
        <v/>
      </c>
      <c r="AN877">
        <f>IF($D877="","",IF($X877="Yes",1,0))</f>
        <v/>
      </c>
      <c r="AO877">
        <f>IF($AK877=1,IFERROR(IF(VALUE($D877)&lt;100000000,VALUE($D877),1000000000),IFERROR(IF(VALUE(MID($D877,2,20))&lt;100000000,VALUE(MID($D877,2,20)),1000000000),1000000000))+ROW()/100000,"")</f>
        <v/>
      </c>
    </row>
    <row r="878">
      <c r="F878" s="11" t="n"/>
      <c r="N878" s="7">
        <f>IF($D878="","",M878*V878/100)</f>
        <v/>
      </c>
      <c r="O878" s="7" t="n"/>
      <c r="U878" s="7" t="n"/>
      <c r="V878" s="7" t="n"/>
      <c r="Y878">
        <f>IF($D878="","",IF($AN878=1,0,IF($AM878=1,Settings!$C$6,Settings!$C$7))*100)</f>
        <v/>
      </c>
      <c r="Z878" s="7">
        <f>IF($D878="","",V878*Y878/100)</f>
        <v/>
      </c>
      <c r="AA878" s="7">
        <f>IF($D878="","",V878-Z878)</f>
        <v/>
      </c>
      <c r="AB878" s="7">
        <f>IF($D878="","",AA878-N878)</f>
        <v/>
      </c>
      <c r="AF878" s="7" t="n"/>
      <c r="AI878" s="11" t="n"/>
      <c r="AK878">
        <f>IF($D878="","",IF(COUNTIF($D$2:$D878,$D878)=1,1,0))</f>
        <v/>
      </c>
      <c r="AL878">
        <f>IF($AK878=1,SUMPRODUCT(--($AO$2:$AO$3001&lt;$AO878))+1,"")</f>
        <v/>
      </c>
      <c r="AM878">
        <f>IF($D878="","",IF(OR($R878=TRUE(),$R878="TRUE"),1,0))</f>
        <v/>
      </c>
      <c r="AN878">
        <f>IF($D878="","",IF($X878="Yes",1,0))</f>
        <v/>
      </c>
      <c r="AO878">
        <f>IF($AK878=1,IFERROR(IF(VALUE($D878)&lt;100000000,VALUE($D878),1000000000),IFERROR(IF(VALUE(MID($D878,2,20))&lt;100000000,VALUE(MID($D878,2,20)),1000000000),1000000000))+ROW()/100000,"")</f>
        <v/>
      </c>
    </row>
    <row r="879">
      <c r="F879" s="11" t="n"/>
      <c r="N879" s="7">
        <f>IF($D879="","",M879*V879/100)</f>
        <v/>
      </c>
      <c r="O879" s="7" t="n"/>
      <c r="U879" s="7" t="n"/>
      <c r="V879" s="7" t="n"/>
      <c r="Y879">
        <f>IF($D879="","",IF($AN879=1,0,IF($AM879=1,Settings!$C$6,Settings!$C$7))*100)</f>
        <v/>
      </c>
      <c r="Z879" s="7">
        <f>IF($D879="","",V879*Y879/100)</f>
        <v/>
      </c>
      <c r="AA879" s="7">
        <f>IF($D879="","",V879-Z879)</f>
        <v/>
      </c>
      <c r="AB879" s="7">
        <f>IF($D879="","",AA879-N879)</f>
        <v/>
      </c>
      <c r="AF879" s="7" t="n"/>
      <c r="AI879" s="11" t="n"/>
      <c r="AK879">
        <f>IF($D879="","",IF(COUNTIF($D$2:$D879,$D879)=1,1,0))</f>
        <v/>
      </c>
      <c r="AL879">
        <f>IF($AK879=1,SUMPRODUCT(--($AO$2:$AO$3001&lt;$AO879))+1,"")</f>
        <v/>
      </c>
      <c r="AM879">
        <f>IF($D879="","",IF(OR($R879=TRUE(),$R879="TRUE"),1,0))</f>
        <v/>
      </c>
      <c r="AN879">
        <f>IF($D879="","",IF($X879="Yes",1,0))</f>
        <v/>
      </c>
      <c r="AO879">
        <f>IF($AK879=1,IFERROR(IF(VALUE($D879)&lt;100000000,VALUE($D879),1000000000),IFERROR(IF(VALUE(MID($D879,2,20))&lt;100000000,VALUE(MID($D879,2,20)),1000000000),1000000000))+ROW()/100000,"")</f>
        <v/>
      </c>
    </row>
    <row r="880">
      <c r="F880" s="11" t="n"/>
      <c r="N880" s="7">
        <f>IF($D880="","",M880*V880/100)</f>
        <v/>
      </c>
      <c r="O880" s="7" t="n"/>
      <c r="U880" s="7" t="n"/>
      <c r="V880" s="7" t="n"/>
      <c r="Y880">
        <f>IF($D880="","",IF($AN880=1,0,IF($AM880=1,Settings!$C$6,Settings!$C$7))*100)</f>
        <v/>
      </c>
      <c r="Z880" s="7">
        <f>IF($D880="","",V880*Y880/100)</f>
        <v/>
      </c>
      <c r="AA880" s="7">
        <f>IF($D880="","",V880-Z880)</f>
        <v/>
      </c>
      <c r="AB880" s="7">
        <f>IF($D880="","",AA880-N880)</f>
        <v/>
      </c>
      <c r="AF880" s="7" t="n"/>
      <c r="AI880" s="11" t="n"/>
      <c r="AK880">
        <f>IF($D880="","",IF(COUNTIF($D$2:$D880,$D880)=1,1,0))</f>
        <v/>
      </c>
      <c r="AL880">
        <f>IF($AK880=1,SUMPRODUCT(--($AO$2:$AO$3001&lt;$AO880))+1,"")</f>
        <v/>
      </c>
      <c r="AM880">
        <f>IF($D880="","",IF(OR($R880=TRUE(),$R880="TRUE"),1,0))</f>
        <v/>
      </c>
      <c r="AN880">
        <f>IF($D880="","",IF($X880="Yes",1,0))</f>
        <v/>
      </c>
      <c r="AO880">
        <f>IF($AK880=1,IFERROR(IF(VALUE($D880)&lt;100000000,VALUE($D880),1000000000),IFERROR(IF(VALUE(MID($D880,2,20))&lt;100000000,VALUE(MID($D880,2,20)),1000000000),1000000000))+ROW()/100000,"")</f>
        <v/>
      </c>
    </row>
    <row r="881">
      <c r="F881" s="11" t="n"/>
      <c r="N881" s="7">
        <f>IF($D881="","",M881*V881/100)</f>
        <v/>
      </c>
      <c r="O881" s="7" t="n"/>
      <c r="U881" s="7" t="n"/>
      <c r="V881" s="7" t="n"/>
      <c r="Y881">
        <f>IF($D881="","",IF($AN881=1,0,IF($AM881=1,Settings!$C$6,Settings!$C$7))*100)</f>
        <v/>
      </c>
      <c r="Z881" s="7">
        <f>IF($D881="","",V881*Y881/100)</f>
        <v/>
      </c>
      <c r="AA881" s="7">
        <f>IF($D881="","",V881-Z881)</f>
        <v/>
      </c>
      <c r="AB881" s="7">
        <f>IF($D881="","",AA881-N881)</f>
        <v/>
      </c>
      <c r="AF881" s="7" t="n"/>
      <c r="AI881" s="11" t="n"/>
      <c r="AK881">
        <f>IF($D881="","",IF(COUNTIF($D$2:$D881,$D881)=1,1,0))</f>
        <v/>
      </c>
      <c r="AL881">
        <f>IF($AK881=1,SUMPRODUCT(--($AO$2:$AO$3001&lt;$AO881))+1,"")</f>
        <v/>
      </c>
      <c r="AM881">
        <f>IF($D881="","",IF(OR($R881=TRUE(),$R881="TRUE"),1,0))</f>
        <v/>
      </c>
      <c r="AN881">
        <f>IF($D881="","",IF($X881="Yes",1,0))</f>
        <v/>
      </c>
      <c r="AO881">
        <f>IF($AK881=1,IFERROR(IF(VALUE($D881)&lt;100000000,VALUE($D881),1000000000),IFERROR(IF(VALUE(MID($D881,2,20))&lt;100000000,VALUE(MID($D881,2,20)),1000000000),1000000000))+ROW()/100000,"")</f>
        <v/>
      </c>
    </row>
    <row r="882">
      <c r="F882" s="11" t="n"/>
      <c r="N882" s="7">
        <f>IF($D882="","",M882*V882/100)</f>
        <v/>
      </c>
      <c r="O882" s="7" t="n"/>
      <c r="U882" s="7" t="n"/>
      <c r="V882" s="7" t="n"/>
      <c r="Y882">
        <f>IF($D882="","",IF($AN882=1,0,IF($AM882=1,Settings!$C$6,Settings!$C$7))*100)</f>
        <v/>
      </c>
      <c r="Z882" s="7">
        <f>IF($D882="","",V882*Y882/100)</f>
        <v/>
      </c>
      <c r="AA882" s="7">
        <f>IF($D882="","",V882-Z882)</f>
        <v/>
      </c>
      <c r="AB882" s="7">
        <f>IF($D882="","",AA882-N882)</f>
        <v/>
      </c>
      <c r="AF882" s="7" t="n"/>
      <c r="AI882" s="11" t="n"/>
      <c r="AK882">
        <f>IF($D882="","",IF(COUNTIF($D$2:$D882,$D882)=1,1,0))</f>
        <v/>
      </c>
      <c r="AL882">
        <f>IF($AK882=1,SUMPRODUCT(--($AO$2:$AO$3001&lt;$AO882))+1,"")</f>
        <v/>
      </c>
      <c r="AM882">
        <f>IF($D882="","",IF(OR($R882=TRUE(),$R882="TRUE"),1,0))</f>
        <v/>
      </c>
      <c r="AN882">
        <f>IF($D882="","",IF($X882="Yes",1,0))</f>
        <v/>
      </c>
      <c r="AO882">
        <f>IF($AK882=1,IFERROR(IF(VALUE($D882)&lt;100000000,VALUE($D882),1000000000),IFERROR(IF(VALUE(MID($D882,2,20))&lt;100000000,VALUE(MID($D882,2,20)),1000000000),1000000000))+ROW()/100000,"")</f>
        <v/>
      </c>
    </row>
    <row r="883">
      <c r="F883" s="11" t="n"/>
      <c r="N883" s="7">
        <f>IF($D883="","",M883*V883/100)</f>
        <v/>
      </c>
      <c r="O883" s="7" t="n"/>
      <c r="U883" s="7" t="n"/>
      <c r="V883" s="7" t="n"/>
      <c r="Y883">
        <f>IF($D883="","",IF($AN883=1,0,IF($AM883=1,Settings!$C$6,Settings!$C$7))*100)</f>
        <v/>
      </c>
      <c r="Z883" s="7">
        <f>IF($D883="","",V883*Y883/100)</f>
        <v/>
      </c>
      <c r="AA883" s="7">
        <f>IF($D883="","",V883-Z883)</f>
        <v/>
      </c>
      <c r="AB883" s="7">
        <f>IF($D883="","",AA883-N883)</f>
        <v/>
      </c>
      <c r="AF883" s="7" t="n"/>
      <c r="AI883" s="11" t="n"/>
      <c r="AK883">
        <f>IF($D883="","",IF(COUNTIF($D$2:$D883,$D883)=1,1,0))</f>
        <v/>
      </c>
      <c r="AL883">
        <f>IF($AK883=1,SUMPRODUCT(--($AO$2:$AO$3001&lt;$AO883))+1,"")</f>
        <v/>
      </c>
      <c r="AM883">
        <f>IF($D883="","",IF(OR($R883=TRUE(),$R883="TRUE"),1,0))</f>
        <v/>
      </c>
      <c r="AN883">
        <f>IF($D883="","",IF($X883="Yes",1,0))</f>
        <v/>
      </c>
      <c r="AO883">
        <f>IF($AK883=1,IFERROR(IF(VALUE($D883)&lt;100000000,VALUE($D883),1000000000),IFERROR(IF(VALUE(MID($D883,2,20))&lt;100000000,VALUE(MID($D883,2,20)),1000000000),1000000000))+ROW()/100000,"")</f>
        <v/>
      </c>
    </row>
    <row r="884">
      <c r="F884" s="11" t="n"/>
      <c r="N884" s="7">
        <f>IF($D884="","",M884*V884/100)</f>
        <v/>
      </c>
      <c r="O884" s="7" t="n"/>
      <c r="U884" s="7" t="n"/>
      <c r="V884" s="7" t="n"/>
      <c r="Y884">
        <f>IF($D884="","",IF($AN884=1,0,IF($AM884=1,Settings!$C$6,Settings!$C$7))*100)</f>
        <v/>
      </c>
      <c r="Z884" s="7">
        <f>IF($D884="","",V884*Y884/100)</f>
        <v/>
      </c>
      <c r="AA884" s="7">
        <f>IF($D884="","",V884-Z884)</f>
        <v/>
      </c>
      <c r="AB884" s="7">
        <f>IF($D884="","",AA884-N884)</f>
        <v/>
      </c>
      <c r="AF884" s="7" t="n"/>
      <c r="AI884" s="11" t="n"/>
      <c r="AK884">
        <f>IF($D884="","",IF(COUNTIF($D$2:$D884,$D884)=1,1,0))</f>
        <v/>
      </c>
      <c r="AL884">
        <f>IF($AK884=1,SUMPRODUCT(--($AO$2:$AO$3001&lt;$AO884))+1,"")</f>
        <v/>
      </c>
      <c r="AM884">
        <f>IF($D884="","",IF(OR($R884=TRUE(),$R884="TRUE"),1,0))</f>
        <v/>
      </c>
      <c r="AN884">
        <f>IF($D884="","",IF($X884="Yes",1,0))</f>
        <v/>
      </c>
      <c r="AO884">
        <f>IF($AK884=1,IFERROR(IF(VALUE($D884)&lt;100000000,VALUE($D884),1000000000),IFERROR(IF(VALUE(MID($D884,2,20))&lt;100000000,VALUE(MID($D884,2,20)),1000000000),1000000000))+ROW()/100000,"")</f>
        <v/>
      </c>
    </row>
    <row r="885">
      <c r="F885" s="11" t="n"/>
      <c r="N885" s="7">
        <f>IF($D885="","",M885*V885/100)</f>
        <v/>
      </c>
      <c r="O885" s="7" t="n"/>
      <c r="U885" s="7" t="n"/>
      <c r="V885" s="7" t="n"/>
      <c r="Y885">
        <f>IF($D885="","",IF($AN885=1,0,IF($AM885=1,Settings!$C$6,Settings!$C$7))*100)</f>
        <v/>
      </c>
      <c r="Z885" s="7">
        <f>IF($D885="","",V885*Y885/100)</f>
        <v/>
      </c>
      <c r="AA885" s="7">
        <f>IF($D885="","",V885-Z885)</f>
        <v/>
      </c>
      <c r="AB885" s="7">
        <f>IF($D885="","",AA885-N885)</f>
        <v/>
      </c>
      <c r="AF885" s="7" t="n"/>
      <c r="AI885" s="11" t="n"/>
      <c r="AK885">
        <f>IF($D885="","",IF(COUNTIF($D$2:$D885,$D885)=1,1,0))</f>
        <v/>
      </c>
      <c r="AL885">
        <f>IF($AK885=1,SUMPRODUCT(--($AO$2:$AO$3001&lt;$AO885))+1,"")</f>
        <v/>
      </c>
      <c r="AM885">
        <f>IF($D885="","",IF(OR($R885=TRUE(),$R885="TRUE"),1,0))</f>
        <v/>
      </c>
      <c r="AN885">
        <f>IF($D885="","",IF($X885="Yes",1,0))</f>
        <v/>
      </c>
      <c r="AO885">
        <f>IF($AK885=1,IFERROR(IF(VALUE($D885)&lt;100000000,VALUE($D885),1000000000),IFERROR(IF(VALUE(MID($D885,2,20))&lt;100000000,VALUE(MID($D885,2,20)),1000000000),1000000000))+ROW()/100000,"")</f>
        <v/>
      </c>
    </row>
    <row r="886">
      <c r="F886" s="11" t="n"/>
      <c r="N886" s="7">
        <f>IF($D886="","",M886*V886/100)</f>
        <v/>
      </c>
      <c r="O886" s="7" t="n"/>
      <c r="U886" s="7" t="n"/>
      <c r="V886" s="7" t="n"/>
      <c r="Y886">
        <f>IF($D886="","",IF($AN886=1,0,IF($AM886=1,Settings!$C$6,Settings!$C$7))*100)</f>
        <v/>
      </c>
      <c r="Z886" s="7">
        <f>IF($D886="","",V886*Y886/100)</f>
        <v/>
      </c>
      <c r="AA886" s="7">
        <f>IF($D886="","",V886-Z886)</f>
        <v/>
      </c>
      <c r="AB886" s="7">
        <f>IF($D886="","",AA886-N886)</f>
        <v/>
      </c>
      <c r="AF886" s="7" t="n"/>
      <c r="AI886" s="11" t="n"/>
      <c r="AK886">
        <f>IF($D886="","",IF(COUNTIF($D$2:$D886,$D886)=1,1,0))</f>
        <v/>
      </c>
      <c r="AL886">
        <f>IF($AK886=1,SUMPRODUCT(--($AO$2:$AO$3001&lt;$AO886))+1,"")</f>
        <v/>
      </c>
      <c r="AM886">
        <f>IF($D886="","",IF(OR($R886=TRUE(),$R886="TRUE"),1,0))</f>
        <v/>
      </c>
      <c r="AN886">
        <f>IF($D886="","",IF($X886="Yes",1,0))</f>
        <v/>
      </c>
      <c r="AO886">
        <f>IF($AK886=1,IFERROR(IF(VALUE($D886)&lt;100000000,VALUE($D886),1000000000),IFERROR(IF(VALUE(MID($D886,2,20))&lt;100000000,VALUE(MID($D886,2,20)),1000000000),1000000000))+ROW()/100000,"")</f>
        <v/>
      </c>
    </row>
    <row r="887">
      <c r="F887" s="11" t="n"/>
      <c r="N887" s="7">
        <f>IF($D887="","",M887*V887/100)</f>
        <v/>
      </c>
      <c r="O887" s="7" t="n"/>
      <c r="U887" s="7" t="n"/>
      <c r="V887" s="7" t="n"/>
      <c r="Y887">
        <f>IF($D887="","",IF($AN887=1,0,IF($AM887=1,Settings!$C$6,Settings!$C$7))*100)</f>
        <v/>
      </c>
      <c r="Z887" s="7">
        <f>IF($D887="","",V887*Y887/100)</f>
        <v/>
      </c>
      <c r="AA887" s="7">
        <f>IF($D887="","",V887-Z887)</f>
        <v/>
      </c>
      <c r="AB887" s="7">
        <f>IF($D887="","",AA887-N887)</f>
        <v/>
      </c>
      <c r="AF887" s="7" t="n"/>
      <c r="AI887" s="11" t="n"/>
      <c r="AK887">
        <f>IF($D887="","",IF(COUNTIF($D$2:$D887,$D887)=1,1,0))</f>
        <v/>
      </c>
      <c r="AL887">
        <f>IF($AK887=1,SUMPRODUCT(--($AO$2:$AO$3001&lt;$AO887))+1,"")</f>
        <v/>
      </c>
      <c r="AM887">
        <f>IF($D887="","",IF(OR($R887=TRUE(),$R887="TRUE"),1,0))</f>
        <v/>
      </c>
      <c r="AN887">
        <f>IF($D887="","",IF($X887="Yes",1,0))</f>
        <v/>
      </c>
      <c r="AO887">
        <f>IF($AK887=1,IFERROR(IF(VALUE($D887)&lt;100000000,VALUE($D887),1000000000),IFERROR(IF(VALUE(MID($D887,2,20))&lt;100000000,VALUE(MID($D887,2,20)),1000000000),1000000000))+ROW()/100000,"")</f>
        <v/>
      </c>
    </row>
    <row r="888">
      <c r="F888" s="11" t="n"/>
      <c r="N888" s="7">
        <f>IF($D888="","",M888*V888/100)</f>
        <v/>
      </c>
      <c r="O888" s="7" t="n"/>
      <c r="U888" s="7" t="n"/>
      <c r="V888" s="7" t="n"/>
      <c r="Y888">
        <f>IF($D888="","",IF($AN888=1,0,IF($AM888=1,Settings!$C$6,Settings!$C$7))*100)</f>
        <v/>
      </c>
      <c r="Z888" s="7">
        <f>IF($D888="","",V888*Y888/100)</f>
        <v/>
      </c>
      <c r="AA888" s="7">
        <f>IF($D888="","",V888-Z888)</f>
        <v/>
      </c>
      <c r="AB888" s="7">
        <f>IF($D888="","",AA888-N888)</f>
        <v/>
      </c>
      <c r="AF888" s="7" t="n"/>
      <c r="AI888" s="11" t="n"/>
      <c r="AK888">
        <f>IF($D888="","",IF(COUNTIF($D$2:$D888,$D888)=1,1,0))</f>
        <v/>
      </c>
      <c r="AL888">
        <f>IF($AK888=1,SUMPRODUCT(--($AO$2:$AO$3001&lt;$AO888))+1,"")</f>
        <v/>
      </c>
      <c r="AM888">
        <f>IF($D888="","",IF(OR($R888=TRUE(),$R888="TRUE"),1,0))</f>
        <v/>
      </c>
      <c r="AN888">
        <f>IF($D888="","",IF($X888="Yes",1,0))</f>
        <v/>
      </c>
      <c r="AO888">
        <f>IF($AK888=1,IFERROR(IF(VALUE($D888)&lt;100000000,VALUE($D888),1000000000),IFERROR(IF(VALUE(MID($D888,2,20))&lt;100000000,VALUE(MID($D888,2,20)),1000000000),1000000000))+ROW()/100000,"")</f>
        <v/>
      </c>
    </row>
    <row r="889">
      <c r="F889" s="11" t="n"/>
      <c r="N889" s="7">
        <f>IF($D889="","",M889*V889/100)</f>
        <v/>
      </c>
      <c r="O889" s="7" t="n"/>
      <c r="U889" s="7" t="n"/>
      <c r="V889" s="7" t="n"/>
      <c r="Y889">
        <f>IF($D889="","",IF($AN889=1,0,IF($AM889=1,Settings!$C$6,Settings!$C$7))*100)</f>
        <v/>
      </c>
      <c r="Z889" s="7">
        <f>IF($D889="","",V889*Y889/100)</f>
        <v/>
      </c>
      <c r="AA889" s="7">
        <f>IF($D889="","",V889-Z889)</f>
        <v/>
      </c>
      <c r="AB889" s="7">
        <f>IF($D889="","",AA889-N889)</f>
        <v/>
      </c>
      <c r="AF889" s="7" t="n"/>
      <c r="AI889" s="11" t="n"/>
      <c r="AK889">
        <f>IF($D889="","",IF(COUNTIF($D$2:$D889,$D889)=1,1,0))</f>
        <v/>
      </c>
      <c r="AL889">
        <f>IF($AK889=1,SUMPRODUCT(--($AO$2:$AO$3001&lt;$AO889))+1,"")</f>
        <v/>
      </c>
      <c r="AM889">
        <f>IF($D889="","",IF(OR($R889=TRUE(),$R889="TRUE"),1,0))</f>
        <v/>
      </c>
      <c r="AN889">
        <f>IF($D889="","",IF($X889="Yes",1,0))</f>
        <v/>
      </c>
      <c r="AO889">
        <f>IF($AK889=1,IFERROR(IF(VALUE($D889)&lt;100000000,VALUE($D889),1000000000),IFERROR(IF(VALUE(MID($D889,2,20))&lt;100000000,VALUE(MID($D889,2,20)),1000000000),1000000000))+ROW()/100000,"")</f>
        <v/>
      </c>
    </row>
    <row r="890">
      <c r="F890" s="11" t="n"/>
      <c r="N890" s="7">
        <f>IF($D890="","",M890*V890/100)</f>
        <v/>
      </c>
      <c r="O890" s="7" t="n"/>
      <c r="U890" s="7" t="n"/>
      <c r="V890" s="7" t="n"/>
      <c r="Y890">
        <f>IF($D890="","",IF($AN890=1,0,IF($AM890=1,Settings!$C$6,Settings!$C$7))*100)</f>
        <v/>
      </c>
      <c r="Z890" s="7">
        <f>IF($D890="","",V890*Y890/100)</f>
        <v/>
      </c>
      <c r="AA890" s="7">
        <f>IF($D890="","",V890-Z890)</f>
        <v/>
      </c>
      <c r="AB890" s="7">
        <f>IF($D890="","",AA890-N890)</f>
        <v/>
      </c>
      <c r="AF890" s="7" t="n"/>
      <c r="AI890" s="11" t="n"/>
      <c r="AK890">
        <f>IF($D890="","",IF(COUNTIF($D$2:$D890,$D890)=1,1,0))</f>
        <v/>
      </c>
      <c r="AL890">
        <f>IF($AK890=1,SUMPRODUCT(--($AO$2:$AO$3001&lt;$AO890))+1,"")</f>
        <v/>
      </c>
      <c r="AM890">
        <f>IF($D890="","",IF(OR($R890=TRUE(),$R890="TRUE"),1,0))</f>
        <v/>
      </c>
      <c r="AN890">
        <f>IF($D890="","",IF($X890="Yes",1,0))</f>
        <v/>
      </c>
      <c r="AO890">
        <f>IF($AK890=1,IFERROR(IF(VALUE($D890)&lt;100000000,VALUE($D890),1000000000),IFERROR(IF(VALUE(MID($D890,2,20))&lt;100000000,VALUE(MID($D890,2,20)),1000000000),1000000000))+ROW()/100000,"")</f>
        <v/>
      </c>
    </row>
    <row r="891">
      <c r="F891" s="11" t="n"/>
      <c r="N891" s="7">
        <f>IF($D891="","",M891*V891/100)</f>
        <v/>
      </c>
      <c r="O891" s="7" t="n"/>
      <c r="U891" s="7" t="n"/>
      <c r="V891" s="7" t="n"/>
      <c r="Y891">
        <f>IF($D891="","",IF($AN891=1,0,IF($AM891=1,Settings!$C$6,Settings!$C$7))*100)</f>
        <v/>
      </c>
      <c r="Z891" s="7">
        <f>IF($D891="","",V891*Y891/100)</f>
        <v/>
      </c>
      <c r="AA891" s="7">
        <f>IF($D891="","",V891-Z891)</f>
        <v/>
      </c>
      <c r="AB891" s="7">
        <f>IF($D891="","",AA891-N891)</f>
        <v/>
      </c>
      <c r="AF891" s="7" t="n"/>
      <c r="AI891" s="11" t="n"/>
      <c r="AK891">
        <f>IF($D891="","",IF(COUNTIF($D$2:$D891,$D891)=1,1,0))</f>
        <v/>
      </c>
      <c r="AL891">
        <f>IF($AK891=1,SUMPRODUCT(--($AO$2:$AO$3001&lt;$AO891))+1,"")</f>
        <v/>
      </c>
      <c r="AM891">
        <f>IF($D891="","",IF(OR($R891=TRUE(),$R891="TRUE"),1,0))</f>
        <v/>
      </c>
      <c r="AN891">
        <f>IF($D891="","",IF($X891="Yes",1,0))</f>
        <v/>
      </c>
      <c r="AO891">
        <f>IF($AK891=1,IFERROR(IF(VALUE($D891)&lt;100000000,VALUE($D891),1000000000),IFERROR(IF(VALUE(MID($D891,2,20))&lt;100000000,VALUE(MID($D891,2,20)),1000000000),1000000000))+ROW()/100000,"")</f>
        <v/>
      </c>
    </row>
    <row r="892">
      <c r="F892" s="11" t="n"/>
      <c r="N892" s="7">
        <f>IF($D892="","",M892*V892/100)</f>
        <v/>
      </c>
      <c r="O892" s="7" t="n"/>
      <c r="U892" s="7" t="n"/>
      <c r="V892" s="7" t="n"/>
      <c r="Y892">
        <f>IF($D892="","",IF($AN892=1,0,IF($AM892=1,Settings!$C$6,Settings!$C$7))*100)</f>
        <v/>
      </c>
      <c r="Z892" s="7">
        <f>IF($D892="","",V892*Y892/100)</f>
        <v/>
      </c>
      <c r="AA892" s="7">
        <f>IF($D892="","",V892-Z892)</f>
        <v/>
      </c>
      <c r="AB892" s="7">
        <f>IF($D892="","",AA892-N892)</f>
        <v/>
      </c>
      <c r="AF892" s="7" t="n"/>
      <c r="AI892" s="11" t="n"/>
      <c r="AK892">
        <f>IF($D892="","",IF(COUNTIF($D$2:$D892,$D892)=1,1,0))</f>
        <v/>
      </c>
      <c r="AL892">
        <f>IF($AK892=1,SUMPRODUCT(--($AO$2:$AO$3001&lt;$AO892))+1,"")</f>
        <v/>
      </c>
      <c r="AM892">
        <f>IF($D892="","",IF(OR($R892=TRUE(),$R892="TRUE"),1,0))</f>
        <v/>
      </c>
      <c r="AN892">
        <f>IF($D892="","",IF($X892="Yes",1,0))</f>
        <v/>
      </c>
      <c r="AO892">
        <f>IF($AK892=1,IFERROR(IF(VALUE($D892)&lt;100000000,VALUE($D892),1000000000),IFERROR(IF(VALUE(MID($D892,2,20))&lt;100000000,VALUE(MID($D892,2,20)),1000000000),1000000000))+ROW()/100000,"")</f>
        <v/>
      </c>
    </row>
    <row r="893">
      <c r="F893" s="11" t="n"/>
      <c r="N893" s="7">
        <f>IF($D893="","",M893*V893/100)</f>
        <v/>
      </c>
      <c r="O893" s="7" t="n"/>
      <c r="U893" s="7" t="n"/>
      <c r="V893" s="7" t="n"/>
      <c r="Y893">
        <f>IF($D893="","",IF($AN893=1,0,IF($AM893=1,Settings!$C$6,Settings!$C$7))*100)</f>
        <v/>
      </c>
      <c r="Z893" s="7">
        <f>IF($D893="","",V893*Y893/100)</f>
        <v/>
      </c>
      <c r="AA893" s="7">
        <f>IF($D893="","",V893-Z893)</f>
        <v/>
      </c>
      <c r="AB893" s="7">
        <f>IF($D893="","",AA893-N893)</f>
        <v/>
      </c>
      <c r="AF893" s="7" t="n"/>
      <c r="AI893" s="11" t="n"/>
      <c r="AK893">
        <f>IF($D893="","",IF(COUNTIF($D$2:$D893,$D893)=1,1,0))</f>
        <v/>
      </c>
      <c r="AL893">
        <f>IF($AK893=1,SUMPRODUCT(--($AO$2:$AO$3001&lt;$AO893))+1,"")</f>
        <v/>
      </c>
      <c r="AM893">
        <f>IF($D893="","",IF(OR($R893=TRUE(),$R893="TRUE"),1,0))</f>
        <v/>
      </c>
      <c r="AN893">
        <f>IF($D893="","",IF($X893="Yes",1,0))</f>
        <v/>
      </c>
      <c r="AO893">
        <f>IF($AK893=1,IFERROR(IF(VALUE($D893)&lt;100000000,VALUE($D893),1000000000),IFERROR(IF(VALUE(MID($D893,2,20))&lt;100000000,VALUE(MID($D893,2,20)),1000000000),1000000000))+ROW()/100000,"")</f>
        <v/>
      </c>
    </row>
    <row r="894">
      <c r="F894" s="11" t="n"/>
      <c r="N894" s="7">
        <f>IF($D894="","",M894*V894/100)</f>
        <v/>
      </c>
      <c r="O894" s="7" t="n"/>
      <c r="U894" s="7" t="n"/>
      <c r="V894" s="7" t="n"/>
      <c r="Y894">
        <f>IF($D894="","",IF($AN894=1,0,IF($AM894=1,Settings!$C$6,Settings!$C$7))*100)</f>
        <v/>
      </c>
      <c r="Z894" s="7">
        <f>IF($D894="","",V894*Y894/100)</f>
        <v/>
      </c>
      <c r="AA894" s="7">
        <f>IF($D894="","",V894-Z894)</f>
        <v/>
      </c>
      <c r="AB894" s="7">
        <f>IF($D894="","",AA894-N894)</f>
        <v/>
      </c>
      <c r="AF894" s="7" t="n"/>
      <c r="AI894" s="11" t="n"/>
      <c r="AK894">
        <f>IF($D894="","",IF(COUNTIF($D$2:$D894,$D894)=1,1,0))</f>
        <v/>
      </c>
      <c r="AL894">
        <f>IF($AK894=1,SUMPRODUCT(--($AO$2:$AO$3001&lt;$AO894))+1,"")</f>
        <v/>
      </c>
      <c r="AM894">
        <f>IF($D894="","",IF(OR($R894=TRUE(),$R894="TRUE"),1,0))</f>
        <v/>
      </c>
      <c r="AN894">
        <f>IF($D894="","",IF($X894="Yes",1,0))</f>
        <v/>
      </c>
      <c r="AO894">
        <f>IF($AK894=1,IFERROR(IF(VALUE($D894)&lt;100000000,VALUE($D894),1000000000),IFERROR(IF(VALUE(MID($D894,2,20))&lt;100000000,VALUE(MID($D894,2,20)),1000000000),1000000000))+ROW()/100000,"")</f>
        <v/>
      </c>
    </row>
    <row r="895">
      <c r="F895" s="11" t="n"/>
      <c r="N895" s="7">
        <f>IF($D895="","",M895*V895/100)</f>
        <v/>
      </c>
      <c r="O895" s="7" t="n"/>
      <c r="U895" s="7" t="n"/>
      <c r="V895" s="7" t="n"/>
      <c r="Y895">
        <f>IF($D895="","",IF($AN895=1,0,IF($AM895=1,Settings!$C$6,Settings!$C$7))*100)</f>
        <v/>
      </c>
      <c r="Z895" s="7">
        <f>IF($D895="","",V895*Y895/100)</f>
        <v/>
      </c>
      <c r="AA895" s="7">
        <f>IF($D895="","",V895-Z895)</f>
        <v/>
      </c>
      <c r="AB895" s="7">
        <f>IF($D895="","",AA895-N895)</f>
        <v/>
      </c>
      <c r="AF895" s="7" t="n"/>
      <c r="AI895" s="11" t="n"/>
      <c r="AK895">
        <f>IF($D895="","",IF(COUNTIF($D$2:$D895,$D895)=1,1,0))</f>
        <v/>
      </c>
      <c r="AL895">
        <f>IF($AK895=1,SUMPRODUCT(--($AO$2:$AO$3001&lt;$AO895))+1,"")</f>
        <v/>
      </c>
      <c r="AM895">
        <f>IF($D895="","",IF(OR($R895=TRUE(),$R895="TRUE"),1,0))</f>
        <v/>
      </c>
      <c r="AN895">
        <f>IF($D895="","",IF($X895="Yes",1,0))</f>
        <v/>
      </c>
      <c r="AO895">
        <f>IF($AK895=1,IFERROR(IF(VALUE($D895)&lt;100000000,VALUE($D895),1000000000),IFERROR(IF(VALUE(MID($D895,2,20))&lt;100000000,VALUE(MID($D895,2,20)),1000000000),1000000000))+ROW()/100000,"")</f>
        <v/>
      </c>
    </row>
    <row r="896">
      <c r="F896" s="11" t="n"/>
      <c r="N896" s="7">
        <f>IF($D896="","",M896*V896/100)</f>
        <v/>
      </c>
      <c r="O896" s="7" t="n"/>
      <c r="U896" s="7" t="n"/>
      <c r="V896" s="7" t="n"/>
      <c r="Y896">
        <f>IF($D896="","",IF($AN896=1,0,IF($AM896=1,Settings!$C$6,Settings!$C$7))*100)</f>
        <v/>
      </c>
      <c r="Z896" s="7">
        <f>IF($D896="","",V896*Y896/100)</f>
        <v/>
      </c>
      <c r="AA896" s="7">
        <f>IF($D896="","",V896-Z896)</f>
        <v/>
      </c>
      <c r="AB896" s="7">
        <f>IF($D896="","",AA896-N896)</f>
        <v/>
      </c>
      <c r="AF896" s="7" t="n"/>
      <c r="AI896" s="11" t="n"/>
      <c r="AK896">
        <f>IF($D896="","",IF(COUNTIF($D$2:$D896,$D896)=1,1,0))</f>
        <v/>
      </c>
      <c r="AL896">
        <f>IF($AK896=1,SUMPRODUCT(--($AO$2:$AO$3001&lt;$AO896))+1,"")</f>
        <v/>
      </c>
      <c r="AM896">
        <f>IF($D896="","",IF(OR($R896=TRUE(),$R896="TRUE"),1,0))</f>
        <v/>
      </c>
      <c r="AN896">
        <f>IF($D896="","",IF($X896="Yes",1,0))</f>
        <v/>
      </c>
      <c r="AO896">
        <f>IF($AK896=1,IFERROR(IF(VALUE($D896)&lt;100000000,VALUE($D896),1000000000),IFERROR(IF(VALUE(MID($D896,2,20))&lt;100000000,VALUE(MID($D896,2,20)),1000000000),1000000000))+ROW()/100000,"")</f>
        <v/>
      </c>
    </row>
    <row r="897">
      <c r="F897" s="11" t="n"/>
      <c r="N897" s="7">
        <f>IF($D897="","",M897*V897/100)</f>
        <v/>
      </c>
      <c r="O897" s="7" t="n"/>
      <c r="U897" s="7" t="n"/>
      <c r="V897" s="7" t="n"/>
      <c r="Y897">
        <f>IF($D897="","",IF($AN897=1,0,IF($AM897=1,Settings!$C$6,Settings!$C$7))*100)</f>
        <v/>
      </c>
      <c r="Z897" s="7">
        <f>IF($D897="","",V897*Y897/100)</f>
        <v/>
      </c>
      <c r="AA897" s="7">
        <f>IF($D897="","",V897-Z897)</f>
        <v/>
      </c>
      <c r="AB897" s="7">
        <f>IF($D897="","",AA897-N897)</f>
        <v/>
      </c>
      <c r="AF897" s="7" t="n"/>
      <c r="AI897" s="11" t="n"/>
      <c r="AK897">
        <f>IF($D897="","",IF(COUNTIF($D$2:$D897,$D897)=1,1,0))</f>
        <v/>
      </c>
      <c r="AL897">
        <f>IF($AK897=1,SUMPRODUCT(--($AO$2:$AO$3001&lt;$AO897))+1,"")</f>
        <v/>
      </c>
      <c r="AM897">
        <f>IF($D897="","",IF(OR($R897=TRUE(),$R897="TRUE"),1,0))</f>
        <v/>
      </c>
      <c r="AN897">
        <f>IF($D897="","",IF($X897="Yes",1,0))</f>
        <v/>
      </c>
      <c r="AO897">
        <f>IF($AK897=1,IFERROR(IF(VALUE($D897)&lt;100000000,VALUE($D897),1000000000),IFERROR(IF(VALUE(MID($D897,2,20))&lt;100000000,VALUE(MID($D897,2,20)),1000000000),1000000000))+ROW()/100000,"")</f>
        <v/>
      </c>
    </row>
    <row r="898">
      <c r="F898" s="11" t="n"/>
      <c r="N898" s="7">
        <f>IF($D898="","",M898*V898/100)</f>
        <v/>
      </c>
      <c r="O898" s="7" t="n"/>
      <c r="U898" s="7" t="n"/>
      <c r="V898" s="7" t="n"/>
      <c r="Y898">
        <f>IF($D898="","",IF($AN898=1,0,IF($AM898=1,Settings!$C$6,Settings!$C$7))*100)</f>
        <v/>
      </c>
      <c r="Z898" s="7">
        <f>IF($D898="","",V898*Y898/100)</f>
        <v/>
      </c>
      <c r="AA898" s="7">
        <f>IF($D898="","",V898-Z898)</f>
        <v/>
      </c>
      <c r="AB898" s="7">
        <f>IF($D898="","",AA898-N898)</f>
        <v/>
      </c>
      <c r="AF898" s="7" t="n"/>
      <c r="AI898" s="11" t="n"/>
      <c r="AK898">
        <f>IF($D898="","",IF(COUNTIF($D$2:$D898,$D898)=1,1,0))</f>
        <v/>
      </c>
      <c r="AL898">
        <f>IF($AK898=1,SUMPRODUCT(--($AO$2:$AO$3001&lt;$AO898))+1,"")</f>
        <v/>
      </c>
      <c r="AM898">
        <f>IF($D898="","",IF(OR($R898=TRUE(),$R898="TRUE"),1,0))</f>
        <v/>
      </c>
      <c r="AN898">
        <f>IF($D898="","",IF($X898="Yes",1,0))</f>
        <v/>
      </c>
      <c r="AO898">
        <f>IF($AK898=1,IFERROR(IF(VALUE($D898)&lt;100000000,VALUE($D898),1000000000),IFERROR(IF(VALUE(MID($D898,2,20))&lt;100000000,VALUE(MID($D898,2,20)),1000000000),1000000000))+ROW()/100000,"")</f>
        <v/>
      </c>
    </row>
    <row r="899">
      <c r="F899" s="11" t="n"/>
      <c r="N899" s="7">
        <f>IF($D899="","",M899*V899/100)</f>
        <v/>
      </c>
      <c r="O899" s="7" t="n"/>
      <c r="U899" s="7" t="n"/>
      <c r="V899" s="7" t="n"/>
      <c r="Y899">
        <f>IF($D899="","",IF($AN899=1,0,IF($AM899=1,Settings!$C$6,Settings!$C$7))*100)</f>
        <v/>
      </c>
      <c r="Z899" s="7">
        <f>IF($D899="","",V899*Y899/100)</f>
        <v/>
      </c>
      <c r="AA899" s="7">
        <f>IF($D899="","",V899-Z899)</f>
        <v/>
      </c>
      <c r="AB899" s="7">
        <f>IF($D899="","",AA899-N899)</f>
        <v/>
      </c>
      <c r="AF899" s="7" t="n"/>
      <c r="AI899" s="11" t="n"/>
      <c r="AK899">
        <f>IF($D899="","",IF(COUNTIF($D$2:$D899,$D899)=1,1,0))</f>
        <v/>
      </c>
      <c r="AL899">
        <f>IF($AK899=1,SUMPRODUCT(--($AO$2:$AO$3001&lt;$AO899))+1,"")</f>
        <v/>
      </c>
      <c r="AM899">
        <f>IF($D899="","",IF(OR($R899=TRUE(),$R899="TRUE"),1,0))</f>
        <v/>
      </c>
      <c r="AN899">
        <f>IF($D899="","",IF($X899="Yes",1,0))</f>
        <v/>
      </c>
      <c r="AO899">
        <f>IF($AK899=1,IFERROR(IF(VALUE($D899)&lt;100000000,VALUE($D899),1000000000),IFERROR(IF(VALUE(MID($D899,2,20))&lt;100000000,VALUE(MID($D899,2,20)),1000000000),1000000000))+ROW()/100000,"")</f>
        <v/>
      </c>
    </row>
    <row r="900">
      <c r="F900" s="11" t="n"/>
      <c r="N900" s="7">
        <f>IF($D900="","",M900*V900/100)</f>
        <v/>
      </c>
      <c r="O900" s="7" t="n"/>
      <c r="U900" s="7" t="n"/>
      <c r="V900" s="7" t="n"/>
      <c r="Y900">
        <f>IF($D900="","",IF($AN900=1,0,IF($AM900=1,Settings!$C$6,Settings!$C$7))*100)</f>
        <v/>
      </c>
      <c r="Z900" s="7">
        <f>IF($D900="","",V900*Y900/100)</f>
        <v/>
      </c>
      <c r="AA900" s="7">
        <f>IF($D900="","",V900-Z900)</f>
        <v/>
      </c>
      <c r="AB900" s="7">
        <f>IF($D900="","",AA900-N900)</f>
        <v/>
      </c>
      <c r="AF900" s="7" t="n"/>
      <c r="AI900" s="11" t="n"/>
      <c r="AK900">
        <f>IF($D900="","",IF(COUNTIF($D$2:$D900,$D900)=1,1,0))</f>
        <v/>
      </c>
      <c r="AL900">
        <f>IF($AK900=1,SUMPRODUCT(--($AO$2:$AO$3001&lt;$AO900))+1,"")</f>
        <v/>
      </c>
      <c r="AM900">
        <f>IF($D900="","",IF(OR($R900=TRUE(),$R900="TRUE"),1,0))</f>
        <v/>
      </c>
      <c r="AN900">
        <f>IF($D900="","",IF($X900="Yes",1,0))</f>
        <v/>
      </c>
      <c r="AO900">
        <f>IF($AK900=1,IFERROR(IF(VALUE($D900)&lt;100000000,VALUE($D900),1000000000),IFERROR(IF(VALUE(MID($D900,2,20))&lt;100000000,VALUE(MID($D900,2,20)),1000000000),1000000000))+ROW()/100000,"")</f>
        <v/>
      </c>
    </row>
    <row r="901">
      <c r="F901" s="11" t="n"/>
      <c r="N901" s="7">
        <f>IF($D901="","",M901*V901/100)</f>
        <v/>
      </c>
      <c r="O901" s="7" t="n"/>
      <c r="U901" s="7" t="n"/>
      <c r="V901" s="7" t="n"/>
      <c r="Y901">
        <f>IF($D901="","",IF($AN901=1,0,IF($AM901=1,Settings!$C$6,Settings!$C$7))*100)</f>
        <v/>
      </c>
      <c r="Z901" s="7">
        <f>IF($D901="","",V901*Y901/100)</f>
        <v/>
      </c>
      <c r="AA901" s="7">
        <f>IF($D901="","",V901-Z901)</f>
        <v/>
      </c>
      <c r="AB901" s="7">
        <f>IF($D901="","",AA901-N901)</f>
        <v/>
      </c>
      <c r="AF901" s="7" t="n"/>
      <c r="AI901" s="11" t="n"/>
      <c r="AK901">
        <f>IF($D901="","",IF(COUNTIF($D$2:$D901,$D901)=1,1,0))</f>
        <v/>
      </c>
      <c r="AL901">
        <f>IF($AK901=1,SUMPRODUCT(--($AO$2:$AO$3001&lt;$AO901))+1,"")</f>
        <v/>
      </c>
      <c r="AM901">
        <f>IF($D901="","",IF(OR($R901=TRUE(),$R901="TRUE"),1,0))</f>
        <v/>
      </c>
      <c r="AN901">
        <f>IF($D901="","",IF($X901="Yes",1,0))</f>
        <v/>
      </c>
      <c r="AO901">
        <f>IF($AK901=1,IFERROR(IF(VALUE($D901)&lt;100000000,VALUE($D901),1000000000),IFERROR(IF(VALUE(MID($D901,2,20))&lt;100000000,VALUE(MID($D901,2,20)),1000000000),1000000000))+ROW()/100000,"")</f>
        <v/>
      </c>
    </row>
    <row r="902">
      <c r="F902" s="11" t="n"/>
      <c r="N902" s="7">
        <f>IF($D902="","",M902*V902/100)</f>
        <v/>
      </c>
      <c r="O902" s="7" t="n"/>
      <c r="U902" s="7" t="n"/>
      <c r="V902" s="7" t="n"/>
      <c r="Y902">
        <f>IF($D902="","",IF($AN902=1,0,IF($AM902=1,Settings!$C$6,Settings!$C$7))*100)</f>
        <v/>
      </c>
      <c r="Z902" s="7">
        <f>IF($D902="","",V902*Y902/100)</f>
        <v/>
      </c>
      <c r="AA902" s="7">
        <f>IF($D902="","",V902-Z902)</f>
        <v/>
      </c>
      <c r="AB902" s="7">
        <f>IF($D902="","",AA902-N902)</f>
        <v/>
      </c>
      <c r="AF902" s="7" t="n"/>
      <c r="AI902" s="11" t="n"/>
      <c r="AK902">
        <f>IF($D902="","",IF(COUNTIF($D$2:$D902,$D902)=1,1,0))</f>
        <v/>
      </c>
      <c r="AL902">
        <f>IF($AK902=1,SUMPRODUCT(--($AO$2:$AO$3001&lt;$AO902))+1,"")</f>
        <v/>
      </c>
      <c r="AM902">
        <f>IF($D902="","",IF(OR($R902=TRUE(),$R902="TRUE"),1,0))</f>
        <v/>
      </c>
      <c r="AN902">
        <f>IF($D902="","",IF($X902="Yes",1,0))</f>
        <v/>
      </c>
      <c r="AO902">
        <f>IF($AK902=1,IFERROR(IF(VALUE($D902)&lt;100000000,VALUE($D902),1000000000),IFERROR(IF(VALUE(MID($D902,2,20))&lt;100000000,VALUE(MID($D902,2,20)),1000000000),1000000000))+ROW()/100000,"")</f>
        <v/>
      </c>
    </row>
    <row r="903">
      <c r="F903" s="11" t="n"/>
      <c r="N903" s="7">
        <f>IF($D903="","",M903*V903/100)</f>
        <v/>
      </c>
      <c r="O903" s="7" t="n"/>
      <c r="U903" s="7" t="n"/>
      <c r="V903" s="7" t="n"/>
      <c r="Y903">
        <f>IF($D903="","",IF($AN903=1,0,IF($AM903=1,Settings!$C$6,Settings!$C$7))*100)</f>
        <v/>
      </c>
      <c r="Z903" s="7">
        <f>IF($D903="","",V903*Y903/100)</f>
        <v/>
      </c>
      <c r="AA903" s="7">
        <f>IF($D903="","",V903-Z903)</f>
        <v/>
      </c>
      <c r="AB903" s="7">
        <f>IF($D903="","",AA903-N903)</f>
        <v/>
      </c>
      <c r="AF903" s="7" t="n"/>
      <c r="AI903" s="11" t="n"/>
      <c r="AK903">
        <f>IF($D903="","",IF(COUNTIF($D$2:$D903,$D903)=1,1,0))</f>
        <v/>
      </c>
      <c r="AL903">
        <f>IF($AK903=1,SUMPRODUCT(--($AO$2:$AO$3001&lt;$AO903))+1,"")</f>
        <v/>
      </c>
      <c r="AM903">
        <f>IF($D903="","",IF(OR($R903=TRUE(),$R903="TRUE"),1,0))</f>
        <v/>
      </c>
      <c r="AN903">
        <f>IF($D903="","",IF($X903="Yes",1,0))</f>
        <v/>
      </c>
      <c r="AO903">
        <f>IF($AK903=1,IFERROR(IF(VALUE($D903)&lt;100000000,VALUE($D903),1000000000),IFERROR(IF(VALUE(MID($D903,2,20))&lt;100000000,VALUE(MID($D903,2,20)),1000000000),1000000000))+ROW()/100000,"")</f>
        <v/>
      </c>
    </row>
    <row r="904">
      <c r="F904" s="11" t="n"/>
      <c r="N904" s="7">
        <f>IF($D904="","",M904*V904/100)</f>
        <v/>
      </c>
      <c r="O904" s="7" t="n"/>
      <c r="U904" s="7" t="n"/>
      <c r="V904" s="7" t="n"/>
      <c r="Y904">
        <f>IF($D904="","",IF($AN904=1,0,IF($AM904=1,Settings!$C$6,Settings!$C$7))*100)</f>
        <v/>
      </c>
      <c r="Z904" s="7">
        <f>IF($D904="","",V904*Y904/100)</f>
        <v/>
      </c>
      <c r="AA904" s="7">
        <f>IF($D904="","",V904-Z904)</f>
        <v/>
      </c>
      <c r="AB904" s="7">
        <f>IF($D904="","",AA904-N904)</f>
        <v/>
      </c>
      <c r="AF904" s="7" t="n"/>
      <c r="AI904" s="11" t="n"/>
      <c r="AK904">
        <f>IF($D904="","",IF(COUNTIF($D$2:$D904,$D904)=1,1,0))</f>
        <v/>
      </c>
      <c r="AL904">
        <f>IF($AK904=1,SUMPRODUCT(--($AO$2:$AO$3001&lt;$AO904))+1,"")</f>
        <v/>
      </c>
      <c r="AM904">
        <f>IF($D904="","",IF(OR($R904=TRUE(),$R904="TRUE"),1,0))</f>
        <v/>
      </c>
      <c r="AN904">
        <f>IF($D904="","",IF($X904="Yes",1,0))</f>
        <v/>
      </c>
      <c r="AO904">
        <f>IF($AK904=1,IFERROR(IF(VALUE($D904)&lt;100000000,VALUE($D904),1000000000),IFERROR(IF(VALUE(MID($D904,2,20))&lt;100000000,VALUE(MID($D904,2,20)),1000000000),1000000000))+ROW()/100000,"")</f>
        <v/>
      </c>
    </row>
    <row r="905">
      <c r="F905" s="11" t="n"/>
      <c r="N905" s="7">
        <f>IF($D905="","",M905*V905/100)</f>
        <v/>
      </c>
      <c r="O905" s="7" t="n"/>
      <c r="U905" s="7" t="n"/>
      <c r="V905" s="7" t="n"/>
      <c r="Y905">
        <f>IF($D905="","",IF($AN905=1,0,IF($AM905=1,Settings!$C$6,Settings!$C$7))*100)</f>
        <v/>
      </c>
      <c r="Z905" s="7">
        <f>IF($D905="","",V905*Y905/100)</f>
        <v/>
      </c>
      <c r="AA905" s="7">
        <f>IF($D905="","",V905-Z905)</f>
        <v/>
      </c>
      <c r="AB905" s="7">
        <f>IF($D905="","",AA905-N905)</f>
        <v/>
      </c>
      <c r="AF905" s="7" t="n"/>
      <c r="AI905" s="11" t="n"/>
      <c r="AK905">
        <f>IF($D905="","",IF(COUNTIF($D$2:$D905,$D905)=1,1,0))</f>
        <v/>
      </c>
      <c r="AL905">
        <f>IF($AK905=1,SUMPRODUCT(--($AO$2:$AO$3001&lt;$AO905))+1,"")</f>
        <v/>
      </c>
      <c r="AM905">
        <f>IF($D905="","",IF(OR($R905=TRUE(),$R905="TRUE"),1,0))</f>
        <v/>
      </c>
      <c r="AN905">
        <f>IF($D905="","",IF($X905="Yes",1,0))</f>
        <v/>
      </c>
      <c r="AO905">
        <f>IF($AK905=1,IFERROR(IF(VALUE($D905)&lt;100000000,VALUE($D905),1000000000),IFERROR(IF(VALUE(MID($D905,2,20))&lt;100000000,VALUE(MID($D905,2,20)),1000000000),1000000000))+ROW()/100000,"")</f>
        <v/>
      </c>
    </row>
    <row r="906">
      <c r="F906" s="11" t="n"/>
      <c r="N906" s="7">
        <f>IF($D906="","",M906*V906/100)</f>
        <v/>
      </c>
      <c r="O906" s="7" t="n"/>
      <c r="U906" s="7" t="n"/>
      <c r="V906" s="7" t="n"/>
      <c r="Y906">
        <f>IF($D906="","",IF($AN906=1,0,IF($AM906=1,Settings!$C$6,Settings!$C$7))*100)</f>
        <v/>
      </c>
      <c r="Z906" s="7">
        <f>IF($D906="","",V906*Y906/100)</f>
        <v/>
      </c>
      <c r="AA906" s="7">
        <f>IF($D906="","",V906-Z906)</f>
        <v/>
      </c>
      <c r="AB906" s="7">
        <f>IF($D906="","",AA906-N906)</f>
        <v/>
      </c>
      <c r="AF906" s="7" t="n"/>
      <c r="AI906" s="11" t="n"/>
      <c r="AK906">
        <f>IF($D906="","",IF(COUNTIF($D$2:$D906,$D906)=1,1,0))</f>
        <v/>
      </c>
      <c r="AL906">
        <f>IF($AK906=1,SUMPRODUCT(--($AO$2:$AO$3001&lt;$AO906))+1,"")</f>
        <v/>
      </c>
      <c r="AM906">
        <f>IF($D906="","",IF(OR($R906=TRUE(),$R906="TRUE"),1,0))</f>
        <v/>
      </c>
      <c r="AN906">
        <f>IF($D906="","",IF($X906="Yes",1,0))</f>
        <v/>
      </c>
      <c r="AO906">
        <f>IF($AK906=1,IFERROR(IF(VALUE($D906)&lt;100000000,VALUE($D906),1000000000),IFERROR(IF(VALUE(MID($D906,2,20))&lt;100000000,VALUE(MID($D906,2,20)),1000000000),1000000000))+ROW()/100000,"")</f>
        <v/>
      </c>
    </row>
    <row r="907">
      <c r="F907" s="11" t="n"/>
      <c r="N907" s="7">
        <f>IF($D907="","",M907*V907/100)</f>
        <v/>
      </c>
      <c r="O907" s="7" t="n"/>
      <c r="U907" s="7" t="n"/>
      <c r="V907" s="7" t="n"/>
      <c r="Y907">
        <f>IF($D907="","",IF($AN907=1,0,IF($AM907=1,Settings!$C$6,Settings!$C$7))*100)</f>
        <v/>
      </c>
      <c r="Z907" s="7">
        <f>IF($D907="","",V907*Y907/100)</f>
        <v/>
      </c>
      <c r="AA907" s="7">
        <f>IF($D907="","",V907-Z907)</f>
        <v/>
      </c>
      <c r="AB907" s="7">
        <f>IF($D907="","",AA907-N907)</f>
        <v/>
      </c>
      <c r="AF907" s="7" t="n"/>
      <c r="AI907" s="11" t="n"/>
      <c r="AK907">
        <f>IF($D907="","",IF(COUNTIF($D$2:$D907,$D907)=1,1,0))</f>
        <v/>
      </c>
      <c r="AL907">
        <f>IF($AK907=1,SUMPRODUCT(--($AO$2:$AO$3001&lt;$AO907))+1,"")</f>
        <v/>
      </c>
      <c r="AM907">
        <f>IF($D907="","",IF(OR($R907=TRUE(),$R907="TRUE"),1,0))</f>
        <v/>
      </c>
      <c r="AN907">
        <f>IF($D907="","",IF($X907="Yes",1,0))</f>
        <v/>
      </c>
      <c r="AO907">
        <f>IF($AK907=1,IFERROR(IF(VALUE($D907)&lt;100000000,VALUE($D907),1000000000),IFERROR(IF(VALUE(MID($D907,2,20))&lt;100000000,VALUE(MID($D907,2,20)),1000000000),1000000000))+ROW()/100000,"")</f>
        <v/>
      </c>
    </row>
    <row r="908">
      <c r="F908" s="11" t="n"/>
      <c r="N908" s="7">
        <f>IF($D908="","",M908*V908/100)</f>
        <v/>
      </c>
      <c r="O908" s="7" t="n"/>
      <c r="U908" s="7" t="n"/>
      <c r="V908" s="7" t="n"/>
      <c r="Y908">
        <f>IF($D908="","",IF($AN908=1,0,IF($AM908=1,Settings!$C$6,Settings!$C$7))*100)</f>
        <v/>
      </c>
      <c r="Z908" s="7">
        <f>IF($D908="","",V908*Y908/100)</f>
        <v/>
      </c>
      <c r="AA908" s="7">
        <f>IF($D908="","",V908-Z908)</f>
        <v/>
      </c>
      <c r="AB908" s="7">
        <f>IF($D908="","",AA908-N908)</f>
        <v/>
      </c>
      <c r="AF908" s="7" t="n"/>
      <c r="AI908" s="11" t="n"/>
      <c r="AK908">
        <f>IF($D908="","",IF(COUNTIF($D$2:$D908,$D908)=1,1,0))</f>
        <v/>
      </c>
      <c r="AL908">
        <f>IF($AK908=1,SUMPRODUCT(--($AO$2:$AO$3001&lt;$AO908))+1,"")</f>
        <v/>
      </c>
      <c r="AM908">
        <f>IF($D908="","",IF(OR($R908=TRUE(),$R908="TRUE"),1,0))</f>
        <v/>
      </c>
      <c r="AN908">
        <f>IF($D908="","",IF($X908="Yes",1,0))</f>
        <v/>
      </c>
      <c r="AO908">
        <f>IF($AK908=1,IFERROR(IF(VALUE($D908)&lt;100000000,VALUE($D908),1000000000),IFERROR(IF(VALUE(MID($D908,2,20))&lt;100000000,VALUE(MID($D908,2,20)),1000000000),1000000000))+ROW()/100000,"")</f>
        <v/>
      </c>
    </row>
    <row r="909">
      <c r="F909" s="11" t="n"/>
      <c r="N909" s="7">
        <f>IF($D909="","",M909*V909/100)</f>
        <v/>
      </c>
      <c r="O909" s="7" t="n"/>
      <c r="U909" s="7" t="n"/>
      <c r="V909" s="7" t="n"/>
      <c r="Y909">
        <f>IF($D909="","",IF($AN909=1,0,IF($AM909=1,Settings!$C$6,Settings!$C$7))*100)</f>
        <v/>
      </c>
      <c r="Z909" s="7">
        <f>IF($D909="","",V909*Y909/100)</f>
        <v/>
      </c>
      <c r="AA909" s="7">
        <f>IF($D909="","",V909-Z909)</f>
        <v/>
      </c>
      <c r="AB909" s="7">
        <f>IF($D909="","",AA909-N909)</f>
        <v/>
      </c>
      <c r="AF909" s="7" t="n"/>
      <c r="AI909" s="11" t="n"/>
      <c r="AK909">
        <f>IF($D909="","",IF(COUNTIF($D$2:$D909,$D909)=1,1,0))</f>
        <v/>
      </c>
      <c r="AL909">
        <f>IF($AK909=1,SUMPRODUCT(--($AO$2:$AO$3001&lt;$AO909))+1,"")</f>
        <v/>
      </c>
      <c r="AM909">
        <f>IF($D909="","",IF(OR($R909=TRUE(),$R909="TRUE"),1,0))</f>
        <v/>
      </c>
      <c r="AN909">
        <f>IF($D909="","",IF($X909="Yes",1,0))</f>
        <v/>
      </c>
      <c r="AO909">
        <f>IF($AK909=1,IFERROR(IF(VALUE($D909)&lt;100000000,VALUE($D909),1000000000),IFERROR(IF(VALUE(MID($D909,2,20))&lt;100000000,VALUE(MID($D909,2,20)),1000000000),1000000000))+ROW()/100000,"")</f>
        <v/>
      </c>
    </row>
    <row r="910">
      <c r="F910" s="11" t="n"/>
      <c r="N910" s="7">
        <f>IF($D910="","",M910*V910/100)</f>
        <v/>
      </c>
      <c r="O910" s="7" t="n"/>
      <c r="U910" s="7" t="n"/>
      <c r="V910" s="7" t="n"/>
      <c r="Y910">
        <f>IF($D910="","",IF($AN910=1,0,IF($AM910=1,Settings!$C$6,Settings!$C$7))*100)</f>
        <v/>
      </c>
      <c r="Z910" s="7">
        <f>IF($D910="","",V910*Y910/100)</f>
        <v/>
      </c>
      <c r="AA910" s="7">
        <f>IF($D910="","",V910-Z910)</f>
        <v/>
      </c>
      <c r="AB910" s="7">
        <f>IF($D910="","",AA910-N910)</f>
        <v/>
      </c>
      <c r="AF910" s="7" t="n"/>
      <c r="AI910" s="11" t="n"/>
      <c r="AK910">
        <f>IF($D910="","",IF(COUNTIF($D$2:$D910,$D910)=1,1,0))</f>
        <v/>
      </c>
      <c r="AL910">
        <f>IF($AK910=1,SUMPRODUCT(--($AO$2:$AO$3001&lt;$AO910))+1,"")</f>
        <v/>
      </c>
      <c r="AM910">
        <f>IF($D910="","",IF(OR($R910=TRUE(),$R910="TRUE"),1,0))</f>
        <v/>
      </c>
      <c r="AN910">
        <f>IF($D910="","",IF($X910="Yes",1,0))</f>
        <v/>
      </c>
      <c r="AO910">
        <f>IF($AK910=1,IFERROR(IF(VALUE($D910)&lt;100000000,VALUE($D910),1000000000),IFERROR(IF(VALUE(MID($D910,2,20))&lt;100000000,VALUE(MID($D910,2,20)),1000000000),1000000000))+ROW()/100000,"")</f>
        <v/>
      </c>
    </row>
    <row r="911">
      <c r="F911" s="11" t="n"/>
      <c r="N911" s="7">
        <f>IF($D911="","",M911*V911/100)</f>
        <v/>
      </c>
      <c r="O911" s="7" t="n"/>
      <c r="U911" s="7" t="n"/>
      <c r="V911" s="7" t="n"/>
      <c r="Y911">
        <f>IF($D911="","",IF($AN911=1,0,IF($AM911=1,Settings!$C$6,Settings!$C$7))*100)</f>
        <v/>
      </c>
      <c r="Z911" s="7">
        <f>IF($D911="","",V911*Y911/100)</f>
        <v/>
      </c>
      <c r="AA911" s="7">
        <f>IF($D911="","",V911-Z911)</f>
        <v/>
      </c>
      <c r="AB911" s="7">
        <f>IF($D911="","",AA911-N911)</f>
        <v/>
      </c>
      <c r="AF911" s="7" t="n"/>
      <c r="AI911" s="11" t="n"/>
      <c r="AK911">
        <f>IF($D911="","",IF(COUNTIF($D$2:$D911,$D911)=1,1,0))</f>
        <v/>
      </c>
      <c r="AL911">
        <f>IF($AK911=1,SUMPRODUCT(--($AO$2:$AO$3001&lt;$AO911))+1,"")</f>
        <v/>
      </c>
      <c r="AM911">
        <f>IF($D911="","",IF(OR($R911=TRUE(),$R911="TRUE"),1,0))</f>
        <v/>
      </c>
      <c r="AN911">
        <f>IF($D911="","",IF($X911="Yes",1,0))</f>
        <v/>
      </c>
      <c r="AO911">
        <f>IF($AK911=1,IFERROR(IF(VALUE($D911)&lt;100000000,VALUE($D911),1000000000),IFERROR(IF(VALUE(MID($D911,2,20))&lt;100000000,VALUE(MID($D911,2,20)),1000000000),1000000000))+ROW()/100000,"")</f>
        <v/>
      </c>
    </row>
    <row r="912">
      <c r="F912" s="11" t="n"/>
      <c r="N912" s="7">
        <f>IF($D912="","",M912*V912/100)</f>
        <v/>
      </c>
      <c r="O912" s="7" t="n"/>
      <c r="U912" s="7" t="n"/>
      <c r="V912" s="7" t="n"/>
      <c r="Y912">
        <f>IF($D912="","",IF($AN912=1,0,IF($AM912=1,Settings!$C$6,Settings!$C$7))*100)</f>
        <v/>
      </c>
      <c r="Z912" s="7">
        <f>IF($D912="","",V912*Y912/100)</f>
        <v/>
      </c>
      <c r="AA912" s="7">
        <f>IF($D912="","",V912-Z912)</f>
        <v/>
      </c>
      <c r="AB912" s="7">
        <f>IF($D912="","",AA912-N912)</f>
        <v/>
      </c>
      <c r="AF912" s="7" t="n"/>
      <c r="AI912" s="11" t="n"/>
      <c r="AK912">
        <f>IF($D912="","",IF(COUNTIF($D$2:$D912,$D912)=1,1,0))</f>
        <v/>
      </c>
      <c r="AL912">
        <f>IF($AK912=1,SUMPRODUCT(--($AO$2:$AO$3001&lt;$AO912))+1,"")</f>
        <v/>
      </c>
      <c r="AM912">
        <f>IF($D912="","",IF(OR($R912=TRUE(),$R912="TRUE"),1,0))</f>
        <v/>
      </c>
      <c r="AN912">
        <f>IF($D912="","",IF($X912="Yes",1,0))</f>
        <v/>
      </c>
      <c r="AO912">
        <f>IF($AK912=1,IFERROR(IF(VALUE($D912)&lt;100000000,VALUE($D912),1000000000),IFERROR(IF(VALUE(MID($D912,2,20))&lt;100000000,VALUE(MID($D912,2,20)),1000000000),1000000000))+ROW()/100000,"")</f>
        <v/>
      </c>
    </row>
    <row r="913">
      <c r="F913" s="11" t="n"/>
      <c r="N913" s="7">
        <f>IF($D913="","",M913*V913/100)</f>
        <v/>
      </c>
      <c r="O913" s="7" t="n"/>
      <c r="U913" s="7" t="n"/>
      <c r="V913" s="7" t="n"/>
      <c r="Y913">
        <f>IF($D913="","",IF($AN913=1,0,IF($AM913=1,Settings!$C$6,Settings!$C$7))*100)</f>
        <v/>
      </c>
      <c r="Z913" s="7">
        <f>IF($D913="","",V913*Y913/100)</f>
        <v/>
      </c>
      <c r="AA913" s="7">
        <f>IF($D913="","",V913-Z913)</f>
        <v/>
      </c>
      <c r="AB913" s="7">
        <f>IF($D913="","",AA913-N913)</f>
        <v/>
      </c>
      <c r="AF913" s="7" t="n"/>
      <c r="AI913" s="11" t="n"/>
      <c r="AK913">
        <f>IF($D913="","",IF(COUNTIF($D$2:$D913,$D913)=1,1,0))</f>
        <v/>
      </c>
      <c r="AL913">
        <f>IF($AK913=1,SUMPRODUCT(--($AO$2:$AO$3001&lt;$AO913))+1,"")</f>
        <v/>
      </c>
      <c r="AM913">
        <f>IF($D913="","",IF(OR($R913=TRUE(),$R913="TRUE"),1,0))</f>
        <v/>
      </c>
      <c r="AN913">
        <f>IF($D913="","",IF($X913="Yes",1,0))</f>
        <v/>
      </c>
      <c r="AO913">
        <f>IF($AK913=1,IFERROR(IF(VALUE($D913)&lt;100000000,VALUE($D913),1000000000),IFERROR(IF(VALUE(MID($D913,2,20))&lt;100000000,VALUE(MID($D913,2,20)),1000000000),1000000000))+ROW()/100000,"")</f>
        <v/>
      </c>
    </row>
    <row r="914">
      <c r="F914" s="11" t="n"/>
      <c r="N914" s="7">
        <f>IF($D914="","",M914*V914/100)</f>
        <v/>
      </c>
      <c r="O914" s="7" t="n"/>
      <c r="U914" s="7" t="n"/>
      <c r="V914" s="7" t="n"/>
      <c r="Y914">
        <f>IF($D914="","",IF($AN914=1,0,IF($AM914=1,Settings!$C$6,Settings!$C$7))*100)</f>
        <v/>
      </c>
      <c r="Z914" s="7">
        <f>IF($D914="","",V914*Y914/100)</f>
        <v/>
      </c>
      <c r="AA914" s="7">
        <f>IF($D914="","",V914-Z914)</f>
        <v/>
      </c>
      <c r="AB914" s="7">
        <f>IF($D914="","",AA914-N914)</f>
        <v/>
      </c>
      <c r="AF914" s="7" t="n"/>
      <c r="AI914" s="11" t="n"/>
      <c r="AK914">
        <f>IF($D914="","",IF(COUNTIF($D$2:$D914,$D914)=1,1,0))</f>
        <v/>
      </c>
      <c r="AL914">
        <f>IF($AK914=1,SUMPRODUCT(--($AO$2:$AO$3001&lt;$AO914))+1,"")</f>
        <v/>
      </c>
      <c r="AM914">
        <f>IF($D914="","",IF(OR($R914=TRUE(),$R914="TRUE"),1,0))</f>
        <v/>
      </c>
      <c r="AN914">
        <f>IF($D914="","",IF($X914="Yes",1,0))</f>
        <v/>
      </c>
      <c r="AO914">
        <f>IF($AK914=1,IFERROR(IF(VALUE($D914)&lt;100000000,VALUE($D914),1000000000),IFERROR(IF(VALUE(MID($D914,2,20))&lt;100000000,VALUE(MID($D914,2,20)),1000000000),1000000000))+ROW()/100000,"")</f>
        <v/>
      </c>
    </row>
    <row r="915">
      <c r="F915" s="11" t="n"/>
      <c r="N915" s="7">
        <f>IF($D915="","",M915*V915/100)</f>
        <v/>
      </c>
      <c r="O915" s="7" t="n"/>
      <c r="U915" s="7" t="n"/>
      <c r="V915" s="7" t="n"/>
      <c r="Y915">
        <f>IF($D915="","",IF($AN915=1,0,IF($AM915=1,Settings!$C$6,Settings!$C$7))*100)</f>
        <v/>
      </c>
      <c r="Z915" s="7">
        <f>IF($D915="","",V915*Y915/100)</f>
        <v/>
      </c>
      <c r="AA915" s="7">
        <f>IF($D915="","",V915-Z915)</f>
        <v/>
      </c>
      <c r="AB915" s="7">
        <f>IF($D915="","",AA915-N915)</f>
        <v/>
      </c>
      <c r="AF915" s="7" t="n"/>
      <c r="AI915" s="11" t="n"/>
      <c r="AK915">
        <f>IF($D915="","",IF(COUNTIF($D$2:$D915,$D915)=1,1,0))</f>
        <v/>
      </c>
      <c r="AL915">
        <f>IF($AK915=1,SUMPRODUCT(--($AO$2:$AO$3001&lt;$AO915))+1,"")</f>
        <v/>
      </c>
      <c r="AM915">
        <f>IF($D915="","",IF(OR($R915=TRUE(),$R915="TRUE"),1,0))</f>
        <v/>
      </c>
      <c r="AN915">
        <f>IF($D915="","",IF($X915="Yes",1,0))</f>
        <v/>
      </c>
      <c r="AO915">
        <f>IF($AK915=1,IFERROR(IF(VALUE($D915)&lt;100000000,VALUE($D915),1000000000),IFERROR(IF(VALUE(MID($D915,2,20))&lt;100000000,VALUE(MID($D915,2,20)),1000000000),1000000000))+ROW()/100000,"")</f>
        <v/>
      </c>
    </row>
    <row r="916">
      <c r="F916" s="11" t="n"/>
      <c r="N916" s="7">
        <f>IF($D916="","",M916*V916/100)</f>
        <v/>
      </c>
      <c r="O916" s="7" t="n"/>
      <c r="U916" s="7" t="n"/>
      <c r="V916" s="7" t="n"/>
      <c r="Y916">
        <f>IF($D916="","",IF($AN916=1,0,IF($AM916=1,Settings!$C$6,Settings!$C$7))*100)</f>
        <v/>
      </c>
      <c r="Z916" s="7">
        <f>IF($D916="","",V916*Y916/100)</f>
        <v/>
      </c>
      <c r="AA916" s="7">
        <f>IF($D916="","",V916-Z916)</f>
        <v/>
      </c>
      <c r="AB916" s="7">
        <f>IF($D916="","",AA916-N916)</f>
        <v/>
      </c>
      <c r="AF916" s="7" t="n"/>
      <c r="AI916" s="11" t="n"/>
      <c r="AK916">
        <f>IF($D916="","",IF(COUNTIF($D$2:$D916,$D916)=1,1,0))</f>
        <v/>
      </c>
      <c r="AL916">
        <f>IF($AK916=1,SUMPRODUCT(--($AO$2:$AO$3001&lt;$AO916))+1,"")</f>
        <v/>
      </c>
      <c r="AM916">
        <f>IF($D916="","",IF(OR($R916=TRUE(),$R916="TRUE"),1,0))</f>
        <v/>
      </c>
      <c r="AN916">
        <f>IF($D916="","",IF($X916="Yes",1,0))</f>
        <v/>
      </c>
      <c r="AO916">
        <f>IF($AK916=1,IFERROR(IF(VALUE($D916)&lt;100000000,VALUE($D916),1000000000),IFERROR(IF(VALUE(MID($D916,2,20))&lt;100000000,VALUE(MID($D916,2,20)),1000000000),1000000000))+ROW()/100000,"")</f>
        <v/>
      </c>
    </row>
    <row r="917">
      <c r="F917" s="11" t="n"/>
      <c r="N917" s="7">
        <f>IF($D917="","",M917*V917/100)</f>
        <v/>
      </c>
      <c r="O917" s="7" t="n"/>
      <c r="U917" s="7" t="n"/>
      <c r="V917" s="7" t="n"/>
      <c r="Y917">
        <f>IF($D917="","",IF($AN917=1,0,IF($AM917=1,Settings!$C$6,Settings!$C$7))*100)</f>
        <v/>
      </c>
      <c r="Z917" s="7">
        <f>IF($D917="","",V917*Y917/100)</f>
        <v/>
      </c>
      <c r="AA917" s="7">
        <f>IF($D917="","",V917-Z917)</f>
        <v/>
      </c>
      <c r="AB917" s="7">
        <f>IF($D917="","",AA917-N917)</f>
        <v/>
      </c>
      <c r="AF917" s="7" t="n"/>
      <c r="AI917" s="11" t="n"/>
      <c r="AK917">
        <f>IF($D917="","",IF(COUNTIF($D$2:$D917,$D917)=1,1,0))</f>
        <v/>
      </c>
      <c r="AL917">
        <f>IF($AK917=1,SUMPRODUCT(--($AO$2:$AO$3001&lt;$AO917))+1,"")</f>
        <v/>
      </c>
      <c r="AM917">
        <f>IF($D917="","",IF(OR($R917=TRUE(),$R917="TRUE"),1,0))</f>
        <v/>
      </c>
      <c r="AN917">
        <f>IF($D917="","",IF($X917="Yes",1,0))</f>
        <v/>
      </c>
      <c r="AO917">
        <f>IF($AK917=1,IFERROR(IF(VALUE($D917)&lt;100000000,VALUE($D917),1000000000),IFERROR(IF(VALUE(MID($D917,2,20))&lt;100000000,VALUE(MID($D917,2,20)),1000000000),1000000000))+ROW()/100000,"")</f>
        <v/>
      </c>
    </row>
    <row r="918">
      <c r="F918" s="11" t="n"/>
      <c r="N918" s="7">
        <f>IF($D918="","",M918*V918/100)</f>
        <v/>
      </c>
      <c r="O918" s="7" t="n"/>
      <c r="U918" s="7" t="n"/>
      <c r="V918" s="7" t="n"/>
      <c r="Y918">
        <f>IF($D918="","",IF($AN918=1,0,IF($AM918=1,Settings!$C$6,Settings!$C$7))*100)</f>
        <v/>
      </c>
      <c r="Z918" s="7">
        <f>IF($D918="","",V918*Y918/100)</f>
        <v/>
      </c>
      <c r="AA918" s="7">
        <f>IF($D918="","",V918-Z918)</f>
        <v/>
      </c>
      <c r="AB918" s="7">
        <f>IF($D918="","",AA918-N918)</f>
        <v/>
      </c>
      <c r="AF918" s="7" t="n"/>
      <c r="AI918" s="11" t="n"/>
      <c r="AK918">
        <f>IF($D918="","",IF(COUNTIF($D$2:$D918,$D918)=1,1,0))</f>
        <v/>
      </c>
      <c r="AL918">
        <f>IF($AK918=1,SUMPRODUCT(--($AO$2:$AO$3001&lt;$AO918))+1,"")</f>
        <v/>
      </c>
      <c r="AM918">
        <f>IF($D918="","",IF(OR($R918=TRUE(),$R918="TRUE"),1,0))</f>
        <v/>
      </c>
      <c r="AN918">
        <f>IF($D918="","",IF($X918="Yes",1,0))</f>
        <v/>
      </c>
      <c r="AO918">
        <f>IF($AK918=1,IFERROR(IF(VALUE($D918)&lt;100000000,VALUE($D918),1000000000),IFERROR(IF(VALUE(MID($D918,2,20))&lt;100000000,VALUE(MID($D918,2,20)),1000000000),1000000000))+ROW()/100000,"")</f>
        <v/>
      </c>
    </row>
    <row r="919">
      <c r="F919" s="11" t="n"/>
      <c r="N919" s="7">
        <f>IF($D919="","",M919*V919/100)</f>
        <v/>
      </c>
      <c r="O919" s="7" t="n"/>
      <c r="U919" s="7" t="n"/>
      <c r="V919" s="7" t="n"/>
      <c r="Y919">
        <f>IF($D919="","",IF($AN919=1,0,IF($AM919=1,Settings!$C$6,Settings!$C$7))*100)</f>
        <v/>
      </c>
      <c r="Z919" s="7">
        <f>IF($D919="","",V919*Y919/100)</f>
        <v/>
      </c>
      <c r="AA919" s="7">
        <f>IF($D919="","",V919-Z919)</f>
        <v/>
      </c>
      <c r="AB919" s="7">
        <f>IF($D919="","",AA919-N919)</f>
        <v/>
      </c>
      <c r="AF919" s="7" t="n"/>
      <c r="AI919" s="11" t="n"/>
      <c r="AK919">
        <f>IF($D919="","",IF(COUNTIF($D$2:$D919,$D919)=1,1,0))</f>
        <v/>
      </c>
      <c r="AL919">
        <f>IF($AK919=1,SUMPRODUCT(--($AO$2:$AO$3001&lt;$AO919))+1,"")</f>
        <v/>
      </c>
      <c r="AM919">
        <f>IF($D919="","",IF(OR($R919=TRUE(),$R919="TRUE"),1,0))</f>
        <v/>
      </c>
      <c r="AN919">
        <f>IF($D919="","",IF($X919="Yes",1,0))</f>
        <v/>
      </c>
      <c r="AO919">
        <f>IF($AK919=1,IFERROR(IF(VALUE($D919)&lt;100000000,VALUE($D919),1000000000),IFERROR(IF(VALUE(MID($D919,2,20))&lt;100000000,VALUE(MID($D919,2,20)),1000000000),1000000000))+ROW()/100000,"")</f>
        <v/>
      </c>
    </row>
    <row r="920">
      <c r="F920" s="11" t="n"/>
      <c r="N920" s="7">
        <f>IF($D920="","",M920*V920/100)</f>
        <v/>
      </c>
      <c r="O920" s="7" t="n"/>
      <c r="U920" s="7" t="n"/>
      <c r="V920" s="7" t="n"/>
      <c r="Y920">
        <f>IF($D920="","",IF($AN920=1,0,IF($AM920=1,Settings!$C$6,Settings!$C$7))*100)</f>
        <v/>
      </c>
      <c r="Z920" s="7">
        <f>IF($D920="","",V920*Y920/100)</f>
        <v/>
      </c>
      <c r="AA920" s="7">
        <f>IF($D920="","",V920-Z920)</f>
        <v/>
      </c>
      <c r="AB920" s="7">
        <f>IF($D920="","",AA920-N920)</f>
        <v/>
      </c>
      <c r="AF920" s="7" t="n"/>
      <c r="AI920" s="11" t="n"/>
      <c r="AK920">
        <f>IF($D920="","",IF(COUNTIF($D$2:$D920,$D920)=1,1,0))</f>
        <v/>
      </c>
      <c r="AL920">
        <f>IF($AK920=1,SUMPRODUCT(--($AO$2:$AO$3001&lt;$AO920))+1,"")</f>
        <v/>
      </c>
      <c r="AM920">
        <f>IF($D920="","",IF(OR($R920=TRUE(),$R920="TRUE"),1,0))</f>
        <v/>
      </c>
      <c r="AN920">
        <f>IF($D920="","",IF($X920="Yes",1,0))</f>
        <v/>
      </c>
      <c r="AO920">
        <f>IF($AK920=1,IFERROR(IF(VALUE($D920)&lt;100000000,VALUE($D920),1000000000),IFERROR(IF(VALUE(MID($D920,2,20))&lt;100000000,VALUE(MID($D920,2,20)),1000000000),1000000000))+ROW()/100000,"")</f>
        <v/>
      </c>
    </row>
    <row r="921">
      <c r="F921" s="11" t="n"/>
      <c r="N921" s="7">
        <f>IF($D921="","",M921*V921/100)</f>
        <v/>
      </c>
      <c r="O921" s="7" t="n"/>
      <c r="U921" s="7" t="n"/>
      <c r="V921" s="7" t="n"/>
      <c r="Y921">
        <f>IF($D921="","",IF($AN921=1,0,IF($AM921=1,Settings!$C$6,Settings!$C$7))*100)</f>
        <v/>
      </c>
      <c r="Z921" s="7">
        <f>IF($D921="","",V921*Y921/100)</f>
        <v/>
      </c>
      <c r="AA921" s="7">
        <f>IF($D921="","",V921-Z921)</f>
        <v/>
      </c>
      <c r="AB921" s="7">
        <f>IF($D921="","",AA921-N921)</f>
        <v/>
      </c>
      <c r="AF921" s="7" t="n"/>
      <c r="AI921" s="11" t="n"/>
      <c r="AK921">
        <f>IF($D921="","",IF(COUNTIF($D$2:$D921,$D921)=1,1,0))</f>
        <v/>
      </c>
      <c r="AL921">
        <f>IF($AK921=1,SUMPRODUCT(--($AO$2:$AO$3001&lt;$AO921))+1,"")</f>
        <v/>
      </c>
      <c r="AM921">
        <f>IF($D921="","",IF(OR($R921=TRUE(),$R921="TRUE"),1,0))</f>
        <v/>
      </c>
      <c r="AN921">
        <f>IF($D921="","",IF($X921="Yes",1,0))</f>
        <v/>
      </c>
      <c r="AO921">
        <f>IF($AK921=1,IFERROR(IF(VALUE($D921)&lt;100000000,VALUE($D921),1000000000),IFERROR(IF(VALUE(MID($D921,2,20))&lt;100000000,VALUE(MID($D921,2,20)),1000000000),1000000000))+ROW()/100000,"")</f>
        <v/>
      </c>
    </row>
    <row r="922">
      <c r="F922" s="11" t="n"/>
      <c r="N922" s="7">
        <f>IF($D922="","",M922*V922/100)</f>
        <v/>
      </c>
      <c r="O922" s="7" t="n"/>
      <c r="U922" s="7" t="n"/>
      <c r="V922" s="7" t="n"/>
      <c r="Y922">
        <f>IF($D922="","",IF($AN922=1,0,IF($AM922=1,Settings!$C$6,Settings!$C$7))*100)</f>
        <v/>
      </c>
      <c r="Z922" s="7">
        <f>IF($D922="","",V922*Y922/100)</f>
        <v/>
      </c>
      <c r="AA922" s="7">
        <f>IF($D922="","",V922-Z922)</f>
        <v/>
      </c>
      <c r="AB922" s="7">
        <f>IF($D922="","",AA922-N922)</f>
        <v/>
      </c>
      <c r="AF922" s="7" t="n"/>
      <c r="AI922" s="11" t="n"/>
      <c r="AK922">
        <f>IF($D922="","",IF(COUNTIF($D$2:$D922,$D922)=1,1,0))</f>
        <v/>
      </c>
      <c r="AL922">
        <f>IF($AK922=1,SUMPRODUCT(--($AO$2:$AO$3001&lt;$AO922))+1,"")</f>
        <v/>
      </c>
      <c r="AM922">
        <f>IF($D922="","",IF(OR($R922=TRUE(),$R922="TRUE"),1,0))</f>
        <v/>
      </c>
      <c r="AN922">
        <f>IF($D922="","",IF($X922="Yes",1,0))</f>
        <v/>
      </c>
      <c r="AO922">
        <f>IF($AK922=1,IFERROR(IF(VALUE($D922)&lt;100000000,VALUE($D922),1000000000),IFERROR(IF(VALUE(MID($D922,2,20))&lt;100000000,VALUE(MID($D922,2,20)),1000000000),1000000000))+ROW()/100000,"")</f>
        <v/>
      </c>
    </row>
    <row r="923">
      <c r="F923" s="11" t="n"/>
      <c r="N923" s="7">
        <f>IF($D923="","",M923*V923/100)</f>
        <v/>
      </c>
      <c r="O923" s="7" t="n"/>
      <c r="U923" s="7" t="n"/>
      <c r="V923" s="7" t="n"/>
      <c r="Y923">
        <f>IF($D923="","",IF($AN923=1,0,IF($AM923=1,Settings!$C$6,Settings!$C$7))*100)</f>
        <v/>
      </c>
      <c r="Z923" s="7">
        <f>IF($D923="","",V923*Y923/100)</f>
        <v/>
      </c>
      <c r="AA923" s="7">
        <f>IF($D923="","",V923-Z923)</f>
        <v/>
      </c>
      <c r="AB923" s="7">
        <f>IF($D923="","",AA923-N923)</f>
        <v/>
      </c>
      <c r="AF923" s="7" t="n"/>
      <c r="AI923" s="11" t="n"/>
      <c r="AK923">
        <f>IF($D923="","",IF(COUNTIF($D$2:$D923,$D923)=1,1,0))</f>
        <v/>
      </c>
      <c r="AL923">
        <f>IF($AK923=1,SUMPRODUCT(--($AO$2:$AO$3001&lt;$AO923))+1,"")</f>
        <v/>
      </c>
      <c r="AM923">
        <f>IF($D923="","",IF(OR($R923=TRUE(),$R923="TRUE"),1,0))</f>
        <v/>
      </c>
      <c r="AN923">
        <f>IF($D923="","",IF($X923="Yes",1,0))</f>
        <v/>
      </c>
      <c r="AO923">
        <f>IF($AK923=1,IFERROR(IF(VALUE($D923)&lt;100000000,VALUE($D923),1000000000),IFERROR(IF(VALUE(MID($D923,2,20))&lt;100000000,VALUE(MID($D923,2,20)),1000000000),1000000000))+ROW()/100000,"")</f>
        <v/>
      </c>
    </row>
    <row r="924">
      <c r="F924" s="11" t="n"/>
      <c r="N924" s="7">
        <f>IF($D924="","",M924*V924/100)</f>
        <v/>
      </c>
      <c r="O924" s="7" t="n"/>
      <c r="U924" s="7" t="n"/>
      <c r="V924" s="7" t="n"/>
      <c r="Y924">
        <f>IF($D924="","",IF($AN924=1,0,IF($AM924=1,Settings!$C$6,Settings!$C$7))*100)</f>
        <v/>
      </c>
      <c r="Z924" s="7">
        <f>IF($D924="","",V924*Y924/100)</f>
        <v/>
      </c>
      <c r="AA924" s="7">
        <f>IF($D924="","",V924-Z924)</f>
        <v/>
      </c>
      <c r="AB924" s="7">
        <f>IF($D924="","",AA924-N924)</f>
        <v/>
      </c>
      <c r="AF924" s="7" t="n"/>
      <c r="AI924" s="11" t="n"/>
      <c r="AK924">
        <f>IF($D924="","",IF(COUNTIF($D$2:$D924,$D924)=1,1,0))</f>
        <v/>
      </c>
      <c r="AL924">
        <f>IF($AK924=1,SUMPRODUCT(--($AO$2:$AO$3001&lt;$AO924))+1,"")</f>
        <v/>
      </c>
      <c r="AM924">
        <f>IF($D924="","",IF(OR($R924=TRUE(),$R924="TRUE"),1,0))</f>
        <v/>
      </c>
      <c r="AN924">
        <f>IF($D924="","",IF($X924="Yes",1,0))</f>
        <v/>
      </c>
      <c r="AO924">
        <f>IF($AK924=1,IFERROR(IF(VALUE($D924)&lt;100000000,VALUE($D924),1000000000),IFERROR(IF(VALUE(MID($D924,2,20))&lt;100000000,VALUE(MID($D924,2,20)),1000000000),1000000000))+ROW()/100000,"")</f>
        <v/>
      </c>
    </row>
    <row r="925">
      <c r="F925" s="11" t="n"/>
      <c r="N925" s="7">
        <f>IF($D925="","",M925*V925/100)</f>
        <v/>
      </c>
      <c r="O925" s="7" t="n"/>
      <c r="U925" s="7" t="n"/>
      <c r="V925" s="7" t="n"/>
      <c r="Y925">
        <f>IF($D925="","",IF($AN925=1,0,IF($AM925=1,Settings!$C$6,Settings!$C$7))*100)</f>
        <v/>
      </c>
      <c r="Z925" s="7">
        <f>IF($D925="","",V925*Y925/100)</f>
        <v/>
      </c>
      <c r="AA925" s="7">
        <f>IF($D925="","",V925-Z925)</f>
        <v/>
      </c>
      <c r="AB925" s="7">
        <f>IF($D925="","",AA925-N925)</f>
        <v/>
      </c>
      <c r="AF925" s="7" t="n"/>
      <c r="AI925" s="11" t="n"/>
      <c r="AK925">
        <f>IF($D925="","",IF(COUNTIF($D$2:$D925,$D925)=1,1,0))</f>
        <v/>
      </c>
      <c r="AL925">
        <f>IF($AK925=1,SUMPRODUCT(--($AO$2:$AO$3001&lt;$AO925))+1,"")</f>
        <v/>
      </c>
      <c r="AM925">
        <f>IF($D925="","",IF(OR($R925=TRUE(),$R925="TRUE"),1,0))</f>
        <v/>
      </c>
      <c r="AN925">
        <f>IF($D925="","",IF($X925="Yes",1,0))</f>
        <v/>
      </c>
      <c r="AO925">
        <f>IF($AK925=1,IFERROR(IF(VALUE($D925)&lt;100000000,VALUE($D925),1000000000),IFERROR(IF(VALUE(MID($D925,2,20))&lt;100000000,VALUE(MID($D925,2,20)),1000000000),1000000000))+ROW()/100000,"")</f>
        <v/>
      </c>
    </row>
    <row r="926">
      <c r="F926" s="11" t="n"/>
      <c r="N926" s="7">
        <f>IF($D926="","",M926*V926/100)</f>
        <v/>
      </c>
      <c r="O926" s="7" t="n"/>
      <c r="U926" s="7" t="n"/>
      <c r="V926" s="7" t="n"/>
      <c r="Y926">
        <f>IF($D926="","",IF($AN926=1,0,IF($AM926=1,Settings!$C$6,Settings!$C$7))*100)</f>
        <v/>
      </c>
      <c r="Z926" s="7">
        <f>IF($D926="","",V926*Y926/100)</f>
        <v/>
      </c>
      <c r="AA926" s="7">
        <f>IF($D926="","",V926-Z926)</f>
        <v/>
      </c>
      <c r="AB926" s="7">
        <f>IF($D926="","",AA926-N926)</f>
        <v/>
      </c>
      <c r="AF926" s="7" t="n"/>
      <c r="AI926" s="11" t="n"/>
      <c r="AK926">
        <f>IF($D926="","",IF(COUNTIF($D$2:$D926,$D926)=1,1,0))</f>
        <v/>
      </c>
      <c r="AL926">
        <f>IF($AK926=1,SUMPRODUCT(--($AO$2:$AO$3001&lt;$AO926))+1,"")</f>
        <v/>
      </c>
      <c r="AM926">
        <f>IF($D926="","",IF(OR($R926=TRUE(),$R926="TRUE"),1,0))</f>
        <v/>
      </c>
      <c r="AN926">
        <f>IF($D926="","",IF($X926="Yes",1,0))</f>
        <v/>
      </c>
      <c r="AO926">
        <f>IF($AK926=1,IFERROR(IF(VALUE($D926)&lt;100000000,VALUE($D926),1000000000),IFERROR(IF(VALUE(MID($D926,2,20))&lt;100000000,VALUE(MID($D926,2,20)),1000000000),1000000000))+ROW()/100000,"")</f>
        <v/>
      </c>
    </row>
    <row r="927">
      <c r="F927" s="11" t="n"/>
      <c r="N927" s="7">
        <f>IF($D927="","",M927*V927/100)</f>
        <v/>
      </c>
      <c r="O927" s="7" t="n"/>
      <c r="U927" s="7" t="n"/>
      <c r="V927" s="7" t="n"/>
      <c r="Y927">
        <f>IF($D927="","",IF($AN927=1,0,IF($AM927=1,Settings!$C$6,Settings!$C$7))*100)</f>
        <v/>
      </c>
      <c r="Z927" s="7">
        <f>IF($D927="","",V927*Y927/100)</f>
        <v/>
      </c>
      <c r="AA927" s="7">
        <f>IF($D927="","",V927-Z927)</f>
        <v/>
      </c>
      <c r="AB927" s="7">
        <f>IF($D927="","",AA927-N927)</f>
        <v/>
      </c>
      <c r="AF927" s="7" t="n"/>
      <c r="AI927" s="11" t="n"/>
      <c r="AK927">
        <f>IF($D927="","",IF(COUNTIF($D$2:$D927,$D927)=1,1,0))</f>
        <v/>
      </c>
      <c r="AL927">
        <f>IF($AK927=1,SUMPRODUCT(--($AO$2:$AO$3001&lt;$AO927))+1,"")</f>
        <v/>
      </c>
      <c r="AM927">
        <f>IF($D927="","",IF(OR($R927=TRUE(),$R927="TRUE"),1,0))</f>
        <v/>
      </c>
      <c r="AN927">
        <f>IF($D927="","",IF($X927="Yes",1,0))</f>
        <v/>
      </c>
      <c r="AO927">
        <f>IF($AK927=1,IFERROR(IF(VALUE($D927)&lt;100000000,VALUE($D927),1000000000),IFERROR(IF(VALUE(MID($D927,2,20))&lt;100000000,VALUE(MID($D927,2,20)),1000000000),1000000000))+ROW()/100000,"")</f>
        <v/>
      </c>
    </row>
    <row r="928">
      <c r="F928" s="11" t="n"/>
      <c r="N928" s="7">
        <f>IF($D928="","",M928*V928/100)</f>
        <v/>
      </c>
      <c r="O928" s="7" t="n"/>
      <c r="U928" s="7" t="n"/>
      <c r="V928" s="7" t="n"/>
      <c r="Y928">
        <f>IF($D928="","",IF($AN928=1,0,IF($AM928=1,Settings!$C$6,Settings!$C$7))*100)</f>
        <v/>
      </c>
      <c r="Z928" s="7">
        <f>IF($D928="","",V928*Y928/100)</f>
        <v/>
      </c>
      <c r="AA928" s="7">
        <f>IF($D928="","",V928-Z928)</f>
        <v/>
      </c>
      <c r="AB928" s="7">
        <f>IF($D928="","",AA928-N928)</f>
        <v/>
      </c>
      <c r="AF928" s="7" t="n"/>
      <c r="AI928" s="11" t="n"/>
      <c r="AK928">
        <f>IF($D928="","",IF(COUNTIF($D$2:$D928,$D928)=1,1,0))</f>
        <v/>
      </c>
      <c r="AL928">
        <f>IF($AK928=1,SUMPRODUCT(--($AO$2:$AO$3001&lt;$AO928))+1,"")</f>
        <v/>
      </c>
      <c r="AM928">
        <f>IF($D928="","",IF(OR($R928=TRUE(),$R928="TRUE"),1,0))</f>
        <v/>
      </c>
      <c r="AN928">
        <f>IF($D928="","",IF($X928="Yes",1,0))</f>
        <v/>
      </c>
      <c r="AO928">
        <f>IF($AK928=1,IFERROR(IF(VALUE($D928)&lt;100000000,VALUE($D928),1000000000),IFERROR(IF(VALUE(MID($D928,2,20))&lt;100000000,VALUE(MID($D928,2,20)),1000000000),1000000000))+ROW()/100000,"")</f>
        <v/>
      </c>
    </row>
    <row r="929">
      <c r="F929" s="11" t="n"/>
      <c r="N929" s="7">
        <f>IF($D929="","",M929*V929/100)</f>
        <v/>
      </c>
      <c r="O929" s="7" t="n"/>
      <c r="U929" s="7" t="n"/>
      <c r="V929" s="7" t="n"/>
      <c r="Y929">
        <f>IF($D929="","",IF($AN929=1,0,IF($AM929=1,Settings!$C$6,Settings!$C$7))*100)</f>
        <v/>
      </c>
      <c r="Z929" s="7">
        <f>IF($D929="","",V929*Y929/100)</f>
        <v/>
      </c>
      <c r="AA929" s="7">
        <f>IF($D929="","",V929-Z929)</f>
        <v/>
      </c>
      <c r="AB929" s="7">
        <f>IF($D929="","",AA929-N929)</f>
        <v/>
      </c>
      <c r="AF929" s="7" t="n"/>
      <c r="AI929" s="11" t="n"/>
      <c r="AK929">
        <f>IF($D929="","",IF(COUNTIF($D$2:$D929,$D929)=1,1,0))</f>
        <v/>
      </c>
      <c r="AL929">
        <f>IF($AK929=1,SUMPRODUCT(--($AO$2:$AO$3001&lt;$AO929))+1,"")</f>
        <v/>
      </c>
      <c r="AM929">
        <f>IF($D929="","",IF(OR($R929=TRUE(),$R929="TRUE"),1,0))</f>
        <v/>
      </c>
      <c r="AN929">
        <f>IF($D929="","",IF($X929="Yes",1,0))</f>
        <v/>
      </c>
      <c r="AO929">
        <f>IF($AK929=1,IFERROR(IF(VALUE($D929)&lt;100000000,VALUE($D929),1000000000),IFERROR(IF(VALUE(MID($D929,2,20))&lt;100000000,VALUE(MID($D929,2,20)),1000000000),1000000000))+ROW()/100000,"")</f>
        <v/>
      </c>
    </row>
    <row r="930">
      <c r="F930" s="11" t="n"/>
      <c r="N930" s="7">
        <f>IF($D930="","",M930*V930/100)</f>
        <v/>
      </c>
      <c r="O930" s="7" t="n"/>
      <c r="U930" s="7" t="n"/>
      <c r="V930" s="7" t="n"/>
      <c r="Y930">
        <f>IF($D930="","",IF($AN930=1,0,IF($AM930=1,Settings!$C$6,Settings!$C$7))*100)</f>
        <v/>
      </c>
      <c r="Z930" s="7">
        <f>IF($D930="","",V930*Y930/100)</f>
        <v/>
      </c>
      <c r="AA930" s="7">
        <f>IF($D930="","",V930-Z930)</f>
        <v/>
      </c>
      <c r="AB930" s="7">
        <f>IF($D930="","",AA930-N930)</f>
        <v/>
      </c>
      <c r="AF930" s="7" t="n"/>
      <c r="AI930" s="11" t="n"/>
      <c r="AK930">
        <f>IF($D930="","",IF(COUNTIF($D$2:$D930,$D930)=1,1,0))</f>
        <v/>
      </c>
      <c r="AL930">
        <f>IF($AK930=1,SUMPRODUCT(--($AO$2:$AO$3001&lt;$AO930))+1,"")</f>
        <v/>
      </c>
      <c r="AM930">
        <f>IF($D930="","",IF(OR($R930=TRUE(),$R930="TRUE"),1,0))</f>
        <v/>
      </c>
      <c r="AN930">
        <f>IF($D930="","",IF($X930="Yes",1,0))</f>
        <v/>
      </c>
      <c r="AO930">
        <f>IF($AK930=1,IFERROR(IF(VALUE($D930)&lt;100000000,VALUE($D930),1000000000),IFERROR(IF(VALUE(MID($D930,2,20))&lt;100000000,VALUE(MID($D930,2,20)),1000000000),1000000000))+ROW()/100000,"")</f>
        <v/>
      </c>
    </row>
    <row r="931">
      <c r="F931" s="11" t="n"/>
      <c r="N931" s="7">
        <f>IF($D931="","",M931*V931/100)</f>
        <v/>
      </c>
      <c r="O931" s="7" t="n"/>
      <c r="U931" s="7" t="n"/>
      <c r="V931" s="7" t="n"/>
      <c r="Y931">
        <f>IF($D931="","",IF($AN931=1,0,IF($AM931=1,Settings!$C$6,Settings!$C$7))*100)</f>
        <v/>
      </c>
      <c r="Z931" s="7">
        <f>IF($D931="","",V931*Y931/100)</f>
        <v/>
      </c>
      <c r="AA931" s="7">
        <f>IF($D931="","",V931-Z931)</f>
        <v/>
      </c>
      <c r="AB931" s="7">
        <f>IF($D931="","",AA931-N931)</f>
        <v/>
      </c>
      <c r="AF931" s="7" t="n"/>
      <c r="AI931" s="11" t="n"/>
      <c r="AK931">
        <f>IF($D931="","",IF(COUNTIF($D$2:$D931,$D931)=1,1,0))</f>
        <v/>
      </c>
      <c r="AL931">
        <f>IF($AK931=1,SUMPRODUCT(--($AO$2:$AO$3001&lt;$AO931))+1,"")</f>
        <v/>
      </c>
      <c r="AM931">
        <f>IF($D931="","",IF(OR($R931=TRUE(),$R931="TRUE"),1,0))</f>
        <v/>
      </c>
      <c r="AN931">
        <f>IF($D931="","",IF($X931="Yes",1,0))</f>
        <v/>
      </c>
      <c r="AO931">
        <f>IF($AK931=1,IFERROR(IF(VALUE($D931)&lt;100000000,VALUE($D931),1000000000),IFERROR(IF(VALUE(MID($D931,2,20))&lt;100000000,VALUE(MID($D931,2,20)),1000000000),1000000000))+ROW()/100000,"")</f>
        <v/>
      </c>
    </row>
    <row r="932">
      <c r="F932" s="11" t="n"/>
      <c r="N932" s="7">
        <f>IF($D932="","",M932*V932/100)</f>
        <v/>
      </c>
      <c r="O932" s="7" t="n"/>
      <c r="U932" s="7" t="n"/>
      <c r="V932" s="7" t="n"/>
      <c r="Y932">
        <f>IF($D932="","",IF($AN932=1,0,IF($AM932=1,Settings!$C$6,Settings!$C$7))*100)</f>
        <v/>
      </c>
      <c r="Z932" s="7">
        <f>IF($D932="","",V932*Y932/100)</f>
        <v/>
      </c>
      <c r="AA932" s="7">
        <f>IF($D932="","",V932-Z932)</f>
        <v/>
      </c>
      <c r="AB932" s="7">
        <f>IF($D932="","",AA932-N932)</f>
        <v/>
      </c>
      <c r="AF932" s="7" t="n"/>
      <c r="AI932" s="11" t="n"/>
      <c r="AK932">
        <f>IF($D932="","",IF(COUNTIF($D$2:$D932,$D932)=1,1,0))</f>
        <v/>
      </c>
      <c r="AL932">
        <f>IF($AK932=1,SUMPRODUCT(--($AO$2:$AO$3001&lt;$AO932))+1,"")</f>
        <v/>
      </c>
      <c r="AM932">
        <f>IF($D932="","",IF(OR($R932=TRUE(),$R932="TRUE"),1,0))</f>
        <v/>
      </c>
      <c r="AN932">
        <f>IF($D932="","",IF($X932="Yes",1,0))</f>
        <v/>
      </c>
      <c r="AO932">
        <f>IF($AK932=1,IFERROR(IF(VALUE($D932)&lt;100000000,VALUE($D932),1000000000),IFERROR(IF(VALUE(MID($D932,2,20))&lt;100000000,VALUE(MID($D932,2,20)),1000000000),1000000000))+ROW()/100000,"")</f>
        <v/>
      </c>
    </row>
    <row r="933">
      <c r="F933" s="11" t="n"/>
      <c r="N933" s="7">
        <f>IF($D933="","",M933*V933/100)</f>
        <v/>
      </c>
      <c r="O933" s="7" t="n"/>
      <c r="U933" s="7" t="n"/>
      <c r="V933" s="7" t="n"/>
      <c r="Y933">
        <f>IF($D933="","",IF($AN933=1,0,IF($AM933=1,Settings!$C$6,Settings!$C$7))*100)</f>
        <v/>
      </c>
      <c r="Z933" s="7">
        <f>IF($D933="","",V933*Y933/100)</f>
        <v/>
      </c>
      <c r="AA933" s="7">
        <f>IF($D933="","",V933-Z933)</f>
        <v/>
      </c>
      <c r="AB933" s="7">
        <f>IF($D933="","",AA933-N933)</f>
        <v/>
      </c>
      <c r="AF933" s="7" t="n"/>
      <c r="AI933" s="11" t="n"/>
      <c r="AK933">
        <f>IF($D933="","",IF(COUNTIF($D$2:$D933,$D933)=1,1,0))</f>
        <v/>
      </c>
      <c r="AL933">
        <f>IF($AK933=1,SUMPRODUCT(--($AO$2:$AO$3001&lt;$AO933))+1,"")</f>
        <v/>
      </c>
      <c r="AM933">
        <f>IF($D933="","",IF(OR($R933=TRUE(),$R933="TRUE"),1,0))</f>
        <v/>
      </c>
      <c r="AN933">
        <f>IF($D933="","",IF($X933="Yes",1,0))</f>
        <v/>
      </c>
      <c r="AO933">
        <f>IF($AK933=1,IFERROR(IF(VALUE($D933)&lt;100000000,VALUE($D933),1000000000),IFERROR(IF(VALUE(MID($D933,2,20))&lt;100000000,VALUE(MID($D933,2,20)),1000000000),1000000000))+ROW()/100000,"")</f>
        <v/>
      </c>
    </row>
    <row r="934">
      <c r="F934" s="11" t="n"/>
      <c r="N934" s="7">
        <f>IF($D934="","",M934*V934/100)</f>
        <v/>
      </c>
      <c r="O934" s="7" t="n"/>
      <c r="U934" s="7" t="n"/>
      <c r="V934" s="7" t="n"/>
      <c r="Y934">
        <f>IF($D934="","",IF($AN934=1,0,IF($AM934=1,Settings!$C$6,Settings!$C$7))*100)</f>
        <v/>
      </c>
      <c r="Z934" s="7">
        <f>IF($D934="","",V934*Y934/100)</f>
        <v/>
      </c>
      <c r="AA934" s="7">
        <f>IF($D934="","",V934-Z934)</f>
        <v/>
      </c>
      <c r="AB934" s="7">
        <f>IF($D934="","",AA934-N934)</f>
        <v/>
      </c>
      <c r="AF934" s="7" t="n"/>
      <c r="AI934" s="11" t="n"/>
      <c r="AK934">
        <f>IF($D934="","",IF(COUNTIF($D$2:$D934,$D934)=1,1,0))</f>
        <v/>
      </c>
      <c r="AL934">
        <f>IF($AK934=1,SUMPRODUCT(--($AO$2:$AO$3001&lt;$AO934))+1,"")</f>
        <v/>
      </c>
      <c r="AM934">
        <f>IF($D934="","",IF(OR($R934=TRUE(),$R934="TRUE"),1,0))</f>
        <v/>
      </c>
      <c r="AN934">
        <f>IF($D934="","",IF($X934="Yes",1,0))</f>
        <v/>
      </c>
      <c r="AO934">
        <f>IF($AK934=1,IFERROR(IF(VALUE($D934)&lt;100000000,VALUE($D934),1000000000),IFERROR(IF(VALUE(MID($D934,2,20))&lt;100000000,VALUE(MID($D934,2,20)),1000000000),1000000000))+ROW()/100000,"")</f>
        <v/>
      </c>
    </row>
    <row r="935">
      <c r="F935" s="11" t="n"/>
      <c r="N935" s="7">
        <f>IF($D935="","",M935*V935/100)</f>
        <v/>
      </c>
      <c r="O935" s="7" t="n"/>
      <c r="U935" s="7" t="n"/>
      <c r="V935" s="7" t="n"/>
      <c r="Y935">
        <f>IF($D935="","",IF($AN935=1,0,IF($AM935=1,Settings!$C$6,Settings!$C$7))*100)</f>
        <v/>
      </c>
      <c r="Z935" s="7">
        <f>IF($D935="","",V935*Y935/100)</f>
        <v/>
      </c>
      <c r="AA935" s="7">
        <f>IF($D935="","",V935-Z935)</f>
        <v/>
      </c>
      <c r="AB935" s="7">
        <f>IF($D935="","",AA935-N935)</f>
        <v/>
      </c>
      <c r="AF935" s="7" t="n"/>
      <c r="AI935" s="11" t="n"/>
      <c r="AK935">
        <f>IF($D935="","",IF(COUNTIF($D$2:$D935,$D935)=1,1,0))</f>
        <v/>
      </c>
      <c r="AL935">
        <f>IF($AK935=1,SUMPRODUCT(--($AO$2:$AO$3001&lt;$AO935))+1,"")</f>
        <v/>
      </c>
      <c r="AM935">
        <f>IF($D935="","",IF(OR($R935=TRUE(),$R935="TRUE"),1,0))</f>
        <v/>
      </c>
      <c r="AN935">
        <f>IF($D935="","",IF($X935="Yes",1,0))</f>
        <v/>
      </c>
      <c r="AO935">
        <f>IF($AK935=1,IFERROR(IF(VALUE($D935)&lt;100000000,VALUE($D935),1000000000),IFERROR(IF(VALUE(MID($D935,2,20))&lt;100000000,VALUE(MID($D935,2,20)),1000000000),1000000000))+ROW()/100000,"")</f>
        <v/>
      </c>
    </row>
    <row r="936">
      <c r="F936" s="11" t="n"/>
      <c r="N936" s="7">
        <f>IF($D936="","",M936*V936/100)</f>
        <v/>
      </c>
      <c r="O936" s="7" t="n"/>
      <c r="U936" s="7" t="n"/>
      <c r="V936" s="7" t="n"/>
      <c r="Y936">
        <f>IF($D936="","",IF($AN936=1,0,IF($AM936=1,Settings!$C$6,Settings!$C$7))*100)</f>
        <v/>
      </c>
      <c r="Z936" s="7">
        <f>IF($D936="","",V936*Y936/100)</f>
        <v/>
      </c>
      <c r="AA936" s="7">
        <f>IF($D936="","",V936-Z936)</f>
        <v/>
      </c>
      <c r="AB936" s="7">
        <f>IF($D936="","",AA936-N936)</f>
        <v/>
      </c>
      <c r="AF936" s="7" t="n"/>
      <c r="AI936" s="11" t="n"/>
      <c r="AK936">
        <f>IF($D936="","",IF(COUNTIF($D$2:$D936,$D936)=1,1,0))</f>
        <v/>
      </c>
      <c r="AL936">
        <f>IF($AK936=1,SUMPRODUCT(--($AO$2:$AO$3001&lt;$AO936))+1,"")</f>
        <v/>
      </c>
      <c r="AM936">
        <f>IF($D936="","",IF(OR($R936=TRUE(),$R936="TRUE"),1,0))</f>
        <v/>
      </c>
      <c r="AN936">
        <f>IF($D936="","",IF($X936="Yes",1,0))</f>
        <v/>
      </c>
      <c r="AO936">
        <f>IF($AK936=1,IFERROR(IF(VALUE($D936)&lt;100000000,VALUE($D936),1000000000),IFERROR(IF(VALUE(MID($D936,2,20))&lt;100000000,VALUE(MID($D936,2,20)),1000000000),1000000000))+ROW()/100000,"")</f>
        <v/>
      </c>
    </row>
    <row r="937">
      <c r="F937" s="11" t="n"/>
      <c r="N937" s="7">
        <f>IF($D937="","",M937*V937/100)</f>
        <v/>
      </c>
      <c r="O937" s="7" t="n"/>
      <c r="U937" s="7" t="n"/>
      <c r="V937" s="7" t="n"/>
      <c r="Y937">
        <f>IF($D937="","",IF($AN937=1,0,IF($AM937=1,Settings!$C$6,Settings!$C$7))*100)</f>
        <v/>
      </c>
      <c r="Z937" s="7">
        <f>IF($D937="","",V937*Y937/100)</f>
        <v/>
      </c>
      <c r="AA937" s="7">
        <f>IF($D937="","",V937-Z937)</f>
        <v/>
      </c>
      <c r="AB937" s="7">
        <f>IF($D937="","",AA937-N937)</f>
        <v/>
      </c>
      <c r="AF937" s="7" t="n"/>
      <c r="AI937" s="11" t="n"/>
      <c r="AK937">
        <f>IF($D937="","",IF(COUNTIF($D$2:$D937,$D937)=1,1,0))</f>
        <v/>
      </c>
      <c r="AL937">
        <f>IF($AK937=1,SUMPRODUCT(--($AO$2:$AO$3001&lt;$AO937))+1,"")</f>
        <v/>
      </c>
      <c r="AM937">
        <f>IF($D937="","",IF(OR($R937=TRUE(),$R937="TRUE"),1,0))</f>
        <v/>
      </c>
      <c r="AN937">
        <f>IF($D937="","",IF($X937="Yes",1,0))</f>
        <v/>
      </c>
      <c r="AO937">
        <f>IF($AK937=1,IFERROR(IF(VALUE($D937)&lt;100000000,VALUE($D937),1000000000),IFERROR(IF(VALUE(MID($D937,2,20))&lt;100000000,VALUE(MID($D937,2,20)),1000000000),1000000000))+ROW()/100000,"")</f>
        <v/>
      </c>
    </row>
    <row r="938">
      <c r="F938" s="11" t="n"/>
      <c r="N938" s="7">
        <f>IF($D938="","",M938*V938/100)</f>
        <v/>
      </c>
      <c r="O938" s="7" t="n"/>
      <c r="U938" s="7" t="n"/>
      <c r="V938" s="7" t="n"/>
      <c r="Y938">
        <f>IF($D938="","",IF($AN938=1,0,IF($AM938=1,Settings!$C$6,Settings!$C$7))*100)</f>
        <v/>
      </c>
      <c r="Z938" s="7">
        <f>IF($D938="","",V938*Y938/100)</f>
        <v/>
      </c>
      <c r="AA938" s="7">
        <f>IF($D938="","",V938-Z938)</f>
        <v/>
      </c>
      <c r="AB938" s="7">
        <f>IF($D938="","",AA938-N938)</f>
        <v/>
      </c>
      <c r="AF938" s="7" t="n"/>
      <c r="AI938" s="11" t="n"/>
      <c r="AK938">
        <f>IF($D938="","",IF(COUNTIF($D$2:$D938,$D938)=1,1,0))</f>
        <v/>
      </c>
      <c r="AL938">
        <f>IF($AK938=1,SUMPRODUCT(--($AO$2:$AO$3001&lt;$AO938))+1,"")</f>
        <v/>
      </c>
      <c r="AM938">
        <f>IF($D938="","",IF(OR($R938=TRUE(),$R938="TRUE"),1,0))</f>
        <v/>
      </c>
      <c r="AN938">
        <f>IF($D938="","",IF($X938="Yes",1,0))</f>
        <v/>
      </c>
      <c r="AO938">
        <f>IF($AK938=1,IFERROR(IF(VALUE($D938)&lt;100000000,VALUE($D938),1000000000),IFERROR(IF(VALUE(MID($D938,2,20))&lt;100000000,VALUE(MID($D938,2,20)),1000000000),1000000000))+ROW()/100000,"")</f>
        <v/>
      </c>
    </row>
    <row r="939">
      <c r="F939" s="11" t="n"/>
      <c r="N939" s="7">
        <f>IF($D939="","",M939*V939/100)</f>
        <v/>
      </c>
      <c r="O939" s="7" t="n"/>
      <c r="U939" s="7" t="n"/>
      <c r="V939" s="7" t="n"/>
      <c r="Y939">
        <f>IF($D939="","",IF($AN939=1,0,IF($AM939=1,Settings!$C$6,Settings!$C$7))*100)</f>
        <v/>
      </c>
      <c r="Z939" s="7">
        <f>IF($D939="","",V939*Y939/100)</f>
        <v/>
      </c>
      <c r="AA939" s="7">
        <f>IF($D939="","",V939-Z939)</f>
        <v/>
      </c>
      <c r="AB939" s="7">
        <f>IF($D939="","",AA939-N939)</f>
        <v/>
      </c>
      <c r="AF939" s="7" t="n"/>
      <c r="AI939" s="11" t="n"/>
      <c r="AK939">
        <f>IF($D939="","",IF(COUNTIF($D$2:$D939,$D939)=1,1,0))</f>
        <v/>
      </c>
      <c r="AL939">
        <f>IF($AK939=1,SUMPRODUCT(--($AO$2:$AO$3001&lt;$AO939))+1,"")</f>
        <v/>
      </c>
      <c r="AM939">
        <f>IF($D939="","",IF(OR($R939=TRUE(),$R939="TRUE"),1,0))</f>
        <v/>
      </c>
      <c r="AN939">
        <f>IF($D939="","",IF($X939="Yes",1,0))</f>
        <v/>
      </c>
      <c r="AO939">
        <f>IF($AK939=1,IFERROR(IF(VALUE($D939)&lt;100000000,VALUE($D939),1000000000),IFERROR(IF(VALUE(MID($D939,2,20))&lt;100000000,VALUE(MID($D939,2,20)),1000000000),1000000000))+ROW()/100000,"")</f>
        <v/>
      </c>
    </row>
    <row r="940">
      <c r="F940" s="11" t="n"/>
      <c r="N940" s="7">
        <f>IF($D940="","",M940*V940/100)</f>
        <v/>
      </c>
      <c r="O940" s="7" t="n"/>
      <c r="U940" s="7" t="n"/>
      <c r="V940" s="7" t="n"/>
      <c r="Y940">
        <f>IF($D940="","",IF($AN940=1,0,IF($AM940=1,Settings!$C$6,Settings!$C$7))*100)</f>
        <v/>
      </c>
      <c r="Z940" s="7">
        <f>IF($D940="","",V940*Y940/100)</f>
        <v/>
      </c>
      <c r="AA940" s="7">
        <f>IF($D940="","",V940-Z940)</f>
        <v/>
      </c>
      <c r="AB940" s="7">
        <f>IF($D940="","",AA940-N940)</f>
        <v/>
      </c>
      <c r="AF940" s="7" t="n"/>
      <c r="AI940" s="11" t="n"/>
      <c r="AK940">
        <f>IF($D940="","",IF(COUNTIF($D$2:$D940,$D940)=1,1,0))</f>
        <v/>
      </c>
      <c r="AL940">
        <f>IF($AK940=1,SUMPRODUCT(--($AO$2:$AO$3001&lt;$AO940))+1,"")</f>
        <v/>
      </c>
      <c r="AM940">
        <f>IF($D940="","",IF(OR($R940=TRUE(),$R940="TRUE"),1,0))</f>
        <v/>
      </c>
      <c r="AN940">
        <f>IF($D940="","",IF($X940="Yes",1,0))</f>
        <v/>
      </c>
      <c r="AO940">
        <f>IF($AK940=1,IFERROR(IF(VALUE($D940)&lt;100000000,VALUE($D940),1000000000),IFERROR(IF(VALUE(MID($D940,2,20))&lt;100000000,VALUE(MID($D940,2,20)),1000000000),1000000000))+ROW()/100000,"")</f>
        <v/>
      </c>
    </row>
    <row r="941">
      <c r="F941" s="11" t="n"/>
      <c r="N941" s="7">
        <f>IF($D941="","",M941*V941/100)</f>
        <v/>
      </c>
      <c r="O941" s="7" t="n"/>
      <c r="U941" s="7" t="n"/>
      <c r="V941" s="7" t="n"/>
      <c r="Y941">
        <f>IF($D941="","",IF($AN941=1,0,IF($AM941=1,Settings!$C$6,Settings!$C$7))*100)</f>
        <v/>
      </c>
      <c r="Z941" s="7">
        <f>IF($D941="","",V941*Y941/100)</f>
        <v/>
      </c>
      <c r="AA941" s="7">
        <f>IF($D941="","",V941-Z941)</f>
        <v/>
      </c>
      <c r="AB941" s="7">
        <f>IF($D941="","",AA941-N941)</f>
        <v/>
      </c>
      <c r="AF941" s="7" t="n"/>
      <c r="AI941" s="11" t="n"/>
      <c r="AK941">
        <f>IF($D941="","",IF(COUNTIF($D$2:$D941,$D941)=1,1,0))</f>
        <v/>
      </c>
      <c r="AL941">
        <f>IF($AK941=1,SUMPRODUCT(--($AO$2:$AO$3001&lt;$AO941))+1,"")</f>
        <v/>
      </c>
      <c r="AM941">
        <f>IF($D941="","",IF(OR($R941=TRUE(),$R941="TRUE"),1,0))</f>
        <v/>
      </c>
      <c r="AN941">
        <f>IF($D941="","",IF($X941="Yes",1,0))</f>
        <v/>
      </c>
      <c r="AO941">
        <f>IF($AK941=1,IFERROR(IF(VALUE($D941)&lt;100000000,VALUE($D941),1000000000),IFERROR(IF(VALUE(MID($D941,2,20))&lt;100000000,VALUE(MID($D941,2,20)),1000000000),1000000000))+ROW()/100000,"")</f>
        <v/>
      </c>
    </row>
    <row r="942">
      <c r="F942" s="11" t="n"/>
      <c r="N942" s="7">
        <f>IF($D942="","",M942*V942/100)</f>
        <v/>
      </c>
      <c r="O942" s="7" t="n"/>
      <c r="U942" s="7" t="n"/>
      <c r="V942" s="7" t="n"/>
      <c r="Y942">
        <f>IF($D942="","",IF($AN942=1,0,IF($AM942=1,Settings!$C$6,Settings!$C$7))*100)</f>
        <v/>
      </c>
      <c r="Z942" s="7">
        <f>IF($D942="","",V942*Y942/100)</f>
        <v/>
      </c>
      <c r="AA942" s="7">
        <f>IF($D942="","",V942-Z942)</f>
        <v/>
      </c>
      <c r="AB942" s="7">
        <f>IF($D942="","",AA942-N942)</f>
        <v/>
      </c>
      <c r="AF942" s="7" t="n"/>
      <c r="AI942" s="11" t="n"/>
      <c r="AK942">
        <f>IF($D942="","",IF(COUNTIF($D$2:$D942,$D942)=1,1,0))</f>
        <v/>
      </c>
      <c r="AL942">
        <f>IF($AK942=1,SUMPRODUCT(--($AO$2:$AO$3001&lt;$AO942))+1,"")</f>
        <v/>
      </c>
      <c r="AM942">
        <f>IF($D942="","",IF(OR($R942=TRUE(),$R942="TRUE"),1,0))</f>
        <v/>
      </c>
      <c r="AN942">
        <f>IF($D942="","",IF($X942="Yes",1,0))</f>
        <v/>
      </c>
      <c r="AO942">
        <f>IF($AK942=1,IFERROR(IF(VALUE($D942)&lt;100000000,VALUE($D942),1000000000),IFERROR(IF(VALUE(MID($D942,2,20))&lt;100000000,VALUE(MID($D942,2,20)),1000000000),1000000000))+ROW()/100000,"")</f>
        <v/>
      </c>
    </row>
    <row r="943">
      <c r="F943" s="11" t="n"/>
      <c r="N943" s="7">
        <f>IF($D943="","",M943*V943/100)</f>
        <v/>
      </c>
      <c r="O943" s="7" t="n"/>
      <c r="U943" s="7" t="n"/>
      <c r="V943" s="7" t="n"/>
      <c r="Y943">
        <f>IF($D943="","",IF($AN943=1,0,IF($AM943=1,Settings!$C$6,Settings!$C$7))*100)</f>
        <v/>
      </c>
      <c r="Z943" s="7">
        <f>IF($D943="","",V943*Y943/100)</f>
        <v/>
      </c>
      <c r="AA943" s="7">
        <f>IF($D943="","",V943-Z943)</f>
        <v/>
      </c>
      <c r="AB943" s="7">
        <f>IF($D943="","",AA943-N943)</f>
        <v/>
      </c>
      <c r="AF943" s="7" t="n"/>
      <c r="AI943" s="11" t="n"/>
      <c r="AK943">
        <f>IF($D943="","",IF(COUNTIF($D$2:$D943,$D943)=1,1,0))</f>
        <v/>
      </c>
      <c r="AL943">
        <f>IF($AK943=1,SUMPRODUCT(--($AO$2:$AO$3001&lt;$AO943))+1,"")</f>
        <v/>
      </c>
      <c r="AM943">
        <f>IF($D943="","",IF(OR($R943=TRUE(),$R943="TRUE"),1,0))</f>
        <v/>
      </c>
      <c r="AN943">
        <f>IF($D943="","",IF($X943="Yes",1,0))</f>
        <v/>
      </c>
      <c r="AO943">
        <f>IF($AK943=1,IFERROR(IF(VALUE($D943)&lt;100000000,VALUE($D943),1000000000),IFERROR(IF(VALUE(MID($D943,2,20))&lt;100000000,VALUE(MID($D943,2,20)),1000000000),1000000000))+ROW()/100000,"")</f>
        <v/>
      </c>
    </row>
    <row r="944">
      <c r="F944" s="11" t="n"/>
      <c r="N944" s="7">
        <f>IF($D944="","",M944*V944/100)</f>
        <v/>
      </c>
      <c r="O944" s="7" t="n"/>
      <c r="U944" s="7" t="n"/>
      <c r="V944" s="7" t="n"/>
      <c r="Y944">
        <f>IF($D944="","",IF($AN944=1,0,IF($AM944=1,Settings!$C$6,Settings!$C$7))*100)</f>
        <v/>
      </c>
      <c r="Z944" s="7">
        <f>IF($D944="","",V944*Y944/100)</f>
        <v/>
      </c>
      <c r="AA944" s="7">
        <f>IF($D944="","",V944-Z944)</f>
        <v/>
      </c>
      <c r="AB944" s="7">
        <f>IF($D944="","",AA944-N944)</f>
        <v/>
      </c>
      <c r="AF944" s="7" t="n"/>
      <c r="AI944" s="11" t="n"/>
      <c r="AK944">
        <f>IF($D944="","",IF(COUNTIF($D$2:$D944,$D944)=1,1,0))</f>
        <v/>
      </c>
      <c r="AL944">
        <f>IF($AK944=1,SUMPRODUCT(--($AO$2:$AO$3001&lt;$AO944))+1,"")</f>
        <v/>
      </c>
      <c r="AM944">
        <f>IF($D944="","",IF(OR($R944=TRUE(),$R944="TRUE"),1,0))</f>
        <v/>
      </c>
      <c r="AN944">
        <f>IF($D944="","",IF($X944="Yes",1,0))</f>
        <v/>
      </c>
      <c r="AO944">
        <f>IF($AK944=1,IFERROR(IF(VALUE($D944)&lt;100000000,VALUE($D944),1000000000),IFERROR(IF(VALUE(MID($D944,2,20))&lt;100000000,VALUE(MID($D944,2,20)),1000000000),1000000000))+ROW()/100000,"")</f>
        <v/>
      </c>
    </row>
    <row r="945">
      <c r="F945" s="11" t="n"/>
      <c r="N945" s="7">
        <f>IF($D945="","",M945*V945/100)</f>
        <v/>
      </c>
      <c r="O945" s="7" t="n"/>
      <c r="U945" s="7" t="n"/>
      <c r="V945" s="7" t="n"/>
      <c r="Y945">
        <f>IF($D945="","",IF($AN945=1,0,IF($AM945=1,Settings!$C$6,Settings!$C$7))*100)</f>
        <v/>
      </c>
      <c r="Z945" s="7">
        <f>IF($D945="","",V945*Y945/100)</f>
        <v/>
      </c>
      <c r="AA945" s="7">
        <f>IF($D945="","",V945-Z945)</f>
        <v/>
      </c>
      <c r="AB945" s="7">
        <f>IF($D945="","",AA945-N945)</f>
        <v/>
      </c>
      <c r="AF945" s="7" t="n"/>
      <c r="AI945" s="11" t="n"/>
      <c r="AK945">
        <f>IF($D945="","",IF(COUNTIF($D$2:$D945,$D945)=1,1,0))</f>
        <v/>
      </c>
      <c r="AL945">
        <f>IF($AK945=1,SUMPRODUCT(--($AO$2:$AO$3001&lt;$AO945))+1,"")</f>
        <v/>
      </c>
      <c r="AM945">
        <f>IF($D945="","",IF(OR($R945=TRUE(),$R945="TRUE"),1,0))</f>
        <v/>
      </c>
      <c r="AN945">
        <f>IF($D945="","",IF($X945="Yes",1,0))</f>
        <v/>
      </c>
      <c r="AO945">
        <f>IF($AK945=1,IFERROR(IF(VALUE($D945)&lt;100000000,VALUE($D945),1000000000),IFERROR(IF(VALUE(MID($D945,2,20))&lt;100000000,VALUE(MID($D945,2,20)),1000000000),1000000000))+ROW()/100000,"")</f>
        <v/>
      </c>
    </row>
    <row r="946">
      <c r="F946" s="11" t="n"/>
      <c r="N946" s="7">
        <f>IF($D946="","",M946*V946/100)</f>
        <v/>
      </c>
      <c r="O946" s="7" t="n"/>
      <c r="U946" s="7" t="n"/>
      <c r="V946" s="7" t="n"/>
      <c r="Y946">
        <f>IF($D946="","",IF($AN946=1,0,IF($AM946=1,Settings!$C$6,Settings!$C$7))*100)</f>
        <v/>
      </c>
      <c r="Z946" s="7">
        <f>IF($D946="","",V946*Y946/100)</f>
        <v/>
      </c>
      <c r="AA946" s="7">
        <f>IF($D946="","",V946-Z946)</f>
        <v/>
      </c>
      <c r="AB946" s="7">
        <f>IF($D946="","",AA946-N946)</f>
        <v/>
      </c>
      <c r="AF946" s="7" t="n"/>
      <c r="AI946" s="11" t="n"/>
      <c r="AK946">
        <f>IF($D946="","",IF(COUNTIF($D$2:$D946,$D946)=1,1,0))</f>
        <v/>
      </c>
      <c r="AL946">
        <f>IF($AK946=1,SUMPRODUCT(--($AO$2:$AO$3001&lt;$AO946))+1,"")</f>
        <v/>
      </c>
      <c r="AM946">
        <f>IF($D946="","",IF(OR($R946=TRUE(),$R946="TRUE"),1,0))</f>
        <v/>
      </c>
      <c r="AN946">
        <f>IF($D946="","",IF($X946="Yes",1,0))</f>
        <v/>
      </c>
      <c r="AO946">
        <f>IF($AK946=1,IFERROR(IF(VALUE($D946)&lt;100000000,VALUE($D946),1000000000),IFERROR(IF(VALUE(MID($D946,2,20))&lt;100000000,VALUE(MID($D946,2,20)),1000000000),1000000000))+ROW()/100000,"")</f>
        <v/>
      </c>
    </row>
    <row r="947">
      <c r="F947" s="11" t="n"/>
      <c r="N947" s="7">
        <f>IF($D947="","",M947*V947/100)</f>
        <v/>
      </c>
      <c r="O947" s="7" t="n"/>
      <c r="U947" s="7" t="n"/>
      <c r="V947" s="7" t="n"/>
      <c r="Y947">
        <f>IF($D947="","",IF($AN947=1,0,IF($AM947=1,Settings!$C$6,Settings!$C$7))*100)</f>
        <v/>
      </c>
      <c r="Z947" s="7">
        <f>IF($D947="","",V947*Y947/100)</f>
        <v/>
      </c>
      <c r="AA947" s="7">
        <f>IF($D947="","",V947-Z947)</f>
        <v/>
      </c>
      <c r="AB947" s="7">
        <f>IF($D947="","",AA947-N947)</f>
        <v/>
      </c>
      <c r="AF947" s="7" t="n"/>
      <c r="AI947" s="11" t="n"/>
      <c r="AK947">
        <f>IF($D947="","",IF(COUNTIF($D$2:$D947,$D947)=1,1,0))</f>
        <v/>
      </c>
      <c r="AL947">
        <f>IF($AK947=1,SUMPRODUCT(--($AO$2:$AO$3001&lt;$AO947))+1,"")</f>
        <v/>
      </c>
      <c r="AM947">
        <f>IF($D947="","",IF(OR($R947=TRUE(),$R947="TRUE"),1,0))</f>
        <v/>
      </c>
      <c r="AN947">
        <f>IF($D947="","",IF($X947="Yes",1,0))</f>
        <v/>
      </c>
      <c r="AO947">
        <f>IF($AK947=1,IFERROR(IF(VALUE($D947)&lt;100000000,VALUE($D947),1000000000),IFERROR(IF(VALUE(MID($D947,2,20))&lt;100000000,VALUE(MID($D947,2,20)),1000000000),1000000000))+ROW()/100000,"")</f>
        <v/>
      </c>
    </row>
    <row r="948">
      <c r="F948" s="11" t="n"/>
      <c r="N948" s="7">
        <f>IF($D948="","",M948*V948/100)</f>
        <v/>
      </c>
      <c r="O948" s="7" t="n"/>
      <c r="U948" s="7" t="n"/>
      <c r="V948" s="7" t="n"/>
      <c r="Y948">
        <f>IF($D948="","",IF($AN948=1,0,IF($AM948=1,Settings!$C$6,Settings!$C$7))*100)</f>
        <v/>
      </c>
      <c r="Z948" s="7">
        <f>IF($D948="","",V948*Y948/100)</f>
        <v/>
      </c>
      <c r="AA948" s="7">
        <f>IF($D948="","",V948-Z948)</f>
        <v/>
      </c>
      <c r="AB948" s="7">
        <f>IF($D948="","",AA948-N948)</f>
        <v/>
      </c>
      <c r="AF948" s="7" t="n"/>
      <c r="AI948" s="11" t="n"/>
      <c r="AK948">
        <f>IF($D948="","",IF(COUNTIF($D$2:$D948,$D948)=1,1,0))</f>
        <v/>
      </c>
      <c r="AL948">
        <f>IF($AK948=1,SUMPRODUCT(--($AO$2:$AO$3001&lt;$AO948))+1,"")</f>
        <v/>
      </c>
      <c r="AM948">
        <f>IF($D948="","",IF(OR($R948=TRUE(),$R948="TRUE"),1,0))</f>
        <v/>
      </c>
      <c r="AN948">
        <f>IF($D948="","",IF($X948="Yes",1,0))</f>
        <v/>
      </c>
      <c r="AO948">
        <f>IF($AK948=1,IFERROR(IF(VALUE($D948)&lt;100000000,VALUE($D948),1000000000),IFERROR(IF(VALUE(MID($D948,2,20))&lt;100000000,VALUE(MID($D948,2,20)),1000000000),1000000000))+ROW()/100000,"")</f>
        <v/>
      </c>
    </row>
    <row r="949">
      <c r="F949" s="11" t="n"/>
      <c r="N949" s="7">
        <f>IF($D949="","",M949*V949/100)</f>
        <v/>
      </c>
      <c r="O949" s="7" t="n"/>
      <c r="U949" s="7" t="n"/>
      <c r="V949" s="7" t="n"/>
      <c r="Y949">
        <f>IF($D949="","",IF($AN949=1,0,IF($AM949=1,Settings!$C$6,Settings!$C$7))*100)</f>
        <v/>
      </c>
      <c r="Z949" s="7">
        <f>IF($D949="","",V949*Y949/100)</f>
        <v/>
      </c>
      <c r="AA949" s="7">
        <f>IF($D949="","",V949-Z949)</f>
        <v/>
      </c>
      <c r="AB949" s="7">
        <f>IF($D949="","",AA949-N949)</f>
        <v/>
      </c>
      <c r="AF949" s="7" t="n"/>
      <c r="AI949" s="11" t="n"/>
      <c r="AK949">
        <f>IF($D949="","",IF(COUNTIF($D$2:$D949,$D949)=1,1,0))</f>
        <v/>
      </c>
      <c r="AL949">
        <f>IF($AK949=1,SUMPRODUCT(--($AO$2:$AO$3001&lt;$AO949))+1,"")</f>
        <v/>
      </c>
      <c r="AM949">
        <f>IF($D949="","",IF(OR($R949=TRUE(),$R949="TRUE"),1,0))</f>
        <v/>
      </c>
      <c r="AN949">
        <f>IF($D949="","",IF($X949="Yes",1,0))</f>
        <v/>
      </c>
      <c r="AO949">
        <f>IF($AK949=1,IFERROR(IF(VALUE($D949)&lt;100000000,VALUE($D949),1000000000),IFERROR(IF(VALUE(MID($D949,2,20))&lt;100000000,VALUE(MID($D949,2,20)),1000000000),1000000000))+ROW()/100000,"")</f>
        <v/>
      </c>
    </row>
    <row r="950">
      <c r="F950" s="11" t="n"/>
      <c r="N950" s="7">
        <f>IF($D950="","",M950*V950/100)</f>
        <v/>
      </c>
      <c r="O950" s="7" t="n"/>
      <c r="U950" s="7" t="n"/>
      <c r="V950" s="7" t="n"/>
      <c r="Y950">
        <f>IF($D950="","",IF($AN950=1,0,IF($AM950=1,Settings!$C$6,Settings!$C$7))*100)</f>
        <v/>
      </c>
      <c r="Z950" s="7">
        <f>IF($D950="","",V950*Y950/100)</f>
        <v/>
      </c>
      <c r="AA950" s="7">
        <f>IF($D950="","",V950-Z950)</f>
        <v/>
      </c>
      <c r="AB950" s="7">
        <f>IF($D950="","",AA950-N950)</f>
        <v/>
      </c>
      <c r="AF950" s="7" t="n"/>
      <c r="AI950" s="11" t="n"/>
      <c r="AK950">
        <f>IF($D950="","",IF(COUNTIF($D$2:$D950,$D950)=1,1,0))</f>
        <v/>
      </c>
      <c r="AL950">
        <f>IF($AK950=1,SUMPRODUCT(--($AO$2:$AO$3001&lt;$AO950))+1,"")</f>
        <v/>
      </c>
      <c r="AM950">
        <f>IF($D950="","",IF(OR($R950=TRUE(),$R950="TRUE"),1,0))</f>
        <v/>
      </c>
      <c r="AN950">
        <f>IF($D950="","",IF($X950="Yes",1,0))</f>
        <v/>
      </c>
      <c r="AO950">
        <f>IF($AK950=1,IFERROR(IF(VALUE($D950)&lt;100000000,VALUE($D950),1000000000),IFERROR(IF(VALUE(MID($D950,2,20))&lt;100000000,VALUE(MID($D950,2,20)),1000000000),1000000000))+ROW()/100000,"")</f>
        <v/>
      </c>
    </row>
    <row r="951">
      <c r="F951" s="11" t="n"/>
      <c r="N951" s="7">
        <f>IF($D951="","",M951*V951/100)</f>
        <v/>
      </c>
      <c r="O951" s="7" t="n"/>
      <c r="U951" s="7" t="n"/>
      <c r="V951" s="7" t="n"/>
      <c r="Y951">
        <f>IF($D951="","",IF($AN951=1,0,IF($AM951=1,Settings!$C$6,Settings!$C$7))*100)</f>
        <v/>
      </c>
      <c r="Z951" s="7">
        <f>IF($D951="","",V951*Y951/100)</f>
        <v/>
      </c>
      <c r="AA951" s="7">
        <f>IF($D951="","",V951-Z951)</f>
        <v/>
      </c>
      <c r="AB951" s="7">
        <f>IF($D951="","",AA951-N951)</f>
        <v/>
      </c>
      <c r="AF951" s="7" t="n"/>
      <c r="AI951" s="11" t="n"/>
      <c r="AK951">
        <f>IF($D951="","",IF(COUNTIF($D$2:$D951,$D951)=1,1,0))</f>
        <v/>
      </c>
      <c r="AL951">
        <f>IF($AK951=1,SUMPRODUCT(--($AO$2:$AO$3001&lt;$AO951))+1,"")</f>
        <v/>
      </c>
      <c r="AM951">
        <f>IF($D951="","",IF(OR($R951=TRUE(),$R951="TRUE"),1,0))</f>
        <v/>
      </c>
      <c r="AN951">
        <f>IF($D951="","",IF($X951="Yes",1,0))</f>
        <v/>
      </c>
      <c r="AO951">
        <f>IF($AK951=1,IFERROR(IF(VALUE($D951)&lt;100000000,VALUE($D951),1000000000),IFERROR(IF(VALUE(MID($D951,2,20))&lt;100000000,VALUE(MID($D951,2,20)),1000000000),1000000000))+ROW()/100000,"")</f>
        <v/>
      </c>
    </row>
    <row r="952">
      <c r="F952" s="11" t="n"/>
      <c r="N952" s="7">
        <f>IF($D952="","",M952*V952/100)</f>
        <v/>
      </c>
      <c r="O952" s="7" t="n"/>
      <c r="U952" s="7" t="n"/>
      <c r="V952" s="7" t="n"/>
      <c r="Y952">
        <f>IF($D952="","",IF($AN952=1,0,IF($AM952=1,Settings!$C$6,Settings!$C$7))*100)</f>
        <v/>
      </c>
      <c r="Z952" s="7">
        <f>IF($D952="","",V952*Y952/100)</f>
        <v/>
      </c>
      <c r="AA952" s="7">
        <f>IF($D952="","",V952-Z952)</f>
        <v/>
      </c>
      <c r="AB952" s="7">
        <f>IF($D952="","",AA952-N952)</f>
        <v/>
      </c>
      <c r="AF952" s="7" t="n"/>
      <c r="AI952" s="11" t="n"/>
      <c r="AK952">
        <f>IF($D952="","",IF(COUNTIF($D$2:$D952,$D952)=1,1,0))</f>
        <v/>
      </c>
      <c r="AL952">
        <f>IF($AK952=1,SUMPRODUCT(--($AO$2:$AO$3001&lt;$AO952))+1,"")</f>
        <v/>
      </c>
      <c r="AM952">
        <f>IF($D952="","",IF(OR($R952=TRUE(),$R952="TRUE"),1,0))</f>
        <v/>
      </c>
      <c r="AN952">
        <f>IF($D952="","",IF($X952="Yes",1,0))</f>
        <v/>
      </c>
      <c r="AO952">
        <f>IF($AK952=1,IFERROR(IF(VALUE($D952)&lt;100000000,VALUE($D952),1000000000),IFERROR(IF(VALUE(MID($D952,2,20))&lt;100000000,VALUE(MID($D952,2,20)),1000000000),1000000000))+ROW()/100000,"")</f>
        <v/>
      </c>
    </row>
    <row r="953">
      <c r="F953" s="11" t="n"/>
      <c r="N953" s="7">
        <f>IF($D953="","",M953*V953/100)</f>
        <v/>
      </c>
      <c r="O953" s="7" t="n"/>
      <c r="U953" s="7" t="n"/>
      <c r="V953" s="7" t="n"/>
      <c r="Y953">
        <f>IF($D953="","",IF($AN953=1,0,IF($AM953=1,Settings!$C$6,Settings!$C$7))*100)</f>
        <v/>
      </c>
      <c r="Z953" s="7">
        <f>IF($D953="","",V953*Y953/100)</f>
        <v/>
      </c>
      <c r="AA953" s="7">
        <f>IF($D953="","",V953-Z953)</f>
        <v/>
      </c>
      <c r="AB953" s="7">
        <f>IF($D953="","",AA953-N953)</f>
        <v/>
      </c>
      <c r="AF953" s="7" t="n"/>
      <c r="AI953" s="11" t="n"/>
      <c r="AK953">
        <f>IF($D953="","",IF(COUNTIF($D$2:$D953,$D953)=1,1,0))</f>
        <v/>
      </c>
      <c r="AL953">
        <f>IF($AK953=1,SUMPRODUCT(--($AO$2:$AO$3001&lt;$AO953))+1,"")</f>
        <v/>
      </c>
      <c r="AM953">
        <f>IF($D953="","",IF(OR($R953=TRUE(),$R953="TRUE"),1,0))</f>
        <v/>
      </c>
      <c r="AN953">
        <f>IF($D953="","",IF($X953="Yes",1,0))</f>
        <v/>
      </c>
      <c r="AO953">
        <f>IF($AK953=1,IFERROR(IF(VALUE($D953)&lt;100000000,VALUE($D953),1000000000),IFERROR(IF(VALUE(MID($D953,2,20))&lt;100000000,VALUE(MID($D953,2,20)),1000000000),1000000000))+ROW()/100000,"")</f>
        <v/>
      </c>
    </row>
    <row r="954">
      <c r="F954" s="11" t="n"/>
      <c r="N954" s="7">
        <f>IF($D954="","",M954*V954/100)</f>
        <v/>
      </c>
      <c r="O954" s="7" t="n"/>
      <c r="U954" s="7" t="n"/>
      <c r="V954" s="7" t="n"/>
      <c r="Y954">
        <f>IF($D954="","",IF($AN954=1,0,IF($AM954=1,Settings!$C$6,Settings!$C$7))*100)</f>
        <v/>
      </c>
      <c r="Z954" s="7">
        <f>IF($D954="","",V954*Y954/100)</f>
        <v/>
      </c>
      <c r="AA954" s="7">
        <f>IF($D954="","",V954-Z954)</f>
        <v/>
      </c>
      <c r="AB954" s="7">
        <f>IF($D954="","",AA954-N954)</f>
        <v/>
      </c>
      <c r="AF954" s="7" t="n"/>
      <c r="AI954" s="11" t="n"/>
      <c r="AK954">
        <f>IF($D954="","",IF(COUNTIF($D$2:$D954,$D954)=1,1,0))</f>
        <v/>
      </c>
      <c r="AL954">
        <f>IF($AK954=1,SUMPRODUCT(--($AO$2:$AO$3001&lt;$AO954))+1,"")</f>
        <v/>
      </c>
      <c r="AM954">
        <f>IF($D954="","",IF(OR($R954=TRUE(),$R954="TRUE"),1,0))</f>
        <v/>
      </c>
      <c r="AN954">
        <f>IF($D954="","",IF($X954="Yes",1,0))</f>
        <v/>
      </c>
      <c r="AO954">
        <f>IF($AK954=1,IFERROR(IF(VALUE($D954)&lt;100000000,VALUE($D954),1000000000),IFERROR(IF(VALUE(MID($D954,2,20))&lt;100000000,VALUE(MID($D954,2,20)),1000000000),1000000000))+ROW()/100000,"")</f>
        <v/>
      </c>
    </row>
    <row r="955">
      <c r="F955" s="11" t="n"/>
      <c r="N955" s="7">
        <f>IF($D955="","",M955*V955/100)</f>
        <v/>
      </c>
      <c r="O955" s="7" t="n"/>
      <c r="U955" s="7" t="n"/>
      <c r="V955" s="7" t="n"/>
      <c r="Y955">
        <f>IF($D955="","",IF($AN955=1,0,IF($AM955=1,Settings!$C$6,Settings!$C$7))*100)</f>
        <v/>
      </c>
      <c r="Z955" s="7">
        <f>IF($D955="","",V955*Y955/100)</f>
        <v/>
      </c>
      <c r="AA955" s="7">
        <f>IF($D955="","",V955-Z955)</f>
        <v/>
      </c>
      <c r="AB955" s="7">
        <f>IF($D955="","",AA955-N955)</f>
        <v/>
      </c>
      <c r="AF955" s="7" t="n"/>
      <c r="AI955" s="11" t="n"/>
      <c r="AK955">
        <f>IF($D955="","",IF(COUNTIF($D$2:$D955,$D955)=1,1,0))</f>
        <v/>
      </c>
      <c r="AL955">
        <f>IF($AK955=1,SUMPRODUCT(--($AO$2:$AO$3001&lt;$AO955))+1,"")</f>
        <v/>
      </c>
      <c r="AM955">
        <f>IF($D955="","",IF(OR($R955=TRUE(),$R955="TRUE"),1,0))</f>
        <v/>
      </c>
      <c r="AN955">
        <f>IF($D955="","",IF($X955="Yes",1,0))</f>
        <v/>
      </c>
      <c r="AO955">
        <f>IF($AK955=1,IFERROR(IF(VALUE($D955)&lt;100000000,VALUE($D955),1000000000),IFERROR(IF(VALUE(MID($D955,2,20))&lt;100000000,VALUE(MID($D955,2,20)),1000000000),1000000000))+ROW()/100000,"")</f>
        <v/>
      </c>
    </row>
    <row r="956">
      <c r="F956" s="11" t="n"/>
      <c r="N956" s="7">
        <f>IF($D956="","",M956*V956/100)</f>
        <v/>
      </c>
      <c r="O956" s="7" t="n"/>
      <c r="U956" s="7" t="n"/>
      <c r="V956" s="7" t="n"/>
      <c r="Y956">
        <f>IF($D956="","",IF($AN956=1,0,IF($AM956=1,Settings!$C$6,Settings!$C$7))*100)</f>
        <v/>
      </c>
      <c r="Z956" s="7">
        <f>IF($D956="","",V956*Y956/100)</f>
        <v/>
      </c>
      <c r="AA956" s="7">
        <f>IF($D956="","",V956-Z956)</f>
        <v/>
      </c>
      <c r="AB956" s="7">
        <f>IF($D956="","",AA956-N956)</f>
        <v/>
      </c>
      <c r="AF956" s="7" t="n"/>
      <c r="AI956" s="11" t="n"/>
      <c r="AK956">
        <f>IF($D956="","",IF(COUNTIF($D$2:$D956,$D956)=1,1,0))</f>
        <v/>
      </c>
      <c r="AL956">
        <f>IF($AK956=1,SUMPRODUCT(--($AO$2:$AO$3001&lt;$AO956))+1,"")</f>
        <v/>
      </c>
      <c r="AM956">
        <f>IF($D956="","",IF(OR($R956=TRUE(),$R956="TRUE"),1,0))</f>
        <v/>
      </c>
      <c r="AN956">
        <f>IF($D956="","",IF($X956="Yes",1,0))</f>
        <v/>
      </c>
      <c r="AO956">
        <f>IF($AK956=1,IFERROR(IF(VALUE($D956)&lt;100000000,VALUE($D956),1000000000),IFERROR(IF(VALUE(MID($D956,2,20))&lt;100000000,VALUE(MID($D956,2,20)),1000000000),1000000000))+ROW()/100000,"")</f>
        <v/>
      </c>
    </row>
    <row r="957">
      <c r="F957" s="11" t="n"/>
      <c r="N957" s="7">
        <f>IF($D957="","",M957*V957/100)</f>
        <v/>
      </c>
      <c r="O957" s="7" t="n"/>
      <c r="U957" s="7" t="n"/>
      <c r="V957" s="7" t="n"/>
      <c r="Y957">
        <f>IF($D957="","",IF($AN957=1,0,IF($AM957=1,Settings!$C$6,Settings!$C$7))*100)</f>
        <v/>
      </c>
      <c r="Z957" s="7">
        <f>IF($D957="","",V957*Y957/100)</f>
        <v/>
      </c>
      <c r="AA957" s="7">
        <f>IF($D957="","",V957-Z957)</f>
        <v/>
      </c>
      <c r="AB957" s="7">
        <f>IF($D957="","",AA957-N957)</f>
        <v/>
      </c>
      <c r="AF957" s="7" t="n"/>
      <c r="AI957" s="11" t="n"/>
      <c r="AK957">
        <f>IF($D957="","",IF(COUNTIF($D$2:$D957,$D957)=1,1,0))</f>
        <v/>
      </c>
      <c r="AL957">
        <f>IF($AK957=1,SUMPRODUCT(--($AO$2:$AO$3001&lt;$AO957))+1,"")</f>
        <v/>
      </c>
      <c r="AM957">
        <f>IF($D957="","",IF(OR($R957=TRUE(),$R957="TRUE"),1,0))</f>
        <v/>
      </c>
      <c r="AN957">
        <f>IF($D957="","",IF($X957="Yes",1,0))</f>
        <v/>
      </c>
      <c r="AO957">
        <f>IF($AK957=1,IFERROR(IF(VALUE($D957)&lt;100000000,VALUE($D957),1000000000),IFERROR(IF(VALUE(MID($D957,2,20))&lt;100000000,VALUE(MID($D957,2,20)),1000000000),1000000000))+ROW()/100000,"")</f>
        <v/>
      </c>
    </row>
    <row r="958">
      <c r="F958" s="11" t="n"/>
      <c r="N958" s="7">
        <f>IF($D958="","",M958*V958/100)</f>
        <v/>
      </c>
      <c r="O958" s="7" t="n"/>
      <c r="U958" s="7" t="n"/>
      <c r="V958" s="7" t="n"/>
      <c r="Y958">
        <f>IF($D958="","",IF($AN958=1,0,IF($AM958=1,Settings!$C$6,Settings!$C$7))*100)</f>
        <v/>
      </c>
      <c r="Z958" s="7">
        <f>IF($D958="","",V958*Y958/100)</f>
        <v/>
      </c>
      <c r="AA958" s="7">
        <f>IF($D958="","",V958-Z958)</f>
        <v/>
      </c>
      <c r="AB958" s="7">
        <f>IF($D958="","",AA958-N958)</f>
        <v/>
      </c>
      <c r="AF958" s="7" t="n"/>
      <c r="AI958" s="11" t="n"/>
      <c r="AK958">
        <f>IF($D958="","",IF(COUNTIF($D$2:$D958,$D958)=1,1,0))</f>
        <v/>
      </c>
      <c r="AL958">
        <f>IF($AK958=1,SUMPRODUCT(--($AO$2:$AO$3001&lt;$AO958))+1,"")</f>
        <v/>
      </c>
      <c r="AM958">
        <f>IF($D958="","",IF(OR($R958=TRUE(),$R958="TRUE"),1,0))</f>
        <v/>
      </c>
      <c r="AN958">
        <f>IF($D958="","",IF($X958="Yes",1,0))</f>
        <v/>
      </c>
      <c r="AO958">
        <f>IF($AK958=1,IFERROR(IF(VALUE($D958)&lt;100000000,VALUE($D958),1000000000),IFERROR(IF(VALUE(MID($D958,2,20))&lt;100000000,VALUE(MID($D958,2,20)),1000000000),1000000000))+ROW()/100000,"")</f>
        <v/>
      </c>
    </row>
    <row r="959">
      <c r="F959" s="11" t="n"/>
      <c r="N959" s="7">
        <f>IF($D959="","",M959*V959/100)</f>
        <v/>
      </c>
      <c r="O959" s="7" t="n"/>
      <c r="U959" s="7" t="n"/>
      <c r="V959" s="7" t="n"/>
      <c r="Y959">
        <f>IF($D959="","",IF($AN959=1,0,IF($AM959=1,Settings!$C$6,Settings!$C$7))*100)</f>
        <v/>
      </c>
      <c r="Z959" s="7">
        <f>IF($D959="","",V959*Y959/100)</f>
        <v/>
      </c>
      <c r="AA959" s="7">
        <f>IF($D959="","",V959-Z959)</f>
        <v/>
      </c>
      <c r="AB959" s="7">
        <f>IF($D959="","",AA959-N959)</f>
        <v/>
      </c>
      <c r="AF959" s="7" t="n"/>
      <c r="AI959" s="11" t="n"/>
      <c r="AK959">
        <f>IF($D959="","",IF(COUNTIF($D$2:$D959,$D959)=1,1,0))</f>
        <v/>
      </c>
      <c r="AL959">
        <f>IF($AK959=1,SUMPRODUCT(--($AO$2:$AO$3001&lt;$AO959))+1,"")</f>
        <v/>
      </c>
      <c r="AM959">
        <f>IF($D959="","",IF(OR($R959=TRUE(),$R959="TRUE"),1,0))</f>
        <v/>
      </c>
      <c r="AN959">
        <f>IF($D959="","",IF($X959="Yes",1,0))</f>
        <v/>
      </c>
      <c r="AO959">
        <f>IF($AK959=1,IFERROR(IF(VALUE($D959)&lt;100000000,VALUE($D959),1000000000),IFERROR(IF(VALUE(MID($D959,2,20))&lt;100000000,VALUE(MID($D959,2,20)),1000000000),1000000000))+ROW()/100000,"")</f>
        <v/>
      </c>
    </row>
    <row r="960">
      <c r="F960" s="11" t="n"/>
      <c r="N960" s="7">
        <f>IF($D960="","",M960*V960/100)</f>
        <v/>
      </c>
      <c r="O960" s="7" t="n"/>
      <c r="U960" s="7" t="n"/>
      <c r="V960" s="7" t="n"/>
      <c r="Y960">
        <f>IF($D960="","",IF($AN960=1,0,IF($AM960=1,Settings!$C$6,Settings!$C$7))*100)</f>
        <v/>
      </c>
      <c r="Z960" s="7">
        <f>IF($D960="","",V960*Y960/100)</f>
        <v/>
      </c>
      <c r="AA960" s="7">
        <f>IF($D960="","",V960-Z960)</f>
        <v/>
      </c>
      <c r="AB960" s="7">
        <f>IF($D960="","",AA960-N960)</f>
        <v/>
      </c>
      <c r="AF960" s="7" t="n"/>
      <c r="AI960" s="11" t="n"/>
      <c r="AK960">
        <f>IF($D960="","",IF(COUNTIF($D$2:$D960,$D960)=1,1,0))</f>
        <v/>
      </c>
      <c r="AL960">
        <f>IF($AK960=1,SUMPRODUCT(--($AO$2:$AO$3001&lt;$AO960))+1,"")</f>
        <v/>
      </c>
      <c r="AM960">
        <f>IF($D960="","",IF(OR($R960=TRUE(),$R960="TRUE"),1,0))</f>
        <v/>
      </c>
      <c r="AN960">
        <f>IF($D960="","",IF($X960="Yes",1,0))</f>
        <v/>
      </c>
      <c r="AO960">
        <f>IF($AK960=1,IFERROR(IF(VALUE($D960)&lt;100000000,VALUE($D960),1000000000),IFERROR(IF(VALUE(MID($D960,2,20))&lt;100000000,VALUE(MID($D960,2,20)),1000000000),1000000000))+ROW()/100000,"")</f>
        <v/>
      </c>
    </row>
    <row r="961">
      <c r="F961" s="11" t="n"/>
      <c r="N961" s="7">
        <f>IF($D961="","",M961*V961/100)</f>
        <v/>
      </c>
      <c r="O961" s="7" t="n"/>
      <c r="U961" s="7" t="n"/>
      <c r="V961" s="7" t="n"/>
      <c r="Y961">
        <f>IF($D961="","",IF($AN961=1,0,IF($AM961=1,Settings!$C$6,Settings!$C$7))*100)</f>
        <v/>
      </c>
      <c r="Z961" s="7">
        <f>IF($D961="","",V961*Y961/100)</f>
        <v/>
      </c>
      <c r="AA961" s="7">
        <f>IF($D961="","",V961-Z961)</f>
        <v/>
      </c>
      <c r="AB961" s="7">
        <f>IF($D961="","",AA961-N961)</f>
        <v/>
      </c>
      <c r="AF961" s="7" t="n"/>
      <c r="AI961" s="11" t="n"/>
      <c r="AK961">
        <f>IF($D961="","",IF(COUNTIF($D$2:$D961,$D961)=1,1,0))</f>
        <v/>
      </c>
      <c r="AL961">
        <f>IF($AK961=1,SUMPRODUCT(--($AO$2:$AO$3001&lt;$AO961))+1,"")</f>
        <v/>
      </c>
      <c r="AM961">
        <f>IF($D961="","",IF(OR($R961=TRUE(),$R961="TRUE"),1,0))</f>
        <v/>
      </c>
      <c r="AN961">
        <f>IF($D961="","",IF($X961="Yes",1,0))</f>
        <v/>
      </c>
      <c r="AO961">
        <f>IF($AK961=1,IFERROR(IF(VALUE($D961)&lt;100000000,VALUE($D961),1000000000),IFERROR(IF(VALUE(MID($D961,2,20))&lt;100000000,VALUE(MID($D961,2,20)),1000000000),1000000000))+ROW()/100000,"")</f>
        <v/>
      </c>
    </row>
    <row r="962">
      <c r="F962" s="11" t="n"/>
      <c r="N962" s="7">
        <f>IF($D962="","",M962*V962/100)</f>
        <v/>
      </c>
      <c r="O962" s="7" t="n"/>
      <c r="U962" s="7" t="n"/>
      <c r="V962" s="7" t="n"/>
      <c r="Y962">
        <f>IF($D962="","",IF($AN962=1,0,IF($AM962=1,Settings!$C$6,Settings!$C$7))*100)</f>
        <v/>
      </c>
      <c r="Z962" s="7">
        <f>IF($D962="","",V962*Y962/100)</f>
        <v/>
      </c>
      <c r="AA962" s="7">
        <f>IF($D962="","",V962-Z962)</f>
        <v/>
      </c>
      <c r="AB962" s="7">
        <f>IF($D962="","",AA962-N962)</f>
        <v/>
      </c>
      <c r="AF962" s="7" t="n"/>
      <c r="AI962" s="11" t="n"/>
      <c r="AK962">
        <f>IF($D962="","",IF(COUNTIF($D$2:$D962,$D962)=1,1,0))</f>
        <v/>
      </c>
      <c r="AL962">
        <f>IF($AK962=1,SUMPRODUCT(--($AO$2:$AO$3001&lt;$AO962))+1,"")</f>
        <v/>
      </c>
      <c r="AM962">
        <f>IF($D962="","",IF(OR($R962=TRUE(),$R962="TRUE"),1,0))</f>
        <v/>
      </c>
      <c r="AN962">
        <f>IF($D962="","",IF($X962="Yes",1,0))</f>
        <v/>
      </c>
      <c r="AO962">
        <f>IF($AK962=1,IFERROR(IF(VALUE($D962)&lt;100000000,VALUE($D962),1000000000),IFERROR(IF(VALUE(MID($D962,2,20))&lt;100000000,VALUE(MID($D962,2,20)),1000000000),1000000000))+ROW()/100000,"")</f>
        <v/>
      </c>
    </row>
    <row r="963">
      <c r="F963" s="11" t="n"/>
      <c r="N963" s="7">
        <f>IF($D963="","",M963*V963/100)</f>
        <v/>
      </c>
      <c r="O963" s="7" t="n"/>
      <c r="U963" s="7" t="n"/>
      <c r="V963" s="7" t="n"/>
      <c r="Y963">
        <f>IF($D963="","",IF($AN963=1,0,IF($AM963=1,Settings!$C$6,Settings!$C$7))*100)</f>
        <v/>
      </c>
      <c r="Z963" s="7">
        <f>IF($D963="","",V963*Y963/100)</f>
        <v/>
      </c>
      <c r="AA963" s="7">
        <f>IF($D963="","",V963-Z963)</f>
        <v/>
      </c>
      <c r="AB963" s="7">
        <f>IF($D963="","",AA963-N963)</f>
        <v/>
      </c>
      <c r="AF963" s="7" t="n"/>
      <c r="AI963" s="11" t="n"/>
      <c r="AK963">
        <f>IF($D963="","",IF(COUNTIF($D$2:$D963,$D963)=1,1,0))</f>
        <v/>
      </c>
      <c r="AL963">
        <f>IF($AK963=1,SUMPRODUCT(--($AO$2:$AO$3001&lt;$AO963))+1,"")</f>
        <v/>
      </c>
      <c r="AM963">
        <f>IF($D963="","",IF(OR($R963=TRUE(),$R963="TRUE"),1,0))</f>
        <v/>
      </c>
      <c r="AN963">
        <f>IF($D963="","",IF($X963="Yes",1,0))</f>
        <v/>
      </c>
      <c r="AO963">
        <f>IF($AK963=1,IFERROR(IF(VALUE($D963)&lt;100000000,VALUE($D963),1000000000),IFERROR(IF(VALUE(MID($D963,2,20))&lt;100000000,VALUE(MID($D963,2,20)),1000000000),1000000000))+ROW()/100000,"")</f>
        <v/>
      </c>
    </row>
    <row r="964">
      <c r="F964" s="11" t="n"/>
      <c r="N964" s="7">
        <f>IF($D964="","",M964*V964/100)</f>
        <v/>
      </c>
      <c r="O964" s="7" t="n"/>
      <c r="U964" s="7" t="n"/>
      <c r="V964" s="7" t="n"/>
      <c r="Y964">
        <f>IF($D964="","",IF($AN964=1,0,IF($AM964=1,Settings!$C$6,Settings!$C$7))*100)</f>
        <v/>
      </c>
      <c r="Z964" s="7">
        <f>IF($D964="","",V964*Y964/100)</f>
        <v/>
      </c>
      <c r="AA964" s="7">
        <f>IF($D964="","",V964-Z964)</f>
        <v/>
      </c>
      <c r="AB964" s="7">
        <f>IF($D964="","",AA964-N964)</f>
        <v/>
      </c>
      <c r="AF964" s="7" t="n"/>
      <c r="AI964" s="11" t="n"/>
      <c r="AK964">
        <f>IF($D964="","",IF(COUNTIF($D$2:$D964,$D964)=1,1,0))</f>
        <v/>
      </c>
      <c r="AL964">
        <f>IF($AK964=1,SUMPRODUCT(--($AO$2:$AO$3001&lt;$AO964))+1,"")</f>
        <v/>
      </c>
      <c r="AM964">
        <f>IF($D964="","",IF(OR($R964=TRUE(),$R964="TRUE"),1,0))</f>
        <v/>
      </c>
      <c r="AN964">
        <f>IF($D964="","",IF($X964="Yes",1,0))</f>
        <v/>
      </c>
      <c r="AO964">
        <f>IF($AK964=1,IFERROR(IF(VALUE($D964)&lt;100000000,VALUE($D964),1000000000),IFERROR(IF(VALUE(MID($D964,2,20))&lt;100000000,VALUE(MID($D964,2,20)),1000000000),1000000000))+ROW()/100000,"")</f>
        <v/>
      </c>
    </row>
    <row r="965">
      <c r="F965" s="11" t="n"/>
      <c r="N965" s="7">
        <f>IF($D965="","",M965*V965/100)</f>
        <v/>
      </c>
      <c r="O965" s="7" t="n"/>
      <c r="U965" s="7" t="n"/>
      <c r="V965" s="7" t="n"/>
      <c r="Y965">
        <f>IF($D965="","",IF($AN965=1,0,IF($AM965=1,Settings!$C$6,Settings!$C$7))*100)</f>
        <v/>
      </c>
      <c r="Z965" s="7">
        <f>IF($D965="","",V965*Y965/100)</f>
        <v/>
      </c>
      <c r="AA965" s="7">
        <f>IF($D965="","",V965-Z965)</f>
        <v/>
      </c>
      <c r="AB965" s="7">
        <f>IF($D965="","",AA965-N965)</f>
        <v/>
      </c>
      <c r="AF965" s="7" t="n"/>
      <c r="AI965" s="11" t="n"/>
      <c r="AK965">
        <f>IF($D965="","",IF(COUNTIF($D$2:$D965,$D965)=1,1,0))</f>
        <v/>
      </c>
      <c r="AL965">
        <f>IF($AK965=1,SUMPRODUCT(--($AO$2:$AO$3001&lt;$AO965))+1,"")</f>
        <v/>
      </c>
      <c r="AM965">
        <f>IF($D965="","",IF(OR($R965=TRUE(),$R965="TRUE"),1,0))</f>
        <v/>
      </c>
      <c r="AN965">
        <f>IF($D965="","",IF($X965="Yes",1,0))</f>
        <v/>
      </c>
      <c r="AO965">
        <f>IF($AK965=1,IFERROR(IF(VALUE($D965)&lt;100000000,VALUE($D965),1000000000),IFERROR(IF(VALUE(MID($D965,2,20))&lt;100000000,VALUE(MID($D965,2,20)),1000000000),1000000000))+ROW()/100000,"")</f>
        <v/>
      </c>
    </row>
    <row r="966">
      <c r="F966" s="11" t="n"/>
      <c r="N966" s="7">
        <f>IF($D966="","",M966*V966/100)</f>
        <v/>
      </c>
      <c r="O966" s="7" t="n"/>
      <c r="U966" s="7" t="n"/>
      <c r="V966" s="7" t="n"/>
      <c r="Y966">
        <f>IF($D966="","",IF($AN966=1,0,IF($AM966=1,Settings!$C$6,Settings!$C$7))*100)</f>
        <v/>
      </c>
      <c r="Z966" s="7">
        <f>IF($D966="","",V966*Y966/100)</f>
        <v/>
      </c>
      <c r="AA966" s="7">
        <f>IF($D966="","",V966-Z966)</f>
        <v/>
      </c>
      <c r="AB966" s="7">
        <f>IF($D966="","",AA966-N966)</f>
        <v/>
      </c>
      <c r="AF966" s="7" t="n"/>
      <c r="AI966" s="11" t="n"/>
      <c r="AK966">
        <f>IF($D966="","",IF(COUNTIF($D$2:$D966,$D966)=1,1,0))</f>
        <v/>
      </c>
      <c r="AL966">
        <f>IF($AK966=1,SUMPRODUCT(--($AO$2:$AO$3001&lt;$AO966))+1,"")</f>
        <v/>
      </c>
      <c r="AM966">
        <f>IF($D966="","",IF(OR($R966=TRUE(),$R966="TRUE"),1,0))</f>
        <v/>
      </c>
      <c r="AN966">
        <f>IF($D966="","",IF($X966="Yes",1,0))</f>
        <v/>
      </c>
      <c r="AO966">
        <f>IF($AK966=1,IFERROR(IF(VALUE($D966)&lt;100000000,VALUE($D966),1000000000),IFERROR(IF(VALUE(MID($D966,2,20))&lt;100000000,VALUE(MID($D966,2,20)),1000000000),1000000000))+ROW()/100000,"")</f>
        <v/>
      </c>
    </row>
    <row r="967">
      <c r="F967" s="11" t="n"/>
      <c r="N967" s="7">
        <f>IF($D967="","",M967*V967/100)</f>
        <v/>
      </c>
      <c r="O967" s="7" t="n"/>
      <c r="U967" s="7" t="n"/>
      <c r="V967" s="7" t="n"/>
      <c r="Y967">
        <f>IF($D967="","",IF($AN967=1,0,IF($AM967=1,Settings!$C$6,Settings!$C$7))*100)</f>
        <v/>
      </c>
      <c r="Z967" s="7">
        <f>IF($D967="","",V967*Y967/100)</f>
        <v/>
      </c>
      <c r="AA967" s="7">
        <f>IF($D967="","",V967-Z967)</f>
        <v/>
      </c>
      <c r="AB967" s="7">
        <f>IF($D967="","",AA967-N967)</f>
        <v/>
      </c>
      <c r="AF967" s="7" t="n"/>
      <c r="AI967" s="11" t="n"/>
      <c r="AK967">
        <f>IF($D967="","",IF(COUNTIF($D$2:$D967,$D967)=1,1,0))</f>
        <v/>
      </c>
      <c r="AL967">
        <f>IF($AK967=1,SUMPRODUCT(--($AO$2:$AO$3001&lt;$AO967))+1,"")</f>
        <v/>
      </c>
      <c r="AM967">
        <f>IF($D967="","",IF(OR($R967=TRUE(),$R967="TRUE"),1,0))</f>
        <v/>
      </c>
      <c r="AN967">
        <f>IF($D967="","",IF($X967="Yes",1,0))</f>
        <v/>
      </c>
      <c r="AO967">
        <f>IF($AK967=1,IFERROR(IF(VALUE($D967)&lt;100000000,VALUE($D967),1000000000),IFERROR(IF(VALUE(MID($D967,2,20))&lt;100000000,VALUE(MID($D967,2,20)),1000000000),1000000000))+ROW()/100000,"")</f>
        <v/>
      </c>
    </row>
    <row r="968">
      <c r="F968" s="11" t="n"/>
      <c r="N968" s="7">
        <f>IF($D968="","",M968*V968/100)</f>
        <v/>
      </c>
      <c r="O968" s="7" t="n"/>
      <c r="U968" s="7" t="n"/>
      <c r="V968" s="7" t="n"/>
      <c r="Y968">
        <f>IF($D968="","",IF($AN968=1,0,IF($AM968=1,Settings!$C$6,Settings!$C$7))*100)</f>
        <v/>
      </c>
      <c r="Z968" s="7">
        <f>IF($D968="","",V968*Y968/100)</f>
        <v/>
      </c>
      <c r="AA968" s="7">
        <f>IF($D968="","",V968-Z968)</f>
        <v/>
      </c>
      <c r="AB968" s="7">
        <f>IF($D968="","",AA968-N968)</f>
        <v/>
      </c>
      <c r="AF968" s="7" t="n"/>
      <c r="AI968" s="11" t="n"/>
      <c r="AK968">
        <f>IF($D968="","",IF(COUNTIF($D$2:$D968,$D968)=1,1,0))</f>
        <v/>
      </c>
      <c r="AL968">
        <f>IF($AK968=1,SUMPRODUCT(--($AO$2:$AO$3001&lt;$AO968))+1,"")</f>
        <v/>
      </c>
      <c r="AM968">
        <f>IF($D968="","",IF(OR($R968=TRUE(),$R968="TRUE"),1,0))</f>
        <v/>
      </c>
      <c r="AN968">
        <f>IF($D968="","",IF($X968="Yes",1,0))</f>
        <v/>
      </c>
      <c r="AO968">
        <f>IF($AK968=1,IFERROR(IF(VALUE($D968)&lt;100000000,VALUE($D968),1000000000),IFERROR(IF(VALUE(MID($D968,2,20))&lt;100000000,VALUE(MID($D968,2,20)),1000000000),1000000000))+ROW()/100000,"")</f>
        <v/>
      </c>
    </row>
    <row r="969">
      <c r="F969" s="11" t="n"/>
      <c r="N969" s="7">
        <f>IF($D969="","",M969*V969/100)</f>
        <v/>
      </c>
      <c r="O969" s="7" t="n"/>
      <c r="U969" s="7" t="n"/>
      <c r="V969" s="7" t="n"/>
      <c r="Y969">
        <f>IF($D969="","",IF($AN969=1,0,IF($AM969=1,Settings!$C$6,Settings!$C$7))*100)</f>
        <v/>
      </c>
      <c r="Z969" s="7">
        <f>IF($D969="","",V969*Y969/100)</f>
        <v/>
      </c>
      <c r="AA969" s="7">
        <f>IF($D969="","",V969-Z969)</f>
        <v/>
      </c>
      <c r="AB969" s="7">
        <f>IF($D969="","",AA969-N969)</f>
        <v/>
      </c>
      <c r="AF969" s="7" t="n"/>
      <c r="AI969" s="11" t="n"/>
      <c r="AK969">
        <f>IF($D969="","",IF(COUNTIF($D$2:$D969,$D969)=1,1,0))</f>
        <v/>
      </c>
      <c r="AL969">
        <f>IF($AK969=1,SUMPRODUCT(--($AO$2:$AO$3001&lt;$AO969))+1,"")</f>
        <v/>
      </c>
      <c r="AM969">
        <f>IF($D969="","",IF(OR($R969=TRUE(),$R969="TRUE"),1,0))</f>
        <v/>
      </c>
      <c r="AN969">
        <f>IF($D969="","",IF($X969="Yes",1,0))</f>
        <v/>
      </c>
      <c r="AO969">
        <f>IF($AK969=1,IFERROR(IF(VALUE($D969)&lt;100000000,VALUE($D969),1000000000),IFERROR(IF(VALUE(MID($D969,2,20))&lt;100000000,VALUE(MID($D969,2,20)),1000000000),1000000000))+ROW()/100000,"")</f>
        <v/>
      </c>
    </row>
    <row r="970">
      <c r="F970" s="11" t="n"/>
      <c r="N970" s="7">
        <f>IF($D970="","",M970*V970/100)</f>
        <v/>
      </c>
      <c r="O970" s="7" t="n"/>
      <c r="U970" s="7" t="n"/>
      <c r="V970" s="7" t="n"/>
      <c r="Y970">
        <f>IF($D970="","",IF($AN970=1,0,IF($AM970=1,Settings!$C$6,Settings!$C$7))*100)</f>
        <v/>
      </c>
      <c r="Z970" s="7">
        <f>IF($D970="","",V970*Y970/100)</f>
        <v/>
      </c>
      <c r="AA970" s="7">
        <f>IF($D970="","",V970-Z970)</f>
        <v/>
      </c>
      <c r="AB970" s="7">
        <f>IF($D970="","",AA970-N970)</f>
        <v/>
      </c>
      <c r="AF970" s="7" t="n"/>
      <c r="AI970" s="11" t="n"/>
      <c r="AK970">
        <f>IF($D970="","",IF(COUNTIF($D$2:$D970,$D970)=1,1,0))</f>
        <v/>
      </c>
      <c r="AL970">
        <f>IF($AK970=1,SUMPRODUCT(--($AO$2:$AO$3001&lt;$AO970))+1,"")</f>
        <v/>
      </c>
      <c r="AM970">
        <f>IF($D970="","",IF(OR($R970=TRUE(),$R970="TRUE"),1,0))</f>
        <v/>
      </c>
      <c r="AN970">
        <f>IF($D970="","",IF($X970="Yes",1,0))</f>
        <v/>
      </c>
      <c r="AO970">
        <f>IF($AK970=1,IFERROR(IF(VALUE($D970)&lt;100000000,VALUE($D970),1000000000),IFERROR(IF(VALUE(MID($D970,2,20))&lt;100000000,VALUE(MID($D970,2,20)),1000000000),1000000000))+ROW()/100000,"")</f>
        <v/>
      </c>
    </row>
    <row r="971">
      <c r="F971" s="11" t="n"/>
      <c r="N971" s="7">
        <f>IF($D971="","",M971*V971/100)</f>
        <v/>
      </c>
      <c r="O971" s="7" t="n"/>
      <c r="U971" s="7" t="n"/>
      <c r="V971" s="7" t="n"/>
      <c r="Y971">
        <f>IF($D971="","",IF($AN971=1,0,IF($AM971=1,Settings!$C$6,Settings!$C$7))*100)</f>
        <v/>
      </c>
      <c r="Z971" s="7">
        <f>IF($D971="","",V971*Y971/100)</f>
        <v/>
      </c>
      <c r="AA971" s="7">
        <f>IF($D971="","",V971-Z971)</f>
        <v/>
      </c>
      <c r="AB971" s="7">
        <f>IF($D971="","",AA971-N971)</f>
        <v/>
      </c>
      <c r="AF971" s="7" t="n"/>
      <c r="AI971" s="11" t="n"/>
      <c r="AK971">
        <f>IF($D971="","",IF(COUNTIF($D$2:$D971,$D971)=1,1,0))</f>
        <v/>
      </c>
      <c r="AL971">
        <f>IF($AK971=1,SUMPRODUCT(--($AO$2:$AO$3001&lt;$AO971))+1,"")</f>
        <v/>
      </c>
      <c r="AM971">
        <f>IF($D971="","",IF(OR($R971=TRUE(),$R971="TRUE"),1,0))</f>
        <v/>
      </c>
      <c r="AN971">
        <f>IF($D971="","",IF($X971="Yes",1,0))</f>
        <v/>
      </c>
      <c r="AO971">
        <f>IF($AK971=1,IFERROR(IF(VALUE($D971)&lt;100000000,VALUE($D971),1000000000),IFERROR(IF(VALUE(MID($D971,2,20))&lt;100000000,VALUE(MID($D971,2,20)),1000000000),1000000000))+ROW()/100000,"")</f>
        <v/>
      </c>
    </row>
    <row r="972">
      <c r="F972" s="11" t="n"/>
      <c r="N972" s="7">
        <f>IF($D972="","",M972*V972/100)</f>
        <v/>
      </c>
      <c r="O972" s="7" t="n"/>
      <c r="U972" s="7" t="n"/>
      <c r="V972" s="7" t="n"/>
      <c r="Y972">
        <f>IF($D972="","",IF($AN972=1,0,IF($AM972=1,Settings!$C$6,Settings!$C$7))*100)</f>
        <v/>
      </c>
      <c r="Z972" s="7">
        <f>IF($D972="","",V972*Y972/100)</f>
        <v/>
      </c>
      <c r="AA972" s="7">
        <f>IF($D972="","",V972-Z972)</f>
        <v/>
      </c>
      <c r="AB972" s="7">
        <f>IF($D972="","",AA972-N972)</f>
        <v/>
      </c>
      <c r="AF972" s="7" t="n"/>
      <c r="AI972" s="11" t="n"/>
      <c r="AK972">
        <f>IF($D972="","",IF(COUNTIF($D$2:$D972,$D972)=1,1,0))</f>
        <v/>
      </c>
      <c r="AL972">
        <f>IF($AK972=1,SUMPRODUCT(--($AO$2:$AO$3001&lt;$AO972))+1,"")</f>
        <v/>
      </c>
      <c r="AM972">
        <f>IF($D972="","",IF(OR($R972=TRUE(),$R972="TRUE"),1,0))</f>
        <v/>
      </c>
      <c r="AN972">
        <f>IF($D972="","",IF($X972="Yes",1,0))</f>
        <v/>
      </c>
      <c r="AO972">
        <f>IF($AK972=1,IFERROR(IF(VALUE($D972)&lt;100000000,VALUE($D972),1000000000),IFERROR(IF(VALUE(MID($D972,2,20))&lt;100000000,VALUE(MID($D972,2,20)),1000000000),1000000000))+ROW()/100000,"")</f>
        <v/>
      </c>
    </row>
    <row r="973">
      <c r="F973" s="11" t="n"/>
      <c r="N973" s="7">
        <f>IF($D973="","",M973*V973/100)</f>
        <v/>
      </c>
      <c r="O973" s="7" t="n"/>
      <c r="U973" s="7" t="n"/>
      <c r="V973" s="7" t="n"/>
      <c r="Y973">
        <f>IF($D973="","",IF($AN973=1,0,IF($AM973=1,Settings!$C$6,Settings!$C$7))*100)</f>
        <v/>
      </c>
      <c r="Z973" s="7">
        <f>IF($D973="","",V973*Y973/100)</f>
        <v/>
      </c>
      <c r="AA973" s="7">
        <f>IF($D973="","",V973-Z973)</f>
        <v/>
      </c>
      <c r="AB973" s="7">
        <f>IF($D973="","",AA973-N973)</f>
        <v/>
      </c>
      <c r="AF973" s="7" t="n"/>
      <c r="AI973" s="11" t="n"/>
      <c r="AK973">
        <f>IF($D973="","",IF(COUNTIF($D$2:$D973,$D973)=1,1,0))</f>
        <v/>
      </c>
      <c r="AL973">
        <f>IF($AK973=1,SUMPRODUCT(--($AO$2:$AO$3001&lt;$AO973))+1,"")</f>
        <v/>
      </c>
      <c r="AM973">
        <f>IF($D973="","",IF(OR($R973=TRUE(),$R973="TRUE"),1,0))</f>
        <v/>
      </c>
      <c r="AN973">
        <f>IF($D973="","",IF($X973="Yes",1,0))</f>
        <v/>
      </c>
      <c r="AO973">
        <f>IF($AK973=1,IFERROR(IF(VALUE($D973)&lt;100000000,VALUE($D973),1000000000),IFERROR(IF(VALUE(MID($D973,2,20))&lt;100000000,VALUE(MID($D973,2,20)),1000000000),1000000000))+ROW()/100000,"")</f>
        <v/>
      </c>
    </row>
    <row r="974">
      <c r="F974" s="11" t="n"/>
      <c r="N974" s="7">
        <f>IF($D974="","",M974*V974/100)</f>
        <v/>
      </c>
      <c r="O974" s="7" t="n"/>
      <c r="U974" s="7" t="n"/>
      <c r="V974" s="7" t="n"/>
      <c r="Y974">
        <f>IF($D974="","",IF($AN974=1,0,IF($AM974=1,Settings!$C$6,Settings!$C$7))*100)</f>
        <v/>
      </c>
      <c r="Z974" s="7">
        <f>IF($D974="","",V974*Y974/100)</f>
        <v/>
      </c>
      <c r="AA974" s="7">
        <f>IF($D974="","",V974-Z974)</f>
        <v/>
      </c>
      <c r="AB974" s="7">
        <f>IF($D974="","",AA974-N974)</f>
        <v/>
      </c>
      <c r="AF974" s="7" t="n"/>
      <c r="AI974" s="11" t="n"/>
      <c r="AK974">
        <f>IF($D974="","",IF(COUNTIF($D$2:$D974,$D974)=1,1,0))</f>
        <v/>
      </c>
      <c r="AL974">
        <f>IF($AK974=1,SUMPRODUCT(--($AO$2:$AO$3001&lt;$AO974))+1,"")</f>
        <v/>
      </c>
      <c r="AM974">
        <f>IF($D974="","",IF(OR($R974=TRUE(),$R974="TRUE"),1,0))</f>
        <v/>
      </c>
      <c r="AN974">
        <f>IF($D974="","",IF($X974="Yes",1,0))</f>
        <v/>
      </c>
      <c r="AO974">
        <f>IF($AK974=1,IFERROR(IF(VALUE($D974)&lt;100000000,VALUE($D974),1000000000),IFERROR(IF(VALUE(MID($D974,2,20))&lt;100000000,VALUE(MID($D974,2,20)),1000000000),1000000000))+ROW()/100000,"")</f>
        <v/>
      </c>
    </row>
    <row r="975">
      <c r="F975" s="11" t="n"/>
      <c r="N975" s="7">
        <f>IF($D975="","",M975*V975/100)</f>
        <v/>
      </c>
      <c r="O975" s="7" t="n"/>
      <c r="U975" s="7" t="n"/>
      <c r="V975" s="7" t="n"/>
      <c r="Y975">
        <f>IF($D975="","",IF($AN975=1,0,IF($AM975=1,Settings!$C$6,Settings!$C$7))*100)</f>
        <v/>
      </c>
      <c r="Z975" s="7">
        <f>IF($D975="","",V975*Y975/100)</f>
        <v/>
      </c>
      <c r="AA975" s="7">
        <f>IF($D975="","",V975-Z975)</f>
        <v/>
      </c>
      <c r="AB975" s="7">
        <f>IF($D975="","",AA975-N975)</f>
        <v/>
      </c>
      <c r="AF975" s="7" t="n"/>
      <c r="AI975" s="11" t="n"/>
      <c r="AK975">
        <f>IF($D975="","",IF(COUNTIF($D$2:$D975,$D975)=1,1,0))</f>
        <v/>
      </c>
      <c r="AL975">
        <f>IF($AK975=1,SUMPRODUCT(--($AO$2:$AO$3001&lt;$AO975))+1,"")</f>
        <v/>
      </c>
      <c r="AM975">
        <f>IF($D975="","",IF(OR($R975=TRUE(),$R975="TRUE"),1,0))</f>
        <v/>
      </c>
      <c r="AN975">
        <f>IF($D975="","",IF($X975="Yes",1,0))</f>
        <v/>
      </c>
      <c r="AO975">
        <f>IF($AK975=1,IFERROR(IF(VALUE($D975)&lt;100000000,VALUE($D975),1000000000),IFERROR(IF(VALUE(MID($D975,2,20))&lt;100000000,VALUE(MID($D975,2,20)),1000000000),1000000000))+ROW()/100000,"")</f>
        <v/>
      </c>
    </row>
    <row r="976">
      <c r="F976" s="11" t="n"/>
      <c r="N976" s="7">
        <f>IF($D976="","",M976*V976/100)</f>
        <v/>
      </c>
      <c r="O976" s="7" t="n"/>
      <c r="U976" s="7" t="n"/>
      <c r="V976" s="7" t="n"/>
      <c r="Y976">
        <f>IF($D976="","",IF($AN976=1,0,IF($AM976=1,Settings!$C$6,Settings!$C$7))*100)</f>
        <v/>
      </c>
      <c r="Z976" s="7">
        <f>IF($D976="","",V976*Y976/100)</f>
        <v/>
      </c>
      <c r="AA976" s="7">
        <f>IF($D976="","",V976-Z976)</f>
        <v/>
      </c>
      <c r="AB976" s="7">
        <f>IF($D976="","",AA976-N976)</f>
        <v/>
      </c>
      <c r="AF976" s="7" t="n"/>
      <c r="AI976" s="11" t="n"/>
      <c r="AK976">
        <f>IF($D976="","",IF(COUNTIF($D$2:$D976,$D976)=1,1,0))</f>
        <v/>
      </c>
      <c r="AL976">
        <f>IF($AK976=1,SUMPRODUCT(--($AO$2:$AO$3001&lt;$AO976))+1,"")</f>
        <v/>
      </c>
      <c r="AM976">
        <f>IF($D976="","",IF(OR($R976=TRUE(),$R976="TRUE"),1,0))</f>
        <v/>
      </c>
      <c r="AN976">
        <f>IF($D976="","",IF($X976="Yes",1,0))</f>
        <v/>
      </c>
      <c r="AO976">
        <f>IF($AK976=1,IFERROR(IF(VALUE($D976)&lt;100000000,VALUE($D976),1000000000),IFERROR(IF(VALUE(MID($D976,2,20))&lt;100000000,VALUE(MID($D976,2,20)),1000000000),1000000000))+ROW()/100000,"")</f>
        <v/>
      </c>
    </row>
    <row r="977">
      <c r="F977" s="11" t="n"/>
      <c r="N977" s="7">
        <f>IF($D977="","",M977*V977/100)</f>
        <v/>
      </c>
      <c r="O977" s="7" t="n"/>
      <c r="U977" s="7" t="n"/>
      <c r="V977" s="7" t="n"/>
      <c r="Y977">
        <f>IF($D977="","",IF($AN977=1,0,IF($AM977=1,Settings!$C$6,Settings!$C$7))*100)</f>
        <v/>
      </c>
      <c r="Z977" s="7">
        <f>IF($D977="","",V977*Y977/100)</f>
        <v/>
      </c>
      <c r="AA977" s="7">
        <f>IF($D977="","",V977-Z977)</f>
        <v/>
      </c>
      <c r="AB977" s="7">
        <f>IF($D977="","",AA977-N977)</f>
        <v/>
      </c>
      <c r="AF977" s="7" t="n"/>
      <c r="AI977" s="11" t="n"/>
      <c r="AK977">
        <f>IF($D977="","",IF(COUNTIF($D$2:$D977,$D977)=1,1,0))</f>
        <v/>
      </c>
      <c r="AL977">
        <f>IF($AK977=1,SUMPRODUCT(--($AO$2:$AO$3001&lt;$AO977))+1,"")</f>
        <v/>
      </c>
      <c r="AM977">
        <f>IF($D977="","",IF(OR($R977=TRUE(),$R977="TRUE"),1,0))</f>
        <v/>
      </c>
      <c r="AN977">
        <f>IF($D977="","",IF($X977="Yes",1,0))</f>
        <v/>
      </c>
      <c r="AO977">
        <f>IF($AK977=1,IFERROR(IF(VALUE($D977)&lt;100000000,VALUE($D977),1000000000),IFERROR(IF(VALUE(MID($D977,2,20))&lt;100000000,VALUE(MID($D977,2,20)),1000000000),1000000000))+ROW()/100000,"")</f>
        <v/>
      </c>
    </row>
    <row r="978">
      <c r="F978" s="11" t="n"/>
      <c r="N978" s="7">
        <f>IF($D978="","",M978*V978/100)</f>
        <v/>
      </c>
      <c r="O978" s="7" t="n"/>
      <c r="U978" s="7" t="n"/>
      <c r="V978" s="7" t="n"/>
      <c r="Y978">
        <f>IF($D978="","",IF($AN978=1,0,IF($AM978=1,Settings!$C$6,Settings!$C$7))*100)</f>
        <v/>
      </c>
      <c r="Z978" s="7">
        <f>IF($D978="","",V978*Y978/100)</f>
        <v/>
      </c>
      <c r="AA978" s="7">
        <f>IF($D978="","",V978-Z978)</f>
        <v/>
      </c>
      <c r="AB978" s="7">
        <f>IF($D978="","",AA978-N978)</f>
        <v/>
      </c>
      <c r="AF978" s="7" t="n"/>
      <c r="AI978" s="11" t="n"/>
      <c r="AK978">
        <f>IF($D978="","",IF(COUNTIF($D$2:$D978,$D978)=1,1,0))</f>
        <v/>
      </c>
      <c r="AL978">
        <f>IF($AK978=1,SUMPRODUCT(--($AO$2:$AO$3001&lt;$AO978))+1,"")</f>
        <v/>
      </c>
      <c r="AM978">
        <f>IF($D978="","",IF(OR($R978=TRUE(),$R978="TRUE"),1,0))</f>
        <v/>
      </c>
      <c r="AN978">
        <f>IF($D978="","",IF($X978="Yes",1,0))</f>
        <v/>
      </c>
      <c r="AO978">
        <f>IF($AK978=1,IFERROR(IF(VALUE($D978)&lt;100000000,VALUE($D978),1000000000),IFERROR(IF(VALUE(MID($D978,2,20))&lt;100000000,VALUE(MID($D978,2,20)),1000000000),1000000000))+ROW()/100000,"")</f>
        <v/>
      </c>
    </row>
    <row r="979">
      <c r="F979" s="11" t="n"/>
      <c r="N979" s="7">
        <f>IF($D979="","",M979*V979/100)</f>
        <v/>
      </c>
      <c r="O979" s="7" t="n"/>
      <c r="U979" s="7" t="n"/>
      <c r="V979" s="7" t="n"/>
      <c r="Y979">
        <f>IF($D979="","",IF($AN979=1,0,IF($AM979=1,Settings!$C$6,Settings!$C$7))*100)</f>
        <v/>
      </c>
      <c r="Z979" s="7">
        <f>IF($D979="","",V979*Y979/100)</f>
        <v/>
      </c>
      <c r="AA979" s="7">
        <f>IF($D979="","",V979-Z979)</f>
        <v/>
      </c>
      <c r="AB979" s="7">
        <f>IF($D979="","",AA979-N979)</f>
        <v/>
      </c>
      <c r="AF979" s="7" t="n"/>
      <c r="AI979" s="11" t="n"/>
      <c r="AK979">
        <f>IF($D979="","",IF(COUNTIF($D$2:$D979,$D979)=1,1,0))</f>
        <v/>
      </c>
      <c r="AL979">
        <f>IF($AK979=1,SUMPRODUCT(--($AO$2:$AO$3001&lt;$AO979))+1,"")</f>
        <v/>
      </c>
      <c r="AM979">
        <f>IF($D979="","",IF(OR($R979=TRUE(),$R979="TRUE"),1,0))</f>
        <v/>
      </c>
      <c r="AN979">
        <f>IF($D979="","",IF($X979="Yes",1,0))</f>
        <v/>
      </c>
      <c r="AO979">
        <f>IF($AK979=1,IFERROR(IF(VALUE($D979)&lt;100000000,VALUE($D979),1000000000),IFERROR(IF(VALUE(MID($D979,2,20))&lt;100000000,VALUE(MID($D979,2,20)),1000000000),1000000000))+ROW()/100000,"")</f>
        <v/>
      </c>
    </row>
    <row r="980">
      <c r="F980" s="11" t="n"/>
      <c r="N980" s="7">
        <f>IF($D980="","",M980*V980/100)</f>
        <v/>
      </c>
      <c r="O980" s="7" t="n"/>
      <c r="U980" s="7" t="n"/>
      <c r="V980" s="7" t="n"/>
      <c r="Y980">
        <f>IF($D980="","",IF($AN980=1,0,IF($AM980=1,Settings!$C$6,Settings!$C$7))*100)</f>
        <v/>
      </c>
      <c r="Z980" s="7">
        <f>IF($D980="","",V980*Y980/100)</f>
        <v/>
      </c>
      <c r="AA980" s="7">
        <f>IF($D980="","",V980-Z980)</f>
        <v/>
      </c>
      <c r="AB980" s="7">
        <f>IF($D980="","",AA980-N980)</f>
        <v/>
      </c>
      <c r="AF980" s="7" t="n"/>
      <c r="AI980" s="11" t="n"/>
      <c r="AK980">
        <f>IF($D980="","",IF(COUNTIF($D$2:$D980,$D980)=1,1,0))</f>
        <v/>
      </c>
      <c r="AL980">
        <f>IF($AK980=1,SUMPRODUCT(--($AO$2:$AO$3001&lt;$AO980))+1,"")</f>
        <v/>
      </c>
      <c r="AM980">
        <f>IF($D980="","",IF(OR($R980=TRUE(),$R980="TRUE"),1,0))</f>
        <v/>
      </c>
      <c r="AN980">
        <f>IF($D980="","",IF($X980="Yes",1,0))</f>
        <v/>
      </c>
      <c r="AO980">
        <f>IF($AK980=1,IFERROR(IF(VALUE($D980)&lt;100000000,VALUE($D980),1000000000),IFERROR(IF(VALUE(MID($D980,2,20))&lt;100000000,VALUE(MID($D980,2,20)),1000000000),1000000000))+ROW()/100000,"")</f>
        <v/>
      </c>
    </row>
    <row r="981">
      <c r="F981" s="11" t="n"/>
      <c r="N981" s="7">
        <f>IF($D981="","",M981*V981/100)</f>
        <v/>
      </c>
      <c r="O981" s="7" t="n"/>
      <c r="U981" s="7" t="n"/>
      <c r="V981" s="7" t="n"/>
      <c r="Y981">
        <f>IF($D981="","",IF($AN981=1,0,IF($AM981=1,Settings!$C$6,Settings!$C$7))*100)</f>
        <v/>
      </c>
      <c r="Z981" s="7">
        <f>IF($D981="","",V981*Y981/100)</f>
        <v/>
      </c>
      <c r="AA981" s="7">
        <f>IF($D981="","",V981-Z981)</f>
        <v/>
      </c>
      <c r="AB981" s="7">
        <f>IF($D981="","",AA981-N981)</f>
        <v/>
      </c>
      <c r="AF981" s="7" t="n"/>
      <c r="AI981" s="11" t="n"/>
      <c r="AK981">
        <f>IF($D981="","",IF(COUNTIF($D$2:$D981,$D981)=1,1,0))</f>
        <v/>
      </c>
      <c r="AL981">
        <f>IF($AK981=1,SUMPRODUCT(--($AO$2:$AO$3001&lt;$AO981))+1,"")</f>
        <v/>
      </c>
      <c r="AM981">
        <f>IF($D981="","",IF(OR($R981=TRUE(),$R981="TRUE"),1,0))</f>
        <v/>
      </c>
      <c r="AN981">
        <f>IF($D981="","",IF($X981="Yes",1,0))</f>
        <v/>
      </c>
      <c r="AO981">
        <f>IF($AK981=1,IFERROR(IF(VALUE($D981)&lt;100000000,VALUE($D981),1000000000),IFERROR(IF(VALUE(MID($D981,2,20))&lt;100000000,VALUE(MID($D981,2,20)),1000000000),1000000000))+ROW()/100000,"")</f>
        <v/>
      </c>
    </row>
    <row r="982">
      <c r="F982" s="11" t="n"/>
      <c r="N982" s="7">
        <f>IF($D982="","",M982*V982/100)</f>
        <v/>
      </c>
      <c r="O982" s="7" t="n"/>
      <c r="U982" s="7" t="n"/>
      <c r="V982" s="7" t="n"/>
      <c r="Y982">
        <f>IF($D982="","",IF($AN982=1,0,IF($AM982=1,Settings!$C$6,Settings!$C$7))*100)</f>
        <v/>
      </c>
      <c r="Z982" s="7">
        <f>IF($D982="","",V982*Y982/100)</f>
        <v/>
      </c>
      <c r="AA982" s="7">
        <f>IF($D982="","",V982-Z982)</f>
        <v/>
      </c>
      <c r="AB982" s="7">
        <f>IF($D982="","",AA982-N982)</f>
        <v/>
      </c>
      <c r="AF982" s="7" t="n"/>
      <c r="AI982" s="11" t="n"/>
      <c r="AK982">
        <f>IF($D982="","",IF(COUNTIF($D$2:$D982,$D982)=1,1,0))</f>
        <v/>
      </c>
      <c r="AL982">
        <f>IF($AK982=1,SUMPRODUCT(--($AO$2:$AO$3001&lt;$AO982))+1,"")</f>
        <v/>
      </c>
      <c r="AM982">
        <f>IF($D982="","",IF(OR($R982=TRUE(),$R982="TRUE"),1,0))</f>
        <v/>
      </c>
      <c r="AN982">
        <f>IF($D982="","",IF($X982="Yes",1,0))</f>
        <v/>
      </c>
      <c r="AO982">
        <f>IF($AK982=1,IFERROR(IF(VALUE($D982)&lt;100000000,VALUE($D982),1000000000),IFERROR(IF(VALUE(MID($D982,2,20))&lt;100000000,VALUE(MID($D982,2,20)),1000000000),1000000000))+ROW()/100000,"")</f>
        <v/>
      </c>
    </row>
    <row r="983">
      <c r="F983" s="11" t="n"/>
      <c r="N983" s="7">
        <f>IF($D983="","",M983*V983/100)</f>
        <v/>
      </c>
      <c r="O983" s="7" t="n"/>
      <c r="U983" s="7" t="n"/>
      <c r="V983" s="7" t="n"/>
      <c r="Y983">
        <f>IF($D983="","",IF($AN983=1,0,IF($AM983=1,Settings!$C$6,Settings!$C$7))*100)</f>
        <v/>
      </c>
      <c r="Z983" s="7">
        <f>IF($D983="","",V983*Y983/100)</f>
        <v/>
      </c>
      <c r="AA983" s="7">
        <f>IF($D983="","",V983-Z983)</f>
        <v/>
      </c>
      <c r="AB983" s="7">
        <f>IF($D983="","",AA983-N983)</f>
        <v/>
      </c>
      <c r="AF983" s="7" t="n"/>
      <c r="AI983" s="11" t="n"/>
      <c r="AK983">
        <f>IF($D983="","",IF(COUNTIF($D$2:$D983,$D983)=1,1,0))</f>
        <v/>
      </c>
      <c r="AL983">
        <f>IF($AK983=1,SUMPRODUCT(--($AO$2:$AO$3001&lt;$AO983))+1,"")</f>
        <v/>
      </c>
      <c r="AM983">
        <f>IF($D983="","",IF(OR($R983=TRUE(),$R983="TRUE"),1,0))</f>
        <v/>
      </c>
      <c r="AN983">
        <f>IF($D983="","",IF($X983="Yes",1,0))</f>
        <v/>
      </c>
      <c r="AO983">
        <f>IF($AK983=1,IFERROR(IF(VALUE($D983)&lt;100000000,VALUE($D983),1000000000),IFERROR(IF(VALUE(MID($D983,2,20))&lt;100000000,VALUE(MID($D983,2,20)),1000000000),1000000000))+ROW()/100000,"")</f>
        <v/>
      </c>
    </row>
    <row r="984">
      <c r="F984" s="11" t="n"/>
      <c r="N984" s="7">
        <f>IF($D984="","",M984*V984/100)</f>
        <v/>
      </c>
      <c r="O984" s="7" t="n"/>
      <c r="U984" s="7" t="n"/>
      <c r="V984" s="7" t="n"/>
      <c r="Y984">
        <f>IF($D984="","",IF($AN984=1,0,IF($AM984=1,Settings!$C$6,Settings!$C$7))*100)</f>
        <v/>
      </c>
      <c r="Z984" s="7">
        <f>IF($D984="","",V984*Y984/100)</f>
        <v/>
      </c>
      <c r="AA984" s="7">
        <f>IF($D984="","",V984-Z984)</f>
        <v/>
      </c>
      <c r="AB984" s="7">
        <f>IF($D984="","",AA984-N984)</f>
        <v/>
      </c>
      <c r="AF984" s="7" t="n"/>
      <c r="AI984" s="11" t="n"/>
      <c r="AK984">
        <f>IF($D984="","",IF(COUNTIF($D$2:$D984,$D984)=1,1,0))</f>
        <v/>
      </c>
      <c r="AL984">
        <f>IF($AK984=1,SUMPRODUCT(--($AO$2:$AO$3001&lt;$AO984))+1,"")</f>
        <v/>
      </c>
      <c r="AM984">
        <f>IF($D984="","",IF(OR($R984=TRUE(),$R984="TRUE"),1,0))</f>
        <v/>
      </c>
      <c r="AN984">
        <f>IF($D984="","",IF($X984="Yes",1,0))</f>
        <v/>
      </c>
      <c r="AO984">
        <f>IF($AK984=1,IFERROR(IF(VALUE($D984)&lt;100000000,VALUE($D984),1000000000),IFERROR(IF(VALUE(MID($D984,2,20))&lt;100000000,VALUE(MID($D984,2,20)),1000000000),1000000000))+ROW()/100000,"")</f>
        <v/>
      </c>
    </row>
    <row r="985">
      <c r="F985" s="11" t="n"/>
      <c r="N985" s="7">
        <f>IF($D985="","",M985*V985/100)</f>
        <v/>
      </c>
      <c r="O985" s="7" t="n"/>
      <c r="U985" s="7" t="n"/>
      <c r="V985" s="7" t="n"/>
      <c r="Y985">
        <f>IF($D985="","",IF($AN985=1,0,IF($AM985=1,Settings!$C$6,Settings!$C$7))*100)</f>
        <v/>
      </c>
      <c r="Z985" s="7">
        <f>IF($D985="","",V985*Y985/100)</f>
        <v/>
      </c>
      <c r="AA985" s="7">
        <f>IF($D985="","",V985-Z985)</f>
        <v/>
      </c>
      <c r="AB985" s="7">
        <f>IF($D985="","",AA985-N985)</f>
        <v/>
      </c>
      <c r="AF985" s="7" t="n"/>
      <c r="AI985" s="11" t="n"/>
      <c r="AK985">
        <f>IF($D985="","",IF(COUNTIF($D$2:$D985,$D985)=1,1,0))</f>
        <v/>
      </c>
      <c r="AL985">
        <f>IF($AK985=1,SUMPRODUCT(--($AO$2:$AO$3001&lt;$AO985))+1,"")</f>
        <v/>
      </c>
      <c r="AM985">
        <f>IF($D985="","",IF(OR($R985=TRUE(),$R985="TRUE"),1,0))</f>
        <v/>
      </c>
      <c r="AN985">
        <f>IF($D985="","",IF($X985="Yes",1,0))</f>
        <v/>
      </c>
      <c r="AO985">
        <f>IF($AK985=1,IFERROR(IF(VALUE($D985)&lt;100000000,VALUE($D985),1000000000),IFERROR(IF(VALUE(MID($D985,2,20))&lt;100000000,VALUE(MID($D985,2,20)),1000000000),1000000000))+ROW()/100000,"")</f>
        <v/>
      </c>
    </row>
    <row r="986">
      <c r="F986" s="11" t="n"/>
      <c r="N986" s="7">
        <f>IF($D986="","",M986*V986/100)</f>
        <v/>
      </c>
      <c r="O986" s="7" t="n"/>
      <c r="U986" s="7" t="n"/>
      <c r="V986" s="7" t="n"/>
      <c r="Y986">
        <f>IF($D986="","",IF($AN986=1,0,IF($AM986=1,Settings!$C$6,Settings!$C$7))*100)</f>
        <v/>
      </c>
      <c r="Z986" s="7">
        <f>IF($D986="","",V986*Y986/100)</f>
        <v/>
      </c>
      <c r="AA986" s="7">
        <f>IF($D986="","",V986-Z986)</f>
        <v/>
      </c>
      <c r="AB986" s="7">
        <f>IF($D986="","",AA986-N986)</f>
        <v/>
      </c>
      <c r="AF986" s="7" t="n"/>
      <c r="AI986" s="11" t="n"/>
      <c r="AK986">
        <f>IF($D986="","",IF(COUNTIF($D$2:$D986,$D986)=1,1,0))</f>
        <v/>
      </c>
      <c r="AL986">
        <f>IF($AK986=1,SUMPRODUCT(--($AO$2:$AO$3001&lt;$AO986))+1,"")</f>
        <v/>
      </c>
      <c r="AM986">
        <f>IF($D986="","",IF(OR($R986=TRUE(),$R986="TRUE"),1,0))</f>
        <v/>
      </c>
      <c r="AN986">
        <f>IF($D986="","",IF($X986="Yes",1,0))</f>
        <v/>
      </c>
      <c r="AO986">
        <f>IF($AK986=1,IFERROR(IF(VALUE($D986)&lt;100000000,VALUE($D986),1000000000),IFERROR(IF(VALUE(MID($D986,2,20))&lt;100000000,VALUE(MID($D986,2,20)),1000000000),1000000000))+ROW()/100000,"")</f>
        <v/>
      </c>
    </row>
    <row r="987">
      <c r="F987" s="11" t="n"/>
      <c r="N987" s="7">
        <f>IF($D987="","",M987*V987/100)</f>
        <v/>
      </c>
      <c r="O987" s="7" t="n"/>
      <c r="U987" s="7" t="n"/>
      <c r="V987" s="7" t="n"/>
      <c r="Y987">
        <f>IF($D987="","",IF($AN987=1,0,IF($AM987=1,Settings!$C$6,Settings!$C$7))*100)</f>
        <v/>
      </c>
      <c r="Z987" s="7">
        <f>IF($D987="","",V987*Y987/100)</f>
        <v/>
      </c>
      <c r="AA987" s="7">
        <f>IF($D987="","",V987-Z987)</f>
        <v/>
      </c>
      <c r="AB987" s="7">
        <f>IF($D987="","",AA987-N987)</f>
        <v/>
      </c>
      <c r="AF987" s="7" t="n"/>
      <c r="AI987" s="11" t="n"/>
      <c r="AK987">
        <f>IF($D987="","",IF(COUNTIF($D$2:$D987,$D987)=1,1,0))</f>
        <v/>
      </c>
      <c r="AL987">
        <f>IF($AK987=1,SUMPRODUCT(--($AO$2:$AO$3001&lt;$AO987))+1,"")</f>
        <v/>
      </c>
      <c r="AM987">
        <f>IF($D987="","",IF(OR($R987=TRUE(),$R987="TRUE"),1,0))</f>
        <v/>
      </c>
      <c r="AN987">
        <f>IF($D987="","",IF($X987="Yes",1,0))</f>
        <v/>
      </c>
      <c r="AO987">
        <f>IF($AK987=1,IFERROR(IF(VALUE($D987)&lt;100000000,VALUE($D987),1000000000),IFERROR(IF(VALUE(MID($D987,2,20))&lt;100000000,VALUE(MID($D987,2,20)),1000000000),1000000000))+ROW()/100000,"")</f>
        <v/>
      </c>
    </row>
    <row r="988">
      <c r="F988" s="11" t="n"/>
      <c r="N988" s="7">
        <f>IF($D988="","",M988*V988/100)</f>
        <v/>
      </c>
      <c r="O988" s="7" t="n"/>
      <c r="U988" s="7" t="n"/>
      <c r="V988" s="7" t="n"/>
      <c r="Y988">
        <f>IF($D988="","",IF($AN988=1,0,IF($AM988=1,Settings!$C$6,Settings!$C$7))*100)</f>
        <v/>
      </c>
      <c r="Z988" s="7">
        <f>IF($D988="","",V988*Y988/100)</f>
        <v/>
      </c>
      <c r="AA988" s="7">
        <f>IF($D988="","",V988-Z988)</f>
        <v/>
      </c>
      <c r="AB988" s="7">
        <f>IF($D988="","",AA988-N988)</f>
        <v/>
      </c>
      <c r="AF988" s="7" t="n"/>
      <c r="AI988" s="11" t="n"/>
      <c r="AK988">
        <f>IF($D988="","",IF(COUNTIF($D$2:$D988,$D988)=1,1,0))</f>
        <v/>
      </c>
      <c r="AL988">
        <f>IF($AK988=1,SUMPRODUCT(--($AO$2:$AO$3001&lt;$AO988))+1,"")</f>
        <v/>
      </c>
      <c r="AM988">
        <f>IF($D988="","",IF(OR($R988=TRUE(),$R988="TRUE"),1,0))</f>
        <v/>
      </c>
      <c r="AN988">
        <f>IF($D988="","",IF($X988="Yes",1,0))</f>
        <v/>
      </c>
      <c r="AO988">
        <f>IF($AK988=1,IFERROR(IF(VALUE($D988)&lt;100000000,VALUE($D988),1000000000),IFERROR(IF(VALUE(MID($D988,2,20))&lt;100000000,VALUE(MID($D988,2,20)),1000000000),1000000000))+ROW()/100000,"")</f>
        <v/>
      </c>
    </row>
    <row r="989">
      <c r="F989" s="11" t="n"/>
      <c r="N989" s="7">
        <f>IF($D989="","",M989*V989/100)</f>
        <v/>
      </c>
      <c r="O989" s="7" t="n"/>
      <c r="U989" s="7" t="n"/>
      <c r="V989" s="7" t="n"/>
      <c r="Y989">
        <f>IF($D989="","",IF($AN989=1,0,IF($AM989=1,Settings!$C$6,Settings!$C$7))*100)</f>
        <v/>
      </c>
      <c r="Z989" s="7">
        <f>IF($D989="","",V989*Y989/100)</f>
        <v/>
      </c>
      <c r="AA989" s="7">
        <f>IF($D989="","",V989-Z989)</f>
        <v/>
      </c>
      <c r="AB989" s="7">
        <f>IF($D989="","",AA989-N989)</f>
        <v/>
      </c>
      <c r="AF989" s="7" t="n"/>
      <c r="AI989" s="11" t="n"/>
      <c r="AK989">
        <f>IF($D989="","",IF(COUNTIF($D$2:$D989,$D989)=1,1,0))</f>
        <v/>
      </c>
      <c r="AL989">
        <f>IF($AK989=1,SUMPRODUCT(--($AO$2:$AO$3001&lt;$AO989))+1,"")</f>
        <v/>
      </c>
      <c r="AM989">
        <f>IF($D989="","",IF(OR($R989=TRUE(),$R989="TRUE"),1,0))</f>
        <v/>
      </c>
      <c r="AN989">
        <f>IF($D989="","",IF($X989="Yes",1,0))</f>
        <v/>
      </c>
      <c r="AO989">
        <f>IF($AK989=1,IFERROR(IF(VALUE($D989)&lt;100000000,VALUE($D989),1000000000),IFERROR(IF(VALUE(MID($D989,2,20))&lt;100000000,VALUE(MID($D989,2,20)),1000000000),1000000000))+ROW()/100000,"")</f>
        <v/>
      </c>
    </row>
    <row r="990">
      <c r="F990" s="11" t="n"/>
      <c r="N990" s="7">
        <f>IF($D990="","",M990*V990/100)</f>
        <v/>
      </c>
      <c r="O990" s="7" t="n"/>
      <c r="U990" s="7" t="n"/>
      <c r="V990" s="7" t="n"/>
      <c r="Y990">
        <f>IF($D990="","",IF($AN990=1,0,IF($AM990=1,Settings!$C$6,Settings!$C$7))*100)</f>
        <v/>
      </c>
      <c r="Z990" s="7">
        <f>IF($D990="","",V990*Y990/100)</f>
        <v/>
      </c>
      <c r="AA990" s="7">
        <f>IF($D990="","",V990-Z990)</f>
        <v/>
      </c>
      <c r="AB990" s="7">
        <f>IF($D990="","",AA990-N990)</f>
        <v/>
      </c>
      <c r="AF990" s="7" t="n"/>
      <c r="AI990" s="11" t="n"/>
      <c r="AK990">
        <f>IF($D990="","",IF(COUNTIF($D$2:$D990,$D990)=1,1,0))</f>
        <v/>
      </c>
      <c r="AL990">
        <f>IF($AK990=1,SUMPRODUCT(--($AO$2:$AO$3001&lt;$AO990))+1,"")</f>
        <v/>
      </c>
      <c r="AM990">
        <f>IF($D990="","",IF(OR($R990=TRUE(),$R990="TRUE"),1,0))</f>
        <v/>
      </c>
      <c r="AN990">
        <f>IF($D990="","",IF($X990="Yes",1,0))</f>
        <v/>
      </c>
      <c r="AO990">
        <f>IF($AK990=1,IFERROR(IF(VALUE($D990)&lt;100000000,VALUE($D990),1000000000),IFERROR(IF(VALUE(MID($D990,2,20))&lt;100000000,VALUE(MID($D990,2,20)),1000000000),1000000000))+ROW()/100000,"")</f>
        <v/>
      </c>
    </row>
    <row r="991">
      <c r="F991" s="11" t="n"/>
      <c r="N991" s="7">
        <f>IF($D991="","",M991*V991/100)</f>
        <v/>
      </c>
      <c r="O991" s="7" t="n"/>
      <c r="U991" s="7" t="n"/>
      <c r="V991" s="7" t="n"/>
      <c r="Y991">
        <f>IF($D991="","",IF($AN991=1,0,IF($AM991=1,Settings!$C$6,Settings!$C$7))*100)</f>
        <v/>
      </c>
      <c r="Z991" s="7">
        <f>IF($D991="","",V991*Y991/100)</f>
        <v/>
      </c>
      <c r="AA991" s="7">
        <f>IF($D991="","",V991-Z991)</f>
        <v/>
      </c>
      <c r="AB991" s="7">
        <f>IF($D991="","",AA991-N991)</f>
        <v/>
      </c>
      <c r="AF991" s="7" t="n"/>
      <c r="AI991" s="11" t="n"/>
      <c r="AK991">
        <f>IF($D991="","",IF(COUNTIF($D$2:$D991,$D991)=1,1,0))</f>
        <v/>
      </c>
      <c r="AL991">
        <f>IF($AK991=1,SUMPRODUCT(--($AO$2:$AO$3001&lt;$AO991))+1,"")</f>
        <v/>
      </c>
      <c r="AM991">
        <f>IF($D991="","",IF(OR($R991=TRUE(),$R991="TRUE"),1,0))</f>
        <v/>
      </c>
      <c r="AN991">
        <f>IF($D991="","",IF($X991="Yes",1,0))</f>
        <v/>
      </c>
      <c r="AO991">
        <f>IF($AK991=1,IFERROR(IF(VALUE($D991)&lt;100000000,VALUE($D991),1000000000),IFERROR(IF(VALUE(MID($D991,2,20))&lt;100000000,VALUE(MID($D991,2,20)),1000000000),1000000000))+ROW()/100000,"")</f>
        <v/>
      </c>
    </row>
    <row r="992">
      <c r="F992" s="11" t="n"/>
      <c r="N992" s="7">
        <f>IF($D992="","",M992*V992/100)</f>
        <v/>
      </c>
      <c r="O992" s="7" t="n"/>
      <c r="U992" s="7" t="n"/>
      <c r="V992" s="7" t="n"/>
      <c r="Y992">
        <f>IF($D992="","",IF($AN992=1,0,IF($AM992=1,Settings!$C$6,Settings!$C$7))*100)</f>
        <v/>
      </c>
      <c r="Z992" s="7">
        <f>IF($D992="","",V992*Y992/100)</f>
        <v/>
      </c>
      <c r="AA992" s="7">
        <f>IF($D992="","",V992-Z992)</f>
        <v/>
      </c>
      <c r="AB992" s="7">
        <f>IF($D992="","",AA992-N992)</f>
        <v/>
      </c>
      <c r="AF992" s="7" t="n"/>
      <c r="AI992" s="11" t="n"/>
      <c r="AK992">
        <f>IF($D992="","",IF(COUNTIF($D$2:$D992,$D992)=1,1,0))</f>
        <v/>
      </c>
      <c r="AL992">
        <f>IF($AK992=1,SUMPRODUCT(--($AO$2:$AO$3001&lt;$AO992))+1,"")</f>
        <v/>
      </c>
      <c r="AM992">
        <f>IF($D992="","",IF(OR($R992=TRUE(),$R992="TRUE"),1,0))</f>
        <v/>
      </c>
      <c r="AN992">
        <f>IF($D992="","",IF($X992="Yes",1,0))</f>
        <v/>
      </c>
      <c r="AO992">
        <f>IF($AK992=1,IFERROR(IF(VALUE($D992)&lt;100000000,VALUE($D992),1000000000),IFERROR(IF(VALUE(MID($D992,2,20))&lt;100000000,VALUE(MID($D992,2,20)),1000000000),1000000000))+ROW()/100000,"")</f>
        <v/>
      </c>
    </row>
    <row r="993">
      <c r="F993" s="11" t="n"/>
      <c r="N993" s="7">
        <f>IF($D993="","",M993*V993/100)</f>
        <v/>
      </c>
      <c r="O993" s="7" t="n"/>
      <c r="U993" s="7" t="n"/>
      <c r="V993" s="7" t="n"/>
      <c r="Y993">
        <f>IF($D993="","",IF($AN993=1,0,IF($AM993=1,Settings!$C$6,Settings!$C$7))*100)</f>
        <v/>
      </c>
      <c r="Z993" s="7">
        <f>IF($D993="","",V993*Y993/100)</f>
        <v/>
      </c>
      <c r="AA993" s="7">
        <f>IF($D993="","",V993-Z993)</f>
        <v/>
      </c>
      <c r="AB993" s="7">
        <f>IF($D993="","",AA993-N993)</f>
        <v/>
      </c>
      <c r="AF993" s="7" t="n"/>
      <c r="AI993" s="11" t="n"/>
      <c r="AK993">
        <f>IF($D993="","",IF(COUNTIF($D$2:$D993,$D993)=1,1,0))</f>
        <v/>
      </c>
      <c r="AL993">
        <f>IF($AK993=1,SUMPRODUCT(--($AO$2:$AO$3001&lt;$AO993))+1,"")</f>
        <v/>
      </c>
      <c r="AM993">
        <f>IF($D993="","",IF(OR($R993=TRUE(),$R993="TRUE"),1,0))</f>
        <v/>
      </c>
      <c r="AN993">
        <f>IF($D993="","",IF($X993="Yes",1,0))</f>
        <v/>
      </c>
      <c r="AO993">
        <f>IF($AK993=1,IFERROR(IF(VALUE($D993)&lt;100000000,VALUE($D993),1000000000),IFERROR(IF(VALUE(MID($D993,2,20))&lt;100000000,VALUE(MID($D993,2,20)),1000000000),1000000000))+ROW()/100000,"")</f>
        <v/>
      </c>
    </row>
    <row r="994">
      <c r="F994" s="11" t="n"/>
      <c r="N994" s="7">
        <f>IF($D994="","",M994*V994/100)</f>
        <v/>
      </c>
      <c r="O994" s="7" t="n"/>
      <c r="U994" s="7" t="n"/>
      <c r="V994" s="7" t="n"/>
      <c r="Y994">
        <f>IF($D994="","",IF($AN994=1,0,IF($AM994=1,Settings!$C$6,Settings!$C$7))*100)</f>
        <v/>
      </c>
      <c r="Z994" s="7">
        <f>IF($D994="","",V994*Y994/100)</f>
        <v/>
      </c>
      <c r="AA994" s="7">
        <f>IF($D994="","",V994-Z994)</f>
        <v/>
      </c>
      <c r="AB994" s="7">
        <f>IF($D994="","",AA994-N994)</f>
        <v/>
      </c>
      <c r="AF994" s="7" t="n"/>
      <c r="AI994" s="11" t="n"/>
      <c r="AK994">
        <f>IF($D994="","",IF(COUNTIF($D$2:$D994,$D994)=1,1,0))</f>
        <v/>
      </c>
      <c r="AL994">
        <f>IF($AK994=1,SUMPRODUCT(--($AO$2:$AO$3001&lt;$AO994))+1,"")</f>
        <v/>
      </c>
      <c r="AM994">
        <f>IF($D994="","",IF(OR($R994=TRUE(),$R994="TRUE"),1,0))</f>
        <v/>
      </c>
      <c r="AN994">
        <f>IF($D994="","",IF($X994="Yes",1,0))</f>
        <v/>
      </c>
      <c r="AO994">
        <f>IF($AK994=1,IFERROR(IF(VALUE($D994)&lt;100000000,VALUE($D994),1000000000),IFERROR(IF(VALUE(MID($D994,2,20))&lt;100000000,VALUE(MID($D994,2,20)),1000000000),1000000000))+ROW()/100000,"")</f>
        <v/>
      </c>
    </row>
    <row r="995">
      <c r="F995" s="11" t="n"/>
      <c r="N995" s="7">
        <f>IF($D995="","",M995*V995/100)</f>
        <v/>
      </c>
      <c r="O995" s="7" t="n"/>
      <c r="U995" s="7" t="n"/>
      <c r="V995" s="7" t="n"/>
      <c r="Y995">
        <f>IF($D995="","",IF($AN995=1,0,IF($AM995=1,Settings!$C$6,Settings!$C$7))*100)</f>
        <v/>
      </c>
      <c r="Z995" s="7">
        <f>IF($D995="","",V995*Y995/100)</f>
        <v/>
      </c>
      <c r="AA995" s="7">
        <f>IF($D995="","",V995-Z995)</f>
        <v/>
      </c>
      <c r="AB995" s="7">
        <f>IF($D995="","",AA995-N995)</f>
        <v/>
      </c>
      <c r="AF995" s="7" t="n"/>
      <c r="AI995" s="11" t="n"/>
      <c r="AK995">
        <f>IF($D995="","",IF(COUNTIF($D$2:$D995,$D995)=1,1,0))</f>
        <v/>
      </c>
      <c r="AL995">
        <f>IF($AK995=1,SUMPRODUCT(--($AO$2:$AO$3001&lt;$AO995))+1,"")</f>
        <v/>
      </c>
      <c r="AM995">
        <f>IF($D995="","",IF(OR($R995=TRUE(),$R995="TRUE"),1,0))</f>
        <v/>
      </c>
      <c r="AN995">
        <f>IF($D995="","",IF($X995="Yes",1,0))</f>
        <v/>
      </c>
      <c r="AO995">
        <f>IF($AK995=1,IFERROR(IF(VALUE($D995)&lt;100000000,VALUE($D995),1000000000),IFERROR(IF(VALUE(MID($D995,2,20))&lt;100000000,VALUE(MID($D995,2,20)),1000000000),1000000000))+ROW()/100000,"")</f>
        <v/>
      </c>
    </row>
    <row r="996">
      <c r="F996" s="11" t="n"/>
      <c r="N996" s="7">
        <f>IF($D996="","",M996*V996/100)</f>
        <v/>
      </c>
      <c r="O996" s="7" t="n"/>
      <c r="U996" s="7" t="n"/>
      <c r="V996" s="7" t="n"/>
      <c r="Y996">
        <f>IF($D996="","",IF($AN996=1,0,IF($AM996=1,Settings!$C$6,Settings!$C$7))*100)</f>
        <v/>
      </c>
      <c r="Z996" s="7">
        <f>IF($D996="","",V996*Y996/100)</f>
        <v/>
      </c>
      <c r="AA996" s="7">
        <f>IF($D996="","",V996-Z996)</f>
        <v/>
      </c>
      <c r="AB996" s="7">
        <f>IF($D996="","",AA996-N996)</f>
        <v/>
      </c>
      <c r="AF996" s="7" t="n"/>
      <c r="AI996" s="11" t="n"/>
      <c r="AK996">
        <f>IF($D996="","",IF(COUNTIF($D$2:$D996,$D996)=1,1,0))</f>
        <v/>
      </c>
      <c r="AL996">
        <f>IF($AK996=1,SUMPRODUCT(--($AO$2:$AO$3001&lt;$AO996))+1,"")</f>
        <v/>
      </c>
      <c r="AM996">
        <f>IF($D996="","",IF(OR($R996=TRUE(),$R996="TRUE"),1,0))</f>
        <v/>
      </c>
      <c r="AN996">
        <f>IF($D996="","",IF($X996="Yes",1,0))</f>
        <v/>
      </c>
      <c r="AO996">
        <f>IF($AK996=1,IFERROR(IF(VALUE($D996)&lt;100000000,VALUE($D996),1000000000),IFERROR(IF(VALUE(MID($D996,2,20))&lt;100000000,VALUE(MID($D996,2,20)),1000000000),1000000000))+ROW()/100000,"")</f>
        <v/>
      </c>
    </row>
    <row r="997">
      <c r="F997" s="11" t="n"/>
      <c r="N997" s="7">
        <f>IF($D997="","",M997*V997/100)</f>
        <v/>
      </c>
      <c r="O997" s="7" t="n"/>
      <c r="U997" s="7" t="n"/>
      <c r="V997" s="7" t="n"/>
      <c r="Y997">
        <f>IF($D997="","",IF($AN997=1,0,IF($AM997=1,Settings!$C$6,Settings!$C$7))*100)</f>
        <v/>
      </c>
      <c r="Z997" s="7">
        <f>IF($D997="","",V997*Y997/100)</f>
        <v/>
      </c>
      <c r="AA997" s="7">
        <f>IF($D997="","",V997-Z997)</f>
        <v/>
      </c>
      <c r="AB997" s="7">
        <f>IF($D997="","",AA997-N997)</f>
        <v/>
      </c>
      <c r="AF997" s="7" t="n"/>
      <c r="AI997" s="11" t="n"/>
      <c r="AK997">
        <f>IF($D997="","",IF(COUNTIF($D$2:$D997,$D997)=1,1,0))</f>
        <v/>
      </c>
      <c r="AL997">
        <f>IF($AK997=1,SUMPRODUCT(--($AO$2:$AO$3001&lt;$AO997))+1,"")</f>
        <v/>
      </c>
      <c r="AM997">
        <f>IF($D997="","",IF(OR($R997=TRUE(),$R997="TRUE"),1,0))</f>
        <v/>
      </c>
      <c r="AN997">
        <f>IF($D997="","",IF($X997="Yes",1,0))</f>
        <v/>
      </c>
      <c r="AO997">
        <f>IF($AK997=1,IFERROR(IF(VALUE($D997)&lt;100000000,VALUE($D997),1000000000),IFERROR(IF(VALUE(MID($D997,2,20))&lt;100000000,VALUE(MID($D997,2,20)),1000000000),1000000000))+ROW()/100000,"")</f>
        <v/>
      </c>
    </row>
    <row r="998">
      <c r="F998" s="11" t="n"/>
      <c r="N998" s="7">
        <f>IF($D998="","",M998*V998/100)</f>
        <v/>
      </c>
      <c r="O998" s="7" t="n"/>
      <c r="U998" s="7" t="n"/>
      <c r="V998" s="7" t="n"/>
      <c r="Y998">
        <f>IF($D998="","",IF($AN998=1,0,IF($AM998=1,Settings!$C$6,Settings!$C$7))*100)</f>
        <v/>
      </c>
      <c r="Z998" s="7">
        <f>IF($D998="","",V998*Y998/100)</f>
        <v/>
      </c>
      <c r="AA998" s="7">
        <f>IF($D998="","",V998-Z998)</f>
        <v/>
      </c>
      <c r="AB998" s="7">
        <f>IF($D998="","",AA998-N998)</f>
        <v/>
      </c>
      <c r="AF998" s="7" t="n"/>
      <c r="AI998" s="11" t="n"/>
      <c r="AK998">
        <f>IF($D998="","",IF(COUNTIF($D$2:$D998,$D998)=1,1,0))</f>
        <v/>
      </c>
      <c r="AL998">
        <f>IF($AK998=1,SUMPRODUCT(--($AO$2:$AO$3001&lt;$AO998))+1,"")</f>
        <v/>
      </c>
      <c r="AM998">
        <f>IF($D998="","",IF(OR($R998=TRUE(),$R998="TRUE"),1,0))</f>
        <v/>
      </c>
      <c r="AN998">
        <f>IF($D998="","",IF($X998="Yes",1,0))</f>
        <v/>
      </c>
      <c r="AO998">
        <f>IF($AK998=1,IFERROR(IF(VALUE($D998)&lt;100000000,VALUE($D998),1000000000),IFERROR(IF(VALUE(MID($D998,2,20))&lt;100000000,VALUE(MID($D998,2,20)),1000000000),1000000000))+ROW()/100000,"")</f>
        <v/>
      </c>
    </row>
    <row r="999">
      <c r="F999" s="11" t="n"/>
      <c r="N999" s="7">
        <f>IF($D999="","",M999*V999/100)</f>
        <v/>
      </c>
      <c r="O999" s="7" t="n"/>
      <c r="U999" s="7" t="n"/>
      <c r="V999" s="7" t="n"/>
      <c r="Y999">
        <f>IF($D999="","",IF($AN999=1,0,IF($AM999=1,Settings!$C$6,Settings!$C$7))*100)</f>
        <v/>
      </c>
      <c r="Z999" s="7">
        <f>IF($D999="","",V999*Y999/100)</f>
        <v/>
      </c>
      <c r="AA999" s="7">
        <f>IF($D999="","",V999-Z999)</f>
        <v/>
      </c>
      <c r="AB999" s="7">
        <f>IF($D999="","",AA999-N999)</f>
        <v/>
      </c>
      <c r="AF999" s="7" t="n"/>
      <c r="AI999" s="11" t="n"/>
      <c r="AK999">
        <f>IF($D999="","",IF(COUNTIF($D$2:$D999,$D999)=1,1,0))</f>
        <v/>
      </c>
      <c r="AL999">
        <f>IF($AK999=1,SUMPRODUCT(--($AO$2:$AO$3001&lt;$AO999))+1,"")</f>
        <v/>
      </c>
      <c r="AM999">
        <f>IF($D999="","",IF(OR($R999=TRUE(),$R999="TRUE"),1,0))</f>
        <v/>
      </c>
      <c r="AN999">
        <f>IF($D999="","",IF($X999="Yes",1,0))</f>
        <v/>
      </c>
      <c r="AO999">
        <f>IF($AK999=1,IFERROR(IF(VALUE($D999)&lt;100000000,VALUE($D999),1000000000),IFERROR(IF(VALUE(MID($D999,2,20))&lt;100000000,VALUE(MID($D999,2,20)),1000000000),1000000000))+ROW()/100000,"")</f>
        <v/>
      </c>
    </row>
    <row r="1000">
      <c r="F1000" s="11" t="n"/>
      <c r="N1000" s="7">
        <f>IF($D1000="","",M1000*V1000/100)</f>
        <v/>
      </c>
      <c r="O1000" s="7" t="n"/>
      <c r="U1000" s="7" t="n"/>
      <c r="V1000" s="7" t="n"/>
      <c r="Y1000">
        <f>IF($D1000="","",IF($AN1000=1,0,IF($AM1000=1,Settings!$C$6,Settings!$C$7))*100)</f>
        <v/>
      </c>
      <c r="Z1000" s="7">
        <f>IF($D1000="","",V1000*Y1000/100)</f>
        <v/>
      </c>
      <c r="AA1000" s="7">
        <f>IF($D1000="","",V1000-Z1000)</f>
        <v/>
      </c>
      <c r="AB1000" s="7">
        <f>IF($D1000="","",AA1000-N1000)</f>
        <v/>
      </c>
      <c r="AF1000" s="7" t="n"/>
      <c r="AI1000" s="11" t="n"/>
      <c r="AK1000">
        <f>IF($D1000="","",IF(COUNTIF($D$2:$D1000,$D1000)=1,1,0))</f>
        <v/>
      </c>
      <c r="AL1000">
        <f>IF($AK1000=1,SUMPRODUCT(--($AO$2:$AO$3001&lt;$AO1000))+1,"")</f>
        <v/>
      </c>
      <c r="AM1000">
        <f>IF($D1000="","",IF(OR($R1000=TRUE(),$R1000="TRUE"),1,0))</f>
        <v/>
      </c>
      <c r="AN1000">
        <f>IF($D1000="","",IF($X1000="Yes",1,0))</f>
        <v/>
      </c>
      <c r="AO1000">
        <f>IF($AK1000=1,IFERROR(IF(VALUE($D1000)&lt;100000000,VALUE($D1000),1000000000),IFERROR(IF(VALUE(MID($D1000,2,20))&lt;100000000,VALUE(MID($D1000,2,20)),1000000000),1000000000))+ROW()/100000,"")</f>
        <v/>
      </c>
    </row>
    <row r="1001">
      <c r="F1001" s="11" t="n"/>
      <c r="N1001" s="7">
        <f>IF($D1001="","",M1001*V1001/100)</f>
        <v/>
      </c>
      <c r="O1001" s="7" t="n"/>
      <c r="U1001" s="7" t="n"/>
      <c r="V1001" s="7" t="n"/>
      <c r="Y1001">
        <f>IF($D1001="","",IF($AN1001=1,0,IF($AM1001=1,Settings!$C$6,Settings!$C$7))*100)</f>
        <v/>
      </c>
      <c r="Z1001" s="7">
        <f>IF($D1001="","",V1001*Y1001/100)</f>
        <v/>
      </c>
      <c r="AA1001" s="7">
        <f>IF($D1001="","",V1001-Z1001)</f>
        <v/>
      </c>
      <c r="AB1001" s="7">
        <f>IF($D1001="","",AA1001-N1001)</f>
        <v/>
      </c>
      <c r="AF1001" s="7" t="n"/>
      <c r="AI1001" s="11" t="n"/>
      <c r="AK1001">
        <f>IF($D1001="","",IF(COUNTIF($D$2:$D1001,$D1001)=1,1,0))</f>
        <v/>
      </c>
      <c r="AL1001">
        <f>IF($AK1001=1,SUMPRODUCT(--($AO$2:$AO$3001&lt;$AO1001))+1,"")</f>
        <v/>
      </c>
      <c r="AM1001">
        <f>IF($D1001="","",IF(OR($R1001=TRUE(),$R1001="TRUE"),1,0))</f>
        <v/>
      </c>
      <c r="AN1001">
        <f>IF($D1001="","",IF($X1001="Yes",1,0))</f>
        <v/>
      </c>
      <c r="AO1001">
        <f>IF($AK1001=1,IFERROR(IF(VALUE($D1001)&lt;100000000,VALUE($D1001),1000000000),IFERROR(IF(VALUE(MID($D1001,2,20))&lt;100000000,VALUE(MID($D1001,2,20)),1000000000),1000000000))+ROW()/100000,"")</f>
        <v/>
      </c>
    </row>
    <row r="1002">
      <c r="F1002" s="11" t="n"/>
      <c r="N1002" s="7">
        <f>IF($D1002="","",M1002*V1002/100)</f>
        <v/>
      </c>
      <c r="O1002" s="7" t="n"/>
      <c r="U1002" s="7" t="n"/>
      <c r="V1002" s="7" t="n"/>
      <c r="Y1002">
        <f>IF($D1002="","",IF($AN1002=1,0,IF($AM1002=1,Settings!$C$6,Settings!$C$7))*100)</f>
        <v/>
      </c>
      <c r="Z1002" s="7">
        <f>IF($D1002="","",V1002*Y1002/100)</f>
        <v/>
      </c>
      <c r="AA1002" s="7">
        <f>IF($D1002="","",V1002-Z1002)</f>
        <v/>
      </c>
      <c r="AB1002" s="7">
        <f>IF($D1002="","",AA1002-N1002)</f>
        <v/>
      </c>
      <c r="AF1002" s="7" t="n"/>
      <c r="AI1002" s="11" t="n"/>
      <c r="AK1002">
        <f>IF($D1002="","",IF(COUNTIF($D$2:$D1002,$D1002)=1,1,0))</f>
        <v/>
      </c>
      <c r="AL1002">
        <f>IF($AK1002=1,SUMPRODUCT(--($AO$2:$AO$3001&lt;$AO1002))+1,"")</f>
        <v/>
      </c>
      <c r="AM1002">
        <f>IF($D1002="","",IF(OR($R1002=TRUE(),$R1002="TRUE"),1,0))</f>
        <v/>
      </c>
      <c r="AN1002">
        <f>IF($D1002="","",IF($X1002="Yes",1,0))</f>
        <v/>
      </c>
      <c r="AO1002">
        <f>IF($AK1002=1,IFERROR(IF(VALUE($D1002)&lt;100000000,VALUE($D1002),1000000000),IFERROR(IF(VALUE(MID($D1002,2,20))&lt;100000000,VALUE(MID($D1002,2,20)),1000000000),1000000000))+ROW()/100000,"")</f>
        <v/>
      </c>
    </row>
    <row r="1003">
      <c r="F1003" s="11" t="n"/>
      <c r="N1003" s="7">
        <f>IF($D1003="","",M1003*V1003/100)</f>
        <v/>
      </c>
      <c r="O1003" s="7" t="n"/>
      <c r="U1003" s="7" t="n"/>
      <c r="V1003" s="7" t="n"/>
      <c r="Y1003">
        <f>IF($D1003="","",IF($AN1003=1,0,IF($AM1003=1,Settings!$C$6,Settings!$C$7))*100)</f>
        <v/>
      </c>
      <c r="Z1003" s="7">
        <f>IF($D1003="","",V1003*Y1003/100)</f>
        <v/>
      </c>
      <c r="AA1003" s="7">
        <f>IF($D1003="","",V1003-Z1003)</f>
        <v/>
      </c>
      <c r="AB1003" s="7">
        <f>IF($D1003="","",AA1003-N1003)</f>
        <v/>
      </c>
      <c r="AF1003" s="7" t="n"/>
      <c r="AI1003" s="11" t="n"/>
      <c r="AK1003">
        <f>IF($D1003="","",IF(COUNTIF($D$2:$D1003,$D1003)=1,1,0))</f>
        <v/>
      </c>
      <c r="AL1003">
        <f>IF($AK1003=1,SUMPRODUCT(--($AO$2:$AO$3001&lt;$AO1003))+1,"")</f>
        <v/>
      </c>
      <c r="AM1003">
        <f>IF($D1003="","",IF(OR($R1003=TRUE(),$R1003="TRUE"),1,0))</f>
        <v/>
      </c>
      <c r="AN1003">
        <f>IF($D1003="","",IF($X1003="Yes",1,0))</f>
        <v/>
      </c>
      <c r="AO1003">
        <f>IF($AK1003=1,IFERROR(IF(VALUE($D1003)&lt;100000000,VALUE($D1003),1000000000),IFERROR(IF(VALUE(MID($D1003,2,20))&lt;100000000,VALUE(MID($D1003,2,20)),1000000000),1000000000))+ROW()/100000,"")</f>
        <v/>
      </c>
    </row>
    <row r="1004">
      <c r="F1004" s="11" t="n"/>
      <c r="N1004" s="7">
        <f>IF($D1004="","",M1004*V1004/100)</f>
        <v/>
      </c>
      <c r="O1004" s="7" t="n"/>
      <c r="U1004" s="7" t="n"/>
      <c r="V1004" s="7" t="n"/>
      <c r="Y1004">
        <f>IF($D1004="","",IF($AN1004=1,0,IF($AM1004=1,Settings!$C$6,Settings!$C$7))*100)</f>
        <v/>
      </c>
      <c r="Z1004" s="7">
        <f>IF($D1004="","",V1004*Y1004/100)</f>
        <v/>
      </c>
      <c r="AA1004" s="7">
        <f>IF($D1004="","",V1004-Z1004)</f>
        <v/>
      </c>
      <c r="AB1004" s="7">
        <f>IF($D1004="","",AA1004-N1004)</f>
        <v/>
      </c>
      <c r="AF1004" s="7" t="n"/>
      <c r="AI1004" s="11" t="n"/>
      <c r="AK1004">
        <f>IF($D1004="","",IF(COUNTIF($D$2:$D1004,$D1004)=1,1,0))</f>
        <v/>
      </c>
      <c r="AL1004">
        <f>IF($AK1004=1,SUMPRODUCT(--($AO$2:$AO$3001&lt;$AO1004))+1,"")</f>
        <v/>
      </c>
      <c r="AM1004">
        <f>IF($D1004="","",IF(OR($R1004=TRUE(),$R1004="TRUE"),1,0))</f>
        <v/>
      </c>
      <c r="AN1004">
        <f>IF($D1004="","",IF($X1004="Yes",1,0))</f>
        <v/>
      </c>
      <c r="AO1004">
        <f>IF($AK1004=1,IFERROR(IF(VALUE($D1004)&lt;100000000,VALUE($D1004),1000000000),IFERROR(IF(VALUE(MID($D1004,2,20))&lt;100000000,VALUE(MID($D1004,2,20)),1000000000),1000000000))+ROW()/100000,"")</f>
        <v/>
      </c>
    </row>
    <row r="1005">
      <c r="F1005" s="11" t="n"/>
      <c r="N1005" s="7">
        <f>IF($D1005="","",M1005*V1005/100)</f>
        <v/>
      </c>
      <c r="O1005" s="7" t="n"/>
      <c r="U1005" s="7" t="n"/>
      <c r="V1005" s="7" t="n"/>
      <c r="Y1005">
        <f>IF($D1005="","",IF($AN1005=1,0,IF($AM1005=1,Settings!$C$6,Settings!$C$7))*100)</f>
        <v/>
      </c>
      <c r="Z1005" s="7">
        <f>IF($D1005="","",V1005*Y1005/100)</f>
        <v/>
      </c>
      <c r="AA1005" s="7">
        <f>IF($D1005="","",V1005-Z1005)</f>
        <v/>
      </c>
      <c r="AB1005" s="7">
        <f>IF($D1005="","",AA1005-N1005)</f>
        <v/>
      </c>
      <c r="AF1005" s="7" t="n"/>
      <c r="AI1005" s="11" t="n"/>
      <c r="AK1005">
        <f>IF($D1005="","",IF(COUNTIF($D$2:$D1005,$D1005)=1,1,0))</f>
        <v/>
      </c>
      <c r="AL1005">
        <f>IF($AK1005=1,SUMPRODUCT(--($AO$2:$AO$3001&lt;$AO1005))+1,"")</f>
        <v/>
      </c>
      <c r="AM1005">
        <f>IF($D1005="","",IF(OR($R1005=TRUE(),$R1005="TRUE"),1,0))</f>
        <v/>
      </c>
      <c r="AN1005">
        <f>IF($D1005="","",IF($X1005="Yes",1,0))</f>
        <v/>
      </c>
      <c r="AO1005">
        <f>IF($AK1005=1,IFERROR(IF(VALUE($D1005)&lt;100000000,VALUE($D1005),1000000000),IFERROR(IF(VALUE(MID($D1005,2,20))&lt;100000000,VALUE(MID($D1005,2,20)),1000000000),1000000000))+ROW()/100000,"")</f>
        <v/>
      </c>
    </row>
    <row r="1006">
      <c r="F1006" s="11" t="n"/>
      <c r="N1006" s="7">
        <f>IF($D1006="","",M1006*V1006/100)</f>
        <v/>
      </c>
      <c r="O1006" s="7" t="n"/>
      <c r="U1006" s="7" t="n"/>
      <c r="V1006" s="7" t="n"/>
      <c r="Y1006">
        <f>IF($D1006="","",IF($AN1006=1,0,IF($AM1006=1,Settings!$C$6,Settings!$C$7))*100)</f>
        <v/>
      </c>
      <c r="Z1006" s="7">
        <f>IF($D1006="","",V1006*Y1006/100)</f>
        <v/>
      </c>
      <c r="AA1006" s="7">
        <f>IF($D1006="","",V1006-Z1006)</f>
        <v/>
      </c>
      <c r="AB1006" s="7">
        <f>IF($D1006="","",AA1006-N1006)</f>
        <v/>
      </c>
      <c r="AF1006" s="7" t="n"/>
      <c r="AI1006" s="11" t="n"/>
      <c r="AK1006">
        <f>IF($D1006="","",IF(COUNTIF($D$2:$D1006,$D1006)=1,1,0))</f>
        <v/>
      </c>
      <c r="AL1006">
        <f>IF($AK1006=1,SUMPRODUCT(--($AO$2:$AO$3001&lt;$AO1006))+1,"")</f>
        <v/>
      </c>
      <c r="AM1006">
        <f>IF($D1006="","",IF(OR($R1006=TRUE(),$R1006="TRUE"),1,0))</f>
        <v/>
      </c>
      <c r="AN1006">
        <f>IF($D1006="","",IF($X1006="Yes",1,0))</f>
        <v/>
      </c>
      <c r="AO1006">
        <f>IF($AK1006=1,IFERROR(IF(VALUE($D1006)&lt;100000000,VALUE($D1006),1000000000),IFERROR(IF(VALUE(MID($D1006,2,20))&lt;100000000,VALUE(MID($D1006,2,20)),1000000000),1000000000))+ROW()/100000,"")</f>
        <v/>
      </c>
    </row>
    <row r="1007">
      <c r="F1007" s="11" t="n"/>
      <c r="N1007" s="7">
        <f>IF($D1007="","",M1007*V1007/100)</f>
        <v/>
      </c>
      <c r="O1007" s="7" t="n"/>
      <c r="U1007" s="7" t="n"/>
      <c r="V1007" s="7" t="n"/>
      <c r="Y1007">
        <f>IF($D1007="","",IF($AN1007=1,0,IF($AM1007=1,Settings!$C$6,Settings!$C$7))*100)</f>
        <v/>
      </c>
      <c r="Z1007" s="7">
        <f>IF($D1007="","",V1007*Y1007/100)</f>
        <v/>
      </c>
      <c r="AA1007" s="7">
        <f>IF($D1007="","",V1007-Z1007)</f>
        <v/>
      </c>
      <c r="AB1007" s="7">
        <f>IF($D1007="","",AA1007-N1007)</f>
        <v/>
      </c>
      <c r="AF1007" s="7" t="n"/>
      <c r="AI1007" s="11" t="n"/>
      <c r="AK1007">
        <f>IF($D1007="","",IF(COUNTIF($D$2:$D1007,$D1007)=1,1,0))</f>
        <v/>
      </c>
      <c r="AL1007">
        <f>IF($AK1007=1,SUMPRODUCT(--($AO$2:$AO$3001&lt;$AO1007))+1,"")</f>
        <v/>
      </c>
      <c r="AM1007">
        <f>IF($D1007="","",IF(OR($R1007=TRUE(),$R1007="TRUE"),1,0))</f>
        <v/>
      </c>
      <c r="AN1007">
        <f>IF($D1007="","",IF($X1007="Yes",1,0))</f>
        <v/>
      </c>
      <c r="AO1007">
        <f>IF($AK1007=1,IFERROR(IF(VALUE($D1007)&lt;100000000,VALUE($D1007),1000000000),IFERROR(IF(VALUE(MID($D1007,2,20))&lt;100000000,VALUE(MID($D1007,2,20)),1000000000),1000000000))+ROW()/100000,"")</f>
        <v/>
      </c>
    </row>
    <row r="1008">
      <c r="F1008" s="11" t="n"/>
      <c r="N1008" s="7">
        <f>IF($D1008="","",M1008*V1008/100)</f>
        <v/>
      </c>
      <c r="O1008" s="7" t="n"/>
      <c r="U1008" s="7" t="n"/>
      <c r="V1008" s="7" t="n"/>
      <c r="Y1008">
        <f>IF($D1008="","",IF($AN1008=1,0,IF($AM1008=1,Settings!$C$6,Settings!$C$7))*100)</f>
        <v/>
      </c>
      <c r="Z1008" s="7">
        <f>IF($D1008="","",V1008*Y1008/100)</f>
        <v/>
      </c>
      <c r="AA1008" s="7">
        <f>IF($D1008="","",V1008-Z1008)</f>
        <v/>
      </c>
      <c r="AB1008" s="7">
        <f>IF($D1008="","",AA1008-N1008)</f>
        <v/>
      </c>
      <c r="AF1008" s="7" t="n"/>
      <c r="AI1008" s="11" t="n"/>
      <c r="AK1008">
        <f>IF($D1008="","",IF(COUNTIF($D$2:$D1008,$D1008)=1,1,0))</f>
        <v/>
      </c>
      <c r="AL1008">
        <f>IF($AK1008=1,SUMPRODUCT(--($AO$2:$AO$3001&lt;$AO1008))+1,"")</f>
        <v/>
      </c>
      <c r="AM1008">
        <f>IF($D1008="","",IF(OR($R1008=TRUE(),$R1008="TRUE"),1,0))</f>
        <v/>
      </c>
      <c r="AN1008">
        <f>IF($D1008="","",IF($X1008="Yes",1,0))</f>
        <v/>
      </c>
      <c r="AO1008">
        <f>IF($AK1008=1,IFERROR(IF(VALUE($D1008)&lt;100000000,VALUE($D1008),1000000000),IFERROR(IF(VALUE(MID($D1008,2,20))&lt;100000000,VALUE(MID($D1008,2,20)),1000000000),1000000000))+ROW()/100000,"")</f>
        <v/>
      </c>
    </row>
    <row r="1009">
      <c r="F1009" s="11" t="n"/>
      <c r="N1009" s="7">
        <f>IF($D1009="","",M1009*V1009/100)</f>
        <v/>
      </c>
      <c r="O1009" s="7" t="n"/>
      <c r="U1009" s="7" t="n"/>
      <c r="V1009" s="7" t="n"/>
      <c r="Y1009">
        <f>IF($D1009="","",IF($AN1009=1,0,IF($AM1009=1,Settings!$C$6,Settings!$C$7))*100)</f>
        <v/>
      </c>
      <c r="Z1009" s="7">
        <f>IF($D1009="","",V1009*Y1009/100)</f>
        <v/>
      </c>
      <c r="AA1009" s="7">
        <f>IF($D1009="","",V1009-Z1009)</f>
        <v/>
      </c>
      <c r="AB1009" s="7">
        <f>IF($D1009="","",AA1009-N1009)</f>
        <v/>
      </c>
      <c r="AF1009" s="7" t="n"/>
      <c r="AI1009" s="11" t="n"/>
      <c r="AK1009">
        <f>IF($D1009="","",IF(COUNTIF($D$2:$D1009,$D1009)=1,1,0))</f>
        <v/>
      </c>
      <c r="AL1009">
        <f>IF($AK1009=1,SUMPRODUCT(--($AO$2:$AO$3001&lt;$AO1009))+1,"")</f>
        <v/>
      </c>
      <c r="AM1009">
        <f>IF($D1009="","",IF(OR($R1009=TRUE(),$R1009="TRUE"),1,0))</f>
        <v/>
      </c>
      <c r="AN1009">
        <f>IF($D1009="","",IF($X1009="Yes",1,0))</f>
        <v/>
      </c>
      <c r="AO1009">
        <f>IF($AK1009=1,IFERROR(IF(VALUE($D1009)&lt;100000000,VALUE($D1009),1000000000),IFERROR(IF(VALUE(MID($D1009,2,20))&lt;100000000,VALUE(MID($D1009,2,20)),1000000000),1000000000))+ROW()/100000,"")</f>
        <v/>
      </c>
    </row>
    <row r="1010">
      <c r="F1010" s="11" t="n"/>
      <c r="N1010" s="7">
        <f>IF($D1010="","",M1010*V1010/100)</f>
        <v/>
      </c>
      <c r="O1010" s="7" t="n"/>
      <c r="U1010" s="7" t="n"/>
      <c r="V1010" s="7" t="n"/>
      <c r="Y1010">
        <f>IF($D1010="","",IF($AN1010=1,0,IF($AM1010=1,Settings!$C$6,Settings!$C$7))*100)</f>
        <v/>
      </c>
      <c r="Z1010" s="7">
        <f>IF($D1010="","",V1010*Y1010/100)</f>
        <v/>
      </c>
      <c r="AA1010" s="7">
        <f>IF($D1010="","",V1010-Z1010)</f>
        <v/>
      </c>
      <c r="AB1010" s="7">
        <f>IF($D1010="","",AA1010-N1010)</f>
        <v/>
      </c>
      <c r="AF1010" s="7" t="n"/>
      <c r="AI1010" s="11" t="n"/>
      <c r="AK1010">
        <f>IF($D1010="","",IF(COUNTIF($D$2:$D1010,$D1010)=1,1,0))</f>
        <v/>
      </c>
      <c r="AL1010">
        <f>IF($AK1010=1,SUMPRODUCT(--($AO$2:$AO$3001&lt;$AO1010))+1,"")</f>
        <v/>
      </c>
      <c r="AM1010">
        <f>IF($D1010="","",IF(OR($R1010=TRUE(),$R1010="TRUE"),1,0))</f>
        <v/>
      </c>
      <c r="AN1010">
        <f>IF($D1010="","",IF($X1010="Yes",1,0))</f>
        <v/>
      </c>
      <c r="AO1010">
        <f>IF($AK1010=1,IFERROR(IF(VALUE($D1010)&lt;100000000,VALUE($D1010),1000000000),IFERROR(IF(VALUE(MID($D1010,2,20))&lt;100000000,VALUE(MID($D1010,2,20)),1000000000),1000000000))+ROW()/100000,"")</f>
        <v/>
      </c>
    </row>
    <row r="1011">
      <c r="F1011" s="11" t="n"/>
      <c r="N1011" s="7">
        <f>IF($D1011="","",M1011*V1011/100)</f>
        <v/>
      </c>
      <c r="O1011" s="7" t="n"/>
      <c r="U1011" s="7" t="n"/>
      <c r="V1011" s="7" t="n"/>
      <c r="Y1011">
        <f>IF($D1011="","",IF($AN1011=1,0,IF($AM1011=1,Settings!$C$6,Settings!$C$7))*100)</f>
        <v/>
      </c>
      <c r="Z1011" s="7">
        <f>IF($D1011="","",V1011*Y1011/100)</f>
        <v/>
      </c>
      <c r="AA1011" s="7">
        <f>IF($D1011="","",V1011-Z1011)</f>
        <v/>
      </c>
      <c r="AB1011" s="7">
        <f>IF($D1011="","",AA1011-N1011)</f>
        <v/>
      </c>
      <c r="AF1011" s="7" t="n"/>
      <c r="AI1011" s="11" t="n"/>
      <c r="AK1011">
        <f>IF($D1011="","",IF(COUNTIF($D$2:$D1011,$D1011)=1,1,0))</f>
        <v/>
      </c>
      <c r="AL1011">
        <f>IF($AK1011=1,SUMPRODUCT(--($AO$2:$AO$3001&lt;$AO1011))+1,"")</f>
        <v/>
      </c>
      <c r="AM1011">
        <f>IF($D1011="","",IF(OR($R1011=TRUE(),$R1011="TRUE"),1,0))</f>
        <v/>
      </c>
      <c r="AN1011">
        <f>IF($D1011="","",IF($X1011="Yes",1,0))</f>
        <v/>
      </c>
      <c r="AO1011">
        <f>IF($AK1011=1,IFERROR(IF(VALUE($D1011)&lt;100000000,VALUE($D1011),1000000000),IFERROR(IF(VALUE(MID($D1011,2,20))&lt;100000000,VALUE(MID($D1011,2,20)),1000000000),1000000000))+ROW()/100000,"")</f>
        <v/>
      </c>
    </row>
    <row r="1012">
      <c r="F1012" s="11" t="n"/>
      <c r="N1012" s="7">
        <f>IF($D1012="","",M1012*V1012/100)</f>
        <v/>
      </c>
      <c r="O1012" s="7" t="n"/>
      <c r="U1012" s="7" t="n"/>
      <c r="V1012" s="7" t="n"/>
      <c r="Y1012">
        <f>IF($D1012="","",IF($AN1012=1,0,IF($AM1012=1,Settings!$C$6,Settings!$C$7))*100)</f>
        <v/>
      </c>
      <c r="Z1012" s="7">
        <f>IF($D1012="","",V1012*Y1012/100)</f>
        <v/>
      </c>
      <c r="AA1012" s="7">
        <f>IF($D1012="","",V1012-Z1012)</f>
        <v/>
      </c>
      <c r="AB1012" s="7">
        <f>IF($D1012="","",AA1012-N1012)</f>
        <v/>
      </c>
      <c r="AF1012" s="7" t="n"/>
      <c r="AI1012" s="11" t="n"/>
      <c r="AK1012">
        <f>IF($D1012="","",IF(COUNTIF($D$2:$D1012,$D1012)=1,1,0))</f>
        <v/>
      </c>
      <c r="AL1012">
        <f>IF($AK1012=1,SUMPRODUCT(--($AO$2:$AO$3001&lt;$AO1012))+1,"")</f>
        <v/>
      </c>
      <c r="AM1012">
        <f>IF($D1012="","",IF(OR($R1012=TRUE(),$R1012="TRUE"),1,0))</f>
        <v/>
      </c>
      <c r="AN1012">
        <f>IF($D1012="","",IF($X1012="Yes",1,0))</f>
        <v/>
      </c>
      <c r="AO1012">
        <f>IF($AK1012=1,IFERROR(IF(VALUE($D1012)&lt;100000000,VALUE($D1012),1000000000),IFERROR(IF(VALUE(MID($D1012,2,20))&lt;100000000,VALUE(MID($D1012,2,20)),1000000000),1000000000))+ROW()/100000,"")</f>
        <v/>
      </c>
    </row>
    <row r="1013">
      <c r="F1013" s="11" t="n"/>
      <c r="N1013" s="7">
        <f>IF($D1013="","",M1013*V1013/100)</f>
        <v/>
      </c>
      <c r="O1013" s="7" t="n"/>
      <c r="U1013" s="7" t="n"/>
      <c r="V1013" s="7" t="n"/>
      <c r="Y1013">
        <f>IF($D1013="","",IF($AN1013=1,0,IF($AM1013=1,Settings!$C$6,Settings!$C$7))*100)</f>
        <v/>
      </c>
      <c r="Z1013" s="7">
        <f>IF($D1013="","",V1013*Y1013/100)</f>
        <v/>
      </c>
      <c r="AA1013" s="7">
        <f>IF($D1013="","",V1013-Z1013)</f>
        <v/>
      </c>
      <c r="AB1013" s="7">
        <f>IF($D1013="","",AA1013-N1013)</f>
        <v/>
      </c>
      <c r="AF1013" s="7" t="n"/>
      <c r="AI1013" s="11" t="n"/>
      <c r="AK1013">
        <f>IF($D1013="","",IF(COUNTIF($D$2:$D1013,$D1013)=1,1,0))</f>
        <v/>
      </c>
      <c r="AL1013">
        <f>IF($AK1013=1,SUMPRODUCT(--($AO$2:$AO$3001&lt;$AO1013))+1,"")</f>
        <v/>
      </c>
      <c r="AM1013">
        <f>IF($D1013="","",IF(OR($R1013=TRUE(),$R1013="TRUE"),1,0))</f>
        <v/>
      </c>
      <c r="AN1013">
        <f>IF($D1013="","",IF($X1013="Yes",1,0))</f>
        <v/>
      </c>
      <c r="AO1013">
        <f>IF($AK1013=1,IFERROR(IF(VALUE($D1013)&lt;100000000,VALUE($D1013),1000000000),IFERROR(IF(VALUE(MID($D1013,2,20))&lt;100000000,VALUE(MID($D1013,2,20)),1000000000),1000000000))+ROW()/100000,"")</f>
        <v/>
      </c>
    </row>
    <row r="1014">
      <c r="F1014" s="11" t="n"/>
      <c r="N1014" s="7">
        <f>IF($D1014="","",M1014*V1014/100)</f>
        <v/>
      </c>
      <c r="O1014" s="7" t="n"/>
      <c r="U1014" s="7" t="n"/>
      <c r="V1014" s="7" t="n"/>
      <c r="Y1014">
        <f>IF($D1014="","",IF($AN1014=1,0,IF($AM1014=1,Settings!$C$6,Settings!$C$7))*100)</f>
        <v/>
      </c>
      <c r="Z1014" s="7">
        <f>IF($D1014="","",V1014*Y1014/100)</f>
        <v/>
      </c>
      <c r="AA1014" s="7">
        <f>IF($D1014="","",V1014-Z1014)</f>
        <v/>
      </c>
      <c r="AB1014" s="7">
        <f>IF($D1014="","",AA1014-N1014)</f>
        <v/>
      </c>
      <c r="AF1014" s="7" t="n"/>
      <c r="AI1014" s="11" t="n"/>
      <c r="AK1014">
        <f>IF($D1014="","",IF(COUNTIF($D$2:$D1014,$D1014)=1,1,0))</f>
        <v/>
      </c>
      <c r="AL1014">
        <f>IF($AK1014=1,SUMPRODUCT(--($AO$2:$AO$3001&lt;$AO1014))+1,"")</f>
        <v/>
      </c>
      <c r="AM1014">
        <f>IF($D1014="","",IF(OR($R1014=TRUE(),$R1014="TRUE"),1,0))</f>
        <v/>
      </c>
      <c r="AN1014">
        <f>IF($D1014="","",IF($X1014="Yes",1,0))</f>
        <v/>
      </c>
      <c r="AO1014">
        <f>IF($AK1014=1,IFERROR(IF(VALUE($D1014)&lt;100000000,VALUE($D1014),1000000000),IFERROR(IF(VALUE(MID($D1014,2,20))&lt;100000000,VALUE(MID($D1014,2,20)),1000000000),1000000000))+ROW()/100000,"")</f>
        <v/>
      </c>
    </row>
    <row r="1015">
      <c r="F1015" s="11" t="n"/>
      <c r="N1015" s="7">
        <f>IF($D1015="","",M1015*V1015/100)</f>
        <v/>
      </c>
      <c r="O1015" s="7" t="n"/>
      <c r="U1015" s="7" t="n"/>
      <c r="V1015" s="7" t="n"/>
      <c r="Y1015">
        <f>IF($D1015="","",IF($AN1015=1,0,IF($AM1015=1,Settings!$C$6,Settings!$C$7))*100)</f>
        <v/>
      </c>
      <c r="Z1015" s="7">
        <f>IF($D1015="","",V1015*Y1015/100)</f>
        <v/>
      </c>
      <c r="AA1015" s="7">
        <f>IF($D1015="","",V1015-Z1015)</f>
        <v/>
      </c>
      <c r="AB1015" s="7">
        <f>IF($D1015="","",AA1015-N1015)</f>
        <v/>
      </c>
      <c r="AF1015" s="7" t="n"/>
      <c r="AI1015" s="11" t="n"/>
      <c r="AK1015">
        <f>IF($D1015="","",IF(COUNTIF($D$2:$D1015,$D1015)=1,1,0))</f>
        <v/>
      </c>
      <c r="AL1015">
        <f>IF($AK1015=1,SUMPRODUCT(--($AO$2:$AO$3001&lt;$AO1015))+1,"")</f>
        <v/>
      </c>
      <c r="AM1015">
        <f>IF($D1015="","",IF(OR($R1015=TRUE(),$R1015="TRUE"),1,0))</f>
        <v/>
      </c>
      <c r="AN1015">
        <f>IF($D1015="","",IF($X1015="Yes",1,0))</f>
        <v/>
      </c>
      <c r="AO1015">
        <f>IF($AK1015=1,IFERROR(IF(VALUE($D1015)&lt;100000000,VALUE($D1015),1000000000),IFERROR(IF(VALUE(MID($D1015,2,20))&lt;100000000,VALUE(MID($D1015,2,20)),1000000000),1000000000))+ROW()/100000,"")</f>
        <v/>
      </c>
    </row>
    <row r="1016">
      <c r="F1016" s="11" t="n"/>
      <c r="N1016" s="7">
        <f>IF($D1016="","",M1016*V1016/100)</f>
        <v/>
      </c>
      <c r="O1016" s="7" t="n"/>
      <c r="U1016" s="7" t="n"/>
      <c r="V1016" s="7" t="n"/>
      <c r="Y1016">
        <f>IF($D1016="","",IF($AN1016=1,0,IF($AM1016=1,Settings!$C$6,Settings!$C$7))*100)</f>
        <v/>
      </c>
      <c r="Z1016" s="7">
        <f>IF($D1016="","",V1016*Y1016/100)</f>
        <v/>
      </c>
      <c r="AA1016" s="7">
        <f>IF($D1016="","",V1016-Z1016)</f>
        <v/>
      </c>
      <c r="AB1016" s="7">
        <f>IF($D1016="","",AA1016-N1016)</f>
        <v/>
      </c>
      <c r="AF1016" s="7" t="n"/>
      <c r="AI1016" s="11" t="n"/>
      <c r="AK1016">
        <f>IF($D1016="","",IF(COUNTIF($D$2:$D1016,$D1016)=1,1,0))</f>
        <v/>
      </c>
      <c r="AL1016">
        <f>IF($AK1016=1,SUMPRODUCT(--($AO$2:$AO$3001&lt;$AO1016))+1,"")</f>
        <v/>
      </c>
      <c r="AM1016">
        <f>IF($D1016="","",IF(OR($R1016=TRUE(),$R1016="TRUE"),1,0))</f>
        <v/>
      </c>
      <c r="AN1016">
        <f>IF($D1016="","",IF($X1016="Yes",1,0))</f>
        <v/>
      </c>
      <c r="AO1016">
        <f>IF($AK1016=1,IFERROR(IF(VALUE($D1016)&lt;100000000,VALUE($D1016),1000000000),IFERROR(IF(VALUE(MID($D1016,2,20))&lt;100000000,VALUE(MID($D1016,2,20)),1000000000),1000000000))+ROW()/100000,"")</f>
        <v/>
      </c>
    </row>
    <row r="1017">
      <c r="F1017" s="11" t="n"/>
      <c r="N1017" s="7">
        <f>IF($D1017="","",M1017*V1017/100)</f>
        <v/>
      </c>
      <c r="O1017" s="7" t="n"/>
      <c r="U1017" s="7" t="n"/>
      <c r="V1017" s="7" t="n"/>
      <c r="Y1017">
        <f>IF($D1017="","",IF($AN1017=1,0,IF($AM1017=1,Settings!$C$6,Settings!$C$7))*100)</f>
        <v/>
      </c>
      <c r="Z1017" s="7">
        <f>IF($D1017="","",V1017*Y1017/100)</f>
        <v/>
      </c>
      <c r="AA1017" s="7">
        <f>IF($D1017="","",V1017-Z1017)</f>
        <v/>
      </c>
      <c r="AB1017" s="7">
        <f>IF($D1017="","",AA1017-N1017)</f>
        <v/>
      </c>
      <c r="AF1017" s="7" t="n"/>
      <c r="AI1017" s="11" t="n"/>
      <c r="AK1017">
        <f>IF($D1017="","",IF(COUNTIF($D$2:$D1017,$D1017)=1,1,0))</f>
        <v/>
      </c>
      <c r="AL1017">
        <f>IF($AK1017=1,SUMPRODUCT(--($AO$2:$AO$3001&lt;$AO1017))+1,"")</f>
        <v/>
      </c>
      <c r="AM1017">
        <f>IF($D1017="","",IF(OR($R1017=TRUE(),$R1017="TRUE"),1,0))</f>
        <v/>
      </c>
      <c r="AN1017">
        <f>IF($D1017="","",IF($X1017="Yes",1,0))</f>
        <v/>
      </c>
      <c r="AO1017">
        <f>IF($AK1017=1,IFERROR(IF(VALUE($D1017)&lt;100000000,VALUE($D1017),1000000000),IFERROR(IF(VALUE(MID($D1017,2,20))&lt;100000000,VALUE(MID($D1017,2,20)),1000000000),1000000000))+ROW()/100000,"")</f>
        <v/>
      </c>
    </row>
    <row r="1018">
      <c r="F1018" s="11" t="n"/>
      <c r="N1018" s="7">
        <f>IF($D1018="","",M1018*V1018/100)</f>
        <v/>
      </c>
      <c r="O1018" s="7" t="n"/>
      <c r="U1018" s="7" t="n"/>
      <c r="V1018" s="7" t="n"/>
      <c r="Y1018">
        <f>IF($D1018="","",IF($AN1018=1,0,IF($AM1018=1,Settings!$C$6,Settings!$C$7))*100)</f>
        <v/>
      </c>
      <c r="Z1018" s="7">
        <f>IF($D1018="","",V1018*Y1018/100)</f>
        <v/>
      </c>
      <c r="AA1018" s="7">
        <f>IF($D1018="","",V1018-Z1018)</f>
        <v/>
      </c>
      <c r="AB1018" s="7">
        <f>IF($D1018="","",AA1018-N1018)</f>
        <v/>
      </c>
      <c r="AF1018" s="7" t="n"/>
      <c r="AI1018" s="11" t="n"/>
      <c r="AK1018">
        <f>IF($D1018="","",IF(COUNTIF($D$2:$D1018,$D1018)=1,1,0))</f>
        <v/>
      </c>
      <c r="AL1018">
        <f>IF($AK1018=1,SUMPRODUCT(--($AO$2:$AO$3001&lt;$AO1018))+1,"")</f>
        <v/>
      </c>
      <c r="AM1018">
        <f>IF($D1018="","",IF(OR($R1018=TRUE(),$R1018="TRUE"),1,0))</f>
        <v/>
      </c>
      <c r="AN1018">
        <f>IF($D1018="","",IF($X1018="Yes",1,0))</f>
        <v/>
      </c>
      <c r="AO1018">
        <f>IF($AK1018=1,IFERROR(IF(VALUE($D1018)&lt;100000000,VALUE($D1018),1000000000),IFERROR(IF(VALUE(MID($D1018,2,20))&lt;100000000,VALUE(MID($D1018,2,20)),1000000000),1000000000))+ROW()/100000,"")</f>
        <v/>
      </c>
    </row>
    <row r="1019">
      <c r="F1019" s="11" t="n"/>
      <c r="N1019" s="7">
        <f>IF($D1019="","",M1019*V1019/100)</f>
        <v/>
      </c>
      <c r="O1019" s="7" t="n"/>
      <c r="U1019" s="7" t="n"/>
      <c r="V1019" s="7" t="n"/>
      <c r="Y1019">
        <f>IF($D1019="","",IF($AN1019=1,0,IF($AM1019=1,Settings!$C$6,Settings!$C$7))*100)</f>
        <v/>
      </c>
      <c r="Z1019" s="7">
        <f>IF($D1019="","",V1019*Y1019/100)</f>
        <v/>
      </c>
      <c r="AA1019" s="7">
        <f>IF($D1019="","",V1019-Z1019)</f>
        <v/>
      </c>
      <c r="AB1019" s="7">
        <f>IF($D1019="","",AA1019-N1019)</f>
        <v/>
      </c>
      <c r="AF1019" s="7" t="n"/>
      <c r="AI1019" s="11" t="n"/>
      <c r="AK1019">
        <f>IF($D1019="","",IF(COUNTIF($D$2:$D1019,$D1019)=1,1,0))</f>
        <v/>
      </c>
      <c r="AL1019">
        <f>IF($AK1019=1,SUMPRODUCT(--($AO$2:$AO$3001&lt;$AO1019))+1,"")</f>
        <v/>
      </c>
      <c r="AM1019">
        <f>IF($D1019="","",IF(OR($R1019=TRUE(),$R1019="TRUE"),1,0))</f>
        <v/>
      </c>
      <c r="AN1019">
        <f>IF($D1019="","",IF($X1019="Yes",1,0))</f>
        <v/>
      </c>
      <c r="AO1019">
        <f>IF($AK1019=1,IFERROR(IF(VALUE($D1019)&lt;100000000,VALUE($D1019),1000000000),IFERROR(IF(VALUE(MID($D1019,2,20))&lt;100000000,VALUE(MID($D1019,2,20)),1000000000),1000000000))+ROW()/100000,"")</f>
        <v/>
      </c>
    </row>
    <row r="1020">
      <c r="F1020" s="11" t="n"/>
      <c r="N1020" s="7">
        <f>IF($D1020="","",M1020*V1020/100)</f>
        <v/>
      </c>
      <c r="O1020" s="7" t="n"/>
      <c r="U1020" s="7" t="n"/>
      <c r="V1020" s="7" t="n"/>
      <c r="Y1020">
        <f>IF($D1020="","",IF($AN1020=1,0,IF($AM1020=1,Settings!$C$6,Settings!$C$7))*100)</f>
        <v/>
      </c>
      <c r="Z1020" s="7">
        <f>IF($D1020="","",V1020*Y1020/100)</f>
        <v/>
      </c>
      <c r="AA1020" s="7">
        <f>IF($D1020="","",V1020-Z1020)</f>
        <v/>
      </c>
      <c r="AB1020" s="7">
        <f>IF($D1020="","",AA1020-N1020)</f>
        <v/>
      </c>
      <c r="AF1020" s="7" t="n"/>
      <c r="AI1020" s="11" t="n"/>
      <c r="AK1020">
        <f>IF($D1020="","",IF(COUNTIF($D$2:$D1020,$D1020)=1,1,0))</f>
        <v/>
      </c>
      <c r="AL1020">
        <f>IF($AK1020=1,SUMPRODUCT(--($AO$2:$AO$3001&lt;$AO1020))+1,"")</f>
        <v/>
      </c>
      <c r="AM1020">
        <f>IF($D1020="","",IF(OR($R1020=TRUE(),$R1020="TRUE"),1,0))</f>
        <v/>
      </c>
      <c r="AN1020">
        <f>IF($D1020="","",IF($X1020="Yes",1,0))</f>
        <v/>
      </c>
      <c r="AO1020">
        <f>IF($AK1020=1,IFERROR(IF(VALUE($D1020)&lt;100000000,VALUE($D1020),1000000000),IFERROR(IF(VALUE(MID($D1020,2,20))&lt;100000000,VALUE(MID($D1020,2,20)),1000000000),1000000000))+ROW()/100000,"")</f>
        <v/>
      </c>
    </row>
    <row r="1021">
      <c r="F1021" s="11" t="n"/>
      <c r="N1021" s="7">
        <f>IF($D1021="","",M1021*V1021/100)</f>
        <v/>
      </c>
      <c r="O1021" s="7" t="n"/>
      <c r="U1021" s="7" t="n"/>
      <c r="V1021" s="7" t="n"/>
      <c r="Y1021">
        <f>IF($D1021="","",IF($AN1021=1,0,IF($AM1021=1,Settings!$C$6,Settings!$C$7))*100)</f>
        <v/>
      </c>
      <c r="Z1021" s="7">
        <f>IF($D1021="","",V1021*Y1021/100)</f>
        <v/>
      </c>
      <c r="AA1021" s="7">
        <f>IF($D1021="","",V1021-Z1021)</f>
        <v/>
      </c>
      <c r="AB1021" s="7">
        <f>IF($D1021="","",AA1021-N1021)</f>
        <v/>
      </c>
      <c r="AF1021" s="7" t="n"/>
      <c r="AI1021" s="11" t="n"/>
      <c r="AK1021">
        <f>IF($D1021="","",IF(COUNTIF($D$2:$D1021,$D1021)=1,1,0))</f>
        <v/>
      </c>
      <c r="AL1021">
        <f>IF($AK1021=1,SUMPRODUCT(--($AO$2:$AO$3001&lt;$AO1021))+1,"")</f>
        <v/>
      </c>
      <c r="AM1021">
        <f>IF($D1021="","",IF(OR($R1021=TRUE(),$R1021="TRUE"),1,0))</f>
        <v/>
      </c>
      <c r="AN1021">
        <f>IF($D1021="","",IF($X1021="Yes",1,0))</f>
        <v/>
      </c>
      <c r="AO1021">
        <f>IF($AK1021=1,IFERROR(IF(VALUE($D1021)&lt;100000000,VALUE($D1021),1000000000),IFERROR(IF(VALUE(MID($D1021,2,20))&lt;100000000,VALUE(MID($D1021,2,20)),1000000000),1000000000))+ROW()/100000,"")</f>
        <v/>
      </c>
    </row>
    <row r="1022">
      <c r="F1022" s="11" t="n"/>
      <c r="N1022" s="7">
        <f>IF($D1022="","",M1022*V1022/100)</f>
        <v/>
      </c>
      <c r="O1022" s="7" t="n"/>
      <c r="U1022" s="7" t="n"/>
      <c r="V1022" s="7" t="n"/>
      <c r="Y1022">
        <f>IF($D1022="","",IF($AN1022=1,0,IF($AM1022=1,Settings!$C$6,Settings!$C$7))*100)</f>
        <v/>
      </c>
      <c r="Z1022" s="7">
        <f>IF($D1022="","",V1022*Y1022/100)</f>
        <v/>
      </c>
      <c r="AA1022" s="7">
        <f>IF($D1022="","",V1022-Z1022)</f>
        <v/>
      </c>
      <c r="AB1022" s="7">
        <f>IF($D1022="","",AA1022-N1022)</f>
        <v/>
      </c>
      <c r="AF1022" s="7" t="n"/>
      <c r="AI1022" s="11" t="n"/>
      <c r="AK1022">
        <f>IF($D1022="","",IF(COUNTIF($D$2:$D1022,$D1022)=1,1,0))</f>
        <v/>
      </c>
      <c r="AL1022">
        <f>IF($AK1022=1,SUMPRODUCT(--($AO$2:$AO$3001&lt;$AO1022))+1,"")</f>
        <v/>
      </c>
      <c r="AM1022">
        <f>IF($D1022="","",IF(OR($R1022=TRUE(),$R1022="TRUE"),1,0))</f>
        <v/>
      </c>
      <c r="AN1022">
        <f>IF($D1022="","",IF($X1022="Yes",1,0))</f>
        <v/>
      </c>
      <c r="AO1022">
        <f>IF($AK1022=1,IFERROR(IF(VALUE($D1022)&lt;100000000,VALUE($D1022),1000000000),IFERROR(IF(VALUE(MID($D1022,2,20))&lt;100000000,VALUE(MID($D1022,2,20)),1000000000),1000000000))+ROW()/100000,"")</f>
        <v/>
      </c>
    </row>
    <row r="1023">
      <c r="F1023" s="11" t="n"/>
      <c r="N1023" s="7">
        <f>IF($D1023="","",M1023*V1023/100)</f>
        <v/>
      </c>
      <c r="O1023" s="7" t="n"/>
      <c r="U1023" s="7" t="n"/>
      <c r="V1023" s="7" t="n"/>
      <c r="Y1023">
        <f>IF($D1023="","",IF($AN1023=1,0,IF($AM1023=1,Settings!$C$6,Settings!$C$7))*100)</f>
        <v/>
      </c>
      <c r="Z1023" s="7">
        <f>IF($D1023="","",V1023*Y1023/100)</f>
        <v/>
      </c>
      <c r="AA1023" s="7">
        <f>IF($D1023="","",V1023-Z1023)</f>
        <v/>
      </c>
      <c r="AB1023" s="7">
        <f>IF($D1023="","",AA1023-N1023)</f>
        <v/>
      </c>
      <c r="AF1023" s="7" t="n"/>
      <c r="AI1023" s="11" t="n"/>
      <c r="AK1023">
        <f>IF($D1023="","",IF(COUNTIF($D$2:$D1023,$D1023)=1,1,0))</f>
        <v/>
      </c>
      <c r="AL1023">
        <f>IF($AK1023=1,SUMPRODUCT(--($AO$2:$AO$3001&lt;$AO1023))+1,"")</f>
        <v/>
      </c>
      <c r="AM1023">
        <f>IF($D1023="","",IF(OR($R1023=TRUE(),$R1023="TRUE"),1,0))</f>
        <v/>
      </c>
      <c r="AN1023">
        <f>IF($D1023="","",IF($X1023="Yes",1,0))</f>
        <v/>
      </c>
      <c r="AO1023">
        <f>IF($AK1023=1,IFERROR(IF(VALUE($D1023)&lt;100000000,VALUE($D1023),1000000000),IFERROR(IF(VALUE(MID($D1023,2,20))&lt;100000000,VALUE(MID($D1023,2,20)),1000000000),1000000000))+ROW()/100000,"")</f>
        <v/>
      </c>
    </row>
    <row r="1024">
      <c r="F1024" s="11" t="n"/>
      <c r="N1024" s="7">
        <f>IF($D1024="","",M1024*V1024/100)</f>
        <v/>
      </c>
      <c r="O1024" s="7" t="n"/>
      <c r="U1024" s="7" t="n"/>
      <c r="V1024" s="7" t="n"/>
      <c r="Y1024">
        <f>IF($D1024="","",IF($AN1024=1,0,IF($AM1024=1,Settings!$C$6,Settings!$C$7))*100)</f>
        <v/>
      </c>
      <c r="Z1024" s="7">
        <f>IF($D1024="","",V1024*Y1024/100)</f>
        <v/>
      </c>
      <c r="AA1024" s="7">
        <f>IF($D1024="","",V1024-Z1024)</f>
        <v/>
      </c>
      <c r="AB1024" s="7">
        <f>IF($D1024="","",AA1024-N1024)</f>
        <v/>
      </c>
      <c r="AF1024" s="7" t="n"/>
      <c r="AI1024" s="11" t="n"/>
      <c r="AK1024">
        <f>IF($D1024="","",IF(COUNTIF($D$2:$D1024,$D1024)=1,1,0))</f>
        <v/>
      </c>
      <c r="AL1024">
        <f>IF($AK1024=1,SUMPRODUCT(--($AO$2:$AO$3001&lt;$AO1024))+1,"")</f>
        <v/>
      </c>
      <c r="AM1024">
        <f>IF($D1024="","",IF(OR($R1024=TRUE(),$R1024="TRUE"),1,0))</f>
        <v/>
      </c>
      <c r="AN1024">
        <f>IF($D1024="","",IF($X1024="Yes",1,0))</f>
        <v/>
      </c>
      <c r="AO1024">
        <f>IF($AK1024=1,IFERROR(IF(VALUE($D1024)&lt;100000000,VALUE($D1024),1000000000),IFERROR(IF(VALUE(MID($D1024,2,20))&lt;100000000,VALUE(MID($D1024,2,20)),1000000000),1000000000))+ROW()/100000,"")</f>
        <v/>
      </c>
    </row>
    <row r="1025">
      <c r="F1025" s="11" t="n"/>
      <c r="N1025" s="7">
        <f>IF($D1025="","",M1025*V1025/100)</f>
        <v/>
      </c>
      <c r="O1025" s="7" t="n"/>
      <c r="U1025" s="7" t="n"/>
      <c r="V1025" s="7" t="n"/>
      <c r="Y1025">
        <f>IF($D1025="","",IF($AN1025=1,0,IF($AM1025=1,Settings!$C$6,Settings!$C$7))*100)</f>
        <v/>
      </c>
      <c r="Z1025" s="7">
        <f>IF($D1025="","",V1025*Y1025/100)</f>
        <v/>
      </c>
      <c r="AA1025" s="7">
        <f>IF($D1025="","",V1025-Z1025)</f>
        <v/>
      </c>
      <c r="AB1025" s="7">
        <f>IF($D1025="","",AA1025-N1025)</f>
        <v/>
      </c>
      <c r="AF1025" s="7" t="n"/>
      <c r="AI1025" s="11" t="n"/>
      <c r="AK1025">
        <f>IF($D1025="","",IF(COUNTIF($D$2:$D1025,$D1025)=1,1,0))</f>
        <v/>
      </c>
      <c r="AL1025">
        <f>IF($AK1025=1,SUMPRODUCT(--($AO$2:$AO$3001&lt;$AO1025))+1,"")</f>
        <v/>
      </c>
      <c r="AM1025">
        <f>IF($D1025="","",IF(OR($R1025=TRUE(),$R1025="TRUE"),1,0))</f>
        <v/>
      </c>
      <c r="AN1025">
        <f>IF($D1025="","",IF($X1025="Yes",1,0))</f>
        <v/>
      </c>
      <c r="AO1025">
        <f>IF($AK1025=1,IFERROR(IF(VALUE($D1025)&lt;100000000,VALUE($D1025),1000000000),IFERROR(IF(VALUE(MID($D1025,2,20))&lt;100000000,VALUE(MID($D1025,2,20)),1000000000),1000000000))+ROW()/100000,"")</f>
        <v/>
      </c>
    </row>
    <row r="1026">
      <c r="F1026" s="11" t="n"/>
      <c r="N1026" s="7">
        <f>IF($D1026="","",M1026*V1026/100)</f>
        <v/>
      </c>
      <c r="O1026" s="7" t="n"/>
      <c r="U1026" s="7" t="n"/>
      <c r="V1026" s="7" t="n"/>
      <c r="Y1026">
        <f>IF($D1026="","",IF($AN1026=1,0,IF($AM1026=1,Settings!$C$6,Settings!$C$7))*100)</f>
        <v/>
      </c>
      <c r="Z1026" s="7">
        <f>IF($D1026="","",V1026*Y1026/100)</f>
        <v/>
      </c>
      <c r="AA1026" s="7">
        <f>IF($D1026="","",V1026-Z1026)</f>
        <v/>
      </c>
      <c r="AB1026" s="7">
        <f>IF($D1026="","",AA1026-N1026)</f>
        <v/>
      </c>
      <c r="AF1026" s="7" t="n"/>
      <c r="AI1026" s="11" t="n"/>
      <c r="AK1026">
        <f>IF($D1026="","",IF(COUNTIF($D$2:$D1026,$D1026)=1,1,0))</f>
        <v/>
      </c>
      <c r="AL1026">
        <f>IF($AK1026=1,SUMPRODUCT(--($AO$2:$AO$3001&lt;$AO1026))+1,"")</f>
        <v/>
      </c>
      <c r="AM1026">
        <f>IF($D1026="","",IF(OR($R1026=TRUE(),$R1026="TRUE"),1,0))</f>
        <v/>
      </c>
      <c r="AN1026">
        <f>IF($D1026="","",IF($X1026="Yes",1,0))</f>
        <v/>
      </c>
      <c r="AO1026">
        <f>IF($AK1026=1,IFERROR(IF(VALUE($D1026)&lt;100000000,VALUE($D1026),1000000000),IFERROR(IF(VALUE(MID($D1026,2,20))&lt;100000000,VALUE(MID($D1026,2,20)),1000000000),1000000000))+ROW()/100000,"")</f>
        <v/>
      </c>
    </row>
    <row r="1027">
      <c r="F1027" s="11" t="n"/>
      <c r="N1027" s="7">
        <f>IF($D1027="","",M1027*V1027/100)</f>
        <v/>
      </c>
      <c r="O1027" s="7" t="n"/>
      <c r="U1027" s="7" t="n"/>
      <c r="V1027" s="7" t="n"/>
      <c r="Y1027">
        <f>IF($D1027="","",IF($AN1027=1,0,IF($AM1027=1,Settings!$C$6,Settings!$C$7))*100)</f>
        <v/>
      </c>
      <c r="Z1027" s="7">
        <f>IF($D1027="","",V1027*Y1027/100)</f>
        <v/>
      </c>
      <c r="AA1027" s="7">
        <f>IF($D1027="","",V1027-Z1027)</f>
        <v/>
      </c>
      <c r="AB1027" s="7">
        <f>IF($D1027="","",AA1027-N1027)</f>
        <v/>
      </c>
      <c r="AF1027" s="7" t="n"/>
      <c r="AI1027" s="11" t="n"/>
      <c r="AK1027">
        <f>IF($D1027="","",IF(COUNTIF($D$2:$D1027,$D1027)=1,1,0))</f>
        <v/>
      </c>
      <c r="AL1027">
        <f>IF($AK1027=1,SUMPRODUCT(--($AO$2:$AO$3001&lt;$AO1027))+1,"")</f>
        <v/>
      </c>
      <c r="AM1027">
        <f>IF($D1027="","",IF(OR($R1027=TRUE(),$R1027="TRUE"),1,0))</f>
        <v/>
      </c>
      <c r="AN1027">
        <f>IF($D1027="","",IF($X1027="Yes",1,0))</f>
        <v/>
      </c>
      <c r="AO1027">
        <f>IF($AK1027=1,IFERROR(IF(VALUE($D1027)&lt;100000000,VALUE($D1027),1000000000),IFERROR(IF(VALUE(MID($D1027,2,20))&lt;100000000,VALUE(MID($D1027,2,20)),1000000000),1000000000))+ROW()/100000,"")</f>
        <v/>
      </c>
    </row>
    <row r="1028">
      <c r="F1028" s="11" t="n"/>
      <c r="N1028" s="7">
        <f>IF($D1028="","",M1028*V1028/100)</f>
        <v/>
      </c>
      <c r="O1028" s="7" t="n"/>
      <c r="U1028" s="7" t="n"/>
      <c r="V1028" s="7" t="n"/>
      <c r="Y1028">
        <f>IF($D1028="","",IF($AN1028=1,0,IF($AM1028=1,Settings!$C$6,Settings!$C$7))*100)</f>
        <v/>
      </c>
      <c r="Z1028" s="7">
        <f>IF($D1028="","",V1028*Y1028/100)</f>
        <v/>
      </c>
      <c r="AA1028" s="7">
        <f>IF($D1028="","",V1028-Z1028)</f>
        <v/>
      </c>
      <c r="AB1028" s="7">
        <f>IF($D1028="","",AA1028-N1028)</f>
        <v/>
      </c>
      <c r="AF1028" s="7" t="n"/>
      <c r="AI1028" s="11" t="n"/>
      <c r="AK1028">
        <f>IF($D1028="","",IF(COUNTIF($D$2:$D1028,$D1028)=1,1,0))</f>
        <v/>
      </c>
      <c r="AL1028">
        <f>IF($AK1028=1,SUMPRODUCT(--($AO$2:$AO$3001&lt;$AO1028))+1,"")</f>
        <v/>
      </c>
      <c r="AM1028">
        <f>IF($D1028="","",IF(OR($R1028=TRUE(),$R1028="TRUE"),1,0))</f>
        <v/>
      </c>
      <c r="AN1028">
        <f>IF($D1028="","",IF($X1028="Yes",1,0))</f>
        <v/>
      </c>
      <c r="AO1028">
        <f>IF($AK1028=1,IFERROR(IF(VALUE($D1028)&lt;100000000,VALUE($D1028),1000000000),IFERROR(IF(VALUE(MID($D1028,2,20))&lt;100000000,VALUE(MID($D1028,2,20)),1000000000),1000000000))+ROW()/100000,"")</f>
        <v/>
      </c>
    </row>
    <row r="1029">
      <c r="F1029" s="11" t="n"/>
      <c r="N1029" s="7">
        <f>IF($D1029="","",M1029*V1029/100)</f>
        <v/>
      </c>
      <c r="O1029" s="7" t="n"/>
      <c r="U1029" s="7" t="n"/>
      <c r="V1029" s="7" t="n"/>
      <c r="Y1029">
        <f>IF($D1029="","",IF($AN1029=1,0,IF($AM1029=1,Settings!$C$6,Settings!$C$7))*100)</f>
        <v/>
      </c>
      <c r="Z1029" s="7">
        <f>IF($D1029="","",V1029*Y1029/100)</f>
        <v/>
      </c>
      <c r="AA1029" s="7">
        <f>IF($D1029="","",V1029-Z1029)</f>
        <v/>
      </c>
      <c r="AB1029" s="7">
        <f>IF($D1029="","",AA1029-N1029)</f>
        <v/>
      </c>
      <c r="AF1029" s="7" t="n"/>
      <c r="AI1029" s="11" t="n"/>
      <c r="AK1029">
        <f>IF($D1029="","",IF(COUNTIF($D$2:$D1029,$D1029)=1,1,0))</f>
        <v/>
      </c>
      <c r="AL1029">
        <f>IF($AK1029=1,SUMPRODUCT(--($AO$2:$AO$3001&lt;$AO1029))+1,"")</f>
        <v/>
      </c>
      <c r="AM1029">
        <f>IF($D1029="","",IF(OR($R1029=TRUE(),$R1029="TRUE"),1,0))</f>
        <v/>
      </c>
      <c r="AN1029">
        <f>IF($D1029="","",IF($X1029="Yes",1,0))</f>
        <v/>
      </c>
      <c r="AO1029">
        <f>IF($AK1029=1,IFERROR(IF(VALUE($D1029)&lt;100000000,VALUE($D1029),1000000000),IFERROR(IF(VALUE(MID($D1029,2,20))&lt;100000000,VALUE(MID($D1029,2,20)),1000000000),1000000000))+ROW()/100000,"")</f>
        <v/>
      </c>
    </row>
    <row r="1030">
      <c r="F1030" s="11" t="n"/>
      <c r="N1030" s="7">
        <f>IF($D1030="","",M1030*V1030/100)</f>
        <v/>
      </c>
      <c r="O1030" s="7" t="n"/>
      <c r="U1030" s="7" t="n"/>
      <c r="V1030" s="7" t="n"/>
      <c r="Y1030">
        <f>IF($D1030="","",IF($AN1030=1,0,IF($AM1030=1,Settings!$C$6,Settings!$C$7))*100)</f>
        <v/>
      </c>
      <c r="Z1030" s="7">
        <f>IF($D1030="","",V1030*Y1030/100)</f>
        <v/>
      </c>
      <c r="AA1030" s="7">
        <f>IF($D1030="","",V1030-Z1030)</f>
        <v/>
      </c>
      <c r="AB1030" s="7">
        <f>IF($D1030="","",AA1030-N1030)</f>
        <v/>
      </c>
      <c r="AF1030" s="7" t="n"/>
      <c r="AI1030" s="11" t="n"/>
      <c r="AK1030">
        <f>IF($D1030="","",IF(COUNTIF($D$2:$D1030,$D1030)=1,1,0))</f>
        <v/>
      </c>
      <c r="AL1030">
        <f>IF($AK1030=1,SUMPRODUCT(--($AO$2:$AO$3001&lt;$AO1030))+1,"")</f>
        <v/>
      </c>
      <c r="AM1030">
        <f>IF($D1030="","",IF(OR($R1030=TRUE(),$R1030="TRUE"),1,0))</f>
        <v/>
      </c>
      <c r="AN1030">
        <f>IF($D1030="","",IF($X1030="Yes",1,0))</f>
        <v/>
      </c>
      <c r="AO1030">
        <f>IF($AK1030=1,IFERROR(IF(VALUE($D1030)&lt;100000000,VALUE($D1030),1000000000),IFERROR(IF(VALUE(MID($D1030,2,20))&lt;100000000,VALUE(MID($D1030,2,20)),1000000000),1000000000))+ROW()/100000,"")</f>
        <v/>
      </c>
    </row>
    <row r="1031">
      <c r="F1031" s="11" t="n"/>
      <c r="N1031" s="7">
        <f>IF($D1031="","",M1031*V1031/100)</f>
        <v/>
      </c>
      <c r="O1031" s="7" t="n"/>
      <c r="U1031" s="7" t="n"/>
      <c r="V1031" s="7" t="n"/>
      <c r="Y1031">
        <f>IF($D1031="","",IF($AN1031=1,0,IF($AM1031=1,Settings!$C$6,Settings!$C$7))*100)</f>
        <v/>
      </c>
      <c r="Z1031" s="7">
        <f>IF($D1031="","",V1031*Y1031/100)</f>
        <v/>
      </c>
      <c r="AA1031" s="7">
        <f>IF($D1031="","",V1031-Z1031)</f>
        <v/>
      </c>
      <c r="AB1031" s="7">
        <f>IF($D1031="","",AA1031-N1031)</f>
        <v/>
      </c>
      <c r="AF1031" s="7" t="n"/>
      <c r="AI1031" s="11" t="n"/>
      <c r="AK1031">
        <f>IF($D1031="","",IF(COUNTIF($D$2:$D1031,$D1031)=1,1,0))</f>
        <v/>
      </c>
      <c r="AL1031">
        <f>IF($AK1031=1,SUMPRODUCT(--($AO$2:$AO$3001&lt;$AO1031))+1,"")</f>
        <v/>
      </c>
      <c r="AM1031">
        <f>IF($D1031="","",IF(OR($R1031=TRUE(),$R1031="TRUE"),1,0))</f>
        <v/>
      </c>
      <c r="AN1031">
        <f>IF($D1031="","",IF($X1031="Yes",1,0))</f>
        <v/>
      </c>
      <c r="AO1031">
        <f>IF($AK1031=1,IFERROR(IF(VALUE($D1031)&lt;100000000,VALUE($D1031),1000000000),IFERROR(IF(VALUE(MID($D1031,2,20))&lt;100000000,VALUE(MID($D1031,2,20)),1000000000),1000000000))+ROW()/100000,"")</f>
        <v/>
      </c>
    </row>
    <row r="1032">
      <c r="F1032" s="11" t="n"/>
      <c r="N1032" s="7">
        <f>IF($D1032="","",M1032*V1032/100)</f>
        <v/>
      </c>
      <c r="O1032" s="7" t="n"/>
      <c r="U1032" s="7" t="n"/>
      <c r="V1032" s="7" t="n"/>
      <c r="Y1032">
        <f>IF($D1032="","",IF($AN1032=1,0,IF($AM1032=1,Settings!$C$6,Settings!$C$7))*100)</f>
        <v/>
      </c>
      <c r="Z1032" s="7">
        <f>IF($D1032="","",V1032*Y1032/100)</f>
        <v/>
      </c>
      <c r="AA1032" s="7">
        <f>IF($D1032="","",V1032-Z1032)</f>
        <v/>
      </c>
      <c r="AB1032" s="7">
        <f>IF($D1032="","",AA1032-N1032)</f>
        <v/>
      </c>
      <c r="AF1032" s="7" t="n"/>
      <c r="AI1032" s="11" t="n"/>
      <c r="AK1032">
        <f>IF($D1032="","",IF(COUNTIF($D$2:$D1032,$D1032)=1,1,0))</f>
        <v/>
      </c>
      <c r="AL1032">
        <f>IF($AK1032=1,SUMPRODUCT(--($AO$2:$AO$3001&lt;$AO1032))+1,"")</f>
        <v/>
      </c>
      <c r="AM1032">
        <f>IF($D1032="","",IF(OR($R1032=TRUE(),$R1032="TRUE"),1,0))</f>
        <v/>
      </c>
      <c r="AN1032">
        <f>IF($D1032="","",IF($X1032="Yes",1,0))</f>
        <v/>
      </c>
      <c r="AO1032">
        <f>IF($AK1032=1,IFERROR(IF(VALUE($D1032)&lt;100000000,VALUE($D1032),1000000000),IFERROR(IF(VALUE(MID($D1032,2,20))&lt;100000000,VALUE(MID($D1032,2,20)),1000000000),1000000000))+ROW()/100000,"")</f>
        <v/>
      </c>
    </row>
    <row r="1033">
      <c r="F1033" s="11" t="n"/>
      <c r="N1033" s="7">
        <f>IF($D1033="","",M1033*V1033/100)</f>
        <v/>
      </c>
      <c r="O1033" s="7" t="n"/>
      <c r="U1033" s="7" t="n"/>
      <c r="V1033" s="7" t="n"/>
      <c r="Y1033">
        <f>IF($D1033="","",IF($AN1033=1,0,IF($AM1033=1,Settings!$C$6,Settings!$C$7))*100)</f>
        <v/>
      </c>
      <c r="Z1033" s="7">
        <f>IF($D1033="","",V1033*Y1033/100)</f>
        <v/>
      </c>
      <c r="AA1033" s="7">
        <f>IF($D1033="","",V1033-Z1033)</f>
        <v/>
      </c>
      <c r="AB1033" s="7">
        <f>IF($D1033="","",AA1033-N1033)</f>
        <v/>
      </c>
      <c r="AF1033" s="7" t="n"/>
      <c r="AI1033" s="11" t="n"/>
      <c r="AK1033">
        <f>IF($D1033="","",IF(COUNTIF($D$2:$D1033,$D1033)=1,1,0))</f>
        <v/>
      </c>
      <c r="AL1033">
        <f>IF($AK1033=1,SUMPRODUCT(--($AO$2:$AO$3001&lt;$AO1033))+1,"")</f>
        <v/>
      </c>
      <c r="AM1033">
        <f>IF($D1033="","",IF(OR($R1033=TRUE(),$R1033="TRUE"),1,0))</f>
        <v/>
      </c>
      <c r="AN1033">
        <f>IF($D1033="","",IF($X1033="Yes",1,0))</f>
        <v/>
      </c>
      <c r="AO1033">
        <f>IF($AK1033=1,IFERROR(IF(VALUE($D1033)&lt;100000000,VALUE($D1033),1000000000),IFERROR(IF(VALUE(MID($D1033,2,20))&lt;100000000,VALUE(MID($D1033,2,20)),1000000000),1000000000))+ROW()/100000,"")</f>
        <v/>
      </c>
    </row>
    <row r="1034">
      <c r="F1034" s="11" t="n"/>
      <c r="N1034" s="7">
        <f>IF($D1034="","",M1034*V1034/100)</f>
        <v/>
      </c>
      <c r="O1034" s="7" t="n"/>
      <c r="U1034" s="7" t="n"/>
      <c r="V1034" s="7" t="n"/>
      <c r="Y1034">
        <f>IF($D1034="","",IF($AN1034=1,0,IF($AM1034=1,Settings!$C$6,Settings!$C$7))*100)</f>
        <v/>
      </c>
      <c r="Z1034" s="7">
        <f>IF($D1034="","",V1034*Y1034/100)</f>
        <v/>
      </c>
      <c r="AA1034" s="7">
        <f>IF($D1034="","",V1034-Z1034)</f>
        <v/>
      </c>
      <c r="AB1034" s="7">
        <f>IF($D1034="","",AA1034-N1034)</f>
        <v/>
      </c>
      <c r="AF1034" s="7" t="n"/>
      <c r="AI1034" s="11" t="n"/>
      <c r="AK1034">
        <f>IF($D1034="","",IF(COUNTIF($D$2:$D1034,$D1034)=1,1,0))</f>
        <v/>
      </c>
      <c r="AL1034">
        <f>IF($AK1034=1,SUMPRODUCT(--($AO$2:$AO$3001&lt;$AO1034))+1,"")</f>
        <v/>
      </c>
      <c r="AM1034">
        <f>IF($D1034="","",IF(OR($R1034=TRUE(),$R1034="TRUE"),1,0))</f>
        <v/>
      </c>
      <c r="AN1034">
        <f>IF($D1034="","",IF($X1034="Yes",1,0))</f>
        <v/>
      </c>
      <c r="AO1034">
        <f>IF($AK1034=1,IFERROR(IF(VALUE($D1034)&lt;100000000,VALUE($D1034),1000000000),IFERROR(IF(VALUE(MID($D1034,2,20))&lt;100000000,VALUE(MID($D1034,2,20)),1000000000),1000000000))+ROW()/100000,"")</f>
        <v/>
      </c>
    </row>
    <row r="1035">
      <c r="F1035" s="11" t="n"/>
      <c r="N1035" s="7">
        <f>IF($D1035="","",M1035*V1035/100)</f>
        <v/>
      </c>
      <c r="O1035" s="7" t="n"/>
      <c r="U1035" s="7" t="n"/>
      <c r="V1035" s="7" t="n"/>
      <c r="Y1035">
        <f>IF($D1035="","",IF($AN1035=1,0,IF($AM1035=1,Settings!$C$6,Settings!$C$7))*100)</f>
        <v/>
      </c>
      <c r="Z1035" s="7">
        <f>IF($D1035="","",V1035*Y1035/100)</f>
        <v/>
      </c>
      <c r="AA1035" s="7">
        <f>IF($D1035="","",V1035-Z1035)</f>
        <v/>
      </c>
      <c r="AB1035" s="7">
        <f>IF($D1035="","",AA1035-N1035)</f>
        <v/>
      </c>
      <c r="AF1035" s="7" t="n"/>
      <c r="AI1035" s="11" t="n"/>
      <c r="AK1035">
        <f>IF($D1035="","",IF(COUNTIF($D$2:$D1035,$D1035)=1,1,0))</f>
        <v/>
      </c>
      <c r="AL1035">
        <f>IF($AK1035=1,SUMPRODUCT(--($AO$2:$AO$3001&lt;$AO1035))+1,"")</f>
        <v/>
      </c>
      <c r="AM1035">
        <f>IF($D1035="","",IF(OR($R1035=TRUE(),$R1035="TRUE"),1,0))</f>
        <v/>
      </c>
      <c r="AN1035">
        <f>IF($D1035="","",IF($X1035="Yes",1,0))</f>
        <v/>
      </c>
      <c r="AO1035">
        <f>IF($AK1035=1,IFERROR(IF(VALUE($D1035)&lt;100000000,VALUE($D1035),1000000000),IFERROR(IF(VALUE(MID($D1035,2,20))&lt;100000000,VALUE(MID($D1035,2,20)),1000000000),1000000000))+ROW()/100000,"")</f>
        <v/>
      </c>
    </row>
    <row r="1036">
      <c r="F1036" s="11" t="n"/>
      <c r="N1036" s="7">
        <f>IF($D1036="","",M1036*V1036/100)</f>
        <v/>
      </c>
      <c r="O1036" s="7" t="n"/>
      <c r="U1036" s="7" t="n"/>
      <c r="V1036" s="7" t="n"/>
      <c r="Y1036">
        <f>IF($D1036="","",IF($AN1036=1,0,IF($AM1036=1,Settings!$C$6,Settings!$C$7))*100)</f>
        <v/>
      </c>
      <c r="Z1036" s="7">
        <f>IF($D1036="","",V1036*Y1036/100)</f>
        <v/>
      </c>
      <c r="AA1036" s="7">
        <f>IF($D1036="","",V1036-Z1036)</f>
        <v/>
      </c>
      <c r="AB1036" s="7">
        <f>IF($D1036="","",AA1036-N1036)</f>
        <v/>
      </c>
      <c r="AF1036" s="7" t="n"/>
      <c r="AI1036" s="11" t="n"/>
      <c r="AK1036">
        <f>IF($D1036="","",IF(COUNTIF($D$2:$D1036,$D1036)=1,1,0))</f>
        <v/>
      </c>
      <c r="AL1036">
        <f>IF($AK1036=1,SUMPRODUCT(--($AO$2:$AO$3001&lt;$AO1036))+1,"")</f>
        <v/>
      </c>
      <c r="AM1036">
        <f>IF($D1036="","",IF(OR($R1036=TRUE(),$R1036="TRUE"),1,0))</f>
        <v/>
      </c>
      <c r="AN1036">
        <f>IF($D1036="","",IF($X1036="Yes",1,0))</f>
        <v/>
      </c>
      <c r="AO1036">
        <f>IF($AK1036=1,IFERROR(IF(VALUE($D1036)&lt;100000000,VALUE($D1036),1000000000),IFERROR(IF(VALUE(MID($D1036,2,20))&lt;100000000,VALUE(MID($D1036,2,20)),1000000000),1000000000))+ROW()/100000,"")</f>
        <v/>
      </c>
    </row>
    <row r="1037">
      <c r="F1037" s="11" t="n"/>
      <c r="N1037" s="7">
        <f>IF($D1037="","",M1037*V1037/100)</f>
        <v/>
      </c>
      <c r="O1037" s="7" t="n"/>
      <c r="U1037" s="7" t="n"/>
      <c r="V1037" s="7" t="n"/>
      <c r="Y1037">
        <f>IF($D1037="","",IF($AN1037=1,0,IF($AM1037=1,Settings!$C$6,Settings!$C$7))*100)</f>
        <v/>
      </c>
      <c r="Z1037" s="7">
        <f>IF($D1037="","",V1037*Y1037/100)</f>
        <v/>
      </c>
      <c r="AA1037" s="7">
        <f>IF($D1037="","",V1037-Z1037)</f>
        <v/>
      </c>
      <c r="AB1037" s="7">
        <f>IF($D1037="","",AA1037-N1037)</f>
        <v/>
      </c>
      <c r="AF1037" s="7" t="n"/>
      <c r="AI1037" s="11" t="n"/>
      <c r="AK1037">
        <f>IF($D1037="","",IF(COUNTIF($D$2:$D1037,$D1037)=1,1,0))</f>
        <v/>
      </c>
      <c r="AL1037">
        <f>IF($AK1037=1,SUMPRODUCT(--($AO$2:$AO$3001&lt;$AO1037))+1,"")</f>
        <v/>
      </c>
      <c r="AM1037">
        <f>IF($D1037="","",IF(OR($R1037=TRUE(),$R1037="TRUE"),1,0))</f>
        <v/>
      </c>
      <c r="AN1037">
        <f>IF($D1037="","",IF($X1037="Yes",1,0))</f>
        <v/>
      </c>
      <c r="AO1037">
        <f>IF($AK1037=1,IFERROR(IF(VALUE($D1037)&lt;100000000,VALUE($D1037),1000000000),IFERROR(IF(VALUE(MID($D1037,2,20))&lt;100000000,VALUE(MID($D1037,2,20)),1000000000),1000000000))+ROW()/100000,"")</f>
        <v/>
      </c>
    </row>
    <row r="1038">
      <c r="F1038" s="11" t="n"/>
      <c r="N1038" s="7">
        <f>IF($D1038="","",M1038*V1038/100)</f>
        <v/>
      </c>
      <c r="O1038" s="7" t="n"/>
      <c r="U1038" s="7" t="n"/>
      <c r="V1038" s="7" t="n"/>
      <c r="Y1038">
        <f>IF($D1038="","",IF($AN1038=1,0,IF($AM1038=1,Settings!$C$6,Settings!$C$7))*100)</f>
        <v/>
      </c>
      <c r="Z1038" s="7">
        <f>IF($D1038="","",V1038*Y1038/100)</f>
        <v/>
      </c>
      <c r="AA1038" s="7">
        <f>IF($D1038="","",V1038-Z1038)</f>
        <v/>
      </c>
      <c r="AB1038" s="7">
        <f>IF($D1038="","",AA1038-N1038)</f>
        <v/>
      </c>
      <c r="AF1038" s="7" t="n"/>
      <c r="AI1038" s="11" t="n"/>
      <c r="AK1038">
        <f>IF($D1038="","",IF(COUNTIF($D$2:$D1038,$D1038)=1,1,0))</f>
        <v/>
      </c>
      <c r="AL1038">
        <f>IF($AK1038=1,SUMPRODUCT(--($AO$2:$AO$3001&lt;$AO1038))+1,"")</f>
        <v/>
      </c>
      <c r="AM1038">
        <f>IF($D1038="","",IF(OR($R1038=TRUE(),$R1038="TRUE"),1,0))</f>
        <v/>
      </c>
      <c r="AN1038">
        <f>IF($D1038="","",IF($X1038="Yes",1,0))</f>
        <v/>
      </c>
      <c r="AO1038">
        <f>IF($AK1038=1,IFERROR(IF(VALUE($D1038)&lt;100000000,VALUE($D1038),1000000000),IFERROR(IF(VALUE(MID($D1038,2,20))&lt;100000000,VALUE(MID($D1038,2,20)),1000000000),1000000000))+ROW()/100000,"")</f>
        <v/>
      </c>
    </row>
    <row r="1039">
      <c r="F1039" s="11" t="n"/>
      <c r="N1039" s="7">
        <f>IF($D1039="","",M1039*V1039/100)</f>
        <v/>
      </c>
      <c r="O1039" s="7" t="n"/>
      <c r="U1039" s="7" t="n"/>
      <c r="V1039" s="7" t="n"/>
      <c r="Y1039">
        <f>IF($D1039="","",IF($AN1039=1,0,IF($AM1039=1,Settings!$C$6,Settings!$C$7))*100)</f>
        <v/>
      </c>
      <c r="Z1039" s="7">
        <f>IF($D1039="","",V1039*Y1039/100)</f>
        <v/>
      </c>
      <c r="AA1039" s="7">
        <f>IF($D1039="","",V1039-Z1039)</f>
        <v/>
      </c>
      <c r="AB1039" s="7">
        <f>IF($D1039="","",AA1039-N1039)</f>
        <v/>
      </c>
      <c r="AF1039" s="7" t="n"/>
      <c r="AI1039" s="11" t="n"/>
      <c r="AK1039">
        <f>IF($D1039="","",IF(COUNTIF($D$2:$D1039,$D1039)=1,1,0))</f>
        <v/>
      </c>
      <c r="AL1039">
        <f>IF($AK1039=1,SUMPRODUCT(--($AO$2:$AO$3001&lt;$AO1039))+1,"")</f>
        <v/>
      </c>
      <c r="AM1039">
        <f>IF($D1039="","",IF(OR($R1039=TRUE(),$R1039="TRUE"),1,0))</f>
        <v/>
      </c>
      <c r="AN1039">
        <f>IF($D1039="","",IF($X1039="Yes",1,0))</f>
        <v/>
      </c>
      <c r="AO1039">
        <f>IF($AK1039=1,IFERROR(IF(VALUE($D1039)&lt;100000000,VALUE($D1039),1000000000),IFERROR(IF(VALUE(MID($D1039,2,20))&lt;100000000,VALUE(MID($D1039,2,20)),1000000000),1000000000))+ROW()/100000,"")</f>
        <v/>
      </c>
    </row>
    <row r="1040">
      <c r="F1040" s="11" t="n"/>
      <c r="N1040" s="7">
        <f>IF($D1040="","",M1040*V1040/100)</f>
        <v/>
      </c>
      <c r="O1040" s="7" t="n"/>
      <c r="U1040" s="7" t="n"/>
      <c r="V1040" s="7" t="n"/>
      <c r="Y1040">
        <f>IF($D1040="","",IF($AN1040=1,0,IF($AM1040=1,Settings!$C$6,Settings!$C$7))*100)</f>
        <v/>
      </c>
      <c r="Z1040" s="7">
        <f>IF($D1040="","",V1040*Y1040/100)</f>
        <v/>
      </c>
      <c r="AA1040" s="7">
        <f>IF($D1040="","",V1040-Z1040)</f>
        <v/>
      </c>
      <c r="AB1040" s="7">
        <f>IF($D1040="","",AA1040-N1040)</f>
        <v/>
      </c>
      <c r="AF1040" s="7" t="n"/>
      <c r="AI1040" s="11" t="n"/>
      <c r="AK1040">
        <f>IF($D1040="","",IF(COUNTIF($D$2:$D1040,$D1040)=1,1,0))</f>
        <v/>
      </c>
      <c r="AL1040">
        <f>IF($AK1040=1,SUMPRODUCT(--($AO$2:$AO$3001&lt;$AO1040))+1,"")</f>
        <v/>
      </c>
      <c r="AM1040">
        <f>IF($D1040="","",IF(OR($R1040=TRUE(),$R1040="TRUE"),1,0))</f>
        <v/>
      </c>
      <c r="AN1040">
        <f>IF($D1040="","",IF($X1040="Yes",1,0))</f>
        <v/>
      </c>
      <c r="AO1040">
        <f>IF($AK1040=1,IFERROR(IF(VALUE($D1040)&lt;100000000,VALUE($D1040),1000000000),IFERROR(IF(VALUE(MID($D1040,2,20))&lt;100000000,VALUE(MID($D1040,2,20)),1000000000),1000000000))+ROW()/100000,"")</f>
        <v/>
      </c>
    </row>
    <row r="1041">
      <c r="F1041" s="11" t="n"/>
      <c r="N1041" s="7">
        <f>IF($D1041="","",M1041*V1041/100)</f>
        <v/>
      </c>
      <c r="O1041" s="7" t="n"/>
      <c r="U1041" s="7" t="n"/>
      <c r="V1041" s="7" t="n"/>
      <c r="Y1041">
        <f>IF($D1041="","",IF($AN1041=1,0,IF($AM1041=1,Settings!$C$6,Settings!$C$7))*100)</f>
        <v/>
      </c>
      <c r="Z1041" s="7">
        <f>IF($D1041="","",V1041*Y1041/100)</f>
        <v/>
      </c>
      <c r="AA1041" s="7">
        <f>IF($D1041="","",V1041-Z1041)</f>
        <v/>
      </c>
      <c r="AB1041" s="7">
        <f>IF($D1041="","",AA1041-N1041)</f>
        <v/>
      </c>
      <c r="AF1041" s="7" t="n"/>
      <c r="AI1041" s="11" t="n"/>
      <c r="AK1041">
        <f>IF($D1041="","",IF(COUNTIF($D$2:$D1041,$D1041)=1,1,0))</f>
        <v/>
      </c>
      <c r="AL1041">
        <f>IF($AK1041=1,SUMPRODUCT(--($AO$2:$AO$3001&lt;$AO1041))+1,"")</f>
        <v/>
      </c>
      <c r="AM1041">
        <f>IF($D1041="","",IF(OR($R1041=TRUE(),$R1041="TRUE"),1,0))</f>
        <v/>
      </c>
      <c r="AN1041">
        <f>IF($D1041="","",IF($X1041="Yes",1,0))</f>
        <v/>
      </c>
      <c r="AO1041">
        <f>IF($AK1041=1,IFERROR(IF(VALUE($D1041)&lt;100000000,VALUE($D1041),1000000000),IFERROR(IF(VALUE(MID($D1041,2,20))&lt;100000000,VALUE(MID($D1041,2,20)),1000000000),1000000000))+ROW()/100000,"")</f>
        <v/>
      </c>
    </row>
    <row r="1042">
      <c r="F1042" s="11" t="n"/>
      <c r="N1042" s="7">
        <f>IF($D1042="","",M1042*V1042/100)</f>
        <v/>
      </c>
      <c r="O1042" s="7" t="n"/>
      <c r="U1042" s="7" t="n"/>
      <c r="V1042" s="7" t="n"/>
      <c r="Y1042">
        <f>IF($D1042="","",IF($AN1042=1,0,IF($AM1042=1,Settings!$C$6,Settings!$C$7))*100)</f>
        <v/>
      </c>
      <c r="Z1042" s="7">
        <f>IF($D1042="","",V1042*Y1042/100)</f>
        <v/>
      </c>
      <c r="AA1042" s="7">
        <f>IF($D1042="","",V1042-Z1042)</f>
        <v/>
      </c>
      <c r="AB1042" s="7">
        <f>IF($D1042="","",AA1042-N1042)</f>
        <v/>
      </c>
      <c r="AF1042" s="7" t="n"/>
      <c r="AI1042" s="11" t="n"/>
      <c r="AK1042">
        <f>IF($D1042="","",IF(COUNTIF($D$2:$D1042,$D1042)=1,1,0))</f>
        <v/>
      </c>
      <c r="AL1042">
        <f>IF($AK1042=1,SUMPRODUCT(--($AO$2:$AO$3001&lt;$AO1042))+1,"")</f>
        <v/>
      </c>
      <c r="AM1042">
        <f>IF($D1042="","",IF(OR($R1042=TRUE(),$R1042="TRUE"),1,0))</f>
        <v/>
      </c>
      <c r="AN1042">
        <f>IF($D1042="","",IF($X1042="Yes",1,0))</f>
        <v/>
      </c>
      <c r="AO1042">
        <f>IF($AK1042=1,IFERROR(IF(VALUE($D1042)&lt;100000000,VALUE($D1042),1000000000),IFERROR(IF(VALUE(MID($D1042,2,20))&lt;100000000,VALUE(MID($D1042,2,20)),1000000000),1000000000))+ROW()/100000,"")</f>
        <v/>
      </c>
    </row>
    <row r="1043">
      <c r="F1043" s="11" t="n"/>
      <c r="N1043" s="7">
        <f>IF($D1043="","",M1043*V1043/100)</f>
        <v/>
      </c>
      <c r="O1043" s="7" t="n"/>
      <c r="U1043" s="7" t="n"/>
      <c r="V1043" s="7" t="n"/>
      <c r="Y1043">
        <f>IF($D1043="","",IF($AN1043=1,0,IF($AM1043=1,Settings!$C$6,Settings!$C$7))*100)</f>
        <v/>
      </c>
      <c r="Z1043" s="7">
        <f>IF($D1043="","",V1043*Y1043/100)</f>
        <v/>
      </c>
      <c r="AA1043" s="7">
        <f>IF($D1043="","",V1043-Z1043)</f>
        <v/>
      </c>
      <c r="AB1043" s="7">
        <f>IF($D1043="","",AA1043-N1043)</f>
        <v/>
      </c>
      <c r="AF1043" s="7" t="n"/>
      <c r="AI1043" s="11" t="n"/>
      <c r="AK1043">
        <f>IF($D1043="","",IF(COUNTIF($D$2:$D1043,$D1043)=1,1,0))</f>
        <v/>
      </c>
      <c r="AL1043">
        <f>IF($AK1043=1,SUMPRODUCT(--($AO$2:$AO$3001&lt;$AO1043))+1,"")</f>
        <v/>
      </c>
      <c r="AM1043">
        <f>IF($D1043="","",IF(OR($R1043=TRUE(),$R1043="TRUE"),1,0))</f>
        <v/>
      </c>
      <c r="AN1043">
        <f>IF($D1043="","",IF($X1043="Yes",1,0))</f>
        <v/>
      </c>
      <c r="AO1043">
        <f>IF($AK1043=1,IFERROR(IF(VALUE($D1043)&lt;100000000,VALUE($D1043),1000000000),IFERROR(IF(VALUE(MID($D1043,2,20))&lt;100000000,VALUE(MID($D1043,2,20)),1000000000),1000000000))+ROW()/100000,"")</f>
        <v/>
      </c>
    </row>
    <row r="1044">
      <c r="F1044" s="11" t="n"/>
      <c r="N1044" s="7">
        <f>IF($D1044="","",M1044*V1044/100)</f>
        <v/>
      </c>
      <c r="O1044" s="7" t="n"/>
      <c r="U1044" s="7" t="n"/>
      <c r="V1044" s="7" t="n"/>
      <c r="Y1044">
        <f>IF($D1044="","",IF($AN1044=1,0,IF($AM1044=1,Settings!$C$6,Settings!$C$7))*100)</f>
        <v/>
      </c>
      <c r="Z1044" s="7">
        <f>IF($D1044="","",V1044*Y1044/100)</f>
        <v/>
      </c>
      <c r="AA1044" s="7">
        <f>IF($D1044="","",V1044-Z1044)</f>
        <v/>
      </c>
      <c r="AB1044" s="7">
        <f>IF($D1044="","",AA1044-N1044)</f>
        <v/>
      </c>
      <c r="AF1044" s="7" t="n"/>
      <c r="AI1044" s="11" t="n"/>
      <c r="AK1044">
        <f>IF($D1044="","",IF(COUNTIF($D$2:$D1044,$D1044)=1,1,0))</f>
        <v/>
      </c>
      <c r="AL1044">
        <f>IF($AK1044=1,SUMPRODUCT(--($AO$2:$AO$3001&lt;$AO1044))+1,"")</f>
        <v/>
      </c>
      <c r="AM1044">
        <f>IF($D1044="","",IF(OR($R1044=TRUE(),$R1044="TRUE"),1,0))</f>
        <v/>
      </c>
      <c r="AN1044">
        <f>IF($D1044="","",IF($X1044="Yes",1,0))</f>
        <v/>
      </c>
      <c r="AO1044">
        <f>IF($AK1044=1,IFERROR(IF(VALUE($D1044)&lt;100000000,VALUE($D1044),1000000000),IFERROR(IF(VALUE(MID($D1044,2,20))&lt;100000000,VALUE(MID($D1044,2,20)),1000000000),1000000000))+ROW()/100000,"")</f>
        <v/>
      </c>
    </row>
    <row r="1045">
      <c r="F1045" s="11" t="n"/>
      <c r="N1045" s="7">
        <f>IF($D1045="","",M1045*V1045/100)</f>
        <v/>
      </c>
      <c r="O1045" s="7" t="n"/>
      <c r="U1045" s="7" t="n"/>
      <c r="V1045" s="7" t="n"/>
      <c r="Y1045">
        <f>IF($D1045="","",IF($AN1045=1,0,IF($AM1045=1,Settings!$C$6,Settings!$C$7))*100)</f>
        <v/>
      </c>
      <c r="Z1045" s="7">
        <f>IF($D1045="","",V1045*Y1045/100)</f>
        <v/>
      </c>
      <c r="AA1045" s="7">
        <f>IF($D1045="","",V1045-Z1045)</f>
        <v/>
      </c>
      <c r="AB1045" s="7">
        <f>IF($D1045="","",AA1045-N1045)</f>
        <v/>
      </c>
      <c r="AF1045" s="7" t="n"/>
      <c r="AI1045" s="11" t="n"/>
      <c r="AK1045">
        <f>IF($D1045="","",IF(COUNTIF($D$2:$D1045,$D1045)=1,1,0))</f>
        <v/>
      </c>
      <c r="AL1045">
        <f>IF($AK1045=1,SUMPRODUCT(--($AO$2:$AO$3001&lt;$AO1045))+1,"")</f>
        <v/>
      </c>
      <c r="AM1045">
        <f>IF($D1045="","",IF(OR($R1045=TRUE(),$R1045="TRUE"),1,0))</f>
        <v/>
      </c>
      <c r="AN1045">
        <f>IF($D1045="","",IF($X1045="Yes",1,0))</f>
        <v/>
      </c>
      <c r="AO1045">
        <f>IF($AK1045=1,IFERROR(IF(VALUE($D1045)&lt;100000000,VALUE($D1045),1000000000),IFERROR(IF(VALUE(MID($D1045,2,20))&lt;100000000,VALUE(MID($D1045,2,20)),1000000000),1000000000))+ROW()/100000,"")</f>
        <v/>
      </c>
    </row>
    <row r="1046">
      <c r="F1046" s="11" t="n"/>
      <c r="N1046" s="7">
        <f>IF($D1046="","",M1046*V1046/100)</f>
        <v/>
      </c>
      <c r="O1046" s="7" t="n"/>
      <c r="U1046" s="7" t="n"/>
      <c r="V1046" s="7" t="n"/>
      <c r="Y1046">
        <f>IF($D1046="","",IF($AN1046=1,0,IF($AM1046=1,Settings!$C$6,Settings!$C$7))*100)</f>
        <v/>
      </c>
      <c r="Z1046" s="7">
        <f>IF($D1046="","",V1046*Y1046/100)</f>
        <v/>
      </c>
      <c r="AA1046" s="7">
        <f>IF($D1046="","",V1046-Z1046)</f>
        <v/>
      </c>
      <c r="AB1046" s="7">
        <f>IF($D1046="","",AA1046-N1046)</f>
        <v/>
      </c>
      <c r="AF1046" s="7" t="n"/>
      <c r="AI1046" s="11" t="n"/>
      <c r="AK1046">
        <f>IF($D1046="","",IF(COUNTIF($D$2:$D1046,$D1046)=1,1,0))</f>
        <v/>
      </c>
      <c r="AL1046">
        <f>IF($AK1046=1,SUMPRODUCT(--($AO$2:$AO$3001&lt;$AO1046))+1,"")</f>
        <v/>
      </c>
      <c r="AM1046">
        <f>IF($D1046="","",IF(OR($R1046=TRUE(),$R1046="TRUE"),1,0))</f>
        <v/>
      </c>
      <c r="AN1046">
        <f>IF($D1046="","",IF($X1046="Yes",1,0))</f>
        <v/>
      </c>
      <c r="AO1046">
        <f>IF($AK1046=1,IFERROR(IF(VALUE($D1046)&lt;100000000,VALUE($D1046),1000000000),IFERROR(IF(VALUE(MID($D1046,2,20))&lt;100000000,VALUE(MID($D1046,2,20)),1000000000),1000000000))+ROW()/100000,"")</f>
        <v/>
      </c>
    </row>
    <row r="1047">
      <c r="F1047" s="11" t="n"/>
      <c r="N1047" s="7">
        <f>IF($D1047="","",M1047*V1047/100)</f>
        <v/>
      </c>
      <c r="O1047" s="7" t="n"/>
      <c r="U1047" s="7" t="n"/>
      <c r="V1047" s="7" t="n"/>
      <c r="Y1047">
        <f>IF($D1047="","",IF($AN1047=1,0,IF($AM1047=1,Settings!$C$6,Settings!$C$7))*100)</f>
        <v/>
      </c>
      <c r="Z1047" s="7">
        <f>IF($D1047="","",V1047*Y1047/100)</f>
        <v/>
      </c>
      <c r="AA1047" s="7">
        <f>IF($D1047="","",V1047-Z1047)</f>
        <v/>
      </c>
      <c r="AB1047" s="7">
        <f>IF($D1047="","",AA1047-N1047)</f>
        <v/>
      </c>
      <c r="AF1047" s="7" t="n"/>
      <c r="AI1047" s="11" t="n"/>
      <c r="AK1047">
        <f>IF($D1047="","",IF(COUNTIF($D$2:$D1047,$D1047)=1,1,0))</f>
        <v/>
      </c>
      <c r="AL1047">
        <f>IF($AK1047=1,SUMPRODUCT(--($AO$2:$AO$3001&lt;$AO1047))+1,"")</f>
        <v/>
      </c>
      <c r="AM1047">
        <f>IF($D1047="","",IF(OR($R1047=TRUE(),$R1047="TRUE"),1,0))</f>
        <v/>
      </c>
      <c r="AN1047">
        <f>IF($D1047="","",IF($X1047="Yes",1,0))</f>
        <v/>
      </c>
      <c r="AO1047">
        <f>IF($AK1047=1,IFERROR(IF(VALUE($D1047)&lt;100000000,VALUE($D1047),1000000000),IFERROR(IF(VALUE(MID($D1047,2,20))&lt;100000000,VALUE(MID($D1047,2,20)),1000000000),1000000000))+ROW()/100000,"")</f>
        <v/>
      </c>
    </row>
    <row r="1048">
      <c r="F1048" s="11" t="n"/>
      <c r="N1048" s="7">
        <f>IF($D1048="","",M1048*V1048/100)</f>
        <v/>
      </c>
      <c r="O1048" s="7" t="n"/>
      <c r="U1048" s="7" t="n"/>
      <c r="V1048" s="7" t="n"/>
      <c r="Y1048">
        <f>IF($D1048="","",IF($AN1048=1,0,IF($AM1048=1,Settings!$C$6,Settings!$C$7))*100)</f>
        <v/>
      </c>
      <c r="Z1048" s="7">
        <f>IF($D1048="","",V1048*Y1048/100)</f>
        <v/>
      </c>
      <c r="AA1048" s="7">
        <f>IF($D1048="","",V1048-Z1048)</f>
        <v/>
      </c>
      <c r="AB1048" s="7">
        <f>IF($D1048="","",AA1048-N1048)</f>
        <v/>
      </c>
      <c r="AF1048" s="7" t="n"/>
      <c r="AI1048" s="11" t="n"/>
      <c r="AK1048">
        <f>IF($D1048="","",IF(COUNTIF($D$2:$D1048,$D1048)=1,1,0))</f>
        <v/>
      </c>
      <c r="AL1048">
        <f>IF($AK1048=1,SUMPRODUCT(--($AO$2:$AO$3001&lt;$AO1048))+1,"")</f>
        <v/>
      </c>
      <c r="AM1048">
        <f>IF($D1048="","",IF(OR($R1048=TRUE(),$R1048="TRUE"),1,0))</f>
        <v/>
      </c>
      <c r="AN1048">
        <f>IF($D1048="","",IF($X1048="Yes",1,0))</f>
        <v/>
      </c>
      <c r="AO1048">
        <f>IF($AK1048=1,IFERROR(IF(VALUE($D1048)&lt;100000000,VALUE($D1048),1000000000),IFERROR(IF(VALUE(MID($D1048,2,20))&lt;100000000,VALUE(MID($D1048,2,20)),1000000000),1000000000))+ROW()/100000,"")</f>
        <v/>
      </c>
    </row>
    <row r="1049">
      <c r="F1049" s="11" t="n"/>
      <c r="N1049" s="7">
        <f>IF($D1049="","",M1049*V1049/100)</f>
        <v/>
      </c>
      <c r="O1049" s="7" t="n"/>
      <c r="U1049" s="7" t="n"/>
      <c r="V1049" s="7" t="n"/>
      <c r="Y1049">
        <f>IF($D1049="","",IF($AN1049=1,0,IF($AM1049=1,Settings!$C$6,Settings!$C$7))*100)</f>
        <v/>
      </c>
      <c r="Z1049" s="7">
        <f>IF($D1049="","",V1049*Y1049/100)</f>
        <v/>
      </c>
      <c r="AA1049" s="7">
        <f>IF($D1049="","",V1049-Z1049)</f>
        <v/>
      </c>
      <c r="AB1049" s="7">
        <f>IF($D1049="","",AA1049-N1049)</f>
        <v/>
      </c>
      <c r="AF1049" s="7" t="n"/>
      <c r="AI1049" s="11" t="n"/>
      <c r="AK1049">
        <f>IF($D1049="","",IF(COUNTIF($D$2:$D1049,$D1049)=1,1,0))</f>
        <v/>
      </c>
      <c r="AL1049">
        <f>IF($AK1049=1,SUMPRODUCT(--($AO$2:$AO$3001&lt;$AO1049))+1,"")</f>
        <v/>
      </c>
      <c r="AM1049">
        <f>IF($D1049="","",IF(OR($R1049=TRUE(),$R1049="TRUE"),1,0))</f>
        <v/>
      </c>
      <c r="AN1049">
        <f>IF($D1049="","",IF($X1049="Yes",1,0))</f>
        <v/>
      </c>
      <c r="AO1049">
        <f>IF($AK1049=1,IFERROR(IF(VALUE($D1049)&lt;100000000,VALUE($D1049),1000000000),IFERROR(IF(VALUE(MID($D1049,2,20))&lt;100000000,VALUE(MID($D1049,2,20)),1000000000),1000000000))+ROW()/100000,"")</f>
        <v/>
      </c>
    </row>
    <row r="1050">
      <c r="F1050" s="11" t="n"/>
      <c r="N1050" s="7">
        <f>IF($D1050="","",M1050*V1050/100)</f>
        <v/>
      </c>
      <c r="O1050" s="7" t="n"/>
      <c r="U1050" s="7" t="n"/>
      <c r="V1050" s="7" t="n"/>
      <c r="Y1050">
        <f>IF($D1050="","",IF($AN1050=1,0,IF($AM1050=1,Settings!$C$6,Settings!$C$7))*100)</f>
        <v/>
      </c>
      <c r="Z1050" s="7">
        <f>IF($D1050="","",V1050*Y1050/100)</f>
        <v/>
      </c>
      <c r="AA1050" s="7">
        <f>IF($D1050="","",V1050-Z1050)</f>
        <v/>
      </c>
      <c r="AB1050" s="7">
        <f>IF($D1050="","",AA1050-N1050)</f>
        <v/>
      </c>
      <c r="AF1050" s="7" t="n"/>
      <c r="AI1050" s="11" t="n"/>
      <c r="AK1050">
        <f>IF($D1050="","",IF(COUNTIF($D$2:$D1050,$D1050)=1,1,0))</f>
        <v/>
      </c>
      <c r="AL1050">
        <f>IF($AK1050=1,SUMPRODUCT(--($AO$2:$AO$3001&lt;$AO1050))+1,"")</f>
        <v/>
      </c>
      <c r="AM1050">
        <f>IF($D1050="","",IF(OR($R1050=TRUE(),$R1050="TRUE"),1,0))</f>
        <v/>
      </c>
      <c r="AN1050">
        <f>IF($D1050="","",IF($X1050="Yes",1,0))</f>
        <v/>
      </c>
      <c r="AO1050">
        <f>IF($AK1050=1,IFERROR(IF(VALUE($D1050)&lt;100000000,VALUE($D1050),1000000000),IFERROR(IF(VALUE(MID($D1050,2,20))&lt;100000000,VALUE(MID($D1050,2,20)),1000000000),1000000000))+ROW()/100000,"")</f>
        <v/>
      </c>
    </row>
    <row r="1051">
      <c r="F1051" s="11" t="n"/>
      <c r="N1051" s="7">
        <f>IF($D1051="","",M1051*V1051/100)</f>
        <v/>
      </c>
      <c r="O1051" s="7" t="n"/>
      <c r="U1051" s="7" t="n"/>
      <c r="V1051" s="7" t="n"/>
      <c r="Y1051">
        <f>IF($D1051="","",IF($AN1051=1,0,IF($AM1051=1,Settings!$C$6,Settings!$C$7))*100)</f>
        <v/>
      </c>
      <c r="Z1051" s="7">
        <f>IF($D1051="","",V1051*Y1051/100)</f>
        <v/>
      </c>
      <c r="AA1051" s="7">
        <f>IF($D1051="","",V1051-Z1051)</f>
        <v/>
      </c>
      <c r="AB1051" s="7">
        <f>IF($D1051="","",AA1051-N1051)</f>
        <v/>
      </c>
      <c r="AF1051" s="7" t="n"/>
      <c r="AI1051" s="11" t="n"/>
      <c r="AK1051">
        <f>IF($D1051="","",IF(COUNTIF($D$2:$D1051,$D1051)=1,1,0))</f>
        <v/>
      </c>
      <c r="AL1051">
        <f>IF($AK1051=1,SUMPRODUCT(--($AO$2:$AO$3001&lt;$AO1051))+1,"")</f>
        <v/>
      </c>
      <c r="AM1051">
        <f>IF($D1051="","",IF(OR($R1051=TRUE(),$R1051="TRUE"),1,0))</f>
        <v/>
      </c>
      <c r="AN1051">
        <f>IF($D1051="","",IF($X1051="Yes",1,0))</f>
        <v/>
      </c>
      <c r="AO1051">
        <f>IF($AK1051=1,IFERROR(IF(VALUE($D1051)&lt;100000000,VALUE($D1051),1000000000),IFERROR(IF(VALUE(MID($D1051,2,20))&lt;100000000,VALUE(MID($D1051,2,20)),1000000000),1000000000))+ROW()/100000,"")</f>
        <v/>
      </c>
    </row>
    <row r="1052">
      <c r="F1052" s="11" t="n"/>
      <c r="N1052" s="7">
        <f>IF($D1052="","",M1052*V1052/100)</f>
        <v/>
      </c>
      <c r="O1052" s="7" t="n"/>
      <c r="U1052" s="7" t="n"/>
      <c r="V1052" s="7" t="n"/>
      <c r="Y1052">
        <f>IF($D1052="","",IF($AN1052=1,0,IF($AM1052=1,Settings!$C$6,Settings!$C$7))*100)</f>
        <v/>
      </c>
      <c r="Z1052" s="7">
        <f>IF($D1052="","",V1052*Y1052/100)</f>
        <v/>
      </c>
      <c r="AA1052" s="7">
        <f>IF($D1052="","",V1052-Z1052)</f>
        <v/>
      </c>
      <c r="AB1052" s="7">
        <f>IF($D1052="","",AA1052-N1052)</f>
        <v/>
      </c>
      <c r="AF1052" s="7" t="n"/>
      <c r="AI1052" s="11" t="n"/>
      <c r="AK1052">
        <f>IF($D1052="","",IF(COUNTIF($D$2:$D1052,$D1052)=1,1,0))</f>
        <v/>
      </c>
      <c r="AL1052">
        <f>IF($AK1052=1,SUMPRODUCT(--($AO$2:$AO$3001&lt;$AO1052))+1,"")</f>
        <v/>
      </c>
      <c r="AM1052">
        <f>IF($D1052="","",IF(OR($R1052=TRUE(),$R1052="TRUE"),1,0))</f>
        <v/>
      </c>
      <c r="AN1052">
        <f>IF($D1052="","",IF($X1052="Yes",1,0))</f>
        <v/>
      </c>
      <c r="AO1052">
        <f>IF($AK1052=1,IFERROR(IF(VALUE($D1052)&lt;100000000,VALUE($D1052),1000000000),IFERROR(IF(VALUE(MID($D1052,2,20))&lt;100000000,VALUE(MID($D1052,2,20)),1000000000),1000000000))+ROW()/100000,"")</f>
        <v/>
      </c>
    </row>
    <row r="1053">
      <c r="F1053" s="11" t="n"/>
      <c r="N1053" s="7">
        <f>IF($D1053="","",M1053*V1053/100)</f>
        <v/>
      </c>
      <c r="O1053" s="7" t="n"/>
      <c r="U1053" s="7" t="n"/>
      <c r="V1053" s="7" t="n"/>
      <c r="Y1053">
        <f>IF($D1053="","",IF($AN1053=1,0,IF($AM1053=1,Settings!$C$6,Settings!$C$7))*100)</f>
        <v/>
      </c>
      <c r="Z1053" s="7">
        <f>IF($D1053="","",V1053*Y1053/100)</f>
        <v/>
      </c>
      <c r="AA1053" s="7">
        <f>IF($D1053="","",V1053-Z1053)</f>
        <v/>
      </c>
      <c r="AB1053" s="7">
        <f>IF($D1053="","",AA1053-N1053)</f>
        <v/>
      </c>
      <c r="AF1053" s="7" t="n"/>
      <c r="AI1053" s="11" t="n"/>
      <c r="AK1053">
        <f>IF($D1053="","",IF(COUNTIF($D$2:$D1053,$D1053)=1,1,0))</f>
        <v/>
      </c>
      <c r="AL1053">
        <f>IF($AK1053=1,SUMPRODUCT(--($AO$2:$AO$3001&lt;$AO1053))+1,"")</f>
        <v/>
      </c>
      <c r="AM1053">
        <f>IF($D1053="","",IF(OR($R1053=TRUE(),$R1053="TRUE"),1,0))</f>
        <v/>
      </c>
      <c r="AN1053">
        <f>IF($D1053="","",IF($X1053="Yes",1,0))</f>
        <v/>
      </c>
      <c r="AO1053">
        <f>IF($AK1053=1,IFERROR(IF(VALUE($D1053)&lt;100000000,VALUE($D1053),1000000000),IFERROR(IF(VALUE(MID($D1053,2,20))&lt;100000000,VALUE(MID($D1053,2,20)),1000000000),1000000000))+ROW()/100000,"")</f>
        <v/>
      </c>
    </row>
    <row r="1054">
      <c r="F1054" s="11" t="n"/>
      <c r="N1054" s="7">
        <f>IF($D1054="","",M1054*V1054/100)</f>
        <v/>
      </c>
      <c r="O1054" s="7" t="n"/>
      <c r="U1054" s="7" t="n"/>
      <c r="V1054" s="7" t="n"/>
      <c r="Y1054">
        <f>IF($D1054="","",IF($AN1054=1,0,IF($AM1054=1,Settings!$C$6,Settings!$C$7))*100)</f>
        <v/>
      </c>
      <c r="Z1054" s="7">
        <f>IF($D1054="","",V1054*Y1054/100)</f>
        <v/>
      </c>
      <c r="AA1054" s="7">
        <f>IF($D1054="","",V1054-Z1054)</f>
        <v/>
      </c>
      <c r="AB1054" s="7">
        <f>IF($D1054="","",AA1054-N1054)</f>
        <v/>
      </c>
      <c r="AF1054" s="7" t="n"/>
      <c r="AI1054" s="11" t="n"/>
      <c r="AK1054">
        <f>IF($D1054="","",IF(COUNTIF($D$2:$D1054,$D1054)=1,1,0))</f>
        <v/>
      </c>
      <c r="AL1054">
        <f>IF($AK1054=1,SUMPRODUCT(--($AO$2:$AO$3001&lt;$AO1054))+1,"")</f>
        <v/>
      </c>
      <c r="AM1054">
        <f>IF($D1054="","",IF(OR($R1054=TRUE(),$R1054="TRUE"),1,0))</f>
        <v/>
      </c>
      <c r="AN1054">
        <f>IF($D1054="","",IF($X1054="Yes",1,0))</f>
        <v/>
      </c>
      <c r="AO1054">
        <f>IF($AK1054=1,IFERROR(IF(VALUE($D1054)&lt;100000000,VALUE($D1054),1000000000),IFERROR(IF(VALUE(MID($D1054,2,20))&lt;100000000,VALUE(MID($D1054,2,20)),1000000000),1000000000))+ROW()/100000,"")</f>
        <v/>
      </c>
    </row>
    <row r="1055">
      <c r="F1055" s="11" t="n"/>
      <c r="N1055" s="7">
        <f>IF($D1055="","",M1055*V1055/100)</f>
        <v/>
      </c>
      <c r="O1055" s="7" t="n"/>
      <c r="U1055" s="7" t="n"/>
      <c r="V1055" s="7" t="n"/>
      <c r="Y1055">
        <f>IF($D1055="","",IF($AN1055=1,0,IF($AM1055=1,Settings!$C$6,Settings!$C$7))*100)</f>
        <v/>
      </c>
      <c r="Z1055" s="7">
        <f>IF($D1055="","",V1055*Y1055/100)</f>
        <v/>
      </c>
      <c r="AA1055" s="7">
        <f>IF($D1055="","",V1055-Z1055)</f>
        <v/>
      </c>
      <c r="AB1055" s="7">
        <f>IF($D1055="","",AA1055-N1055)</f>
        <v/>
      </c>
      <c r="AF1055" s="7" t="n"/>
      <c r="AI1055" s="11" t="n"/>
      <c r="AK1055">
        <f>IF($D1055="","",IF(COUNTIF($D$2:$D1055,$D1055)=1,1,0))</f>
        <v/>
      </c>
      <c r="AL1055">
        <f>IF($AK1055=1,SUMPRODUCT(--($AO$2:$AO$3001&lt;$AO1055))+1,"")</f>
        <v/>
      </c>
      <c r="AM1055">
        <f>IF($D1055="","",IF(OR($R1055=TRUE(),$R1055="TRUE"),1,0))</f>
        <v/>
      </c>
      <c r="AN1055">
        <f>IF($D1055="","",IF($X1055="Yes",1,0))</f>
        <v/>
      </c>
      <c r="AO1055">
        <f>IF($AK1055=1,IFERROR(IF(VALUE($D1055)&lt;100000000,VALUE($D1055),1000000000),IFERROR(IF(VALUE(MID($D1055,2,20))&lt;100000000,VALUE(MID($D1055,2,20)),1000000000),1000000000))+ROW()/100000,"")</f>
        <v/>
      </c>
    </row>
    <row r="1056">
      <c r="F1056" s="11" t="n"/>
      <c r="N1056" s="7">
        <f>IF($D1056="","",M1056*V1056/100)</f>
        <v/>
      </c>
      <c r="O1056" s="7" t="n"/>
      <c r="U1056" s="7" t="n"/>
      <c r="V1056" s="7" t="n"/>
      <c r="Y1056">
        <f>IF($D1056="","",IF($AN1056=1,0,IF($AM1056=1,Settings!$C$6,Settings!$C$7))*100)</f>
        <v/>
      </c>
      <c r="Z1056" s="7">
        <f>IF($D1056="","",V1056*Y1056/100)</f>
        <v/>
      </c>
      <c r="AA1056" s="7">
        <f>IF($D1056="","",V1056-Z1056)</f>
        <v/>
      </c>
      <c r="AB1056" s="7">
        <f>IF($D1056="","",AA1056-N1056)</f>
        <v/>
      </c>
      <c r="AF1056" s="7" t="n"/>
      <c r="AI1056" s="11" t="n"/>
      <c r="AK1056">
        <f>IF($D1056="","",IF(COUNTIF($D$2:$D1056,$D1056)=1,1,0))</f>
        <v/>
      </c>
      <c r="AL1056">
        <f>IF($AK1056=1,SUMPRODUCT(--($AO$2:$AO$3001&lt;$AO1056))+1,"")</f>
        <v/>
      </c>
      <c r="AM1056">
        <f>IF($D1056="","",IF(OR($R1056=TRUE(),$R1056="TRUE"),1,0))</f>
        <v/>
      </c>
      <c r="AN1056">
        <f>IF($D1056="","",IF($X1056="Yes",1,0))</f>
        <v/>
      </c>
      <c r="AO1056">
        <f>IF($AK1056=1,IFERROR(IF(VALUE($D1056)&lt;100000000,VALUE($D1056),1000000000),IFERROR(IF(VALUE(MID($D1056,2,20))&lt;100000000,VALUE(MID($D1056,2,20)),1000000000),1000000000))+ROW()/100000,"")</f>
        <v/>
      </c>
    </row>
    <row r="1057">
      <c r="F1057" s="11" t="n"/>
      <c r="N1057" s="7">
        <f>IF($D1057="","",M1057*V1057/100)</f>
        <v/>
      </c>
      <c r="O1057" s="7" t="n"/>
      <c r="U1057" s="7" t="n"/>
      <c r="V1057" s="7" t="n"/>
      <c r="Y1057">
        <f>IF($D1057="","",IF($AN1057=1,0,IF($AM1057=1,Settings!$C$6,Settings!$C$7))*100)</f>
        <v/>
      </c>
      <c r="Z1057" s="7">
        <f>IF($D1057="","",V1057*Y1057/100)</f>
        <v/>
      </c>
      <c r="AA1057" s="7">
        <f>IF($D1057="","",V1057-Z1057)</f>
        <v/>
      </c>
      <c r="AB1057" s="7">
        <f>IF($D1057="","",AA1057-N1057)</f>
        <v/>
      </c>
      <c r="AF1057" s="7" t="n"/>
      <c r="AI1057" s="11" t="n"/>
      <c r="AK1057">
        <f>IF($D1057="","",IF(COUNTIF($D$2:$D1057,$D1057)=1,1,0))</f>
        <v/>
      </c>
      <c r="AL1057">
        <f>IF($AK1057=1,SUMPRODUCT(--($AO$2:$AO$3001&lt;$AO1057))+1,"")</f>
        <v/>
      </c>
      <c r="AM1057">
        <f>IF($D1057="","",IF(OR($R1057=TRUE(),$R1057="TRUE"),1,0))</f>
        <v/>
      </c>
      <c r="AN1057">
        <f>IF($D1057="","",IF($X1057="Yes",1,0))</f>
        <v/>
      </c>
      <c r="AO1057">
        <f>IF($AK1057=1,IFERROR(IF(VALUE($D1057)&lt;100000000,VALUE($D1057),1000000000),IFERROR(IF(VALUE(MID($D1057,2,20))&lt;100000000,VALUE(MID($D1057,2,20)),1000000000),1000000000))+ROW()/100000,"")</f>
        <v/>
      </c>
    </row>
    <row r="1058">
      <c r="F1058" s="11" t="n"/>
      <c r="N1058" s="7">
        <f>IF($D1058="","",M1058*V1058/100)</f>
        <v/>
      </c>
      <c r="O1058" s="7" t="n"/>
      <c r="U1058" s="7" t="n"/>
      <c r="V1058" s="7" t="n"/>
      <c r="Y1058">
        <f>IF($D1058="","",IF($AN1058=1,0,IF($AM1058=1,Settings!$C$6,Settings!$C$7))*100)</f>
        <v/>
      </c>
      <c r="Z1058" s="7">
        <f>IF($D1058="","",V1058*Y1058/100)</f>
        <v/>
      </c>
      <c r="AA1058" s="7">
        <f>IF($D1058="","",V1058-Z1058)</f>
        <v/>
      </c>
      <c r="AB1058" s="7">
        <f>IF($D1058="","",AA1058-N1058)</f>
        <v/>
      </c>
      <c r="AF1058" s="7" t="n"/>
      <c r="AI1058" s="11" t="n"/>
      <c r="AK1058">
        <f>IF($D1058="","",IF(COUNTIF($D$2:$D1058,$D1058)=1,1,0))</f>
        <v/>
      </c>
      <c r="AL1058">
        <f>IF($AK1058=1,SUMPRODUCT(--($AO$2:$AO$3001&lt;$AO1058))+1,"")</f>
        <v/>
      </c>
      <c r="AM1058">
        <f>IF($D1058="","",IF(OR($R1058=TRUE(),$R1058="TRUE"),1,0))</f>
        <v/>
      </c>
      <c r="AN1058">
        <f>IF($D1058="","",IF($X1058="Yes",1,0))</f>
        <v/>
      </c>
      <c r="AO1058">
        <f>IF($AK1058=1,IFERROR(IF(VALUE($D1058)&lt;100000000,VALUE($D1058),1000000000),IFERROR(IF(VALUE(MID($D1058,2,20))&lt;100000000,VALUE(MID($D1058,2,20)),1000000000),1000000000))+ROW()/100000,"")</f>
        <v/>
      </c>
    </row>
    <row r="1059">
      <c r="F1059" s="11" t="n"/>
      <c r="N1059" s="7">
        <f>IF($D1059="","",M1059*V1059/100)</f>
        <v/>
      </c>
      <c r="O1059" s="7" t="n"/>
      <c r="U1059" s="7" t="n"/>
      <c r="V1059" s="7" t="n"/>
      <c r="Y1059">
        <f>IF($D1059="","",IF($AN1059=1,0,IF($AM1059=1,Settings!$C$6,Settings!$C$7))*100)</f>
        <v/>
      </c>
      <c r="Z1059" s="7">
        <f>IF($D1059="","",V1059*Y1059/100)</f>
        <v/>
      </c>
      <c r="AA1059" s="7">
        <f>IF($D1059="","",V1059-Z1059)</f>
        <v/>
      </c>
      <c r="AB1059" s="7">
        <f>IF($D1059="","",AA1059-N1059)</f>
        <v/>
      </c>
      <c r="AF1059" s="7" t="n"/>
      <c r="AI1059" s="11" t="n"/>
      <c r="AK1059">
        <f>IF($D1059="","",IF(COUNTIF($D$2:$D1059,$D1059)=1,1,0))</f>
        <v/>
      </c>
      <c r="AL1059">
        <f>IF($AK1059=1,SUMPRODUCT(--($AO$2:$AO$3001&lt;$AO1059))+1,"")</f>
        <v/>
      </c>
      <c r="AM1059">
        <f>IF($D1059="","",IF(OR($R1059=TRUE(),$R1059="TRUE"),1,0))</f>
        <v/>
      </c>
      <c r="AN1059">
        <f>IF($D1059="","",IF($X1059="Yes",1,0))</f>
        <v/>
      </c>
      <c r="AO1059">
        <f>IF($AK1059=1,IFERROR(IF(VALUE($D1059)&lt;100000000,VALUE($D1059),1000000000),IFERROR(IF(VALUE(MID($D1059,2,20))&lt;100000000,VALUE(MID($D1059,2,20)),1000000000),1000000000))+ROW()/100000,"")</f>
        <v/>
      </c>
    </row>
    <row r="1060">
      <c r="F1060" s="11" t="n"/>
      <c r="N1060" s="7">
        <f>IF($D1060="","",M1060*V1060/100)</f>
        <v/>
      </c>
      <c r="O1060" s="7" t="n"/>
      <c r="U1060" s="7" t="n"/>
      <c r="V1060" s="7" t="n"/>
      <c r="Y1060">
        <f>IF($D1060="","",IF($AN1060=1,0,IF($AM1060=1,Settings!$C$6,Settings!$C$7))*100)</f>
        <v/>
      </c>
      <c r="Z1060" s="7">
        <f>IF($D1060="","",V1060*Y1060/100)</f>
        <v/>
      </c>
      <c r="AA1060" s="7">
        <f>IF($D1060="","",V1060-Z1060)</f>
        <v/>
      </c>
      <c r="AB1060" s="7">
        <f>IF($D1060="","",AA1060-N1060)</f>
        <v/>
      </c>
      <c r="AF1060" s="7" t="n"/>
      <c r="AI1060" s="11" t="n"/>
      <c r="AK1060">
        <f>IF($D1060="","",IF(COUNTIF($D$2:$D1060,$D1060)=1,1,0))</f>
        <v/>
      </c>
      <c r="AL1060">
        <f>IF($AK1060=1,SUMPRODUCT(--($AO$2:$AO$3001&lt;$AO1060))+1,"")</f>
        <v/>
      </c>
      <c r="AM1060">
        <f>IF($D1060="","",IF(OR($R1060=TRUE(),$R1060="TRUE"),1,0))</f>
        <v/>
      </c>
      <c r="AN1060">
        <f>IF($D1060="","",IF($X1060="Yes",1,0))</f>
        <v/>
      </c>
      <c r="AO1060">
        <f>IF($AK1060=1,IFERROR(IF(VALUE($D1060)&lt;100000000,VALUE($D1060),1000000000),IFERROR(IF(VALUE(MID($D1060,2,20))&lt;100000000,VALUE(MID($D1060,2,20)),1000000000),1000000000))+ROW()/100000,"")</f>
        <v/>
      </c>
    </row>
    <row r="1061">
      <c r="F1061" s="11" t="n"/>
      <c r="N1061" s="7">
        <f>IF($D1061="","",M1061*V1061/100)</f>
        <v/>
      </c>
      <c r="O1061" s="7" t="n"/>
      <c r="U1061" s="7" t="n"/>
      <c r="V1061" s="7" t="n"/>
      <c r="Y1061">
        <f>IF($D1061="","",IF($AN1061=1,0,IF($AM1061=1,Settings!$C$6,Settings!$C$7))*100)</f>
        <v/>
      </c>
      <c r="Z1061" s="7">
        <f>IF($D1061="","",V1061*Y1061/100)</f>
        <v/>
      </c>
      <c r="AA1061" s="7">
        <f>IF($D1061="","",V1061-Z1061)</f>
        <v/>
      </c>
      <c r="AB1061" s="7">
        <f>IF($D1061="","",AA1061-N1061)</f>
        <v/>
      </c>
      <c r="AF1061" s="7" t="n"/>
      <c r="AI1061" s="11" t="n"/>
      <c r="AK1061">
        <f>IF($D1061="","",IF(COUNTIF($D$2:$D1061,$D1061)=1,1,0))</f>
        <v/>
      </c>
      <c r="AL1061">
        <f>IF($AK1061=1,SUMPRODUCT(--($AO$2:$AO$3001&lt;$AO1061))+1,"")</f>
        <v/>
      </c>
      <c r="AM1061">
        <f>IF($D1061="","",IF(OR($R1061=TRUE(),$R1061="TRUE"),1,0))</f>
        <v/>
      </c>
      <c r="AN1061">
        <f>IF($D1061="","",IF($X1061="Yes",1,0))</f>
        <v/>
      </c>
      <c r="AO1061">
        <f>IF($AK1061=1,IFERROR(IF(VALUE($D1061)&lt;100000000,VALUE($D1061),1000000000),IFERROR(IF(VALUE(MID($D1061,2,20))&lt;100000000,VALUE(MID($D1061,2,20)),1000000000),1000000000))+ROW()/100000,"")</f>
        <v/>
      </c>
    </row>
    <row r="1062">
      <c r="F1062" s="11" t="n"/>
      <c r="N1062" s="7">
        <f>IF($D1062="","",M1062*V1062/100)</f>
        <v/>
      </c>
      <c r="O1062" s="7" t="n"/>
      <c r="U1062" s="7" t="n"/>
      <c r="V1062" s="7" t="n"/>
      <c r="Y1062">
        <f>IF($D1062="","",IF($AN1062=1,0,IF($AM1062=1,Settings!$C$6,Settings!$C$7))*100)</f>
        <v/>
      </c>
      <c r="Z1062" s="7">
        <f>IF($D1062="","",V1062*Y1062/100)</f>
        <v/>
      </c>
      <c r="AA1062" s="7">
        <f>IF($D1062="","",V1062-Z1062)</f>
        <v/>
      </c>
      <c r="AB1062" s="7">
        <f>IF($D1062="","",AA1062-N1062)</f>
        <v/>
      </c>
      <c r="AF1062" s="7" t="n"/>
      <c r="AI1062" s="11" t="n"/>
      <c r="AK1062">
        <f>IF($D1062="","",IF(COUNTIF($D$2:$D1062,$D1062)=1,1,0))</f>
        <v/>
      </c>
      <c r="AL1062">
        <f>IF($AK1062=1,SUMPRODUCT(--($AO$2:$AO$3001&lt;$AO1062))+1,"")</f>
        <v/>
      </c>
      <c r="AM1062">
        <f>IF($D1062="","",IF(OR($R1062=TRUE(),$R1062="TRUE"),1,0))</f>
        <v/>
      </c>
      <c r="AN1062">
        <f>IF($D1062="","",IF($X1062="Yes",1,0))</f>
        <v/>
      </c>
      <c r="AO1062">
        <f>IF($AK1062=1,IFERROR(IF(VALUE($D1062)&lt;100000000,VALUE($D1062),1000000000),IFERROR(IF(VALUE(MID($D1062,2,20))&lt;100000000,VALUE(MID($D1062,2,20)),1000000000),1000000000))+ROW()/100000,"")</f>
        <v/>
      </c>
    </row>
    <row r="1063">
      <c r="F1063" s="11" t="n"/>
      <c r="N1063" s="7">
        <f>IF($D1063="","",M1063*V1063/100)</f>
        <v/>
      </c>
      <c r="O1063" s="7" t="n"/>
      <c r="U1063" s="7" t="n"/>
      <c r="V1063" s="7" t="n"/>
      <c r="Y1063">
        <f>IF($D1063="","",IF($AN1063=1,0,IF($AM1063=1,Settings!$C$6,Settings!$C$7))*100)</f>
        <v/>
      </c>
      <c r="Z1063" s="7">
        <f>IF($D1063="","",V1063*Y1063/100)</f>
        <v/>
      </c>
      <c r="AA1063" s="7">
        <f>IF($D1063="","",V1063-Z1063)</f>
        <v/>
      </c>
      <c r="AB1063" s="7">
        <f>IF($D1063="","",AA1063-N1063)</f>
        <v/>
      </c>
      <c r="AF1063" s="7" t="n"/>
      <c r="AI1063" s="11" t="n"/>
      <c r="AK1063">
        <f>IF($D1063="","",IF(COUNTIF($D$2:$D1063,$D1063)=1,1,0))</f>
        <v/>
      </c>
      <c r="AL1063">
        <f>IF($AK1063=1,SUMPRODUCT(--($AO$2:$AO$3001&lt;$AO1063))+1,"")</f>
        <v/>
      </c>
      <c r="AM1063">
        <f>IF($D1063="","",IF(OR($R1063=TRUE(),$R1063="TRUE"),1,0))</f>
        <v/>
      </c>
      <c r="AN1063">
        <f>IF($D1063="","",IF($X1063="Yes",1,0))</f>
        <v/>
      </c>
      <c r="AO1063">
        <f>IF($AK1063=1,IFERROR(IF(VALUE($D1063)&lt;100000000,VALUE($D1063),1000000000),IFERROR(IF(VALUE(MID($D1063,2,20))&lt;100000000,VALUE(MID($D1063,2,20)),1000000000),1000000000))+ROW()/100000,"")</f>
        <v/>
      </c>
    </row>
    <row r="1064">
      <c r="F1064" s="11" t="n"/>
      <c r="N1064" s="7">
        <f>IF($D1064="","",M1064*V1064/100)</f>
        <v/>
      </c>
      <c r="O1064" s="7" t="n"/>
      <c r="U1064" s="7" t="n"/>
      <c r="V1064" s="7" t="n"/>
      <c r="Y1064">
        <f>IF($D1064="","",IF($AN1064=1,0,IF($AM1064=1,Settings!$C$6,Settings!$C$7))*100)</f>
        <v/>
      </c>
      <c r="Z1064" s="7">
        <f>IF($D1064="","",V1064*Y1064/100)</f>
        <v/>
      </c>
      <c r="AA1064" s="7">
        <f>IF($D1064="","",V1064-Z1064)</f>
        <v/>
      </c>
      <c r="AB1064" s="7">
        <f>IF($D1064="","",AA1064-N1064)</f>
        <v/>
      </c>
      <c r="AF1064" s="7" t="n"/>
      <c r="AI1064" s="11" t="n"/>
      <c r="AK1064">
        <f>IF($D1064="","",IF(COUNTIF($D$2:$D1064,$D1064)=1,1,0))</f>
        <v/>
      </c>
      <c r="AL1064">
        <f>IF($AK1064=1,SUMPRODUCT(--($AO$2:$AO$3001&lt;$AO1064))+1,"")</f>
        <v/>
      </c>
      <c r="AM1064">
        <f>IF($D1064="","",IF(OR($R1064=TRUE(),$R1064="TRUE"),1,0))</f>
        <v/>
      </c>
      <c r="AN1064">
        <f>IF($D1064="","",IF($X1064="Yes",1,0))</f>
        <v/>
      </c>
      <c r="AO1064">
        <f>IF($AK1064=1,IFERROR(IF(VALUE($D1064)&lt;100000000,VALUE($D1064),1000000000),IFERROR(IF(VALUE(MID($D1064,2,20))&lt;100000000,VALUE(MID($D1064,2,20)),1000000000),1000000000))+ROW()/100000,"")</f>
        <v/>
      </c>
    </row>
    <row r="1065">
      <c r="F1065" s="11" t="n"/>
      <c r="N1065" s="7">
        <f>IF($D1065="","",M1065*V1065/100)</f>
        <v/>
      </c>
      <c r="O1065" s="7" t="n"/>
      <c r="U1065" s="7" t="n"/>
      <c r="V1065" s="7" t="n"/>
      <c r="Y1065">
        <f>IF($D1065="","",IF($AN1065=1,0,IF($AM1065=1,Settings!$C$6,Settings!$C$7))*100)</f>
        <v/>
      </c>
      <c r="Z1065" s="7">
        <f>IF($D1065="","",V1065*Y1065/100)</f>
        <v/>
      </c>
      <c r="AA1065" s="7">
        <f>IF($D1065="","",V1065-Z1065)</f>
        <v/>
      </c>
      <c r="AB1065" s="7">
        <f>IF($D1065="","",AA1065-N1065)</f>
        <v/>
      </c>
      <c r="AF1065" s="7" t="n"/>
      <c r="AI1065" s="11" t="n"/>
      <c r="AK1065">
        <f>IF($D1065="","",IF(COUNTIF($D$2:$D1065,$D1065)=1,1,0))</f>
        <v/>
      </c>
      <c r="AL1065">
        <f>IF($AK1065=1,SUMPRODUCT(--($AO$2:$AO$3001&lt;$AO1065))+1,"")</f>
        <v/>
      </c>
      <c r="AM1065">
        <f>IF($D1065="","",IF(OR($R1065=TRUE(),$R1065="TRUE"),1,0))</f>
        <v/>
      </c>
      <c r="AN1065">
        <f>IF($D1065="","",IF($X1065="Yes",1,0))</f>
        <v/>
      </c>
      <c r="AO1065">
        <f>IF($AK1065=1,IFERROR(IF(VALUE($D1065)&lt;100000000,VALUE($D1065),1000000000),IFERROR(IF(VALUE(MID($D1065,2,20))&lt;100000000,VALUE(MID($D1065,2,20)),1000000000),1000000000))+ROW()/100000,"")</f>
        <v/>
      </c>
    </row>
    <row r="1066">
      <c r="F1066" s="11" t="n"/>
      <c r="N1066" s="7">
        <f>IF($D1066="","",M1066*V1066/100)</f>
        <v/>
      </c>
      <c r="O1066" s="7" t="n"/>
      <c r="U1066" s="7" t="n"/>
      <c r="V1066" s="7" t="n"/>
      <c r="Y1066">
        <f>IF($D1066="","",IF($AN1066=1,0,IF($AM1066=1,Settings!$C$6,Settings!$C$7))*100)</f>
        <v/>
      </c>
      <c r="Z1066" s="7">
        <f>IF($D1066="","",V1066*Y1066/100)</f>
        <v/>
      </c>
      <c r="AA1066" s="7">
        <f>IF($D1066="","",V1066-Z1066)</f>
        <v/>
      </c>
      <c r="AB1066" s="7">
        <f>IF($D1066="","",AA1066-N1066)</f>
        <v/>
      </c>
      <c r="AF1066" s="7" t="n"/>
      <c r="AI1066" s="11" t="n"/>
      <c r="AK1066">
        <f>IF($D1066="","",IF(COUNTIF($D$2:$D1066,$D1066)=1,1,0))</f>
        <v/>
      </c>
      <c r="AL1066">
        <f>IF($AK1066=1,SUMPRODUCT(--($AO$2:$AO$3001&lt;$AO1066))+1,"")</f>
        <v/>
      </c>
      <c r="AM1066">
        <f>IF($D1066="","",IF(OR($R1066=TRUE(),$R1066="TRUE"),1,0))</f>
        <v/>
      </c>
      <c r="AN1066">
        <f>IF($D1066="","",IF($X1066="Yes",1,0))</f>
        <v/>
      </c>
      <c r="AO1066">
        <f>IF($AK1066=1,IFERROR(IF(VALUE($D1066)&lt;100000000,VALUE($D1066),1000000000),IFERROR(IF(VALUE(MID($D1066,2,20))&lt;100000000,VALUE(MID($D1066,2,20)),1000000000),1000000000))+ROW()/100000,"")</f>
        <v/>
      </c>
    </row>
    <row r="1067">
      <c r="F1067" s="11" t="n"/>
      <c r="N1067" s="7">
        <f>IF($D1067="","",M1067*V1067/100)</f>
        <v/>
      </c>
      <c r="O1067" s="7" t="n"/>
      <c r="U1067" s="7" t="n"/>
      <c r="V1067" s="7" t="n"/>
      <c r="Y1067">
        <f>IF($D1067="","",IF($AN1067=1,0,IF($AM1067=1,Settings!$C$6,Settings!$C$7))*100)</f>
        <v/>
      </c>
      <c r="Z1067" s="7">
        <f>IF($D1067="","",V1067*Y1067/100)</f>
        <v/>
      </c>
      <c r="AA1067" s="7">
        <f>IF($D1067="","",V1067-Z1067)</f>
        <v/>
      </c>
      <c r="AB1067" s="7">
        <f>IF($D1067="","",AA1067-N1067)</f>
        <v/>
      </c>
      <c r="AF1067" s="7" t="n"/>
      <c r="AI1067" s="11" t="n"/>
      <c r="AK1067">
        <f>IF($D1067="","",IF(COUNTIF($D$2:$D1067,$D1067)=1,1,0))</f>
        <v/>
      </c>
      <c r="AL1067">
        <f>IF($AK1067=1,SUMPRODUCT(--($AO$2:$AO$3001&lt;$AO1067))+1,"")</f>
        <v/>
      </c>
      <c r="AM1067">
        <f>IF($D1067="","",IF(OR($R1067=TRUE(),$R1067="TRUE"),1,0))</f>
        <v/>
      </c>
      <c r="AN1067">
        <f>IF($D1067="","",IF($X1067="Yes",1,0))</f>
        <v/>
      </c>
      <c r="AO1067">
        <f>IF($AK1067=1,IFERROR(IF(VALUE($D1067)&lt;100000000,VALUE($D1067),1000000000),IFERROR(IF(VALUE(MID($D1067,2,20))&lt;100000000,VALUE(MID($D1067,2,20)),1000000000),1000000000))+ROW()/100000,"")</f>
        <v/>
      </c>
    </row>
    <row r="1068">
      <c r="F1068" s="11" t="n"/>
      <c r="N1068" s="7">
        <f>IF($D1068="","",M1068*V1068/100)</f>
        <v/>
      </c>
      <c r="O1068" s="7" t="n"/>
      <c r="U1068" s="7" t="n"/>
      <c r="V1068" s="7" t="n"/>
      <c r="Y1068">
        <f>IF($D1068="","",IF($AN1068=1,0,IF($AM1068=1,Settings!$C$6,Settings!$C$7))*100)</f>
        <v/>
      </c>
      <c r="Z1068" s="7">
        <f>IF($D1068="","",V1068*Y1068/100)</f>
        <v/>
      </c>
      <c r="AA1068" s="7">
        <f>IF($D1068="","",V1068-Z1068)</f>
        <v/>
      </c>
      <c r="AB1068" s="7">
        <f>IF($D1068="","",AA1068-N1068)</f>
        <v/>
      </c>
      <c r="AF1068" s="7" t="n"/>
      <c r="AI1068" s="11" t="n"/>
      <c r="AK1068">
        <f>IF($D1068="","",IF(COUNTIF($D$2:$D1068,$D1068)=1,1,0))</f>
        <v/>
      </c>
      <c r="AL1068">
        <f>IF($AK1068=1,SUMPRODUCT(--($AO$2:$AO$3001&lt;$AO1068))+1,"")</f>
        <v/>
      </c>
      <c r="AM1068">
        <f>IF($D1068="","",IF(OR($R1068=TRUE(),$R1068="TRUE"),1,0))</f>
        <v/>
      </c>
      <c r="AN1068">
        <f>IF($D1068="","",IF($X1068="Yes",1,0))</f>
        <v/>
      </c>
      <c r="AO1068">
        <f>IF($AK1068=1,IFERROR(IF(VALUE($D1068)&lt;100000000,VALUE($D1068),1000000000),IFERROR(IF(VALUE(MID($D1068,2,20))&lt;100000000,VALUE(MID($D1068,2,20)),1000000000),1000000000))+ROW()/100000,"")</f>
        <v/>
      </c>
    </row>
    <row r="1069">
      <c r="F1069" s="11" t="n"/>
      <c r="N1069" s="7">
        <f>IF($D1069="","",M1069*V1069/100)</f>
        <v/>
      </c>
      <c r="O1069" s="7" t="n"/>
      <c r="U1069" s="7" t="n"/>
      <c r="V1069" s="7" t="n"/>
      <c r="Y1069">
        <f>IF($D1069="","",IF($AN1069=1,0,IF($AM1069=1,Settings!$C$6,Settings!$C$7))*100)</f>
        <v/>
      </c>
      <c r="Z1069" s="7">
        <f>IF($D1069="","",V1069*Y1069/100)</f>
        <v/>
      </c>
      <c r="AA1069" s="7">
        <f>IF($D1069="","",V1069-Z1069)</f>
        <v/>
      </c>
      <c r="AB1069" s="7">
        <f>IF($D1069="","",AA1069-N1069)</f>
        <v/>
      </c>
      <c r="AF1069" s="7" t="n"/>
      <c r="AI1069" s="11" t="n"/>
      <c r="AK1069">
        <f>IF($D1069="","",IF(COUNTIF($D$2:$D1069,$D1069)=1,1,0))</f>
        <v/>
      </c>
      <c r="AL1069">
        <f>IF($AK1069=1,SUMPRODUCT(--($AO$2:$AO$3001&lt;$AO1069))+1,"")</f>
        <v/>
      </c>
      <c r="AM1069">
        <f>IF($D1069="","",IF(OR($R1069=TRUE(),$R1069="TRUE"),1,0))</f>
        <v/>
      </c>
      <c r="AN1069">
        <f>IF($D1069="","",IF($X1069="Yes",1,0))</f>
        <v/>
      </c>
      <c r="AO1069">
        <f>IF($AK1069=1,IFERROR(IF(VALUE($D1069)&lt;100000000,VALUE($D1069),1000000000),IFERROR(IF(VALUE(MID($D1069,2,20))&lt;100000000,VALUE(MID($D1069,2,20)),1000000000),1000000000))+ROW()/100000,"")</f>
        <v/>
      </c>
    </row>
    <row r="1070">
      <c r="F1070" s="11" t="n"/>
      <c r="N1070" s="7">
        <f>IF($D1070="","",M1070*V1070/100)</f>
        <v/>
      </c>
      <c r="O1070" s="7" t="n"/>
      <c r="U1070" s="7" t="n"/>
      <c r="V1070" s="7" t="n"/>
      <c r="Y1070">
        <f>IF($D1070="","",IF($AN1070=1,0,IF($AM1070=1,Settings!$C$6,Settings!$C$7))*100)</f>
        <v/>
      </c>
      <c r="Z1070" s="7">
        <f>IF($D1070="","",V1070*Y1070/100)</f>
        <v/>
      </c>
      <c r="AA1070" s="7">
        <f>IF($D1070="","",V1070-Z1070)</f>
        <v/>
      </c>
      <c r="AB1070" s="7">
        <f>IF($D1070="","",AA1070-N1070)</f>
        <v/>
      </c>
      <c r="AF1070" s="7" t="n"/>
      <c r="AI1070" s="11" t="n"/>
      <c r="AK1070">
        <f>IF($D1070="","",IF(COUNTIF($D$2:$D1070,$D1070)=1,1,0))</f>
        <v/>
      </c>
      <c r="AL1070">
        <f>IF($AK1070=1,SUMPRODUCT(--($AO$2:$AO$3001&lt;$AO1070))+1,"")</f>
        <v/>
      </c>
      <c r="AM1070">
        <f>IF($D1070="","",IF(OR($R1070=TRUE(),$R1070="TRUE"),1,0))</f>
        <v/>
      </c>
      <c r="AN1070">
        <f>IF($D1070="","",IF($X1070="Yes",1,0))</f>
        <v/>
      </c>
      <c r="AO1070">
        <f>IF($AK1070=1,IFERROR(IF(VALUE($D1070)&lt;100000000,VALUE($D1070),1000000000),IFERROR(IF(VALUE(MID($D1070,2,20))&lt;100000000,VALUE(MID($D1070,2,20)),1000000000),1000000000))+ROW()/100000,"")</f>
        <v/>
      </c>
    </row>
    <row r="1071">
      <c r="F1071" s="11" t="n"/>
      <c r="N1071" s="7">
        <f>IF($D1071="","",M1071*V1071/100)</f>
        <v/>
      </c>
      <c r="O1071" s="7" t="n"/>
      <c r="U1071" s="7" t="n"/>
      <c r="V1071" s="7" t="n"/>
      <c r="Y1071">
        <f>IF($D1071="","",IF($AN1071=1,0,IF($AM1071=1,Settings!$C$6,Settings!$C$7))*100)</f>
        <v/>
      </c>
      <c r="Z1071" s="7">
        <f>IF($D1071="","",V1071*Y1071/100)</f>
        <v/>
      </c>
      <c r="AA1071" s="7">
        <f>IF($D1071="","",V1071-Z1071)</f>
        <v/>
      </c>
      <c r="AB1071" s="7">
        <f>IF($D1071="","",AA1071-N1071)</f>
        <v/>
      </c>
      <c r="AF1071" s="7" t="n"/>
      <c r="AI1071" s="11" t="n"/>
      <c r="AK1071">
        <f>IF($D1071="","",IF(COUNTIF($D$2:$D1071,$D1071)=1,1,0))</f>
        <v/>
      </c>
      <c r="AL1071">
        <f>IF($AK1071=1,SUMPRODUCT(--($AO$2:$AO$3001&lt;$AO1071))+1,"")</f>
        <v/>
      </c>
      <c r="AM1071">
        <f>IF($D1071="","",IF(OR($R1071=TRUE(),$R1071="TRUE"),1,0))</f>
        <v/>
      </c>
      <c r="AN1071">
        <f>IF($D1071="","",IF($X1071="Yes",1,0))</f>
        <v/>
      </c>
      <c r="AO1071">
        <f>IF($AK1071=1,IFERROR(IF(VALUE($D1071)&lt;100000000,VALUE($D1071),1000000000),IFERROR(IF(VALUE(MID($D1071,2,20))&lt;100000000,VALUE(MID($D1071,2,20)),1000000000),1000000000))+ROW()/100000,"")</f>
        <v/>
      </c>
    </row>
    <row r="1072">
      <c r="F1072" s="11" t="n"/>
      <c r="N1072" s="7">
        <f>IF($D1072="","",M1072*V1072/100)</f>
        <v/>
      </c>
      <c r="O1072" s="7" t="n"/>
      <c r="U1072" s="7" t="n"/>
      <c r="V1072" s="7" t="n"/>
      <c r="Y1072">
        <f>IF($D1072="","",IF($AN1072=1,0,IF($AM1072=1,Settings!$C$6,Settings!$C$7))*100)</f>
        <v/>
      </c>
      <c r="Z1072" s="7">
        <f>IF($D1072="","",V1072*Y1072/100)</f>
        <v/>
      </c>
      <c r="AA1072" s="7">
        <f>IF($D1072="","",V1072-Z1072)</f>
        <v/>
      </c>
      <c r="AB1072" s="7">
        <f>IF($D1072="","",AA1072-N1072)</f>
        <v/>
      </c>
      <c r="AF1072" s="7" t="n"/>
      <c r="AI1072" s="11" t="n"/>
      <c r="AK1072">
        <f>IF($D1072="","",IF(COUNTIF($D$2:$D1072,$D1072)=1,1,0))</f>
        <v/>
      </c>
      <c r="AL1072">
        <f>IF($AK1072=1,SUMPRODUCT(--($AO$2:$AO$3001&lt;$AO1072))+1,"")</f>
        <v/>
      </c>
      <c r="AM1072">
        <f>IF($D1072="","",IF(OR($R1072=TRUE(),$R1072="TRUE"),1,0))</f>
        <v/>
      </c>
      <c r="AN1072">
        <f>IF($D1072="","",IF($X1072="Yes",1,0))</f>
        <v/>
      </c>
      <c r="AO1072">
        <f>IF($AK1072=1,IFERROR(IF(VALUE($D1072)&lt;100000000,VALUE($D1072),1000000000),IFERROR(IF(VALUE(MID($D1072,2,20))&lt;100000000,VALUE(MID($D1072,2,20)),1000000000),1000000000))+ROW()/100000,"")</f>
        <v/>
      </c>
    </row>
    <row r="1073">
      <c r="F1073" s="11" t="n"/>
      <c r="N1073" s="7">
        <f>IF($D1073="","",M1073*V1073/100)</f>
        <v/>
      </c>
      <c r="O1073" s="7" t="n"/>
      <c r="U1073" s="7" t="n"/>
      <c r="V1073" s="7" t="n"/>
      <c r="Y1073">
        <f>IF($D1073="","",IF($AN1073=1,0,IF($AM1073=1,Settings!$C$6,Settings!$C$7))*100)</f>
        <v/>
      </c>
      <c r="Z1073" s="7">
        <f>IF($D1073="","",V1073*Y1073/100)</f>
        <v/>
      </c>
      <c r="AA1073" s="7">
        <f>IF($D1073="","",V1073-Z1073)</f>
        <v/>
      </c>
      <c r="AB1073" s="7">
        <f>IF($D1073="","",AA1073-N1073)</f>
        <v/>
      </c>
      <c r="AF1073" s="7" t="n"/>
      <c r="AI1073" s="11" t="n"/>
      <c r="AK1073">
        <f>IF($D1073="","",IF(COUNTIF($D$2:$D1073,$D1073)=1,1,0))</f>
        <v/>
      </c>
      <c r="AL1073">
        <f>IF($AK1073=1,SUMPRODUCT(--($AO$2:$AO$3001&lt;$AO1073))+1,"")</f>
        <v/>
      </c>
      <c r="AM1073">
        <f>IF($D1073="","",IF(OR($R1073=TRUE(),$R1073="TRUE"),1,0))</f>
        <v/>
      </c>
      <c r="AN1073">
        <f>IF($D1073="","",IF($X1073="Yes",1,0))</f>
        <v/>
      </c>
      <c r="AO1073">
        <f>IF($AK1073=1,IFERROR(IF(VALUE($D1073)&lt;100000000,VALUE($D1073),1000000000),IFERROR(IF(VALUE(MID($D1073,2,20))&lt;100000000,VALUE(MID($D1073,2,20)),1000000000),1000000000))+ROW()/100000,"")</f>
        <v/>
      </c>
    </row>
    <row r="1074">
      <c r="F1074" s="11" t="n"/>
      <c r="N1074" s="7">
        <f>IF($D1074="","",M1074*V1074/100)</f>
        <v/>
      </c>
      <c r="O1074" s="7" t="n"/>
      <c r="U1074" s="7" t="n"/>
      <c r="V1074" s="7" t="n"/>
      <c r="Y1074">
        <f>IF($D1074="","",IF($AN1074=1,0,IF($AM1074=1,Settings!$C$6,Settings!$C$7))*100)</f>
        <v/>
      </c>
      <c r="Z1074" s="7">
        <f>IF($D1074="","",V1074*Y1074/100)</f>
        <v/>
      </c>
      <c r="AA1074" s="7">
        <f>IF($D1074="","",V1074-Z1074)</f>
        <v/>
      </c>
      <c r="AB1074" s="7">
        <f>IF($D1074="","",AA1074-N1074)</f>
        <v/>
      </c>
      <c r="AF1074" s="7" t="n"/>
      <c r="AI1074" s="11" t="n"/>
      <c r="AK1074">
        <f>IF($D1074="","",IF(COUNTIF($D$2:$D1074,$D1074)=1,1,0))</f>
        <v/>
      </c>
      <c r="AL1074">
        <f>IF($AK1074=1,SUMPRODUCT(--($AO$2:$AO$3001&lt;$AO1074))+1,"")</f>
        <v/>
      </c>
      <c r="AM1074">
        <f>IF($D1074="","",IF(OR($R1074=TRUE(),$R1074="TRUE"),1,0))</f>
        <v/>
      </c>
      <c r="AN1074">
        <f>IF($D1074="","",IF($X1074="Yes",1,0))</f>
        <v/>
      </c>
      <c r="AO1074">
        <f>IF($AK1074=1,IFERROR(IF(VALUE($D1074)&lt;100000000,VALUE($D1074),1000000000),IFERROR(IF(VALUE(MID($D1074,2,20))&lt;100000000,VALUE(MID($D1074,2,20)),1000000000),1000000000))+ROW()/100000,"")</f>
        <v/>
      </c>
    </row>
    <row r="1075">
      <c r="F1075" s="11" t="n"/>
      <c r="N1075" s="7">
        <f>IF($D1075="","",M1075*V1075/100)</f>
        <v/>
      </c>
      <c r="O1075" s="7" t="n"/>
      <c r="U1075" s="7" t="n"/>
      <c r="V1075" s="7" t="n"/>
      <c r="Y1075">
        <f>IF($D1075="","",IF($AN1075=1,0,IF($AM1075=1,Settings!$C$6,Settings!$C$7))*100)</f>
        <v/>
      </c>
      <c r="Z1075" s="7">
        <f>IF($D1075="","",V1075*Y1075/100)</f>
        <v/>
      </c>
      <c r="AA1075" s="7">
        <f>IF($D1075="","",V1075-Z1075)</f>
        <v/>
      </c>
      <c r="AB1075" s="7">
        <f>IF($D1075="","",AA1075-N1075)</f>
        <v/>
      </c>
      <c r="AF1075" s="7" t="n"/>
      <c r="AI1075" s="11" t="n"/>
      <c r="AK1075">
        <f>IF($D1075="","",IF(COUNTIF($D$2:$D1075,$D1075)=1,1,0))</f>
        <v/>
      </c>
      <c r="AL1075">
        <f>IF($AK1075=1,SUMPRODUCT(--($AO$2:$AO$3001&lt;$AO1075))+1,"")</f>
        <v/>
      </c>
      <c r="AM1075">
        <f>IF($D1075="","",IF(OR($R1075=TRUE(),$R1075="TRUE"),1,0))</f>
        <v/>
      </c>
      <c r="AN1075">
        <f>IF($D1075="","",IF($X1075="Yes",1,0))</f>
        <v/>
      </c>
      <c r="AO1075">
        <f>IF($AK1075=1,IFERROR(IF(VALUE($D1075)&lt;100000000,VALUE($D1075),1000000000),IFERROR(IF(VALUE(MID($D1075,2,20))&lt;100000000,VALUE(MID($D1075,2,20)),1000000000),1000000000))+ROW()/100000,"")</f>
        <v/>
      </c>
    </row>
    <row r="1076">
      <c r="F1076" s="11" t="n"/>
      <c r="N1076" s="7">
        <f>IF($D1076="","",M1076*V1076/100)</f>
        <v/>
      </c>
      <c r="O1076" s="7" t="n"/>
      <c r="U1076" s="7" t="n"/>
      <c r="V1076" s="7" t="n"/>
      <c r="Y1076">
        <f>IF($D1076="","",IF($AN1076=1,0,IF($AM1076=1,Settings!$C$6,Settings!$C$7))*100)</f>
        <v/>
      </c>
      <c r="Z1076" s="7">
        <f>IF($D1076="","",V1076*Y1076/100)</f>
        <v/>
      </c>
      <c r="AA1076" s="7">
        <f>IF($D1076="","",V1076-Z1076)</f>
        <v/>
      </c>
      <c r="AB1076" s="7">
        <f>IF($D1076="","",AA1076-N1076)</f>
        <v/>
      </c>
      <c r="AF1076" s="7" t="n"/>
      <c r="AI1076" s="11" t="n"/>
      <c r="AK1076">
        <f>IF($D1076="","",IF(COUNTIF($D$2:$D1076,$D1076)=1,1,0))</f>
        <v/>
      </c>
      <c r="AL1076">
        <f>IF($AK1076=1,SUMPRODUCT(--($AO$2:$AO$3001&lt;$AO1076))+1,"")</f>
        <v/>
      </c>
      <c r="AM1076">
        <f>IF($D1076="","",IF(OR($R1076=TRUE(),$R1076="TRUE"),1,0))</f>
        <v/>
      </c>
      <c r="AN1076">
        <f>IF($D1076="","",IF($X1076="Yes",1,0))</f>
        <v/>
      </c>
      <c r="AO1076">
        <f>IF($AK1076=1,IFERROR(IF(VALUE($D1076)&lt;100000000,VALUE($D1076),1000000000),IFERROR(IF(VALUE(MID($D1076,2,20))&lt;100000000,VALUE(MID($D1076,2,20)),1000000000),1000000000))+ROW()/100000,"")</f>
        <v/>
      </c>
    </row>
    <row r="1077">
      <c r="F1077" s="11" t="n"/>
      <c r="N1077" s="7">
        <f>IF($D1077="","",M1077*V1077/100)</f>
        <v/>
      </c>
      <c r="O1077" s="7" t="n"/>
      <c r="U1077" s="7" t="n"/>
      <c r="V1077" s="7" t="n"/>
      <c r="Y1077">
        <f>IF($D1077="","",IF($AN1077=1,0,IF($AM1077=1,Settings!$C$6,Settings!$C$7))*100)</f>
        <v/>
      </c>
      <c r="Z1077" s="7">
        <f>IF($D1077="","",V1077*Y1077/100)</f>
        <v/>
      </c>
      <c r="AA1077" s="7">
        <f>IF($D1077="","",V1077-Z1077)</f>
        <v/>
      </c>
      <c r="AB1077" s="7">
        <f>IF($D1077="","",AA1077-N1077)</f>
        <v/>
      </c>
      <c r="AF1077" s="7" t="n"/>
      <c r="AI1077" s="11" t="n"/>
      <c r="AK1077">
        <f>IF($D1077="","",IF(COUNTIF($D$2:$D1077,$D1077)=1,1,0))</f>
        <v/>
      </c>
      <c r="AL1077">
        <f>IF($AK1077=1,SUMPRODUCT(--($AO$2:$AO$3001&lt;$AO1077))+1,"")</f>
        <v/>
      </c>
      <c r="AM1077">
        <f>IF($D1077="","",IF(OR($R1077=TRUE(),$R1077="TRUE"),1,0))</f>
        <v/>
      </c>
      <c r="AN1077">
        <f>IF($D1077="","",IF($X1077="Yes",1,0))</f>
        <v/>
      </c>
      <c r="AO1077">
        <f>IF($AK1077=1,IFERROR(IF(VALUE($D1077)&lt;100000000,VALUE($D1077),1000000000),IFERROR(IF(VALUE(MID($D1077,2,20))&lt;100000000,VALUE(MID($D1077,2,20)),1000000000),1000000000))+ROW()/100000,"")</f>
        <v/>
      </c>
    </row>
    <row r="1078">
      <c r="F1078" s="11" t="n"/>
      <c r="N1078" s="7">
        <f>IF($D1078="","",M1078*V1078/100)</f>
        <v/>
      </c>
      <c r="O1078" s="7" t="n"/>
      <c r="U1078" s="7" t="n"/>
      <c r="V1078" s="7" t="n"/>
      <c r="Y1078">
        <f>IF($D1078="","",IF($AN1078=1,0,IF($AM1078=1,Settings!$C$6,Settings!$C$7))*100)</f>
        <v/>
      </c>
      <c r="Z1078" s="7">
        <f>IF($D1078="","",V1078*Y1078/100)</f>
        <v/>
      </c>
      <c r="AA1078" s="7">
        <f>IF($D1078="","",V1078-Z1078)</f>
        <v/>
      </c>
      <c r="AB1078" s="7">
        <f>IF($D1078="","",AA1078-N1078)</f>
        <v/>
      </c>
      <c r="AF1078" s="7" t="n"/>
      <c r="AI1078" s="11" t="n"/>
      <c r="AK1078">
        <f>IF($D1078="","",IF(COUNTIF($D$2:$D1078,$D1078)=1,1,0))</f>
        <v/>
      </c>
      <c r="AL1078">
        <f>IF($AK1078=1,SUMPRODUCT(--($AO$2:$AO$3001&lt;$AO1078))+1,"")</f>
        <v/>
      </c>
      <c r="AM1078">
        <f>IF($D1078="","",IF(OR($R1078=TRUE(),$R1078="TRUE"),1,0))</f>
        <v/>
      </c>
      <c r="AN1078">
        <f>IF($D1078="","",IF($X1078="Yes",1,0))</f>
        <v/>
      </c>
      <c r="AO1078">
        <f>IF($AK1078=1,IFERROR(IF(VALUE($D1078)&lt;100000000,VALUE($D1078),1000000000),IFERROR(IF(VALUE(MID($D1078,2,20))&lt;100000000,VALUE(MID($D1078,2,20)),1000000000),1000000000))+ROW()/100000,"")</f>
        <v/>
      </c>
    </row>
    <row r="1079">
      <c r="F1079" s="11" t="n"/>
      <c r="N1079" s="7">
        <f>IF($D1079="","",M1079*V1079/100)</f>
        <v/>
      </c>
      <c r="O1079" s="7" t="n"/>
      <c r="U1079" s="7" t="n"/>
      <c r="V1079" s="7" t="n"/>
      <c r="Y1079">
        <f>IF($D1079="","",IF($AN1079=1,0,IF($AM1079=1,Settings!$C$6,Settings!$C$7))*100)</f>
        <v/>
      </c>
      <c r="Z1079" s="7">
        <f>IF($D1079="","",V1079*Y1079/100)</f>
        <v/>
      </c>
      <c r="AA1079" s="7">
        <f>IF($D1079="","",V1079-Z1079)</f>
        <v/>
      </c>
      <c r="AB1079" s="7">
        <f>IF($D1079="","",AA1079-N1079)</f>
        <v/>
      </c>
      <c r="AF1079" s="7" t="n"/>
      <c r="AI1079" s="11" t="n"/>
      <c r="AK1079">
        <f>IF($D1079="","",IF(COUNTIF($D$2:$D1079,$D1079)=1,1,0))</f>
        <v/>
      </c>
      <c r="AL1079">
        <f>IF($AK1079=1,SUMPRODUCT(--($AO$2:$AO$3001&lt;$AO1079))+1,"")</f>
        <v/>
      </c>
      <c r="AM1079">
        <f>IF($D1079="","",IF(OR($R1079=TRUE(),$R1079="TRUE"),1,0))</f>
        <v/>
      </c>
      <c r="AN1079">
        <f>IF($D1079="","",IF($X1079="Yes",1,0))</f>
        <v/>
      </c>
      <c r="AO1079">
        <f>IF($AK1079=1,IFERROR(IF(VALUE($D1079)&lt;100000000,VALUE($D1079),1000000000),IFERROR(IF(VALUE(MID($D1079,2,20))&lt;100000000,VALUE(MID($D1079,2,20)),1000000000),1000000000))+ROW()/100000,"")</f>
        <v/>
      </c>
    </row>
    <row r="1080">
      <c r="F1080" s="11" t="n"/>
      <c r="N1080" s="7">
        <f>IF($D1080="","",M1080*V1080/100)</f>
        <v/>
      </c>
      <c r="O1080" s="7" t="n"/>
      <c r="U1080" s="7" t="n"/>
      <c r="V1080" s="7" t="n"/>
      <c r="Y1080">
        <f>IF($D1080="","",IF($AN1080=1,0,IF($AM1080=1,Settings!$C$6,Settings!$C$7))*100)</f>
        <v/>
      </c>
      <c r="Z1080" s="7">
        <f>IF($D1080="","",V1080*Y1080/100)</f>
        <v/>
      </c>
      <c r="AA1080" s="7">
        <f>IF($D1080="","",V1080-Z1080)</f>
        <v/>
      </c>
      <c r="AB1080" s="7">
        <f>IF($D1080="","",AA1080-N1080)</f>
        <v/>
      </c>
      <c r="AF1080" s="7" t="n"/>
      <c r="AI1080" s="11" t="n"/>
      <c r="AK1080">
        <f>IF($D1080="","",IF(COUNTIF($D$2:$D1080,$D1080)=1,1,0))</f>
        <v/>
      </c>
      <c r="AL1080">
        <f>IF($AK1080=1,SUMPRODUCT(--($AO$2:$AO$3001&lt;$AO1080))+1,"")</f>
        <v/>
      </c>
      <c r="AM1080">
        <f>IF($D1080="","",IF(OR($R1080=TRUE(),$R1080="TRUE"),1,0))</f>
        <v/>
      </c>
      <c r="AN1080">
        <f>IF($D1080="","",IF($X1080="Yes",1,0))</f>
        <v/>
      </c>
      <c r="AO1080">
        <f>IF($AK1080=1,IFERROR(IF(VALUE($D1080)&lt;100000000,VALUE($D1080),1000000000),IFERROR(IF(VALUE(MID($D1080,2,20))&lt;100000000,VALUE(MID($D1080,2,20)),1000000000),1000000000))+ROW()/100000,"")</f>
        <v/>
      </c>
    </row>
    <row r="1081">
      <c r="F1081" s="11" t="n"/>
      <c r="N1081" s="7">
        <f>IF($D1081="","",M1081*V1081/100)</f>
        <v/>
      </c>
      <c r="O1081" s="7" t="n"/>
      <c r="U1081" s="7" t="n"/>
      <c r="V1081" s="7" t="n"/>
      <c r="Y1081">
        <f>IF($D1081="","",IF($AN1081=1,0,IF($AM1081=1,Settings!$C$6,Settings!$C$7))*100)</f>
        <v/>
      </c>
      <c r="Z1081" s="7">
        <f>IF($D1081="","",V1081*Y1081/100)</f>
        <v/>
      </c>
      <c r="AA1081" s="7">
        <f>IF($D1081="","",V1081-Z1081)</f>
        <v/>
      </c>
      <c r="AB1081" s="7">
        <f>IF($D1081="","",AA1081-N1081)</f>
        <v/>
      </c>
      <c r="AF1081" s="7" t="n"/>
      <c r="AI1081" s="11" t="n"/>
      <c r="AK1081">
        <f>IF($D1081="","",IF(COUNTIF($D$2:$D1081,$D1081)=1,1,0))</f>
        <v/>
      </c>
      <c r="AL1081">
        <f>IF($AK1081=1,SUMPRODUCT(--($AO$2:$AO$3001&lt;$AO1081))+1,"")</f>
        <v/>
      </c>
      <c r="AM1081">
        <f>IF($D1081="","",IF(OR($R1081=TRUE(),$R1081="TRUE"),1,0))</f>
        <v/>
      </c>
      <c r="AN1081">
        <f>IF($D1081="","",IF($X1081="Yes",1,0))</f>
        <v/>
      </c>
      <c r="AO1081">
        <f>IF($AK1081=1,IFERROR(IF(VALUE($D1081)&lt;100000000,VALUE($D1081),1000000000),IFERROR(IF(VALUE(MID($D1081,2,20))&lt;100000000,VALUE(MID($D1081,2,20)),1000000000),1000000000))+ROW()/100000,"")</f>
        <v/>
      </c>
    </row>
    <row r="1082">
      <c r="F1082" s="11" t="n"/>
      <c r="N1082" s="7">
        <f>IF($D1082="","",M1082*V1082/100)</f>
        <v/>
      </c>
      <c r="O1082" s="7" t="n"/>
      <c r="U1082" s="7" t="n"/>
      <c r="V1082" s="7" t="n"/>
      <c r="Y1082">
        <f>IF($D1082="","",IF($AN1082=1,0,IF($AM1082=1,Settings!$C$6,Settings!$C$7))*100)</f>
        <v/>
      </c>
      <c r="Z1082" s="7">
        <f>IF($D1082="","",V1082*Y1082/100)</f>
        <v/>
      </c>
      <c r="AA1082" s="7">
        <f>IF($D1082="","",V1082-Z1082)</f>
        <v/>
      </c>
      <c r="AB1082" s="7">
        <f>IF($D1082="","",AA1082-N1082)</f>
        <v/>
      </c>
      <c r="AF1082" s="7" t="n"/>
      <c r="AI1082" s="11" t="n"/>
      <c r="AK1082">
        <f>IF($D1082="","",IF(COUNTIF($D$2:$D1082,$D1082)=1,1,0))</f>
        <v/>
      </c>
      <c r="AL1082">
        <f>IF($AK1082=1,SUMPRODUCT(--($AO$2:$AO$3001&lt;$AO1082))+1,"")</f>
        <v/>
      </c>
      <c r="AM1082">
        <f>IF($D1082="","",IF(OR($R1082=TRUE(),$R1082="TRUE"),1,0))</f>
        <v/>
      </c>
      <c r="AN1082">
        <f>IF($D1082="","",IF($X1082="Yes",1,0))</f>
        <v/>
      </c>
      <c r="AO1082">
        <f>IF($AK1082=1,IFERROR(IF(VALUE($D1082)&lt;100000000,VALUE($D1082),1000000000),IFERROR(IF(VALUE(MID($D1082,2,20))&lt;100000000,VALUE(MID($D1082,2,20)),1000000000),1000000000))+ROW()/100000,"")</f>
        <v/>
      </c>
    </row>
    <row r="1083">
      <c r="F1083" s="11" t="n"/>
      <c r="N1083" s="7">
        <f>IF($D1083="","",M1083*V1083/100)</f>
        <v/>
      </c>
      <c r="O1083" s="7" t="n"/>
      <c r="U1083" s="7" t="n"/>
      <c r="V1083" s="7" t="n"/>
      <c r="Y1083">
        <f>IF($D1083="","",IF($AN1083=1,0,IF($AM1083=1,Settings!$C$6,Settings!$C$7))*100)</f>
        <v/>
      </c>
      <c r="Z1083" s="7">
        <f>IF($D1083="","",V1083*Y1083/100)</f>
        <v/>
      </c>
      <c r="AA1083" s="7">
        <f>IF($D1083="","",V1083-Z1083)</f>
        <v/>
      </c>
      <c r="AB1083" s="7">
        <f>IF($D1083="","",AA1083-N1083)</f>
        <v/>
      </c>
      <c r="AF1083" s="7" t="n"/>
      <c r="AI1083" s="11" t="n"/>
      <c r="AK1083">
        <f>IF($D1083="","",IF(COUNTIF($D$2:$D1083,$D1083)=1,1,0))</f>
        <v/>
      </c>
      <c r="AL1083">
        <f>IF($AK1083=1,SUMPRODUCT(--($AO$2:$AO$3001&lt;$AO1083))+1,"")</f>
        <v/>
      </c>
      <c r="AM1083">
        <f>IF($D1083="","",IF(OR($R1083=TRUE(),$R1083="TRUE"),1,0))</f>
        <v/>
      </c>
      <c r="AN1083">
        <f>IF($D1083="","",IF($X1083="Yes",1,0))</f>
        <v/>
      </c>
      <c r="AO1083">
        <f>IF($AK1083=1,IFERROR(IF(VALUE($D1083)&lt;100000000,VALUE($D1083),1000000000),IFERROR(IF(VALUE(MID($D1083,2,20))&lt;100000000,VALUE(MID($D1083,2,20)),1000000000),1000000000))+ROW()/100000,"")</f>
        <v/>
      </c>
    </row>
    <row r="1084">
      <c r="F1084" s="11" t="n"/>
      <c r="N1084" s="7">
        <f>IF($D1084="","",M1084*V1084/100)</f>
        <v/>
      </c>
      <c r="O1084" s="7" t="n"/>
      <c r="U1084" s="7" t="n"/>
      <c r="V1084" s="7" t="n"/>
      <c r="Y1084">
        <f>IF($D1084="","",IF($AN1084=1,0,IF($AM1084=1,Settings!$C$6,Settings!$C$7))*100)</f>
        <v/>
      </c>
      <c r="Z1084" s="7">
        <f>IF($D1084="","",V1084*Y1084/100)</f>
        <v/>
      </c>
      <c r="AA1084" s="7">
        <f>IF($D1084="","",V1084-Z1084)</f>
        <v/>
      </c>
      <c r="AB1084" s="7">
        <f>IF($D1084="","",AA1084-N1084)</f>
        <v/>
      </c>
      <c r="AF1084" s="7" t="n"/>
      <c r="AI1084" s="11" t="n"/>
      <c r="AK1084">
        <f>IF($D1084="","",IF(COUNTIF($D$2:$D1084,$D1084)=1,1,0))</f>
        <v/>
      </c>
      <c r="AL1084">
        <f>IF($AK1084=1,SUMPRODUCT(--($AO$2:$AO$3001&lt;$AO1084))+1,"")</f>
        <v/>
      </c>
      <c r="AM1084">
        <f>IF($D1084="","",IF(OR($R1084=TRUE(),$R1084="TRUE"),1,0))</f>
        <v/>
      </c>
      <c r="AN1084">
        <f>IF($D1084="","",IF($X1084="Yes",1,0))</f>
        <v/>
      </c>
      <c r="AO1084">
        <f>IF($AK1084=1,IFERROR(IF(VALUE($D1084)&lt;100000000,VALUE($D1084),1000000000),IFERROR(IF(VALUE(MID($D1084,2,20))&lt;100000000,VALUE(MID($D1084,2,20)),1000000000),1000000000))+ROW()/100000,"")</f>
        <v/>
      </c>
    </row>
    <row r="1085">
      <c r="F1085" s="11" t="n"/>
      <c r="N1085" s="7">
        <f>IF($D1085="","",M1085*V1085/100)</f>
        <v/>
      </c>
      <c r="O1085" s="7" t="n"/>
      <c r="U1085" s="7" t="n"/>
      <c r="V1085" s="7" t="n"/>
      <c r="Y1085">
        <f>IF($D1085="","",IF($AN1085=1,0,IF($AM1085=1,Settings!$C$6,Settings!$C$7))*100)</f>
        <v/>
      </c>
      <c r="Z1085" s="7">
        <f>IF($D1085="","",V1085*Y1085/100)</f>
        <v/>
      </c>
      <c r="AA1085" s="7">
        <f>IF($D1085="","",V1085-Z1085)</f>
        <v/>
      </c>
      <c r="AB1085" s="7">
        <f>IF($D1085="","",AA1085-N1085)</f>
        <v/>
      </c>
      <c r="AF1085" s="7" t="n"/>
      <c r="AI1085" s="11" t="n"/>
      <c r="AK1085">
        <f>IF($D1085="","",IF(COUNTIF($D$2:$D1085,$D1085)=1,1,0))</f>
        <v/>
      </c>
      <c r="AL1085">
        <f>IF($AK1085=1,SUMPRODUCT(--($AO$2:$AO$3001&lt;$AO1085))+1,"")</f>
        <v/>
      </c>
      <c r="AM1085">
        <f>IF($D1085="","",IF(OR($R1085=TRUE(),$R1085="TRUE"),1,0))</f>
        <v/>
      </c>
      <c r="AN1085">
        <f>IF($D1085="","",IF($X1085="Yes",1,0))</f>
        <v/>
      </c>
      <c r="AO1085">
        <f>IF($AK1085=1,IFERROR(IF(VALUE($D1085)&lt;100000000,VALUE($D1085),1000000000),IFERROR(IF(VALUE(MID($D1085,2,20))&lt;100000000,VALUE(MID($D1085,2,20)),1000000000),1000000000))+ROW()/100000,"")</f>
        <v/>
      </c>
    </row>
    <row r="1086">
      <c r="F1086" s="11" t="n"/>
      <c r="N1086" s="7">
        <f>IF($D1086="","",M1086*V1086/100)</f>
        <v/>
      </c>
      <c r="O1086" s="7" t="n"/>
      <c r="U1086" s="7" t="n"/>
      <c r="V1086" s="7" t="n"/>
      <c r="Y1086">
        <f>IF($D1086="","",IF($AN1086=1,0,IF($AM1086=1,Settings!$C$6,Settings!$C$7))*100)</f>
        <v/>
      </c>
      <c r="Z1086" s="7">
        <f>IF($D1086="","",V1086*Y1086/100)</f>
        <v/>
      </c>
      <c r="AA1086" s="7">
        <f>IF($D1086="","",V1086-Z1086)</f>
        <v/>
      </c>
      <c r="AB1086" s="7">
        <f>IF($D1086="","",AA1086-N1086)</f>
        <v/>
      </c>
      <c r="AF1086" s="7" t="n"/>
      <c r="AI1086" s="11" t="n"/>
      <c r="AK1086">
        <f>IF($D1086="","",IF(COUNTIF($D$2:$D1086,$D1086)=1,1,0))</f>
        <v/>
      </c>
      <c r="AL1086">
        <f>IF($AK1086=1,SUMPRODUCT(--($AO$2:$AO$3001&lt;$AO1086))+1,"")</f>
        <v/>
      </c>
      <c r="AM1086">
        <f>IF($D1086="","",IF(OR($R1086=TRUE(),$R1086="TRUE"),1,0))</f>
        <v/>
      </c>
      <c r="AN1086">
        <f>IF($D1086="","",IF($X1086="Yes",1,0))</f>
        <v/>
      </c>
      <c r="AO1086">
        <f>IF($AK1086=1,IFERROR(IF(VALUE($D1086)&lt;100000000,VALUE($D1086),1000000000),IFERROR(IF(VALUE(MID($D1086,2,20))&lt;100000000,VALUE(MID($D1086,2,20)),1000000000),1000000000))+ROW()/100000,"")</f>
        <v/>
      </c>
    </row>
    <row r="1087">
      <c r="F1087" s="11" t="n"/>
      <c r="N1087" s="7">
        <f>IF($D1087="","",M1087*V1087/100)</f>
        <v/>
      </c>
      <c r="O1087" s="7" t="n"/>
      <c r="U1087" s="7" t="n"/>
      <c r="V1087" s="7" t="n"/>
      <c r="Y1087">
        <f>IF($D1087="","",IF($AN1087=1,0,IF($AM1087=1,Settings!$C$6,Settings!$C$7))*100)</f>
        <v/>
      </c>
      <c r="Z1087" s="7">
        <f>IF($D1087="","",V1087*Y1087/100)</f>
        <v/>
      </c>
      <c r="AA1087" s="7">
        <f>IF($D1087="","",V1087-Z1087)</f>
        <v/>
      </c>
      <c r="AB1087" s="7">
        <f>IF($D1087="","",AA1087-N1087)</f>
        <v/>
      </c>
      <c r="AF1087" s="7" t="n"/>
      <c r="AI1087" s="11" t="n"/>
      <c r="AK1087">
        <f>IF($D1087="","",IF(COUNTIF($D$2:$D1087,$D1087)=1,1,0))</f>
        <v/>
      </c>
      <c r="AL1087">
        <f>IF($AK1087=1,SUMPRODUCT(--($AO$2:$AO$3001&lt;$AO1087))+1,"")</f>
        <v/>
      </c>
      <c r="AM1087">
        <f>IF($D1087="","",IF(OR($R1087=TRUE(),$R1087="TRUE"),1,0))</f>
        <v/>
      </c>
      <c r="AN1087">
        <f>IF($D1087="","",IF($X1087="Yes",1,0))</f>
        <v/>
      </c>
      <c r="AO1087">
        <f>IF($AK1087=1,IFERROR(IF(VALUE($D1087)&lt;100000000,VALUE($D1087),1000000000),IFERROR(IF(VALUE(MID($D1087,2,20))&lt;100000000,VALUE(MID($D1087,2,20)),1000000000),1000000000))+ROW()/100000,"")</f>
        <v/>
      </c>
    </row>
    <row r="1088">
      <c r="F1088" s="11" t="n"/>
      <c r="N1088" s="7">
        <f>IF($D1088="","",M1088*V1088/100)</f>
        <v/>
      </c>
      <c r="O1088" s="7" t="n"/>
      <c r="U1088" s="7" t="n"/>
      <c r="V1088" s="7" t="n"/>
      <c r="Y1088">
        <f>IF($D1088="","",IF($AN1088=1,0,IF($AM1088=1,Settings!$C$6,Settings!$C$7))*100)</f>
        <v/>
      </c>
      <c r="Z1088" s="7">
        <f>IF($D1088="","",V1088*Y1088/100)</f>
        <v/>
      </c>
      <c r="AA1088" s="7">
        <f>IF($D1088="","",V1088-Z1088)</f>
        <v/>
      </c>
      <c r="AB1088" s="7">
        <f>IF($D1088="","",AA1088-N1088)</f>
        <v/>
      </c>
      <c r="AF1088" s="7" t="n"/>
      <c r="AI1088" s="11" t="n"/>
      <c r="AK1088">
        <f>IF($D1088="","",IF(COUNTIF($D$2:$D1088,$D1088)=1,1,0))</f>
        <v/>
      </c>
      <c r="AL1088">
        <f>IF($AK1088=1,SUMPRODUCT(--($AO$2:$AO$3001&lt;$AO1088))+1,"")</f>
        <v/>
      </c>
      <c r="AM1088">
        <f>IF($D1088="","",IF(OR($R1088=TRUE(),$R1088="TRUE"),1,0))</f>
        <v/>
      </c>
      <c r="AN1088">
        <f>IF($D1088="","",IF($X1088="Yes",1,0))</f>
        <v/>
      </c>
      <c r="AO1088">
        <f>IF($AK1088=1,IFERROR(IF(VALUE($D1088)&lt;100000000,VALUE($D1088),1000000000),IFERROR(IF(VALUE(MID($D1088,2,20))&lt;100000000,VALUE(MID($D1088,2,20)),1000000000),1000000000))+ROW()/100000,"")</f>
        <v/>
      </c>
    </row>
    <row r="1089">
      <c r="F1089" s="11" t="n"/>
      <c r="N1089" s="7">
        <f>IF($D1089="","",M1089*V1089/100)</f>
        <v/>
      </c>
      <c r="O1089" s="7" t="n"/>
      <c r="U1089" s="7" t="n"/>
      <c r="V1089" s="7" t="n"/>
      <c r="Y1089">
        <f>IF($D1089="","",IF($AN1089=1,0,IF($AM1089=1,Settings!$C$6,Settings!$C$7))*100)</f>
        <v/>
      </c>
      <c r="Z1089" s="7">
        <f>IF($D1089="","",V1089*Y1089/100)</f>
        <v/>
      </c>
      <c r="AA1089" s="7">
        <f>IF($D1089="","",V1089-Z1089)</f>
        <v/>
      </c>
      <c r="AB1089" s="7">
        <f>IF($D1089="","",AA1089-N1089)</f>
        <v/>
      </c>
      <c r="AF1089" s="7" t="n"/>
      <c r="AI1089" s="11" t="n"/>
      <c r="AK1089">
        <f>IF($D1089="","",IF(COUNTIF($D$2:$D1089,$D1089)=1,1,0))</f>
        <v/>
      </c>
      <c r="AL1089">
        <f>IF($AK1089=1,SUMPRODUCT(--($AO$2:$AO$3001&lt;$AO1089))+1,"")</f>
        <v/>
      </c>
      <c r="AM1089">
        <f>IF($D1089="","",IF(OR($R1089=TRUE(),$R1089="TRUE"),1,0))</f>
        <v/>
      </c>
      <c r="AN1089">
        <f>IF($D1089="","",IF($X1089="Yes",1,0))</f>
        <v/>
      </c>
      <c r="AO1089">
        <f>IF($AK1089=1,IFERROR(IF(VALUE($D1089)&lt;100000000,VALUE($D1089),1000000000),IFERROR(IF(VALUE(MID($D1089,2,20))&lt;100000000,VALUE(MID($D1089,2,20)),1000000000),1000000000))+ROW()/100000,"")</f>
        <v/>
      </c>
    </row>
    <row r="1090">
      <c r="F1090" s="11" t="n"/>
      <c r="N1090" s="7">
        <f>IF($D1090="","",M1090*V1090/100)</f>
        <v/>
      </c>
      <c r="O1090" s="7" t="n"/>
      <c r="U1090" s="7" t="n"/>
      <c r="V1090" s="7" t="n"/>
      <c r="Y1090">
        <f>IF($D1090="","",IF($AN1090=1,0,IF($AM1090=1,Settings!$C$6,Settings!$C$7))*100)</f>
        <v/>
      </c>
      <c r="Z1090" s="7">
        <f>IF($D1090="","",V1090*Y1090/100)</f>
        <v/>
      </c>
      <c r="AA1090" s="7">
        <f>IF($D1090="","",V1090-Z1090)</f>
        <v/>
      </c>
      <c r="AB1090" s="7">
        <f>IF($D1090="","",AA1090-N1090)</f>
        <v/>
      </c>
      <c r="AF1090" s="7" t="n"/>
      <c r="AI1090" s="11" t="n"/>
      <c r="AK1090">
        <f>IF($D1090="","",IF(COUNTIF($D$2:$D1090,$D1090)=1,1,0))</f>
        <v/>
      </c>
      <c r="AL1090">
        <f>IF($AK1090=1,SUMPRODUCT(--($AO$2:$AO$3001&lt;$AO1090))+1,"")</f>
        <v/>
      </c>
      <c r="AM1090">
        <f>IF($D1090="","",IF(OR($R1090=TRUE(),$R1090="TRUE"),1,0))</f>
        <v/>
      </c>
      <c r="AN1090">
        <f>IF($D1090="","",IF($X1090="Yes",1,0))</f>
        <v/>
      </c>
      <c r="AO1090">
        <f>IF($AK1090=1,IFERROR(IF(VALUE($D1090)&lt;100000000,VALUE($D1090),1000000000),IFERROR(IF(VALUE(MID($D1090,2,20))&lt;100000000,VALUE(MID($D1090,2,20)),1000000000),1000000000))+ROW()/100000,"")</f>
        <v/>
      </c>
    </row>
    <row r="1091">
      <c r="F1091" s="11" t="n"/>
      <c r="N1091" s="7">
        <f>IF($D1091="","",M1091*V1091/100)</f>
        <v/>
      </c>
      <c r="O1091" s="7" t="n"/>
      <c r="U1091" s="7" t="n"/>
      <c r="V1091" s="7" t="n"/>
      <c r="Y1091">
        <f>IF($D1091="","",IF($AN1091=1,0,IF($AM1091=1,Settings!$C$6,Settings!$C$7))*100)</f>
        <v/>
      </c>
      <c r="Z1091" s="7">
        <f>IF($D1091="","",V1091*Y1091/100)</f>
        <v/>
      </c>
      <c r="AA1091" s="7">
        <f>IF($D1091="","",V1091-Z1091)</f>
        <v/>
      </c>
      <c r="AB1091" s="7">
        <f>IF($D1091="","",AA1091-N1091)</f>
        <v/>
      </c>
      <c r="AF1091" s="7" t="n"/>
      <c r="AI1091" s="11" t="n"/>
      <c r="AK1091">
        <f>IF($D1091="","",IF(COUNTIF($D$2:$D1091,$D1091)=1,1,0))</f>
        <v/>
      </c>
      <c r="AL1091">
        <f>IF($AK1091=1,SUMPRODUCT(--($AO$2:$AO$3001&lt;$AO1091))+1,"")</f>
        <v/>
      </c>
      <c r="AM1091">
        <f>IF($D1091="","",IF(OR($R1091=TRUE(),$R1091="TRUE"),1,0))</f>
        <v/>
      </c>
      <c r="AN1091">
        <f>IF($D1091="","",IF($X1091="Yes",1,0))</f>
        <v/>
      </c>
      <c r="AO1091">
        <f>IF($AK1091=1,IFERROR(IF(VALUE($D1091)&lt;100000000,VALUE($D1091),1000000000),IFERROR(IF(VALUE(MID($D1091,2,20))&lt;100000000,VALUE(MID($D1091,2,20)),1000000000),1000000000))+ROW()/100000,"")</f>
        <v/>
      </c>
    </row>
    <row r="1092">
      <c r="F1092" s="11" t="n"/>
      <c r="N1092" s="7">
        <f>IF($D1092="","",M1092*V1092/100)</f>
        <v/>
      </c>
      <c r="O1092" s="7" t="n"/>
      <c r="U1092" s="7" t="n"/>
      <c r="V1092" s="7" t="n"/>
      <c r="Y1092">
        <f>IF($D1092="","",IF($AN1092=1,0,IF($AM1092=1,Settings!$C$6,Settings!$C$7))*100)</f>
        <v/>
      </c>
      <c r="Z1092" s="7">
        <f>IF($D1092="","",V1092*Y1092/100)</f>
        <v/>
      </c>
      <c r="AA1092" s="7">
        <f>IF($D1092="","",V1092-Z1092)</f>
        <v/>
      </c>
      <c r="AB1092" s="7">
        <f>IF($D1092="","",AA1092-N1092)</f>
        <v/>
      </c>
      <c r="AF1092" s="7" t="n"/>
      <c r="AI1092" s="11" t="n"/>
      <c r="AK1092">
        <f>IF($D1092="","",IF(COUNTIF($D$2:$D1092,$D1092)=1,1,0))</f>
        <v/>
      </c>
      <c r="AL1092">
        <f>IF($AK1092=1,SUMPRODUCT(--($AO$2:$AO$3001&lt;$AO1092))+1,"")</f>
        <v/>
      </c>
      <c r="AM1092">
        <f>IF($D1092="","",IF(OR($R1092=TRUE(),$R1092="TRUE"),1,0))</f>
        <v/>
      </c>
      <c r="AN1092">
        <f>IF($D1092="","",IF($X1092="Yes",1,0))</f>
        <v/>
      </c>
      <c r="AO1092">
        <f>IF($AK1092=1,IFERROR(IF(VALUE($D1092)&lt;100000000,VALUE($D1092),1000000000),IFERROR(IF(VALUE(MID($D1092,2,20))&lt;100000000,VALUE(MID($D1092,2,20)),1000000000),1000000000))+ROW()/100000,"")</f>
        <v/>
      </c>
    </row>
    <row r="1093">
      <c r="F1093" s="11" t="n"/>
      <c r="N1093" s="7">
        <f>IF($D1093="","",M1093*V1093/100)</f>
        <v/>
      </c>
      <c r="O1093" s="7" t="n"/>
      <c r="U1093" s="7" t="n"/>
      <c r="V1093" s="7" t="n"/>
      <c r="Y1093">
        <f>IF($D1093="","",IF($AN1093=1,0,IF($AM1093=1,Settings!$C$6,Settings!$C$7))*100)</f>
        <v/>
      </c>
      <c r="Z1093" s="7">
        <f>IF($D1093="","",V1093*Y1093/100)</f>
        <v/>
      </c>
      <c r="AA1093" s="7">
        <f>IF($D1093="","",V1093-Z1093)</f>
        <v/>
      </c>
      <c r="AB1093" s="7">
        <f>IF($D1093="","",AA1093-N1093)</f>
        <v/>
      </c>
      <c r="AF1093" s="7" t="n"/>
      <c r="AI1093" s="11" t="n"/>
      <c r="AK1093">
        <f>IF($D1093="","",IF(COUNTIF($D$2:$D1093,$D1093)=1,1,0))</f>
        <v/>
      </c>
      <c r="AL1093">
        <f>IF($AK1093=1,SUMPRODUCT(--($AO$2:$AO$3001&lt;$AO1093))+1,"")</f>
        <v/>
      </c>
      <c r="AM1093">
        <f>IF($D1093="","",IF(OR($R1093=TRUE(),$R1093="TRUE"),1,0))</f>
        <v/>
      </c>
      <c r="AN1093">
        <f>IF($D1093="","",IF($X1093="Yes",1,0))</f>
        <v/>
      </c>
      <c r="AO1093">
        <f>IF($AK1093=1,IFERROR(IF(VALUE($D1093)&lt;100000000,VALUE($D1093),1000000000),IFERROR(IF(VALUE(MID($D1093,2,20))&lt;100000000,VALUE(MID($D1093,2,20)),1000000000),1000000000))+ROW()/100000,"")</f>
        <v/>
      </c>
    </row>
    <row r="1094">
      <c r="F1094" s="11" t="n"/>
      <c r="N1094" s="7">
        <f>IF($D1094="","",M1094*V1094/100)</f>
        <v/>
      </c>
      <c r="O1094" s="7" t="n"/>
      <c r="U1094" s="7" t="n"/>
      <c r="V1094" s="7" t="n"/>
      <c r="Y1094">
        <f>IF($D1094="","",IF($AN1094=1,0,IF($AM1094=1,Settings!$C$6,Settings!$C$7))*100)</f>
        <v/>
      </c>
      <c r="Z1094" s="7">
        <f>IF($D1094="","",V1094*Y1094/100)</f>
        <v/>
      </c>
      <c r="AA1094" s="7">
        <f>IF($D1094="","",V1094-Z1094)</f>
        <v/>
      </c>
      <c r="AB1094" s="7">
        <f>IF($D1094="","",AA1094-N1094)</f>
        <v/>
      </c>
      <c r="AF1094" s="7" t="n"/>
      <c r="AI1094" s="11" t="n"/>
      <c r="AK1094">
        <f>IF($D1094="","",IF(COUNTIF($D$2:$D1094,$D1094)=1,1,0))</f>
        <v/>
      </c>
      <c r="AL1094">
        <f>IF($AK1094=1,SUMPRODUCT(--($AO$2:$AO$3001&lt;$AO1094))+1,"")</f>
        <v/>
      </c>
      <c r="AM1094">
        <f>IF($D1094="","",IF(OR($R1094=TRUE(),$R1094="TRUE"),1,0))</f>
        <v/>
      </c>
      <c r="AN1094">
        <f>IF($D1094="","",IF($X1094="Yes",1,0))</f>
        <v/>
      </c>
      <c r="AO1094">
        <f>IF($AK1094=1,IFERROR(IF(VALUE($D1094)&lt;100000000,VALUE($D1094),1000000000),IFERROR(IF(VALUE(MID($D1094,2,20))&lt;100000000,VALUE(MID($D1094,2,20)),1000000000),1000000000))+ROW()/100000,"")</f>
        <v/>
      </c>
    </row>
    <row r="1095">
      <c r="F1095" s="11" t="n"/>
      <c r="N1095" s="7">
        <f>IF($D1095="","",M1095*V1095/100)</f>
        <v/>
      </c>
      <c r="O1095" s="7" t="n"/>
      <c r="U1095" s="7" t="n"/>
      <c r="V1095" s="7" t="n"/>
      <c r="Y1095">
        <f>IF($D1095="","",IF($AN1095=1,0,IF($AM1095=1,Settings!$C$6,Settings!$C$7))*100)</f>
        <v/>
      </c>
      <c r="Z1095" s="7">
        <f>IF($D1095="","",V1095*Y1095/100)</f>
        <v/>
      </c>
      <c r="AA1095" s="7">
        <f>IF($D1095="","",V1095-Z1095)</f>
        <v/>
      </c>
      <c r="AB1095" s="7">
        <f>IF($D1095="","",AA1095-N1095)</f>
        <v/>
      </c>
      <c r="AF1095" s="7" t="n"/>
      <c r="AI1095" s="11" t="n"/>
      <c r="AK1095">
        <f>IF($D1095="","",IF(COUNTIF($D$2:$D1095,$D1095)=1,1,0))</f>
        <v/>
      </c>
      <c r="AL1095">
        <f>IF($AK1095=1,SUMPRODUCT(--($AO$2:$AO$3001&lt;$AO1095))+1,"")</f>
        <v/>
      </c>
      <c r="AM1095">
        <f>IF($D1095="","",IF(OR($R1095=TRUE(),$R1095="TRUE"),1,0))</f>
        <v/>
      </c>
      <c r="AN1095">
        <f>IF($D1095="","",IF($X1095="Yes",1,0))</f>
        <v/>
      </c>
      <c r="AO1095">
        <f>IF($AK1095=1,IFERROR(IF(VALUE($D1095)&lt;100000000,VALUE($D1095),1000000000),IFERROR(IF(VALUE(MID($D1095,2,20))&lt;100000000,VALUE(MID($D1095,2,20)),1000000000),1000000000))+ROW()/100000,"")</f>
        <v/>
      </c>
    </row>
    <row r="1096">
      <c r="F1096" s="11" t="n"/>
      <c r="N1096" s="7">
        <f>IF($D1096="","",M1096*V1096/100)</f>
        <v/>
      </c>
      <c r="O1096" s="7" t="n"/>
      <c r="U1096" s="7" t="n"/>
      <c r="V1096" s="7" t="n"/>
      <c r="Y1096">
        <f>IF($D1096="","",IF($AN1096=1,0,IF($AM1096=1,Settings!$C$6,Settings!$C$7))*100)</f>
        <v/>
      </c>
      <c r="Z1096" s="7">
        <f>IF($D1096="","",V1096*Y1096/100)</f>
        <v/>
      </c>
      <c r="AA1096" s="7">
        <f>IF($D1096="","",V1096-Z1096)</f>
        <v/>
      </c>
      <c r="AB1096" s="7">
        <f>IF($D1096="","",AA1096-N1096)</f>
        <v/>
      </c>
      <c r="AF1096" s="7" t="n"/>
      <c r="AI1096" s="11" t="n"/>
      <c r="AK1096">
        <f>IF($D1096="","",IF(COUNTIF($D$2:$D1096,$D1096)=1,1,0))</f>
        <v/>
      </c>
      <c r="AL1096">
        <f>IF($AK1096=1,SUMPRODUCT(--($AO$2:$AO$3001&lt;$AO1096))+1,"")</f>
        <v/>
      </c>
      <c r="AM1096">
        <f>IF($D1096="","",IF(OR($R1096=TRUE(),$R1096="TRUE"),1,0))</f>
        <v/>
      </c>
      <c r="AN1096">
        <f>IF($D1096="","",IF($X1096="Yes",1,0))</f>
        <v/>
      </c>
      <c r="AO1096">
        <f>IF($AK1096=1,IFERROR(IF(VALUE($D1096)&lt;100000000,VALUE($D1096),1000000000),IFERROR(IF(VALUE(MID($D1096,2,20))&lt;100000000,VALUE(MID($D1096,2,20)),1000000000),1000000000))+ROW()/100000,"")</f>
        <v/>
      </c>
    </row>
    <row r="1097">
      <c r="F1097" s="11" t="n"/>
      <c r="N1097" s="7">
        <f>IF($D1097="","",M1097*V1097/100)</f>
        <v/>
      </c>
      <c r="O1097" s="7" t="n"/>
      <c r="U1097" s="7" t="n"/>
      <c r="V1097" s="7" t="n"/>
      <c r="Y1097">
        <f>IF($D1097="","",IF($AN1097=1,0,IF($AM1097=1,Settings!$C$6,Settings!$C$7))*100)</f>
        <v/>
      </c>
      <c r="Z1097" s="7">
        <f>IF($D1097="","",V1097*Y1097/100)</f>
        <v/>
      </c>
      <c r="AA1097" s="7">
        <f>IF($D1097="","",V1097-Z1097)</f>
        <v/>
      </c>
      <c r="AB1097" s="7">
        <f>IF($D1097="","",AA1097-N1097)</f>
        <v/>
      </c>
      <c r="AF1097" s="7" t="n"/>
      <c r="AI1097" s="11" t="n"/>
      <c r="AK1097">
        <f>IF($D1097="","",IF(COUNTIF($D$2:$D1097,$D1097)=1,1,0))</f>
        <v/>
      </c>
      <c r="AL1097">
        <f>IF($AK1097=1,SUMPRODUCT(--($AO$2:$AO$3001&lt;$AO1097))+1,"")</f>
        <v/>
      </c>
      <c r="AM1097">
        <f>IF($D1097="","",IF(OR($R1097=TRUE(),$R1097="TRUE"),1,0))</f>
        <v/>
      </c>
      <c r="AN1097">
        <f>IF($D1097="","",IF($X1097="Yes",1,0))</f>
        <v/>
      </c>
      <c r="AO1097">
        <f>IF($AK1097=1,IFERROR(IF(VALUE($D1097)&lt;100000000,VALUE($D1097),1000000000),IFERROR(IF(VALUE(MID($D1097,2,20))&lt;100000000,VALUE(MID($D1097,2,20)),1000000000),1000000000))+ROW()/100000,"")</f>
        <v/>
      </c>
    </row>
    <row r="1098">
      <c r="F1098" s="11" t="n"/>
      <c r="N1098" s="7">
        <f>IF($D1098="","",M1098*V1098/100)</f>
        <v/>
      </c>
      <c r="O1098" s="7" t="n"/>
      <c r="U1098" s="7" t="n"/>
      <c r="V1098" s="7" t="n"/>
      <c r="Y1098">
        <f>IF($D1098="","",IF($AN1098=1,0,IF($AM1098=1,Settings!$C$6,Settings!$C$7))*100)</f>
        <v/>
      </c>
      <c r="Z1098" s="7">
        <f>IF($D1098="","",V1098*Y1098/100)</f>
        <v/>
      </c>
      <c r="AA1098" s="7">
        <f>IF($D1098="","",V1098-Z1098)</f>
        <v/>
      </c>
      <c r="AB1098" s="7">
        <f>IF($D1098="","",AA1098-N1098)</f>
        <v/>
      </c>
      <c r="AF1098" s="7" t="n"/>
      <c r="AI1098" s="11" t="n"/>
      <c r="AK1098">
        <f>IF($D1098="","",IF(COUNTIF($D$2:$D1098,$D1098)=1,1,0))</f>
        <v/>
      </c>
      <c r="AL1098">
        <f>IF($AK1098=1,SUMPRODUCT(--($AO$2:$AO$3001&lt;$AO1098))+1,"")</f>
        <v/>
      </c>
      <c r="AM1098">
        <f>IF($D1098="","",IF(OR($R1098=TRUE(),$R1098="TRUE"),1,0))</f>
        <v/>
      </c>
      <c r="AN1098">
        <f>IF($D1098="","",IF($X1098="Yes",1,0))</f>
        <v/>
      </c>
      <c r="AO1098">
        <f>IF($AK1098=1,IFERROR(IF(VALUE($D1098)&lt;100000000,VALUE($D1098),1000000000),IFERROR(IF(VALUE(MID($D1098,2,20))&lt;100000000,VALUE(MID($D1098,2,20)),1000000000),1000000000))+ROW()/100000,"")</f>
        <v/>
      </c>
    </row>
    <row r="1099">
      <c r="F1099" s="11" t="n"/>
      <c r="N1099" s="7">
        <f>IF($D1099="","",M1099*V1099/100)</f>
        <v/>
      </c>
      <c r="O1099" s="7" t="n"/>
      <c r="U1099" s="7" t="n"/>
      <c r="V1099" s="7" t="n"/>
      <c r="Y1099">
        <f>IF($D1099="","",IF($AN1099=1,0,IF($AM1099=1,Settings!$C$6,Settings!$C$7))*100)</f>
        <v/>
      </c>
      <c r="Z1099" s="7">
        <f>IF($D1099="","",V1099*Y1099/100)</f>
        <v/>
      </c>
      <c r="AA1099" s="7">
        <f>IF($D1099="","",V1099-Z1099)</f>
        <v/>
      </c>
      <c r="AB1099" s="7">
        <f>IF($D1099="","",AA1099-N1099)</f>
        <v/>
      </c>
      <c r="AF1099" s="7" t="n"/>
      <c r="AI1099" s="11" t="n"/>
      <c r="AK1099">
        <f>IF($D1099="","",IF(COUNTIF($D$2:$D1099,$D1099)=1,1,0))</f>
        <v/>
      </c>
      <c r="AL1099">
        <f>IF($AK1099=1,SUMPRODUCT(--($AO$2:$AO$3001&lt;$AO1099))+1,"")</f>
        <v/>
      </c>
      <c r="AM1099">
        <f>IF($D1099="","",IF(OR($R1099=TRUE(),$R1099="TRUE"),1,0))</f>
        <v/>
      </c>
      <c r="AN1099">
        <f>IF($D1099="","",IF($X1099="Yes",1,0))</f>
        <v/>
      </c>
      <c r="AO1099">
        <f>IF($AK1099=1,IFERROR(IF(VALUE($D1099)&lt;100000000,VALUE($D1099),1000000000),IFERROR(IF(VALUE(MID($D1099,2,20))&lt;100000000,VALUE(MID($D1099,2,20)),1000000000),1000000000))+ROW()/100000,"")</f>
        <v/>
      </c>
    </row>
    <row r="1100">
      <c r="F1100" s="11" t="n"/>
      <c r="N1100" s="7">
        <f>IF($D1100="","",M1100*V1100/100)</f>
        <v/>
      </c>
      <c r="O1100" s="7" t="n"/>
      <c r="U1100" s="7" t="n"/>
      <c r="V1100" s="7" t="n"/>
      <c r="Y1100">
        <f>IF($D1100="","",IF($AN1100=1,0,IF($AM1100=1,Settings!$C$6,Settings!$C$7))*100)</f>
        <v/>
      </c>
      <c r="Z1100" s="7">
        <f>IF($D1100="","",V1100*Y1100/100)</f>
        <v/>
      </c>
      <c r="AA1100" s="7">
        <f>IF($D1100="","",V1100-Z1100)</f>
        <v/>
      </c>
      <c r="AB1100" s="7">
        <f>IF($D1100="","",AA1100-N1100)</f>
        <v/>
      </c>
      <c r="AF1100" s="7" t="n"/>
      <c r="AI1100" s="11" t="n"/>
      <c r="AK1100">
        <f>IF($D1100="","",IF(COUNTIF($D$2:$D1100,$D1100)=1,1,0))</f>
        <v/>
      </c>
      <c r="AL1100">
        <f>IF($AK1100=1,SUMPRODUCT(--($AO$2:$AO$3001&lt;$AO1100))+1,"")</f>
        <v/>
      </c>
      <c r="AM1100">
        <f>IF($D1100="","",IF(OR($R1100=TRUE(),$R1100="TRUE"),1,0))</f>
        <v/>
      </c>
      <c r="AN1100">
        <f>IF($D1100="","",IF($X1100="Yes",1,0))</f>
        <v/>
      </c>
      <c r="AO1100">
        <f>IF($AK1100=1,IFERROR(IF(VALUE($D1100)&lt;100000000,VALUE($D1100),1000000000),IFERROR(IF(VALUE(MID($D1100,2,20))&lt;100000000,VALUE(MID($D1100,2,20)),1000000000),1000000000))+ROW()/100000,"")</f>
        <v/>
      </c>
    </row>
    <row r="1101">
      <c r="F1101" s="11" t="n"/>
      <c r="N1101" s="7">
        <f>IF($D1101="","",M1101*V1101/100)</f>
        <v/>
      </c>
      <c r="O1101" s="7" t="n"/>
      <c r="U1101" s="7" t="n"/>
      <c r="V1101" s="7" t="n"/>
      <c r="Y1101">
        <f>IF($D1101="","",IF($AN1101=1,0,IF($AM1101=1,Settings!$C$6,Settings!$C$7))*100)</f>
        <v/>
      </c>
      <c r="Z1101" s="7">
        <f>IF($D1101="","",V1101*Y1101/100)</f>
        <v/>
      </c>
      <c r="AA1101" s="7">
        <f>IF($D1101="","",V1101-Z1101)</f>
        <v/>
      </c>
      <c r="AB1101" s="7">
        <f>IF($D1101="","",AA1101-N1101)</f>
        <v/>
      </c>
      <c r="AF1101" s="7" t="n"/>
      <c r="AI1101" s="11" t="n"/>
      <c r="AK1101">
        <f>IF($D1101="","",IF(COUNTIF($D$2:$D1101,$D1101)=1,1,0))</f>
        <v/>
      </c>
      <c r="AL1101">
        <f>IF($AK1101=1,SUMPRODUCT(--($AO$2:$AO$3001&lt;$AO1101))+1,"")</f>
        <v/>
      </c>
      <c r="AM1101">
        <f>IF($D1101="","",IF(OR($R1101=TRUE(),$R1101="TRUE"),1,0))</f>
        <v/>
      </c>
      <c r="AN1101">
        <f>IF($D1101="","",IF($X1101="Yes",1,0))</f>
        <v/>
      </c>
      <c r="AO1101">
        <f>IF($AK1101=1,IFERROR(IF(VALUE($D1101)&lt;100000000,VALUE($D1101),1000000000),IFERROR(IF(VALUE(MID($D1101,2,20))&lt;100000000,VALUE(MID($D1101,2,20)),1000000000),1000000000))+ROW()/100000,"")</f>
        <v/>
      </c>
    </row>
    <row r="1102">
      <c r="F1102" s="11" t="n"/>
      <c r="N1102" s="7">
        <f>IF($D1102="","",M1102*V1102/100)</f>
        <v/>
      </c>
      <c r="O1102" s="7" t="n"/>
      <c r="U1102" s="7" t="n"/>
      <c r="V1102" s="7" t="n"/>
      <c r="Y1102">
        <f>IF($D1102="","",IF($AN1102=1,0,IF($AM1102=1,Settings!$C$6,Settings!$C$7))*100)</f>
        <v/>
      </c>
      <c r="Z1102" s="7">
        <f>IF($D1102="","",V1102*Y1102/100)</f>
        <v/>
      </c>
      <c r="AA1102" s="7">
        <f>IF($D1102="","",V1102-Z1102)</f>
        <v/>
      </c>
      <c r="AB1102" s="7">
        <f>IF($D1102="","",AA1102-N1102)</f>
        <v/>
      </c>
      <c r="AF1102" s="7" t="n"/>
      <c r="AI1102" s="11" t="n"/>
      <c r="AK1102">
        <f>IF($D1102="","",IF(COUNTIF($D$2:$D1102,$D1102)=1,1,0))</f>
        <v/>
      </c>
      <c r="AL1102">
        <f>IF($AK1102=1,SUMPRODUCT(--($AO$2:$AO$3001&lt;$AO1102))+1,"")</f>
        <v/>
      </c>
      <c r="AM1102">
        <f>IF($D1102="","",IF(OR($R1102=TRUE(),$R1102="TRUE"),1,0))</f>
        <v/>
      </c>
      <c r="AN1102">
        <f>IF($D1102="","",IF($X1102="Yes",1,0))</f>
        <v/>
      </c>
      <c r="AO1102">
        <f>IF($AK1102=1,IFERROR(IF(VALUE($D1102)&lt;100000000,VALUE($D1102),1000000000),IFERROR(IF(VALUE(MID($D1102,2,20))&lt;100000000,VALUE(MID($D1102,2,20)),1000000000),1000000000))+ROW()/100000,"")</f>
        <v/>
      </c>
    </row>
    <row r="1103">
      <c r="F1103" s="11" t="n"/>
      <c r="N1103" s="7">
        <f>IF($D1103="","",M1103*V1103/100)</f>
        <v/>
      </c>
      <c r="O1103" s="7" t="n"/>
      <c r="U1103" s="7" t="n"/>
      <c r="V1103" s="7" t="n"/>
      <c r="Y1103">
        <f>IF($D1103="","",IF($AN1103=1,0,IF($AM1103=1,Settings!$C$6,Settings!$C$7))*100)</f>
        <v/>
      </c>
      <c r="Z1103" s="7">
        <f>IF($D1103="","",V1103*Y1103/100)</f>
        <v/>
      </c>
      <c r="AA1103" s="7">
        <f>IF($D1103="","",V1103-Z1103)</f>
        <v/>
      </c>
      <c r="AB1103" s="7">
        <f>IF($D1103="","",AA1103-N1103)</f>
        <v/>
      </c>
      <c r="AF1103" s="7" t="n"/>
      <c r="AI1103" s="11" t="n"/>
      <c r="AK1103">
        <f>IF($D1103="","",IF(COUNTIF($D$2:$D1103,$D1103)=1,1,0))</f>
        <v/>
      </c>
      <c r="AL1103">
        <f>IF($AK1103=1,SUMPRODUCT(--($AO$2:$AO$3001&lt;$AO1103))+1,"")</f>
        <v/>
      </c>
      <c r="AM1103">
        <f>IF($D1103="","",IF(OR($R1103=TRUE(),$R1103="TRUE"),1,0))</f>
        <v/>
      </c>
      <c r="AN1103">
        <f>IF($D1103="","",IF($X1103="Yes",1,0))</f>
        <v/>
      </c>
      <c r="AO1103">
        <f>IF($AK1103=1,IFERROR(IF(VALUE($D1103)&lt;100000000,VALUE($D1103),1000000000),IFERROR(IF(VALUE(MID($D1103,2,20))&lt;100000000,VALUE(MID($D1103,2,20)),1000000000),1000000000))+ROW()/100000,"")</f>
        <v/>
      </c>
    </row>
    <row r="1104">
      <c r="F1104" s="11" t="n"/>
      <c r="N1104" s="7">
        <f>IF($D1104="","",M1104*V1104/100)</f>
        <v/>
      </c>
      <c r="O1104" s="7" t="n"/>
      <c r="U1104" s="7" t="n"/>
      <c r="V1104" s="7" t="n"/>
      <c r="Y1104">
        <f>IF($D1104="","",IF($AN1104=1,0,IF($AM1104=1,Settings!$C$6,Settings!$C$7))*100)</f>
        <v/>
      </c>
      <c r="Z1104" s="7">
        <f>IF($D1104="","",V1104*Y1104/100)</f>
        <v/>
      </c>
      <c r="AA1104" s="7">
        <f>IF($D1104="","",V1104-Z1104)</f>
        <v/>
      </c>
      <c r="AB1104" s="7">
        <f>IF($D1104="","",AA1104-N1104)</f>
        <v/>
      </c>
      <c r="AF1104" s="7" t="n"/>
      <c r="AI1104" s="11" t="n"/>
      <c r="AK1104">
        <f>IF($D1104="","",IF(COUNTIF($D$2:$D1104,$D1104)=1,1,0))</f>
        <v/>
      </c>
      <c r="AL1104">
        <f>IF($AK1104=1,SUMPRODUCT(--($AO$2:$AO$3001&lt;$AO1104))+1,"")</f>
        <v/>
      </c>
      <c r="AM1104">
        <f>IF($D1104="","",IF(OR($R1104=TRUE(),$R1104="TRUE"),1,0))</f>
        <v/>
      </c>
      <c r="AN1104">
        <f>IF($D1104="","",IF($X1104="Yes",1,0))</f>
        <v/>
      </c>
      <c r="AO1104">
        <f>IF($AK1104=1,IFERROR(IF(VALUE($D1104)&lt;100000000,VALUE($D1104),1000000000),IFERROR(IF(VALUE(MID($D1104,2,20))&lt;100000000,VALUE(MID($D1104,2,20)),1000000000),1000000000))+ROW()/100000,"")</f>
        <v/>
      </c>
    </row>
    <row r="1105">
      <c r="F1105" s="11" t="n"/>
      <c r="N1105" s="7">
        <f>IF($D1105="","",M1105*V1105/100)</f>
        <v/>
      </c>
      <c r="O1105" s="7" t="n"/>
      <c r="U1105" s="7" t="n"/>
      <c r="V1105" s="7" t="n"/>
      <c r="Y1105">
        <f>IF($D1105="","",IF($AN1105=1,0,IF($AM1105=1,Settings!$C$6,Settings!$C$7))*100)</f>
        <v/>
      </c>
      <c r="Z1105" s="7">
        <f>IF($D1105="","",V1105*Y1105/100)</f>
        <v/>
      </c>
      <c r="AA1105" s="7">
        <f>IF($D1105="","",V1105-Z1105)</f>
        <v/>
      </c>
      <c r="AB1105" s="7">
        <f>IF($D1105="","",AA1105-N1105)</f>
        <v/>
      </c>
      <c r="AF1105" s="7" t="n"/>
      <c r="AI1105" s="11" t="n"/>
      <c r="AK1105">
        <f>IF($D1105="","",IF(COUNTIF($D$2:$D1105,$D1105)=1,1,0))</f>
        <v/>
      </c>
      <c r="AL1105">
        <f>IF($AK1105=1,SUMPRODUCT(--($AO$2:$AO$3001&lt;$AO1105))+1,"")</f>
        <v/>
      </c>
      <c r="AM1105">
        <f>IF($D1105="","",IF(OR($R1105=TRUE(),$R1105="TRUE"),1,0))</f>
        <v/>
      </c>
      <c r="AN1105">
        <f>IF($D1105="","",IF($X1105="Yes",1,0))</f>
        <v/>
      </c>
      <c r="AO1105">
        <f>IF($AK1105=1,IFERROR(IF(VALUE($D1105)&lt;100000000,VALUE($D1105),1000000000),IFERROR(IF(VALUE(MID($D1105,2,20))&lt;100000000,VALUE(MID($D1105,2,20)),1000000000),1000000000))+ROW()/100000,"")</f>
        <v/>
      </c>
    </row>
    <row r="1106">
      <c r="F1106" s="11" t="n"/>
      <c r="N1106" s="7">
        <f>IF($D1106="","",M1106*V1106/100)</f>
        <v/>
      </c>
      <c r="O1106" s="7" t="n"/>
      <c r="U1106" s="7" t="n"/>
      <c r="V1106" s="7" t="n"/>
      <c r="Y1106">
        <f>IF($D1106="","",IF($AN1106=1,0,IF($AM1106=1,Settings!$C$6,Settings!$C$7))*100)</f>
        <v/>
      </c>
      <c r="Z1106" s="7">
        <f>IF($D1106="","",V1106*Y1106/100)</f>
        <v/>
      </c>
      <c r="AA1106" s="7">
        <f>IF($D1106="","",V1106-Z1106)</f>
        <v/>
      </c>
      <c r="AB1106" s="7">
        <f>IF($D1106="","",AA1106-N1106)</f>
        <v/>
      </c>
      <c r="AF1106" s="7" t="n"/>
      <c r="AI1106" s="11" t="n"/>
      <c r="AK1106">
        <f>IF($D1106="","",IF(COUNTIF($D$2:$D1106,$D1106)=1,1,0))</f>
        <v/>
      </c>
      <c r="AL1106">
        <f>IF($AK1106=1,SUMPRODUCT(--($AO$2:$AO$3001&lt;$AO1106))+1,"")</f>
        <v/>
      </c>
      <c r="AM1106">
        <f>IF($D1106="","",IF(OR($R1106=TRUE(),$R1106="TRUE"),1,0))</f>
        <v/>
      </c>
      <c r="AN1106">
        <f>IF($D1106="","",IF($X1106="Yes",1,0))</f>
        <v/>
      </c>
      <c r="AO1106">
        <f>IF($AK1106=1,IFERROR(IF(VALUE($D1106)&lt;100000000,VALUE($D1106),1000000000),IFERROR(IF(VALUE(MID($D1106,2,20))&lt;100000000,VALUE(MID($D1106,2,20)),1000000000),1000000000))+ROW()/100000,"")</f>
        <v/>
      </c>
    </row>
    <row r="1107">
      <c r="F1107" s="11" t="n"/>
      <c r="N1107" s="7">
        <f>IF($D1107="","",M1107*V1107/100)</f>
        <v/>
      </c>
      <c r="O1107" s="7" t="n"/>
      <c r="U1107" s="7" t="n"/>
      <c r="V1107" s="7" t="n"/>
      <c r="Y1107">
        <f>IF($D1107="","",IF($AN1107=1,0,IF($AM1107=1,Settings!$C$6,Settings!$C$7))*100)</f>
        <v/>
      </c>
      <c r="Z1107" s="7">
        <f>IF($D1107="","",V1107*Y1107/100)</f>
        <v/>
      </c>
      <c r="AA1107" s="7">
        <f>IF($D1107="","",V1107-Z1107)</f>
        <v/>
      </c>
      <c r="AB1107" s="7">
        <f>IF($D1107="","",AA1107-N1107)</f>
        <v/>
      </c>
      <c r="AF1107" s="7" t="n"/>
      <c r="AI1107" s="11" t="n"/>
      <c r="AK1107">
        <f>IF($D1107="","",IF(COUNTIF($D$2:$D1107,$D1107)=1,1,0))</f>
        <v/>
      </c>
      <c r="AL1107">
        <f>IF($AK1107=1,SUMPRODUCT(--($AO$2:$AO$3001&lt;$AO1107))+1,"")</f>
        <v/>
      </c>
      <c r="AM1107">
        <f>IF($D1107="","",IF(OR($R1107=TRUE(),$R1107="TRUE"),1,0))</f>
        <v/>
      </c>
      <c r="AN1107">
        <f>IF($D1107="","",IF($X1107="Yes",1,0))</f>
        <v/>
      </c>
      <c r="AO1107">
        <f>IF($AK1107=1,IFERROR(IF(VALUE($D1107)&lt;100000000,VALUE($D1107),1000000000),IFERROR(IF(VALUE(MID($D1107,2,20))&lt;100000000,VALUE(MID($D1107,2,20)),1000000000),1000000000))+ROW()/100000,"")</f>
        <v/>
      </c>
    </row>
    <row r="1108">
      <c r="F1108" s="11" t="n"/>
      <c r="N1108" s="7">
        <f>IF($D1108="","",M1108*V1108/100)</f>
        <v/>
      </c>
      <c r="O1108" s="7" t="n"/>
      <c r="U1108" s="7" t="n"/>
      <c r="V1108" s="7" t="n"/>
      <c r="Y1108">
        <f>IF($D1108="","",IF($AN1108=1,0,IF($AM1108=1,Settings!$C$6,Settings!$C$7))*100)</f>
        <v/>
      </c>
      <c r="Z1108" s="7">
        <f>IF($D1108="","",V1108*Y1108/100)</f>
        <v/>
      </c>
      <c r="AA1108" s="7">
        <f>IF($D1108="","",V1108-Z1108)</f>
        <v/>
      </c>
      <c r="AB1108" s="7">
        <f>IF($D1108="","",AA1108-N1108)</f>
        <v/>
      </c>
      <c r="AF1108" s="7" t="n"/>
      <c r="AI1108" s="11" t="n"/>
      <c r="AK1108">
        <f>IF($D1108="","",IF(COUNTIF($D$2:$D1108,$D1108)=1,1,0))</f>
        <v/>
      </c>
      <c r="AL1108">
        <f>IF($AK1108=1,SUMPRODUCT(--($AO$2:$AO$3001&lt;$AO1108))+1,"")</f>
        <v/>
      </c>
      <c r="AM1108">
        <f>IF($D1108="","",IF(OR($R1108=TRUE(),$R1108="TRUE"),1,0))</f>
        <v/>
      </c>
      <c r="AN1108">
        <f>IF($D1108="","",IF($X1108="Yes",1,0))</f>
        <v/>
      </c>
      <c r="AO1108">
        <f>IF($AK1108=1,IFERROR(IF(VALUE($D1108)&lt;100000000,VALUE($D1108),1000000000),IFERROR(IF(VALUE(MID($D1108,2,20))&lt;100000000,VALUE(MID($D1108,2,20)),1000000000),1000000000))+ROW()/100000,"")</f>
        <v/>
      </c>
    </row>
    <row r="1109">
      <c r="F1109" s="11" t="n"/>
      <c r="N1109" s="7">
        <f>IF($D1109="","",M1109*V1109/100)</f>
        <v/>
      </c>
      <c r="O1109" s="7" t="n"/>
      <c r="U1109" s="7" t="n"/>
      <c r="V1109" s="7" t="n"/>
      <c r="Y1109">
        <f>IF($D1109="","",IF($AN1109=1,0,IF($AM1109=1,Settings!$C$6,Settings!$C$7))*100)</f>
        <v/>
      </c>
      <c r="Z1109" s="7">
        <f>IF($D1109="","",V1109*Y1109/100)</f>
        <v/>
      </c>
      <c r="AA1109" s="7">
        <f>IF($D1109="","",V1109-Z1109)</f>
        <v/>
      </c>
      <c r="AB1109" s="7">
        <f>IF($D1109="","",AA1109-N1109)</f>
        <v/>
      </c>
      <c r="AF1109" s="7" t="n"/>
      <c r="AI1109" s="11" t="n"/>
      <c r="AK1109">
        <f>IF($D1109="","",IF(COUNTIF($D$2:$D1109,$D1109)=1,1,0))</f>
        <v/>
      </c>
      <c r="AL1109">
        <f>IF($AK1109=1,SUMPRODUCT(--($AO$2:$AO$3001&lt;$AO1109))+1,"")</f>
        <v/>
      </c>
      <c r="AM1109">
        <f>IF($D1109="","",IF(OR($R1109=TRUE(),$R1109="TRUE"),1,0))</f>
        <v/>
      </c>
      <c r="AN1109">
        <f>IF($D1109="","",IF($X1109="Yes",1,0))</f>
        <v/>
      </c>
      <c r="AO1109">
        <f>IF($AK1109=1,IFERROR(IF(VALUE($D1109)&lt;100000000,VALUE($D1109),1000000000),IFERROR(IF(VALUE(MID($D1109,2,20))&lt;100000000,VALUE(MID($D1109,2,20)),1000000000),1000000000))+ROW()/100000,"")</f>
        <v/>
      </c>
    </row>
    <row r="1110">
      <c r="F1110" s="11" t="n"/>
      <c r="N1110" s="7">
        <f>IF($D1110="","",M1110*V1110/100)</f>
        <v/>
      </c>
      <c r="O1110" s="7" t="n"/>
      <c r="U1110" s="7" t="n"/>
      <c r="V1110" s="7" t="n"/>
      <c r="Y1110">
        <f>IF($D1110="","",IF($AN1110=1,0,IF($AM1110=1,Settings!$C$6,Settings!$C$7))*100)</f>
        <v/>
      </c>
      <c r="Z1110" s="7">
        <f>IF($D1110="","",V1110*Y1110/100)</f>
        <v/>
      </c>
      <c r="AA1110" s="7">
        <f>IF($D1110="","",V1110-Z1110)</f>
        <v/>
      </c>
      <c r="AB1110" s="7">
        <f>IF($D1110="","",AA1110-N1110)</f>
        <v/>
      </c>
      <c r="AF1110" s="7" t="n"/>
      <c r="AI1110" s="11" t="n"/>
      <c r="AK1110">
        <f>IF($D1110="","",IF(COUNTIF($D$2:$D1110,$D1110)=1,1,0))</f>
        <v/>
      </c>
      <c r="AL1110">
        <f>IF($AK1110=1,SUMPRODUCT(--($AO$2:$AO$3001&lt;$AO1110))+1,"")</f>
        <v/>
      </c>
      <c r="AM1110">
        <f>IF($D1110="","",IF(OR($R1110=TRUE(),$R1110="TRUE"),1,0))</f>
        <v/>
      </c>
      <c r="AN1110">
        <f>IF($D1110="","",IF($X1110="Yes",1,0))</f>
        <v/>
      </c>
      <c r="AO1110">
        <f>IF($AK1110=1,IFERROR(IF(VALUE($D1110)&lt;100000000,VALUE($D1110),1000000000),IFERROR(IF(VALUE(MID($D1110,2,20))&lt;100000000,VALUE(MID($D1110,2,20)),1000000000),1000000000))+ROW()/100000,"")</f>
        <v/>
      </c>
    </row>
    <row r="1111">
      <c r="F1111" s="11" t="n"/>
      <c r="N1111" s="7">
        <f>IF($D1111="","",M1111*V1111/100)</f>
        <v/>
      </c>
      <c r="O1111" s="7" t="n"/>
      <c r="U1111" s="7" t="n"/>
      <c r="V1111" s="7" t="n"/>
      <c r="Y1111">
        <f>IF($D1111="","",IF($AN1111=1,0,IF($AM1111=1,Settings!$C$6,Settings!$C$7))*100)</f>
        <v/>
      </c>
      <c r="Z1111" s="7">
        <f>IF($D1111="","",V1111*Y1111/100)</f>
        <v/>
      </c>
      <c r="AA1111" s="7">
        <f>IF($D1111="","",V1111-Z1111)</f>
        <v/>
      </c>
      <c r="AB1111" s="7">
        <f>IF($D1111="","",AA1111-N1111)</f>
        <v/>
      </c>
      <c r="AF1111" s="7" t="n"/>
      <c r="AI1111" s="11" t="n"/>
      <c r="AK1111">
        <f>IF($D1111="","",IF(COUNTIF($D$2:$D1111,$D1111)=1,1,0))</f>
        <v/>
      </c>
      <c r="AL1111">
        <f>IF($AK1111=1,SUMPRODUCT(--($AO$2:$AO$3001&lt;$AO1111))+1,"")</f>
        <v/>
      </c>
      <c r="AM1111">
        <f>IF($D1111="","",IF(OR($R1111=TRUE(),$R1111="TRUE"),1,0))</f>
        <v/>
      </c>
      <c r="AN1111">
        <f>IF($D1111="","",IF($X1111="Yes",1,0))</f>
        <v/>
      </c>
      <c r="AO1111">
        <f>IF($AK1111=1,IFERROR(IF(VALUE($D1111)&lt;100000000,VALUE($D1111),1000000000),IFERROR(IF(VALUE(MID($D1111,2,20))&lt;100000000,VALUE(MID($D1111,2,20)),1000000000),1000000000))+ROW()/100000,"")</f>
        <v/>
      </c>
    </row>
    <row r="1112">
      <c r="F1112" s="11" t="n"/>
      <c r="N1112" s="7">
        <f>IF($D1112="","",M1112*V1112/100)</f>
        <v/>
      </c>
      <c r="O1112" s="7" t="n"/>
      <c r="U1112" s="7" t="n"/>
      <c r="V1112" s="7" t="n"/>
      <c r="Y1112">
        <f>IF($D1112="","",IF($AN1112=1,0,IF($AM1112=1,Settings!$C$6,Settings!$C$7))*100)</f>
        <v/>
      </c>
      <c r="Z1112" s="7">
        <f>IF($D1112="","",V1112*Y1112/100)</f>
        <v/>
      </c>
      <c r="AA1112" s="7">
        <f>IF($D1112="","",V1112-Z1112)</f>
        <v/>
      </c>
      <c r="AB1112" s="7">
        <f>IF($D1112="","",AA1112-N1112)</f>
        <v/>
      </c>
      <c r="AF1112" s="7" t="n"/>
      <c r="AI1112" s="11" t="n"/>
      <c r="AK1112">
        <f>IF($D1112="","",IF(COUNTIF($D$2:$D1112,$D1112)=1,1,0))</f>
        <v/>
      </c>
      <c r="AL1112">
        <f>IF($AK1112=1,SUMPRODUCT(--($AO$2:$AO$3001&lt;$AO1112))+1,"")</f>
        <v/>
      </c>
      <c r="AM1112">
        <f>IF($D1112="","",IF(OR($R1112=TRUE(),$R1112="TRUE"),1,0))</f>
        <v/>
      </c>
      <c r="AN1112">
        <f>IF($D1112="","",IF($X1112="Yes",1,0))</f>
        <v/>
      </c>
      <c r="AO1112">
        <f>IF($AK1112=1,IFERROR(IF(VALUE($D1112)&lt;100000000,VALUE($D1112),1000000000),IFERROR(IF(VALUE(MID($D1112,2,20))&lt;100000000,VALUE(MID($D1112,2,20)),1000000000),1000000000))+ROW()/100000,"")</f>
        <v/>
      </c>
    </row>
    <row r="1113">
      <c r="F1113" s="11" t="n"/>
      <c r="N1113" s="7">
        <f>IF($D1113="","",M1113*V1113/100)</f>
        <v/>
      </c>
      <c r="O1113" s="7" t="n"/>
      <c r="U1113" s="7" t="n"/>
      <c r="V1113" s="7" t="n"/>
      <c r="Y1113">
        <f>IF($D1113="","",IF($AN1113=1,0,IF($AM1113=1,Settings!$C$6,Settings!$C$7))*100)</f>
        <v/>
      </c>
      <c r="Z1113" s="7">
        <f>IF($D1113="","",V1113*Y1113/100)</f>
        <v/>
      </c>
      <c r="AA1113" s="7">
        <f>IF($D1113="","",V1113-Z1113)</f>
        <v/>
      </c>
      <c r="AB1113" s="7">
        <f>IF($D1113="","",AA1113-N1113)</f>
        <v/>
      </c>
      <c r="AF1113" s="7" t="n"/>
      <c r="AI1113" s="11" t="n"/>
      <c r="AK1113">
        <f>IF($D1113="","",IF(COUNTIF($D$2:$D1113,$D1113)=1,1,0))</f>
        <v/>
      </c>
      <c r="AL1113">
        <f>IF($AK1113=1,SUMPRODUCT(--($AO$2:$AO$3001&lt;$AO1113))+1,"")</f>
        <v/>
      </c>
      <c r="AM1113">
        <f>IF($D1113="","",IF(OR($R1113=TRUE(),$R1113="TRUE"),1,0))</f>
        <v/>
      </c>
      <c r="AN1113">
        <f>IF($D1113="","",IF($X1113="Yes",1,0))</f>
        <v/>
      </c>
      <c r="AO1113">
        <f>IF($AK1113=1,IFERROR(IF(VALUE($D1113)&lt;100000000,VALUE($D1113),1000000000),IFERROR(IF(VALUE(MID($D1113,2,20))&lt;100000000,VALUE(MID($D1113,2,20)),1000000000),1000000000))+ROW()/100000,"")</f>
        <v/>
      </c>
    </row>
    <row r="1114">
      <c r="F1114" s="11" t="n"/>
      <c r="N1114" s="7">
        <f>IF($D1114="","",M1114*V1114/100)</f>
        <v/>
      </c>
      <c r="O1114" s="7" t="n"/>
      <c r="U1114" s="7" t="n"/>
      <c r="V1114" s="7" t="n"/>
      <c r="Y1114">
        <f>IF($D1114="","",IF($AN1114=1,0,IF($AM1114=1,Settings!$C$6,Settings!$C$7))*100)</f>
        <v/>
      </c>
      <c r="Z1114" s="7">
        <f>IF($D1114="","",V1114*Y1114/100)</f>
        <v/>
      </c>
      <c r="AA1114" s="7">
        <f>IF($D1114="","",V1114-Z1114)</f>
        <v/>
      </c>
      <c r="AB1114" s="7">
        <f>IF($D1114="","",AA1114-N1114)</f>
        <v/>
      </c>
      <c r="AF1114" s="7" t="n"/>
      <c r="AI1114" s="11" t="n"/>
      <c r="AK1114">
        <f>IF($D1114="","",IF(COUNTIF($D$2:$D1114,$D1114)=1,1,0))</f>
        <v/>
      </c>
      <c r="AL1114">
        <f>IF($AK1114=1,SUMPRODUCT(--($AO$2:$AO$3001&lt;$AO1114))+1,"")</f>
        <v/>
      </c>
      <c r="AM1114">
        <f>IF($D1114="","",IF(OR($R1114=TRUE(),$R1114="TRUE"),1,0))</f>
        <v/>
      </c>
      <c r="AN1114">
        <f>IF($D1114="","",IF($X1114="Yes",1,0))</f>
        <v/>
      </c>
      <c r="AO1114">
        <f>IF($AK1114=1,IFERROR(IF(VALUE($D1114)&lt;100000000,VALUE($D1114),1000000000),IFERROR(IF(VALUE(MID($D1114,2,20))&lt;100000000,VALUE(MID($D1114,2,20)),1000000000),1000000000))+ROW()/100000,"")</f>
        <v/>
      </c>
    </row>
    <row r="1115">
      <c r="F1115" s="11" t="n"/>
      <c r="N1115" s="7">
        <f>IF($D1115="","",M1115*V1115/100)</f>
        <v/>
      </c>
      <c r="O1115" s="7" t="n"/>
      <c r="U1115" s="7" t="n"/>
      <c r="V1115" s="7" t="n"/>
      <c r="Y1115">
        <f>IF($D1115="","",IF($AN1115=1,0,IF($AM1115=1,Settings!$C$6,Settings!$C$7))*100)</f>
        <v/>
      </c>
      <c r="Z1115" s="7">
        <f>IF($D1115="","",V1115*Y1115/100)</f>
        <v/>
      </c>
      <c r="AA1115" s="7">
        <f>IF($D1115="","",V1115-Z1115)</f>
        <v/>
      </c>
      <c r="AB1115" s="7">
        <f>IF($D1115="","",AA1115-N1115)</f>
        <v/>
      </c>
      <c r="AF1115" s="7" t="n"/>
      <c r="AI1115" s="11" t="n"/>
      <c r="AK1115">
        <f>IF($D1115="","",IF(COUNTIF($D$2:$D1115,$D1115)=1,1,0))</f>
        <v/>
      </c>
      <c r="AL1115">
        <f>IF($AK1115=1,SUMPRODUCT(--($AO$2:$AO$3001&lt;$AO1115))+1,"")</f>
        <v/>
      </c>
      <c r="AM1115">
        <f>IF($D1115="","",IF(OR($R1115=TRUE(),$R1115="TRUE"),1,0))</f>
        <v/>
      </c>
      <c r="AN1115">
        <f>IF($D1115="","",IF($X1115="Yes",1,0))</f>
        <v/>
      </c>
      <c r="AO1115">
        <f>IF($AK1115=1,IFERROR(IF(VALUE($D1115)&lt;100000000,VALUE($D1115),1000000000),IFERROR(IF(VALUE(MID($D1115,2,20))&lt;100000000,VALUE(MID($D1115,2,20)),1000000000),1000000000))+ROW()/100000,"")</f>
        <v/>
      </c>
    </row>
    <row r="1116">
      <c r="F1116" s="11" t="n"/>
      <c r="N1116" s="7">
        <f>IF($D1116="","",M1116*V1116/100)</f>
        <v/>
      </c>
      <c r="O1116" s="7" t="n"/>
      <c r="U1116" s="7" t="n"/>
      <c r="V1116" s="7" t="n"/>
      <c r="Y1116">
        <f>IF($D1116="","",IF($AN1116=1,0,IF($AM1116=1,Settings!$C$6,Settings!$C$7))*100)</f>
        <v/>
      </c>
      <c r="Z1116" s="7">
        <f>IF($D1116="","",V1116*Y1116/100)</f>
        <v/>
      </c>
      <c r="AA1116" s="7">
        <f>IF($D1116="","",V1116-Z1116)</f>
        <v/>
      </c>
      <c r="AB1116" s="7">
        <f>IF($D1116="","",AA1116-N1116)</f>
        <v/>
      </c>
      <c r="AF1116" s="7" t="n"/>
      <c r="AI1116" s="11" t="n"/>
      <c r="AK1116">
        <f>IF($D1116="","",IF(COUNTIF($D$2:$D1116,$D1116)=1,1,0))</f>
        <v/>
      </c>
      <c r="AL1116">
        <f>IF($AK1116=1,SUMPRODUCT(--($AO$2:$AO$3001&lt;$AO1116))+1,"")</f>
        <v/>
      </c>
      <c r="AM1116">
        <f>IF($D1116="","",IF(OR($R1116=TRUE(),$R1116="TRUE"),1,0))</f>
        <v/>
      </c>
      <c r="AN1116">
        <f>IF($D1116="","",IF($X1116="Yes",1,0))</f>
        <v/>
      </c>
      <c r="AO1116">
        <f>IF($AK1116=1,IFERROR(IF(VALUE($D1116)&lt;100000000,VALUE($D1116),1000000000),IFERROR(IF(VALUE(MID($D1116,2,20))&lt;100000000,VALUE(MID($D1116,2,20)),1000000000),1000000000))+ROW()/100000,"")</f>
        <v/>
      </c>
    </row>
    <row r="1117">
      <c r="F1117" s="11" t="n"/>
      <c r="N1117" s="7">
        <f>IF($D1117="","",M1117*V1117/100)</f>
        <v/>
      </c>
      <c r="O1117" s="7" t="n"/>
      <c r="U1117" s="7" t="n"/>
      <c r="V1117" s="7" t="n"/>
      <c r="Y1117">
        <f>IF($D1117="","",IF($AN1117=1,0,IF($AM1117=1,Settings!$C$6,Settings!$C$7))*100)</f>
        <v/>
      </c>
      <c r="Z1117" s="7">
        <f>IF($D1117="","",V1117*Y1117/100)</f>
        <v/>
      </c>
      <c r="AA1117" s="7">
        <f>IF($D1117="","",V1117-Z1117)</f>
        <v/>
      </c>
      <c r="AB1117" s="7">
        <f>IF($D1117="","",AA1117-N1117)</f>
        <v/>
      </c>
      <c r="AF1117" s="7" t="n"/>
      <c r="AI1117" s="11" t="n"/>
      <c r="AK1117">
        <f>IF($D1117="","",IF(COUNTIF($D$2:$D1117,$D1117)=1,1,0))</f>
        <v/>
      </c>
      <c r="AL1117">
        <f>IF($AK1117=1,SUMPRODUCT(--($AO$2:$AO$3001&lt;$AO1117))+1,"")</f>
        <v/>
      </c>
      <c r="AM1117">
        <f>IF($D1117="","",IF(OR($R1117=TRUE(),$R1117="TRUE"),1,0))</f>
        <v/>
      </c>
      <c r="AN1117">
        <f>IF($D1117="","",IF($X1117="Yes",1,0))</f>
        <v/>
      </c>
      <c r="AO1117">
        <f>IF($AK1117=1,IFERROR(IF(VALUE($D1117)&lt;100000000,VALUE($D1117),1000000000),IFERROR(IF(VALUE(MID($D1117,2,20))&lt;100000000,VALUE(MID($D1117,2,20)),1000000000),1000000000))+ROW()/100000,"")</f>
        <v/>
      </c>
    </row>
    <row r="1118">
      <c r="F1118" s="11" t="n"/>
      <c r="N1118" s="7">
        <f>IF($D1118="","",M1118*V1118/100)</f>
        <v/>
      </c>
      <c r="O1118" s="7" t="n"/>
      <c r="U1118" s="7" t="n"/>
      <c r="V1118" s="7" t="n"/>
      <c r="Y1118">
        <f>IF($D1118="","",IF($AN1118=1,0,IF($AM1118=1,Settings!$C$6,Settings!$C$7))*100)</f>
        <v/>
      </c>
      <c r="Z1118" s="7">
        <f>IF($D1118="","",V1118*Y1118/100)</f>
        <v/>
      </c>
      <c r="AA1118" s="7">
        <f>IF($D1118="","",V1118-Z1118)</f>
        <v/>
      </c>
      <c r="AB1118" s="7">
        <f>IF($D1118="","",AA1118-N1118)</f>
        <v/>
      </c>
      <c r="AF1118" s="7" t="n"/>
      <c r="AI1118" s="11" t="n"/>
      <c r="AK1118">
        <f>IF($D1118="","",IF(COUNTIF($D$2:$D1118,$D1118)=1,1,0))</f>
        <v/>
      </c>
      <c r="AL1118">
        <f>IF($AK1118=1,SUMPRODUCT(--($AO$2:$AO$3001&lt;$AO1118))+1,"")</f>
        <v/>
      </c>
      <c r="AM1118">
        <f>IF($D1118="","",IF(OR($R1118=TRUE(),$R1118="TRUE"),1,0))</f>
        <v/>
      </c>
      <c r="AN1118">
        <f>IF($D1118="","",IF($X1118="Yes",1,0))</f>
        <v/>
      </c>
      <c r="AO1118">
        <f>IF($AK1118=1,IFERROR(IF(VALUE($D1118)&lt;100000000,VALUE($D1118),1000000000),IFERROR(IF(VALUE(MID($D1118,2,20))&lt;100000000,VALUE(MID($D1118,2,20)),1000000000),1000000000))+ROW()/100000,"")</f>
        <v/>
      </c>
    </row>
    <row r="1119">
      <c r="F1119" s="11" t="n"/>
      <c r="N1119" s="7">
        <f>IF($D1119="","",M1119*V1119/100)</f>
        <v/>
      </c>
      <c r="O1119" s="7" t="n"/>
      <c r="U1119" s="7" t="n"/>
      <c r="V1119" s="7" t="n"/>
      <c r="Y1119">
        <f>IF($D1119="","",IF($AN1119=1,0,IF($AM1119=1,Settings!$C$6,Settings!$C$7))*100)</f>
        <v/>
      </c>
      <c r="Z1119" s="7">
        <f>IF($D1119="","",V1119*Y1119/100)</f>
        <v/>
      </c>
      <c r="AA1119" s="7">
        <f>IF($D1119="","",V1119-Z1119)</f>
        <v/>
      </c>
      <c r="AB1119" s="7">
        <f>IF($D1119="","",AA1119-N1119)</f>
        <v/>
      </c>
      <c r="AF1119" s="7" t="n"/>
      <c r="AI1119" s="11" t="n"/>
      <c r="AK1119">
        <f>IF($D1119="","",IF(COUNTIF($D$2:$D1119,$D1119)=1,1,0))</f>
        <v/>
      </c>
      <c r="AL1119">
        <f>IF($AK1119=1,SUMPRODUCT(--($AO$2:$AO$3001&lt;$AO1119))+1,"")</f>
        <v/>
      </c>
      <c r="AM1119">
        <f>IF($D1119="","",IF(OR($R1119=TRUE(),$R1119="TRUE"),1,0))</f>
        <v/>
      </c>
      <c r="AN1119">
        <f>IF($D1119="","",IF($X1119="Yes",1,0))</f>
        <v/>
      </c>
      <c r="AO1119">
        <f>IF($AK1119=1,IFERROR(IF(VALUE($D1119)&lt;100000000,VALUE($D1119),1000000000),IFERROR(IF(VALUE(MID($D1119,2,20))&lt;100000000,VALUE(MID($D1119,2,20)),1000000000),1000000000))+ROW()/100000,"")</f>
        <v/>
      </c>
    </row>
    <row r="1120">
      <c r="F1120" s="11" t="n"/>
      <c r="N1120" s="7">
        <f>IF($D1120="","",M1120*V1120/100)</f>
        <v/>
      </c>
      <c r="O1120" s="7" t="n"/>
      <c r="U1120" s="7" t="n"/>
      <c r="V1120" s="7" t="n"/>
      <c r="Y1120">
        <f>IF($D1120="","",IF($AN1120=1,0,IF($AM1120=1,Settings!$C$6,Settings!$C$7))*100)</f>
        <v/>
      </c>
      <c r="Z1120" s="7">
        <f>IF($D1120="","",V1120*Y1120/100)</f>
        <v/>
      </c>
      <c r="AA1120" s="7">
        <f>IF($D1120="","",V1120-Z1120)</f>
        <v/>
      </c>
      <c r="AB1120" s="7">
        <f>IF($D1120="","",AA1120-N1120)</f>
        <v/>
      </c>
      <c r="AF1120" s="7" t="n"/>
      <c r="AI1120" s="11" t="n"/>
      <c r="AK1120">
        <f>IF($D1120="","",IF(COUNTIF($D$2:$D1120,$D1120)=1,1,0))</f>
        <v/>
      </c>
      <c r="AL1120">
        <f>IF($AK1120=1,SUMPRODUCT(--($AO$2:$AO$3001&lt;$AO1120))+1,"")</f>
        <v/>
      </c>
      <c r="AM1120">
        <f>IF($D1120="","",IF(OR($R1120=TRUE(),$R1120="TRUE"),1,0))</f>
        <v/>
      </c>
      <c r="AN1120">
        <f>IF($D1120="","",IF($X1120="Yes",1,0))</f>
        <v/>
      </c>
      <c r="AO1120">
        <f>IF($AK1120=1,IFERROR(IF(VALUE($D1120)&lt;100000000,VALUE($D1120),1000000000),IFERROR(IF(VALUE(MID($D1120,2,20))&lt;100000000,VALUE(MID($D1120,2,20)),1000000000),1000000000))+ROW()/100000,"")</f>
        <v/>
      </c>
    </row>
    <row r="1121">
      <c r="F1121" s="11" t="n"/>
      <c r="N1121" s="7">
        <f>IF($D1121="","",M1121*V1121/100)</f>
        <v/>
      </c>
      <c r="O1121" s="7" t="n"/>
      <c r="U1121" s="7" t="n"/>
      <c r="V1121" s="7" t="n"/>
      <c r="Y1121">
        <f>IF($D1121="","",IF($AN1121=1,0,IF($AM1121=1,Settings!$C$6,Settings!$C$7))*100)</f>
        <v/>
      </c>
      <c r="Z1121" s="7">
        <f>IF($D1121="","",V1121*Y1121/100)</f>
        <v/>
      </c>
      <c r="AA1121" s="7">
        <f>IF($D1121="","",V1121-Z1121)</f>
        <v/>
      </c>
      <c r="AB1121" s="7">
        <f>IF($D1121="","",AA1121-N1121)</f>
        <v/>
      </c>
      <c r="AF1121" s="7" t="n"/>
      <c r="AI1121" s="11" t="n"/>
      <c r="AK1121">
        <f>IF($D1121="","",IF(COUNTIF($D$2:$D1121,$D1121)=1,1,0))</f>
        <v/>
      </c>
      <c r="AL1121">
        <f>IF($AK1121=1,SUMPRODUCT(--($AO$2:$AO$3001&lt;$AO1121))+1,"")</f>
        <v/>
      </c>
      <c r="AM1121">
        <f>IF($D1121="","",IF(OR($R1121=TRUE(),$R1121="TRUE"),1,0))</f>
        <v/>
      </c>
      <c r="AN1121">
        <f>IF($D1121="","",IF($X1121="Yes",1,0))</f>
        <v/>
      </c>
      <c r="AO1121">
        <f>IF($AK1121=1,IFERROR(IF(VALUE($D1121)&lt;100000000,VALUE($D1121),1000000000),IFERROR(IF(VALUE(MID($D1121,2,20))&lt;100000000,VALUE(MID($D1121,2,20)),1000000000),1000000000))+ROW()/100000,"")</f>
        <v/>
      </c>
    </row>
    <row r="1122">
      <c r="F1122" s="11" t="n"/>
      <c r="N1122" s="7">
        <f>IF($D1122="","",M1122*V1122/100)</f>
        <v/>
      </c>
      <c r="O1122" s="7" t="n"/>
      <c r="U1122" s="7" t="n"/>
      <c r="V1122" s="7" t="n"/>
      <c r="Y1122">
        <f>IF($D1122="","",IF($AN1122=1,0,IF($AM1122=1,Settings!$C$6,Settings!$C$7))*100)</f>
        <v/>
      </c>
      <c r="Z1122" s="7">
        <f>IF($D1122="","",V1122*Y1122/100)</f>
        <v/>
      </c>
      <c r="AA1122" s="7">
        <f>IF($D1122="","",V1122-Z1122)</f>
        <v/>
      </c>
      <c r="AB1122" s="7">
        <f>IF($D1122="","",AA1122-N1122)</f>
        <v/>
      </c>
      <c r="AF1122" s="7" t="n"/>
      <c r="AI1122" s="11" t="n"/>
      <c r="AK1122">
        <f>IF($D1122="","",IF(COUNTIF($D$2:$D1122,$D1122)=1,1,0))</f>
        <v/>
      </c>
      <c r="AL1122">
        <f>IF($AK1122=1,SUMPRODUCT(--($AO$2:$AO$3001&lt;$AO1122))+1,"")</f>
        <v/>
      </c>
      <c r="AM1122">
        <f>IF($D1122="","",IF(OR($R1122=TRUE(),$R1122="TRUE"),1,0))</f>
        <v/>
      </c>
      <c r="AN1122">
        <f>IF($D1122="","",IF($X1122="Yes",1,0))</f>
        <v/>
      </c>
      <c r="AO1122">
        <f>IF($AK1122=1,IFERROR(IF(VALUE($D1122)&lt;100000000,VALUE($D1122),1000000000),IFERROR(IF(VALUE(MID($D1122,2,20))&lt;100000000,VALUE(MID($D1122,2,20)),1000000000),1000000000))+ROW()/100000,"")</f>
        <v/>
      </c>
    </row>
    <row r="1123">
      <c r="F1123" s="11" t="n"/>
      <c r="N1123" s="7">
        <f>IF($D1123="","",M1123*V1123/100)</f>
        <v/>
      </c>
      <c r="O1123" s="7" t="n"/>
      <c r="U1123" s="7" t="n"/>
      <c r="V1123" s="7" t="n"/>
      <c r="Y1123">
        <f>IF($D1123="","",IF($AN1123=1,0,IF($AM1123=1,Settings!$C$6,Settings!$C$7))*100)</f>
        <v/>
      </c>
      <c r="Z1123" s="7">
        <f>IF($D1123="","",V1123*Y1123/100)</f>
        <v/>
      </c>
      <c r="AA1123" s="7">
        <f>IF($D1123="","",V1123-Z1123)</f>
        <v/>
      </c>
      <c r="AB1123" s="7">
        <f>IF($D1123="","",AA1123-N1123)</f>
        <v/>
      </c>
      <c r="AF1123" s="7" t="n"/>
      <c r="AI1123" s="11" t="n"/>
      <c r="AK1123">
        <f>IF($D1123="","",IF(COUNTIF($D$2:$D1123,$D1123)=1,1,0))</f>
        <v/>
      </c>
      <c r="AL1123">
        <f>IF($AK1123=1,SUMPRODUCT(--($AO$2:$AO$3001&lt;$AO1123))+1,"")</f>
        <v/>
      </c>
      <c r="AM1123">
        <f>IF($D1123="","",IF(OR($R1123=TRUE(),$R1123="TRUE"),1,0))</f>
        <v/>
      </c>
      <c r="AN1123">
        <f>IF($D1123="","",IF($X1123="Yes",1,0))</f>
        <v/>
      </c>
      <c r="AO1123">
        <f>IF($AK1123=1,IFERROR(IF(VALUE($D1123)&lt;100000000,VALUE($D1123),1000000000),IFERROR(IF(VALUE(MID($D1123,2,20))&lt;100000000,VALUE(MID($D1123,2,20)),1000000000),1000000000))+ROW()/100000,"")</f>
        <v/>
      </c>
    </row>
    <row r="1124">
      <c r="F1124" s="11" t="n"/>
      <c r="N1124" s="7">
        <f>IF($D1124="","",M1124*V1124/100)</f>
        <v/>
      </c>
      <c r="O1124" s="7" t="n"/>
      <c r="U1124" s="7" t="n"/>
      <c r="V1124" s="7" t="n"/>
      <c r="Y1124">
        <f>IF($D1124="","",IF($AN1124=1,0,IF($AM1124=1,Settings!$C$6,Settings!$C$7))*100)</f>
        <v/>
      </c>
      <c r="Z1124" s="7">
        <f>IF($D1124="","",V1124*Y1124/100)</f>
        <v/>
      </c>
      <c r="AA1124" s="7">
        <f>IF($D1124="","",V1124-Z1124)</f>
        <v/>
      </c>
      <c r="AB1124" s="7">
        <f>IF($D1124="","",AA1124-N1124)</f>
        <v/>
      </c>
      <c r="AF1124" s="7" t="n"/>
      <c r="AI1124" s="11" t="n"/>
      <c r="AK1124">
        <f>IF($D1124="","",IF(COUNTIF($D$2:$D1124,$D1124)=1,1,0))</f>
        <v/>
      </c>
      <c r="AL1124">
        <f>IF($AK1124=1,SUMPRODUCT(--($AO$2:$AO$3001&lt;$AO1124))+1,"")</f>
        <v/>
      </c>
      <c r="AM1124">
        <f>IF($D1124="","",IF(OR($R1124=TRUE(),$R1124="TRUE"),1,0))</f>
        <v/>
      </c>
      <c r="AN1124">
        <f>IF($D1124="","",IF($X1124="Yes",1,0))</f>
        <v/>
      </c>
      <c r="AO1124">
        <f>IF($AK1124=1,IFERROR(IF(VALUE($D1124)&lt;100000000,VALUE($D1124),1000000000),IFERROR(IF(VALUE(MID($D1124,2,20))&lt;100000000,VALUE(MID($D1124,2,20)),1000000000),1000000000))+ROW()/100000,"")</f>
        <v/>
      </c>
    </row>
    <row r="1125">
      <c r="F1125" s="11" t="n"/>
      <c r="N1125" s="7">
        <f>IF($D1125="","",M1125*V1125/100)</f>
        <v/>
      </c>
      <c r="O1125" s="7" t="n"/>
      <c r="U1125" s="7" t="n"/>
      <c r="V1125" s="7" t="n"/>
      <c r="Y1125">
        <f>IF($D1125="","",IF($AN1125=1,0,IF($AM1125=1,Settings!$C$6,Settings!$C$7))*100)</f>
        <v/>
      </c>
      <c r="Z1125" s="7">
        <f>IF($D1125="","",V1125*Y1125/100)</f>
        <v/>
      </c>
      <c r="AA1125" s="7">
        <f>IF($D1125="","",V1125-Z1125)</f>
        <v/>
      </c>
      <c r="AB1125" s="7">
        <f>IF($D1125="","",AA1125-N1125)</f>
        <v/>
      </c>
      <c r="AF1125" s="7" t="n"/>
      <c r="AI1125" s="11" t="n"/>
      <c r="AK1125">
        <f>IF($D1125="","",IF(COUNTIF($D$2:$D1125,$D1125)=1,1,0))</f>
        <v/>
      </c>
      <c r="AL1125">
        <f>IF($AK1125=1,SUMPRODUCT(--($AO$2:$AO$3001&lt;$AO1125))+1,"")</f>
        <v/>
      </c>
      <c r="AM1125">
        <f>IF($D1125="","",IF(OR($R1125=TRUE(),$R1125="TRUE"),1,0))</f>
        <v/>
      </c>
      <c r="AN1125">
        <f>IF($D1125="","",IF($X1125="Yes",1,0))</f>
        <v/>
      </c>
      <c r="AO1125">
        <f>IF($AK1125=1,IFERROR(IF(VALUE($D1125)&lt;100000000,VALUE($D1125),1000000000),IFERROR(IF(VALUE(MID($D1125,2,20))&lt;100000000,VALUE(MID($D1125,2,20)),1000000000),1000000000))+ROW()/100000,"")</f>
        <v/>
      </c>
    </row>
    <row r="1126">
      <c r="F1126" s="11" t="n"/>
      <c r="N1126" s="7">
        <f>IF($D1126="","",M1126*V1126/100)</f>
        <v/>
      </c>
      <c r="O1126" s="7" t="n"/>
      <c r="U1126" s="7" t="n"/>
      <c r="V1126" s="7" t="n"/>
      <c r="Y1126">
        <f>IF($D1126="","",IF($AN1126=1,0,IF($AM1126=1,Settings!$C$6,Settings!$C$7))*100)</f>
        <v/>
      </c>
      <c r="Z1126" s="7">
        <f>IF($D1126="","",V1126*Y1126/100)</f>
        <v/>
      </c>
      <c r="AA1126" s="7">
        <f>IF($D1126="","",V1126-Z1126)</f>
        <v/>
      </c>
      <c r="AB1126" s="7">
        <f>IF($D1126="","",AA1126-N1126)</f>
        <v/>
      </c>
      <c r="AF1126" s="7" t="n"/>
      <c r="AI1126" s="11" t="n"/>
      <c r="AK1126">
        <f>IF($D1126="","",IF(COUNTIF($D$2:$D1126,$D1126)=1,1,0))</f>
        <v/>
      </c>
      <c r="AL1126">
        <f>IF($AK1126=1,SUMPRODUCT(--($AO$2:$AO$3001&lt;$AO1126))+1,"")</f>
        <v/>
      </c>
      <c r="AM1126">
        <f>IF($D1126="","",IF(OR($R1126=TRUE(),$R1126="TRUE"),1,0))</f>
        <v/>
      </c>
      <c r="AN1126">
        <f>IF($D1126="","",IF($X1126="Yes",1,0))</f>
        <v/>
      </c>
      <c r="AO1126">
        <f>IF($AK1126=1,IFERROR(IF(VALUE($D1126)&lt;100000000,VALUE($D1126),1000000000),IFERROR(IF(VALUE(MID($D1126,2,20))&lt;100000000,VALUE(MID($D1126,2,20)),1000000000),1000000000))+ROW()/100000,"")</f>
        <v/>
      </c>
    </row>
    <row r="1127">
      <c r="F1127" s="11" t="n"/>
      <c r="N1127" s="7">
        <f>IF($D1127="","",M1127*V1127/100)</f>
        <v/>
      </c>
      <c r="O1127" s="7" t="n"/>
      <c r="U1127" s="7" t="n"/>
      <c r="V1127" s="7" t="n"/>
      <c r="Y1127">
        <f>IF($D1127="","",IF($AN1127=1,0,IF($AM1127=1,Settings!$C$6,Settings!$C$7))*100)</f>
        <v/>
      </c>
      <c r="Z1127" s="7">
        <f>IF($D1127="","",V1127*Y1127/100)</f>
        <v/>
      </c>
      <c r="AA1127" s="7">
        <f>IF($D1127="","",V1127-Z1127)</f>
        <v/>
      </c>
      <c r="AB1127" s="7">
        <f>IF($D1127="","",AA1127-N1127)</f>
        <v/>
      </c>
      <c r="AF1127" s="7" t="n"/>
      <c r="AI1127" s="11" t="n"/>
      <c r="AK1127">
        <f>IF($D1127="","",IF(COUNTIF($D$2:$D1127,$D1127)=1,1,0))</f>
        <v/>
      </c>
      <c r="AL1127">
        <f>IF($AK1127=1,SUMPRODUCT(--($AO$2:$AO$3001&lt;$AO1127))+1,"")</f>
        <v/>
      </c>
      <c r="AM1127">
        <f>IF($D1127="","",IF(OR($R1127=TRUE(),$R1127="TRUE"),1,0))</f>
        <v/>
      </c>
      <c r="AN1127">
        <f>IF($D1127="","",IF($X1127="Yes",1,0))</f>
        <v/>
      </c>
      <c r="AO1127">
        <f>IF($AK1127=1,IFERROR(IF(VALUE($D1127)&lt;100000000,VALUE($D1127),1000000000),IFERROR(IF(VALUE(MID($D1127,2,20))&lt;100000000,VALUE(MID($D1127,2,20)),1000000000),1000000000))+ROW()/100000,"")</f>
        <v/>
      </c>
    </row>
    <row r="1128">
      <c r="F1128" s="11" t="n"/>
      <c r="N1128" s="7">
        <f>IF($D1128="","",M1128*V1128/100)</f>
        <v/>
      </c>
      <c r="O1128" s="7" t="n"/>
      <c r="U1128" s="7" t="n"/>
      <c r="V1128" s="7" t="n"/>
      <c r="Y1128">
        <f>IF($D1128="","",IF($AN1128=1,0,IF($AM1128=1,Settings!$C$6,Settings!$C$7))*100)</f>
        <v/>
      </c>
      <c r="Z1128" s="7">
        <f>IF($D1128="","",V1128*Y1128/100)</f>
        <v/>
      </c>
      <c r="AA1128" s="7">
        <f>IF($D1128="","",V1128-Z1128)</f>
        <v/>
      </c>
      <c r="AB1128" s="7">
        <f>IF($D1128="","",AA1128-N1128)</f>
        <v/>
      </c>
      <c r="AF1128" s="7" t="n"/>
      <c r="AI1128" s="11" t="n"/>
      <c r="AK1128">
        <f>IF($D1128="","",IF(COUNTIF($D$2:$D1128,$D1128)=1,1,0))</f>
        <v/>
      </c>
      <c r="AL1128">
        <f>IF($AK1128=1,SUMPRODUCT(--($AO$2:$AO$3001&lt;$AO1128))+1,"")</f>
        <v/>
      </c>
      <c r="AM1128">
        <f>IF($D1128="","",IF(OR($R1128=TRUE(),$R1128="TRUE"),1,0))</f>
        <v/>
      </c>
      <c r="AN1128">
        <f>IF($D1128="","",IF($X1128="Yes",1,0))</f>
        <v/>
      </c>
      <c r="AO1128">
        <f>IF($AK1128=1,IFERROR(IF(VALUE($D1128)&lt;100000000,VALUE($D1128),1000000000),IFERROR(IF(VALUE(MID($D1128,2,20))&lt;100000000,VALUE(MID($D1128,2,20)),1000000000),1000000000))+ROW()/100000,"")</f>
        <v/>
      </c>
    </row>
    <row r="1129">
      <c r="F1129" s="11" t="n"/>
      <c r="N1129" s="7">
        <f>IF($D1129="","",M1129*V1129/100)</f>
        <v/>
      </c>
      <c r="O1129" s="7" t="n"/>
      <c r="U1129" s="7" t="n"/>
      <c r="V1129" s="7" t="n"/>
      <c r="Y1129">
        <f>IF($D1129="","",IF($AN1129=1,0,IF($AM1129=1,Settings!$C$6,Settings!$C$7))*100)</f>
        <v/>
      </c>
      <c r="Z1129" s="7">
        <f>IF($D1129="","",V1129*Y1129/100)</f>
        <v/>
      </c>
      <c r="AA1129" s="7">
        <f>IF($D1129="","",V1129-Z1129)</f>
        <v/>
      </c>
      <c r="AB1129" s="7">
        <f>IF($D1129="","",AA1129-N1129)</f>
        <v/>
      </c>
      <c r="AF1129" s="7" t="n"/>
      <c r="AI1129" s="11" t="n"/>
      <c r="AK1129">
        <f>IF($D1129="","",IF(COUNTIF($D$2:$D1129,$D1129)=1,1,0))</f>
        <v/>
      </c>
      <c r="AL1129">
        <f>IF($AK1129=1,SUMPRODUCT(--($AO$2:$AO$3001&lt;$AO1129))+1,"")</f>
        <v/>
      </c>
      <c r="AM1129">
        <f>IF($D1129="","",IF(OR($R1129=TRUE(),$R1129="TRUE"),1,0))</f>
        <v/>
      </c>
      <c r="AN1129">
        <f>IF($D1129="","",IF($X1129="Yes",1,0))</f>
        <v/>
      </c>
      <c r="AO1129">
        <f>IF($AK1129=1,IFERROR(IF(VALUE($D1129)&lt;100000000,VALUE($D1129),1000000000),IFERROR(IF(VALUE(MID($D1129,2,20))&lt;100000000,VALUE(MID($D1129,2,20)),1000000000),1000000000))+ROW()/100000,"")</f>
        <v/>
      </c>
    </row>
    <row r="1130">
      <c r="F1130" s="11" t="n"/>
      <c r="N1130" s="7">
        <f>IF($D1130="","",M1130*V1130/100)</f>
        <v/>
      </c>
      <c r="O1130" s="7" t="n"/>
      <c r="U1130" s="7" t="n"/>
      <c r="V1130" s="7" t="n"/>
      <c r="Y1130">
        <f>IF($D1130="","",IF($AN1130=1,0,IF($AM1130=1,Settings!$C$6,Settings!$C$7))*100)</f>
        <v/>
      </c>
      <c r="Z1130" s="7">
        <f>IF($D1130="","",V1130*Y1130/100)</f>
        <v/>
      </c>
      <c r="AA1130" s="7">
        <f>IF($D1130="","",V1130-Z1130)</f>
        <v/>
      </c>
      <c r="AB1130" s="7">
        <f>IF($D1130="","",AA1130-N1130)</f>
        <v/>
      </c>
      <c r="AF1130" s="7" t="n"/>
      <c r="AI1130" s="11" t="n"/>
      <c r="AK1130">
        <f>IF($D1130="","",IF(COUNTIF($D$2:$D1130,$D1130)=1,1,0))</f>
        <v/>
      </c>
      <c r="AL1130">
        <f>IF($AK1130=1,SUMPRODUCT(--($AO$2:$AO$3001&lt;$AO1130))+1,"")</f>
        <v/>
      </c>
      <c r="AM1130">
        <f>IF($D1130="","",IF(OR($R1130=TRUE(),$R1130="TRUE"),1,0))</f>
        <v/>
      </c>
      <c r="AN1130">
        <f>IF($D1130="","",IF($X1130="Yes",1,0))</f>
        <v/>
      </c>
      <c r="AO1130">
        <f>IF($AK1130=1,IFERROR(IF(VALUE($D1130)&lt;100000000,VALUE($D1130),1000000000),IFERROR(IF(VALUE(MID($D1130,2,20))&lt;100000000,VALUE(MID($D1130,2,20)),1000000000),1000000000))+ROW()/100000,"")</f>
        <v/>
      </c>
    </row>
    <row r="1131">
      <c r="F1131" s="11" t="n"/>
      <c r="N1131" s="7">
        <f>IF($D1131="","",M1131*V1131/100)</f>
        <v/>
      </c>
      <c r="O1131" s="7" t="n"/>
      <c r="U1131" s="7" t="n"/>
      <c r="V1131" s="7" t="n"/>
      <c r="Y1131">
        <f>IF($D1131="","",IF($AN1131=1,0,IF($AM1131=1,Settings!$C$6,Settings!$C$7))*100)</f>
        <v/>
      </c>
      <c r="Z1131" s="7">
        <f>IF($D1131="","",V1131*Y1131/100)</f>
        <v/>
      </c>
      <c r="AA1131" s="7">
        <f>IF($D1131="","",V1131-Z1131)</f>
        <v/>
      </c>
      <c r="AB1131" s="7">
        <f>IF($D1131="","",AA1131-N1131)</f>
        <v/>
      </c>
      <c r="AF1131" s="7" t="n"/>
      <c r="AI1131" s="11" t="n"/>
      <c r="AK1131">
        <f>IF($D1131="","",IF(COUNTIF($D$2:$D1131,$D1131)=1,1,0))</f>
        <v/>
      </c>
      <c r="AL1131">
        <f>IF($AK1131=1,SUMPRODUCT(--($AO$2:$AO$3001&lt;$AO1131))+1,"")</f>
        <v/>
      </c>
      <c r="AM1131">
        <f>IF($D1131="","",IF(OR($R1131=TRUE(),$R1131="TRUE"),1,0))</f>
        <v/>
      </c>
      <c r="AN1131">
        <f>IF($D1131="","",IF($X1131="Yes",1,0))</f>
        <v/>
      </c>
      <c r="AO1131">
        <f>IF($AK1131=1,IFERROR(IF(VALUE($D1131)&lt;100000000,VALUE($D1131),1000000000),IFERROR(IF(VALUE(MID($D1131,2,20))&lt;100000000,VALUE(MID($D1131,2,20)),1000000000),1000000000))+ROW()/100000,"")</f>
        <v/>
      </c>
    </row>
    <row r="1132">
      <c r="F1132" s="11" t="n"/>
      <c r="N1132" s="7">
        <f>IF($D1132="","",M1132*V1132/100)</f>
        <v/>
      </c>
      <c r="O1132" s="7" t="n"/>
      <c r="U1132" s="7" t="n"/>
      <c r="V1132" s="7" t="n"/>
      <c r="Y1132">
        <f>IF($D1132="","",IF($AN1132=1,0,IF($AM1132=1,Settings!$C$6,Settings!$C$7))*100)</f>
        <v/>
      </c>
      <c r="Z1132" s="7">
        <f>IF($D1132="","",V1132*Y1132/100)</f>
        <v/>
      </c>
      <c r="AA1132" s="7">
        <f>IF($D1132="","",V1132-Z1132)</f>
        <v/>
      </c>
      <c r="AB1132" s="7">
        <f>IF($D1132="","",AA1132-N1132)</f>
        <v/>
      </c>
      <c r="AF1132" s="7" t="n"/>
      <c r="AI1132" s="11" t="n"/>
      <c r="AK1132">
        <f>IF($D1132="","",IF(COUNTIF($D$2:$D1132,$D1132)=1,1,0))</f>
        <v/>
      </c>
      <c r="AL1132">
        <f>IF($AK1132=1,SUMPRODUCT(--($AO$2:$AO$3001&lt;$AO1132))+1,"")</f>
        <v/>
      </c>
      <c r="AM1132">
        <f>IF($D1132="","",IF(OR($R1132=TRUE(),$R1132="TRUE"),1,0))</f>
        <v/>
      </c>
      <c r="AN1132">
        <f>IF($D1132="","",IF($X1132="Yes",1,0))</f>
        <v/>
      </c>
      <c r="AO1132">
        <f>IF($AK1132=1,IFERROR(IF(VALUE($D1132)&lt;100000000,VALUE($D1132),1000000000),IFERROR(IF(VALUE(MID($D1132,2,20))&lt;100000000,VALUE(MID($D1132,2,20)),1000000000),1000000000))+ROW()/100000,"")</f>
        <v/>
      </c>
    </row>
    <row r="1133">
      <c r="F1133" s="11" t="n"/>
      <c r="N1133" s="7">
        <f>IF($D1133="","",M1133*V1133/100)</f>
        <v/>
      </c>
      <c r="O1133" s="7" t="n"/>
      <c r="U1133" s="7" t="n"/>
      <c r="V1133" s="7" t="n"/>
      <c r="Y1133">
        <f>IF($D1133="","",IF($AN1133=1,0,IF($AM1133=1,Settings!$C$6,Settings!$C$7))*100)</f>
        <v/>
      </c>
      <c r="Z1133" s="7">
        <f>IF($D1133="","",V1133*Y1133/100)</f>
        <v/>
      </c>
      <c r="AA1133" s="7">
        <f>IF($D1133="","",V1133-Z1133)</f>
        <v/>
      </c>
      <c r="AB1133" s="7">
        <f>IF($D1133="","",AA1133-N1133)</f>
        <v/>
      </c>
      <c r="AF1133" s="7" t="n"/>
      <c r="AI1133" s="11" t="n"/>
      <c r="AK1133">
        <f>IF($D1133="","",IF(COUNTIF($D$2:$D1133,$D1133)=1,1,0))</f>
        <v/>
      </c>
      <c r="AL1133">
        <f>IF($AK1133=1,SUMPRODUCT(--($AO$2:$AO$3001&lt;$AO1133))+1,"")</f>
        <v/>
      </c>
      <c r="AM1133">
        <f>IF($D1133="","",IF(OR($R1133=TRUE(),$R1133="TRUE"),1,0))</f>
        <v/>
      </c>
      <c r="AN1133">
        <f>IF($D1133="","",IF($X1133="Yes",1,0))</f>
        <v/>
      </c>
      <c r="AO1133">
        <f>IF($AK1133=1,IFERROR(IF(VALUE($D1133)&lt;100000000,VALUE($D1133),1000000000),IFERROR(IF(VALUE(MID($D1133,2,20))&lt;100000000,VALUE(MID($D1133,2,20)),1000000000),1000000000))+ROW()/100000,"")</f>
        <v/>
      </c>
    </row>
    <row r="1134">
      <c r="F1134" s="11" t="n"/>
      <c r="N1134" s="7">
        <f>IF($D1134="","",M1134*V1134/100)</f>
        <v/>
      </c>
      <c r="O1134" s="7" t="n"/>
      <c r="U1134" s="7" t="n"/>
      <c r="V1134" s="7" t="n"/>
      <c r="Y1134">
        <f>IF($D1134="","",IF($AN1134=1,0,IF($AM1134=1,Settings!$C$6,Settings!$C$7))*100)</f>
        <v/>
      </c>
      <c r="Z1134" s="7">
        <f>IF($D1134="","",V1134*Y1134/100)</f>
        <v/>
      </c>
      <c r="AA1134" s="7">
        <f>IF($D1134="","",V1134-Z1134)</f>
        <v/>
      </c>
      <c r="AB1134" s="7">
        <f>IF($D1134="","",AA1134-N1134)</f>
        <v/>
      </c>
      <c r="AF1134" s="7" t="n"/>
      <c r="AI1134" s="11" t="n"/>
      <c r="AK1134">
        <f>IF($D1134="","",IF(COUNTIF($D$2:$D1134,$D1134)=1,1,0))</f>
        <v/>
      </c>
      <c r="AL1134">
        <f>IF($AK1134=1,SUMPRODUCT(--($AO$2:$AO$3001&lt;$AO1134))+1,"")</f>
        <v/>
      </c>
      <c r="AM1134">
        <f>IF($D1134="","",IF(OR($R1134=TRUE(),$R1134="TRUE"),1,0))</f>
        <v/>
      </c>
      <c r="AN1134">
        <f>IF($D1134="","",IF($X1134="Yes",1,0))</f>
        <v/>
      </c>
      <c r="AO1134">
        <f>IF($AK1134=1,IFERROR(IF(VALUE($D1134)&lt;100000000,VALUE($D1134),1000000000),IFERROR(IF(VALUE(MID($D1134,2,20))&lt;100000000,VALUE(MID($D1134,2,20)),1000000000),1000000000))+ROW()/100000,"")</f>
        <v/>
      </c>
    </row>
    <row r="1135">
      <c r="F1135" s="11" t="n"/>
      <c r="N1135" s="7">
        <f>IF($D1135="","",M1135*V1135/100)</f>
        <v/>
      </c>
      <c r="O1135" s="7" t="n"/>
      <c r="U1135" s="7" t="n"/>
      <c r="V1135" s="7" t="n"/>
      <c r="Y1135">
        <f>IF($D1135="","",IF($AN1135=1,0,IF($AM1135=1,Settings!$C$6,Settings!$C$7))*100)</f>
        <v/>
      </c>
      <c r="Z1135" s="7">
        <f>IF($D1135="","",V1135*Y1135/100)</f>
        <v/>
      </c>
      <c r="AA1135" s="7">
        <f>IF($D1135="","",V1135-Z1135)</f>
        <v/>
      </c>
      <c r="AB1135" s="7">
        <f>IF($D1135="","",AA1135-N1135)</f>
        <v/>
      </c>
      <c r="AF1135" s="7" t="n"/>
      <c r="AI1135" s="11" t="n"/>
      <c r="AK1135">
        <f>IF($D1135="","",IF(COUNTIF($D$2:$D1135,$D1135)=1,1,0))</f>
        <v/>
      </c>
      <c r="AL1135">
        <f>IF($AK1135=1,SUMPRODUCT(--($AO$2:$AO$3001&lt;$AO1135))+1,"")</f>
        <v/>
      </c>
      <c r="AM1135">
        <f>IF($D1135="","",IF(OR($R1135=TRUE(),$R1135="TRUE"),1,0))</f>
        <v/>
      </c>
      <c r="AN1135">
        <f>IF($D1135="","",IF($X1135="Yes",1,0))</f>
        <v/>
      </c>
      <c r="AO1135">
        <f>IF($AK1135=1,IFERROR(IF(VALUE($D1135)&lt;100000000,VALUE($D1135),1000000000),IFERROR(IF(VALUE(MID($D1135,2,20))&lt;100000000,VALUE(MID($D1135,2,20)),1000000000),1000000000))+ROW()/100000,"")</f>
        <v/>
      </c>
    </row>
    <row r="1136">
      <c r="F1136" s="11" t="n"/>
      <c r="N1136" s="7">
        <f>IF($D1136="","",M1136*V1136/100)</f>
        <v/>
      </c>
      <c r="O1136" s="7" t="n"/>
      <c r="U1136" s="7" t="n"/>
      <c r="V1136" s="7" t="n"/>
      <c r="Y1136">
        <f>IF($D1136="","",IF($AN1136=1,0,IF($AM1136=1,Settings!$C$6,Settings!$C$7))*100)</f>
        <v/>
      </c>
      <c r="Z1136" s="7">
        <f>IF($D1136="","",V1136*Y1136/100)</f>
        <v/>
      </c>
      <c r="AA1136" s="7">
        <f>IF($D1136="","",V1136-Z1136)</f>
        <v/>
      </c>
      <c r="AB1136" s="7">
        <f>IF($D1136="","",AA1136-N1136)</f>
        <v/>
      </c>
      <c r="AF1136" s="7" t="n"/>
      <c r="AI1136" s="11" t="n"/>
      <c r="AK1136">
        <f>IF($D1136="","",IF(COUNTIF($D$2:$D1136,$D1136)=1,1,0))</f>
        <v/>
      </c>
      <c r="AL1136">
        <f>IF($AK1136=1,SUMPRODUCT(--($AO$2:$AO$3001&lt;$AO1136))+1,"")</f>
        <v/>
      </c>
      <c r="AM1136">
        <f>IF($D1136="","",IF(OR($R1136=TRUE(),$R1136="TRUE"),1,0))</f>
        <v/>
      </c>
      <c r="AN1136">
        <f>IF($D1136="","",IF($X1136="Yes",1,0))</f>
        <v/>
      </c>
      <c r="AO1136">
        <f>IF($AK1136=1,IFERROR(IF(VALUE($D1136)&lt;100000000,VALUE($D1136),1000000000),IFERROR(IF(VALUE(MID($D1136,2,20))&lt;100000000,VALUE(MID($D1136,2,20)),1000000000),1000000000))+ROW()/100000,"")</f>
        <v/>
      </c>
    </row>
    <row r="1137">
      <c r="F1137" s="11" t="n"/>
      <c r="N1137" s="7">
        <f>IF($D1137="","",M1137*V1137/100)</f>
        <v/>
      </c>
      <c r="O1137" s="7" t="n"/>
      <c r="U1137" s="7" t="n"/>
      <c r="V1137" s="7" t="n"/>
      <c r="Y1137">
        <f>IF($D1137="","",IF($AN1137=1,0,IF($AM1137=1,Settings!$C$6,Settings!$C$7))*100)</f>
        <v/>
      </c>
      <c r="Z1137" s="7">
        <f>IF($D1137="","",V1137*Y1137/100)</f>
        <v/>
      </c>
      <c r="AA1137" s="7">
        <f>IF($D1137="","",V1137-Z1137)</f>
        <v/>
      </c>
      <c r="AB1137" s="7">
        <f>IF($D1137="","",AA1137-N1137)</f>
        <v/>
      </c>
      <c r="AF1137" s="7" t="n"/>
      <c r="AI1137" s="11" t="n"/>
      <c r="AK1137">
        <f>IF($D1137="","",IF(COUNTIF($D$2:$D1137,$D1137)=1,1,0))</f>
        <v/>
      </c>
      <c r="AL1137">
        <f>IF($AK1137=1,SUMPRODUCT(--($AO$2:$AO$3001&lt;$AO1137))+1,"")</f>
        <v/>
      </c>
      <c r="AM1137">
        <f>IF($D1137="","",IF(OR($R1137=TRUE(),$R1137="TRUE"),1,0))</f>
        <v/>
      </c>
      <c r="AN1137">
        <f>IF($D1137="","",IF($X1137="Yes",1,0))</f>
        <v/>
      </c>
      <c r="AO1137">
        <f>IF($AK1137=1,IFERROR(IF(VALUE($D1137)&lt;100000000,VALUE($D1137),1000000000),IFERROR(IF(VALUE(MID($D1137,2,20))&lt;100000000,VALUE(MID($D1137,2,20)),1000000000),1000000000))+ROW()/100000,"")</f>
        <v/>
      </c>
    </row>
    <row r="1138">
      <c r="F1138" s="11" t="n"/>
      <c r="N1138" s="7">
        <f>IF($D1138="","",M1138*V1138/100)</f>
        <v/>
      </c>
      <c r="O1138" s="7" t="n"/>
      <c r="U1138" s="7" t="n"/>
      <c r="V1138" s="7" t="n"/>
      <c r="Y1138">
        <f>IF($D1138="","",IF($AN1138=1,0,IF($AM1138=1,Settings!$C$6,Settings!$C$7))*100)</f>
        <v/>
      </c>
      <c r="Z1138" s="7">
        <f>IF($D1138="","",V1138*Y1138/100)</f>
        <v/>
      </c>
      <c r="AA1138" s="7">
        <f>IF($D1138="","",V1138-Z1138)</f>
        <v/>
      </c>
      <c r="AB1138" s="7">
        <f>IF($D1138="","",AA1138-N1138)</f>
        <v/>
      </c>
      <c r="AF1138" s="7" t="n"/>
      <c r="AI1138" s="11" t="n"/>
      <c r="AK1138">
        <f>IF($D1138="","",IF(COUNTIF($D$2:$D1138,$D1138)=1,1,0))</f>
        <v/>
      </c>
      <c r="AL1138">
        <f>IF($AK1138=1,SUMPRODUCT(--($AO$2:$AO$3001&lt;$AO1138))+1,"")</f>
        <v/>
      </c>
      <c r="AM1138">
        <f>IF($D1138="","",IF(OR($R1138=TRUE(),$R1138="TRUE"),1,0))</f>
        <v/>
      </c>
      <c r="AN1138">
        <f>IF($D1138="","",IF($X1138="Yes",1,0))</f>
        <v/>
      </c>
      <c r="AO1138">
        <f>IF($AK1138=1,IFERROR(IF(VALUE($D1138)&lt;100000000,VALUE($D1138),1000000000),IFERROR(IF(VALUE(MID($D1138,2,20))&lt;100000000,VALUE(MID($D1138,2,20)),1000000000),1000000000))+ROW()/100000,"")</f>
        <v/>
      </c>
    </row>
    <row r="1139">
      <c r="F1139" s="11" t="n"/>
      <c r="N1139" s="7">
        <f>IF($D1139="","",M1139*V1139/100)</f>
        <v/>
      </c>
      <c r="O1139" s="7" t="n"/>
      <c r="U1139" s="7" t="n"/>
      <c r="V1139" s="7" t="n"/>
      <c r="Y1139">
        <f>IF($D1139="","",IF($AN1139=1,0,IF($AM1139=1,Settings!$C$6,Settings!$C$7))*100)</f>
        <v/>
      </c>
      <c r="Z1139" s="7">
        <f>IF($D1139="","",V1139*Y1139/100)</f>
        <v/>
      </c>
      <c r="AA1139" s="7">
        <f>IF($D1139="","",V1139-Z1139)</f>
        <v/>
      </c>
      <c r="AB1139" s="7">
        <f>IF($D1139="","",AA1139-N1139)</f>
        <v/>
      </c>
      <c r="AF1139" s="7" t="n"/>
      <c r="AI1139" s="11" t="n"/>
      <c r="AK1139">
        <f>IF($D1139="","",IF(COUNTIF($D$2:$D1139,$D1139)=1,1,0))</f>
        <v/>
      </c>
      <c r="AL1139">
        <f>IF($AK1139=1,SUMPRODUCT(--($AO$2:$AO$3001&lt;$AO1139))+1,"")</f>
        <v/>
      </c>
      <c r="AM1139">
        <f>IF($D1139="","",IF(OR($R1139=TRUE(),$R1139="TRUE"),1,0))</f>
        <v/>
      </c>
      <c r="AN1139">
        <f>IF($D1139="","",IF($X1139="Yes",1,0))</f>
        <v/>
      </c>
      <c r="AO1139">
        <f>IF($AK1139=1,IFERROR(IF(VALUE($D1139)&lt;100000000,VALUE($D1139),1000000000),IFERROR(IF(VALUE(MID($D1139,2,20))&lt;100000000,VALUE(MID($D1139,2,20)),1000000000),1000000000))+ROW()/100000,"")</f>
        <v/>
      </c>
    </row>
    <row r="1140">
      <c r="F1140" s="11" t="n"/>
      <c r="N1140" s="7">
        <f>IF($D1140="","",M1140*V1140/100)</f>
        <v/>
      </c>
      <c r="O1140" s="7" t="n"/>
      <c r="U1140" s="7" t="n"/>
      <c r="V1140" s="7" t="n"/>
      <c r="Y1140">
        <f>IF($D1140="","",IF($AN1140=1,0,IF($AM1140=1,Settings!$C$6,Settings!$C$7))*100)</f>
        <v/>
      </c>
      <c r="Z1140" s="7">
        <f>IF($D1140="","",V1140*Y1140/100)</f>
        <v/>
      </c>
      <c r="AA1140" s="7">
        <f>IF($D1140="","",V1140-Z1140)</f>
        <v/>
      </c>
      <c r="AB1140" s="7">
        <f>IF($D1140="","",AA1140-N1140)</f>
        <v/>
      </c>
      <c r="AF1140" s="7" t="n"/>
      <c r="AI1140" s="11" t="n"/>
      <c r="AK1140">
        <f>IF($D1140="","",IF(COUNTIF($D$2:$D1140,$D1140)=1,1,0))</f>
        <v/>
      </c>
      <c r="AL1140">
        <f>IF($AK1140=1,SUMPRODUCT(--($AO$2:$AO$3001&lt;$AO1140))+1,"")</f>
        <v/>
      </c>
      <c r="AM1140">
        <f>IF($D1140="","",IF(OR($R1140=TRUE(),$R1140="TRUE"),1,0))</f>
        <v/>
      </c>
      <c r="AN1140">
        <f>IF($D1140="","",IF($X1140="Yes",1,0))</f>
        <v/>
      </c>
      <c r="AO1140">
        <f>IF($AK1140=1,IFERROR(IF(VALUE($D1140)&lt;100000000,VALUE($D1140),1000000000),IFERROR(IF(VALUE(MID($D1140,2,20))&lt;100000000,VALUE(MID($D1140,2,20)),1000000000),1000000000))+ROW()/100000,"")</f>
        <v/>
      </c>
    </row>
    <row r="1141">
      <c r="F1141" s="11" t="n"/>
      <c r="N1141" s="7">
        <f>IF($D1141="","",M1141*V1141/100)</f>
        <v/>
      </c>
      <c r="O1141" s="7" t="n"/>
      <c r="U1141" s="7" t="n"/>
      <c r="V1141" s="7" t="n"/>
      <c r="Y1141">
        <f>IF($D1141="","",IF($AN1141=1,0,IF($AM1141=1,Settings!$C$6,Settings!$C$7))*100)</f>
        <v/>
      </c>
      <c r="Z1141" s="7">
        <f>IF($D1141="","",V1141*Y1141/100)</f>
        <v/>
      </c>
      <c r="AA1141" s="7">
        <f>IF($D1141="","",V1141-Z1141)</f>
        <v/>
      </c>
      <c r="AB1141" s="7">
        <f>IF($D1141="","",AA1141-N1141)</f>
        <v/>
      </c>
      <c r="AF1141" s="7" t="n"/>
      <c r="AI1141" s="11" t="n"/>
      <c r="AK1141">
        <f>IF($D1141="","",IF(COUNTIF($D$2:$D1141,$D1141)=1,1,0))</f>
        <v/>
      </c>
      <c r="AL1141">
        <f>IF($AK1141=1,SUMPRODUCT(--($AO$2:$AO$3001&lt;$AO1141))+1,"")</f>
        <v/>
      </c>
      <c r="AM1141">
        <f>IF($D1141="","",IF(OR($R1141=TRUE(),$R1141="TRUE"),1,0))</f>
        <v/>
      </c>
      <c r="AN1141">
        <f>IF($D1141="","",IF($X1141="Yes",1,0))</f>
        <v/>
      </c>
      <c r="AO1141">
        <f>IF($AK1141=1,IFERROR(IF(VALUE($D1141)&lt;100000000,VALUE($D1141),1000000000),IFERROR(IF(VALUE(MID($D1141,2,20))&lt;100000000,VALUE(MID($D1141,2,20)),1000000000),1000000000))+ROW()/100000,"")</f>
        <v/>
      </c>
    </row>
    <row r="1142">
      <c r="F1142" s="11" t="n"/>
      <c r="N1142" s="7">
        <f>IF($D1142="","",M1142*V1142/100)</f>
        <v/>
      </c>
      <c r="O1142" s="7" t="n"/>
      <c r="U1142" s="7" t="n"/>
      <c r="V1142" s="7" t="n"/>
      <c r="Y1142">
        <f>IF($D1142="","",IF($AN1142=1,0,IF($AM1142=1,Settings!$C$6,Settings!$C$7))*100)</f>
        <v/>
      </c>
      <c r="Z1142" s="7">
        <f>IF($D1142="","",V1142*Y1142/100)</f>
        <v/>
      </c>
      <c r="AA1142" s="7">
        <f>IF($D1142="","",V1142-Z1142)</f>
        <v/>
      </c>
      <c r="AB1142" s="7">
        <f>IF($D1142="","",AA1142-N1142)</f>
        <v/>
      </c>
      <c r="AF1142" s="7" t="n"/>
      <c r="AI1142" s="11" t="n"/>
      <c r="AK1142">
        <f>IF($D1142="","",IF(COUNTIF($D$2:$D1142,$D1142)=1,1,0))</f>
        <v/>
      </c>
      <c r="AL1142">
        <f>IF($AK1142=1,SUMPRODUCT(--($AO$2:$AO$3001&lt;$AO1142))+1,"")</f>
        <v/>
      </c>
      <c r="AM1142">
        <f>IF($D1142="","",IF(OR($R1142=TRUE(),$R1142="TRUE"),1,0))</f>
        <v/>
      </c>
      <c r="AN1142">
        <f>IF($D1142="","",IF($X1142="Yes",1,0))</f>
        <v/>
      </c>
      <c r="AO1142">
        <f>IF($AK1142=1,IFERROR(IF(VALUE($D1142)&lt;100000000,VALUE($D1142),1000000000),IFERROR(IF(VALUE(MID($D1142,2,20))&lt;100000000,VALUE(MID($D1142,2,20)),1000000000),1000000000))+ROW()/100000,"")</f>
        <v/>
      </c>
    </row>
    <row r="1143">
      <c r="F1143" s="11" t="n"/>
      <c r="N1143" s="7">
        <f>IF($D1143="","",M1143*V1143/100)</f>
        <v/>
      </c>
      <c r="O1143" s="7" t="n"/>
      <c r="U1143" s="7" t="n"/>
      <c r="V1143" s="7" t="n"/>
      <c r="Y1143">
        <f>IF($D1143="","",IF($AN1143=1,0,IF($AM1143=1,Settings!$C$6,Settings!$C$7))*100)</f>
        <v/>
      </c>
      <c r="Z1143" s="7">
        <f>IF($D1143="","",V1143*Y1143/100)</f>
        <v/>
      </c>
      <c r="AA1143" s="7">
        <f>IF($D1143="","",V1143-Z1143)</f>
        <v/>
      </c>
      <c r="AB1143" s="7">
        <f>IF($D1143="","",AA1143-N1143)</f>
        <v/>
      </c>
      <c r="AF1143" s="7" t="n"/>
      <c r="AI1143" s="11" t="n"/>
      <c r="AK1143">
        <f>IF($D1143="","",IF(COUNTIF($D$2:$D1143,$D1143)=1,1,0))</f>
        <v/>
      </c>
      <c r="AL1143">
        <f>IF($AK1143=1,SUMPRODUCT(--($AO$2:$AO$3001&lt;$AO1143))+1,"")</f>
        <v/>
      </c>
      <c r="AM1143">
        <f>IF($D1143="","",IF(OR($R1143=TRUE(),$R1143="TRUE"),1,0))</f>
        <v/>
      </c>
      <c r="AN1143">
        <f>IF($D1143="","",IF($X1143="Yes",1,0))</f>
        <v/>
      </c>
      <c r="AO1143">
        <f>IF($AK1143=1,IFERROR(IF(VALUE($D1143)&lt;100000000,VALUE($D1143),1000000000),IFERROR(IF(VALUE(MID($D1143,2,20))&lt;100000000,VALUE(MID($D1143,2,20)),1000000000),1000000000))+ROW()/100000,"")</f>
        <v/>
      </c>
    </row>
    <row r="1144">
      <c r="F1144" s="11" t="n"/>
      <c r="N1144" s="7">
        <f>IF($D1144="","",M1144*V1144/100)</f>
        <v/>
      </c>
      <c r="O1144" s="7" t="n"/>
      <c r="U1144" s="7" t="n"/>
      <c r="V1144" s="7" t="n"/>
      <c r="Y1144">
        <f>IF($D1144="","",IF($AN1144=1,0,IF($AM1144=1,Settings!$C$6,Settings!$C$7))*100)</f>
        <v/>
      </c>
      <c r="Z1144" s="7">
        <f>IF($D1144="","",V1144*Y1144/100)</f>
        <v/>
      </c>
      <c r="AA1144" s="7">
        <f>IF($D1144="","",V1144-Z1144)</f>
        <v/>
      </c>
      <c r="AB1144" s="7">
        <f>IF($D1144="","",AA1144-N1144)</f>
        <v/>
      </c>
      <c r="AF1144" s="7" t="n"/>
      <c r="AI1144" s="11" t="n"/>
      <c r="AK1144">
        <f>IF($D1144="","",IF(COUNTIF($D$2:$D1144,$D1144)=1,1,0))</f>
        <v/>
      </c>
      <c r="AL1144">
        <f>IF($AK1144=1,SUMPRODUCT(--($AO$2:$AO$3001&lt;$AO1144))+1,"")</f>
        <v/>
      </c>
      <c r="AM1144">
        <f>IF($D1144="","",IF(OR($R1144=TRUE(),$R1144="TRUE"),1,0))</f>
        <v/>
      </c>
      <c r="AN1144">
        <f>IF($D1144="","",IF($X1144="Yes",1,0))</f>
        <v/>
      </c>
      <c r="AO1144">
        <f>IF($AK1144=1,IFERROR(IF(VALUE($D1144)&lt;100000000,VALUE($D1144),1000000000),IFERROR(IF(VALUE(MID($D1144,2,20))&lt;100000000,VALUE(MID($D1144,2,20)),1000000000),1000000000))+ROW()/100000,"")</f>
        <v/>
      </c>
    </row>
    <row r="1145">
      <c r="F1145" s="11" t="n"/>
      <c r="N1145" s="7">
        <f>IF($D1145="","",M1145*V1145/100)</f>
        <v/>
      </c>
      <c r="O1145" s="7" t="n"/>
      <c r="U1145" s="7" t="n"/>
      <c r="V1145" s="7" t="n"/>
      <c r="Y1145">
        <f>IF($D1145="","",IF($AN1145=1,0,IF($AM1145=1,Settings!$C$6,Settings!$C$7))*100)</f>
        <v/>
      </c>
      <c r="Z1145" s="7">
        <f>IF($D1145="","",V1145*Y1145/100)</f>
        <v/>
      </c>
      <c r="AA1145" s="7">
        <f>IF($D1145="","",V1145-Z1145)</f>
        <v/>
      </c>
      <c r="AB1145" s="7">
        <f>IF($D1145="","",AA1145-N1145)</f>
        <v/>
      </c>
      <c r="AF1145" s="7" t="n"/>
      <c r="AI1145" s="11" t="n"/>
      <c r="AK1145">
        <f>IF($D1145="","",IF(COUNTIF($D$2:$D1145,$D1145)=1,1,0))</f>
        <v/>
      </c>
      <c r="AL1145">
        <f>IF($AK1145=1,SUMPRODUCT(--($AO$2:$AO$3001&lt;$AO1145))+1,"")</f>
        <v/>
      </c>
      <c r="AM1145">
        <f>IF($D1145="","",IF(OR($R1145=TRUE(),$R1145="TRUE"),1,0))</f>
        <v/>
      </c>
      <c r="AN1145">
        <f>IF($D1145="","",IF($X1145="Yes",1,0))</f>
        <v/>
      </c>
      <c r="AO1145">
        <f>IF($AK1145=1,IFERROR(IF(VALUE($D1145)&lt;100000000,VALUE($D1145),1000000000),IFERROR(IF(VALUE(MID($D1145,2,20))&lt;100000000,VALUE(MID($D1145,2,20)),1000000000),1000000000))+ROW()/100000,"")</f>
        <v/>
      </c>
    </row>
    <row r="1146">
      <c r="F1146" s="11" t="n"/>
      <c r="N1146" s="7">
        <f>IF($D1146="","",M1146*V1146/100)</f>
        <v/>
      </c>
      <c r="O1146" s="7" t="n"/>
      <c r="U1146" s="7" t="n"/>
      <c r="V1146" s="7" t="n"/>
      <c r="Y1146">
        <f>IF($D1146="","",IF($AN1146=1,0,IF($AM1146=1,Settings!$C$6,Settings!$C$7))*100)</f>
        <v/>
      </c>
      <c r="Z1146" s="7">
        <f>IF($D1146="","",V1146*Y1146/100)</f>
        <v/>
      </c>
      <c r="AA1146" s="7">
        <f>IF($D1146="","",V1146-Z1146)</f>
        <v/>
      </c>
      <c r="AB1146" s="7">
        <f>IF($D1146="","",AA1146-N1146)</f>
        <v/>
      </c>
      <c r="AF1146" s="7" t="n"/>
      <c r="AI1146" s="11" t="n"/>
      <c r="AK1146">
        <f>IF($D1146="","",IF(COUNTIF($D$2:$D1146,$D1146)=1,1,0))</f>
        <v/>
      </c>
      <c r="AL1146">
        <f>IF($AK1146=1,SUMPRODUCT(--($AO$2:$AO$3001&lt;$AO1146))+1,"")</f>
        <v/>
      </c>
      <c r="AM1146">
        <f>IF($D1146="","",IF(OR($R1146=TRUE(),$R1146="TRUE"),1,0))</f>
        <v/>
      </c>
      <c r="AN1146">
        <f>IF($D1146="","",IF($X1146="Yes",1,0))</f>
        <v/>
      </c>
      <c r="AO1146">
        <f>IF($AK1146=1,IFERROR(IF(VALUE($D1146)&lt;100000000,VALUE($D1146),1000000000),IFERROR(IF(VALUE(MID($D1146,2,20))&lt;100000000,VALUE(MID($D1146,2,20)),1000000000),1000000000))+ROW()/100000,"")</f>
        <v/>
      </c>
    </row>
    <row r="1147">
      <c r="F1147" s="11" t="n"/>
      <c r="N1147" s="7">
        <f>IF($D1147="","",M1147*V1147/100)</f>
        <v/>
      </c>
      <c r="O1147" s="7" t="n"/>
      <c r="U1147" s="7" t="n"/>
      <c r="V1147" s="7" t="n"/>
      <c r="Y1147">
        <f>IF($D1147="","",IF($AN1147=1,0,IF($AM1147=1,Settings!$C$6,Settings!$C$7))*100)</f>
        <v/>
      </c>
      <c r="Z1147" s="7">
        <f>IF($D1147="","",V1147*Y1147/100)</f>
        <v/>
      </c>
      <c r="AA1147" s="7">
        <f>IF($D1147="","",V1147-Z1147)</f>
        <v/>
      </c>
      <c r="AB1147" s="7">
        <f>IF($D1147="","",AA1147-N1147)</f>
        <v/>
      </c>
      <c r="AF1147" s="7" t="n"/>
      <c r="AI1147" s="11" t="n"/>
      <c r="AK1147">
        <f>IF($D1147="","",IF(COUNTIF($D$2:$D1147,$D1147)=1,1,0))</f>
        <v/>
      </c>
      <c r="AL1147">
        <f>IF($AK1147=1,SUMPRODUCT(--($AO$2:$AO$3001&lt;$AO1147))+1,"")</f>
        <v/>
      </c>
      <c r="AM1147">
        <f>IF($D1147="","",IF(OR($R1147=TRUE(),$R1147="TRUE"),1,0))</f>
        <v/>
      </c>
      <c r="AN1147">
        <f>IF($D1147="","",IF($X1147="Yes",1,0))</f>
        <v/>
      </c>
      <c r="AO1147">
        <f>IF($AK1147=1,IFERROR(IF(VALUE($D1147)&lt;100000000,VALUE($D1147),1000000000),IFERROR(IF(VALUE(MID($D1147,2,20))&lt;100000000,VALUE(MID($D1147,2,20)),1000000000),1000000000))+ROW()/100000,"")</f>
        <v/>
      </c>
    </row>
    <row r="1148">
      <c r="F1148" s="11" t="n"/>
      <c r="N1148" s="7">
        <f>IF($D1148="","",M1148*V1148/100)</f>
        <v/>
      </c>
      <c r="O1148" s="7" t="n"/>
      <c r="U1148" s="7" t="n"/>
      <c r="V1148" s="7" t="n"/>
      <c r="Y1148">
        <f>IF($D1148="","",IF($AN1148=1,0,IF($AM1148=1,Settings!$C$6,Settings!$C$7))*100)</f>
        <v/>
      </c>
      <c r="Z1148" s="7">
        <f>IF($D1148="","",V1148*Y1148/100)</f>
        <v/>
      </c>
      <c r="AA1148" s="7">
        <f>IF($D1148="","",V1148-Z1148)</f>
        <v/>
      </c>
      <c r="AB1148" s="7">
        <f>IF($D1148="","",AA1148-N1148)</f>
        <v/>
      </c>
      <c r="AF1148" s="7" t="n"/>
      <c r="AI1148" s="11" t="n"/>
      <c r="AK1148">
        <f>IF($D1148="","",IF(COUNTIF($D$2:$D1148,$D1148)=1,1,0))</f>
        <v/>
      </c>
      <c r="AL1148">
        <f>IF($AK1148=1,SUMPRODUCT(--($AO$2:$AO$3001&lt;$AO1148))+1,"")</f>
        <v/>
      </c>
      <c r="AM1148">
        <f>IF($D1148="","",IF(OR($R1148=TRUE(),$R1148="TRUE"),1,0))</f>
        <v/>
      </c>
      <c r="AN1148">
        <f>IF($D1148="","",IF($X1148="Yes",1,0))</f>
        <v/>
      </c>
      <c r="AO1148">
        <f>IF($AK1148=1,IFERROR(IF(VALUE($D1148)&lt;100000000,VALUE($D1148),1000000000),IFERROR(IF(VALUE(MID($D1148,2,20))&lt;100000000,VALUE(MID($D1148,2,20)),1000000000),1000000000))+ROW()/100000,"")</f>
        <v/>
      </c>
    </row>
    <row r="1149">
      <c r="F1149" s="11" t="n"/>
      <c r="N1149" s="7">
        <f>IF($D1149="","",M1149*V1149/100)</f>
        <v/>
      </c>
      <c r="O1149" s="7" t="n"/>
      <c r="U1149" s="7" t="n"/>
      <c r="V1149" s="7" t="n"/>
      <c r="Y1149">
        <f>IF($D1149="","",IF($AN1149=1,0,IF($AM1149=1,Settings!$C$6,Settings!$C$7))*100)</f>
        <v/>
      </c>
      <c r="Z1149" s="7">
        <f>IF($D1149="","",V1149*Y1149/100)</f>
        <v/>
      </c>
      <c r="AA1149" s="7">
        <f>IF($D1149="","",V1149-Z1149)</f>
        <v/>
      </c>
      <c r="AB1149" s="7">
        <f>IF($D1149="","",AA1149-N1149)</f>
        <v/>
      </c>
      <c r="AF1149" s="7" t="n"/>
      <c r="AI1149" s="11" t="n"/>
      <c r="AK1149">
        <f>IF($D1149="","",IF(COUNTIF($D$2:$D1149,$D1149)=1,1,0))</f>
        <v/>
      </c>
      <c r="AL1149">
        <f>IF($AK1149=1,SUMPRODUCT(--($AO$2:$AO$3001&lt;$AO1149))+1,"")</f>
        <v/>
      </c>
      <c r="AM1149">
        <f>IF($D1149="","",IF(OR($R1149=TRUE(),$R1149="TRUE"),1,0))</f>
        <v/>
      </c>
      <c r="AN1149">
        <f>IF($D1149="","",IF($X1149="Yes",1,0))</f>
        <v/>
      </c>
      <c r="AO1149">
        <f>IF($AK1149=1,IFERROR(IF(VALUE($D1149)&lt;100000000,VALUE($D1149),1000000000),IFERROR(IF(VALUE(MID($D1149,2,20))&lt;100000000,VALUE(MID($D1149,2,20)),1000000000),1000000000))+ROW()/100000,"")</f>
        <v/>
      </c>
    </row>
    <row r="1150">
      <c r="F1150" s="11" t="n"/>
      <c r="N1150" s="7">
        <f>IF($D1150="","",M1150*V1150/100)</f>
        <v/>
      </c>
      <c r="O1150" s="7" t="n"/>
      <c r="U1150" s="7" t="n"/>
      <c r="V1150" s="7" t="n"/>
      <c r="Y1150">
        <f>IF($D1150="","",IF($AN1150=1,0,IF($AM1150=1,Settings!$C$6,Settings!$C$7))*100)</f>
        <v/>
      </c>
      <c r="Z1150" s="7">
        <f>IF($D1150="","",V1150*Y1150/100)</f>
        <v/>
      </c>
      <c r="AA1150" s="7">
        <f>IF($D1150="","",V1150-Z1150)</f>
        <v/>
      </c>
      <c r="AB1150" s="7">
        <f>IF($D1150="","",AA1150-N1150)</f>
        <v/>
      </c>
      <c r="AF1150" s="7" t="n"/>
      <c r="AI1150" s="11" t="n"/>
      <c r="AK1150">
        <f>IF($D1150="","",IF(COUNTIF($D$2:$D1150,$D1150)=1,1,0))</f>
        <v/>
      </c>
      <c r="AL1150">
        <f>IF($AK1150=1,SUMPRODUCT(--($AO$2:$AO$3001&lt;$AO1150))+1,"")</f>
        <v/>
      </c>
      <c r="AM1150">
        <f>IF($D1150="","",IF(OR($R1150=TRUE(),$R1150="TRUE"),1,0))</f>
        <v/>
      </c>
      <c r="AN1150">
        <f>IF($D1150="","",IF($X1150="Yes",1,0))</f>
        <v/>
      </c>
      <c r="AO1150">
        <f>IF($AK1150=1,IFERROR(IF(VALUE($D1150)&lt;100000000,VALUE($D1150),1000000000),IFERROR(IF(VALUE(MID($D1150,2,20))&lt;100000000,VALUE(MID($D1150,2,20)),1000000000),1000000000))+ROW()/100000,"")</f>
        <v/>
      </c>
    </row>
    <row r="1151">
      <c r="F1151" s="11" t="n"/>
      <c r="N1151" s="7">
        <f>IF($D1151="","",M1151*V1151/100)</f>
        <v/>
      </c>
      <c r="O1151" s="7" t="n"/>
      <c r="U1151" s="7" t="n"/>
      <c r="V1151" s="7" t="n"/>
      <c r="Y1151">
        <f>IF($D1151="","",IF($AN1151=1,0,IF($AM1151=1,Settings!$C$6,Settings!$C$7))*100)</f>
        <v/>
      </c>
      <c r="Z1151" s="7">
        <f>IF($D1151="","",V1151*Y1151/100)</f>
        <v/>
      </c>
      <c r="AA1151" s="7">
        <f>IF($D1151="","",V1151-Z1151)</f>
        <v/>
      </c>
      <c r="AB1151" s="7">
        <f>IF($D1151="","",AA1151-N1151)</f>
        <v/>
      </c>
      <c r="AF1151" s="7" t="n"/>
      <c r="AI1151" s="11" t="n"/>
      <c r="AK1151">
        <f>IF($D1151="","",IF(COUNTIF($D$2:$D1151,$D1151)=1,1,0))</f>
        <v/>
      </c>
      <c r="AL1151">
        <f>IF($AK1151=1,SUMPRODUCT(--($AO$2:$AO$3001&lt;$AO1151))+1,"")</f>
        <v/>
      </c>
      <c r="AM1151">
        <f>IF($D1151="","",IF(OR($R1151=TRUE(),$R1151="TRUE"),1,0))</f>
        <v/>
      </c>
      <c r="AN1151">
        <f>IF($D1151="","",IF($X1151="Yes",1,0))</f>
        <v/>
      </c>
      <c r="AO1151">
        <f>IF($AK1151=1,IFERROR(IF(VALUE($D1151)&lt;100000000,VALUE($D1151),1000000000),IFERROR(IF(VALUE(MID($D1151,2,20))&lt;100000000,VALUE(MID($D1151,2,20)),1000000000),1000000000))+ROW()/100000,"")</f>
        <v/>
      </c>
    </row>
    <row r="1152">
      <c r="F1152" s="11" t="n"/>
      <c r="N1152" s="7">
        <f>IF($D1152="","",M1152*V1152/100)</f>
        <v/>
      </c>
      <c r="O1152" s="7" t="n"/>
      <c r="U1152" s="7" t="n"/>
      <c r="V1152" s="7" t="n"/>
      <c r="Y1152">
        <f>IF($D1152="","",IF($AN1152=1,0,IF($AM1152=1,Settings!$C$6,Settings!$C$7))*100)</f>
        <v/>
      </c>
      <c r="Z1152" s="7">
        <f>IF($D1152="","",V1152*Y1152/100)</f>
        <v/>
      </c>
      <c r="AA1152" s="7">
        <f>IF($D1152="","",V1152-Z1152)</f>
        <v/>
      </c>
      <c r="AB1152" s="7">
        <f>IF($D1152="","",AA1152-N1152)</f>
        <v/>
      </c>
      <c r="AF1152" s="7" t="n"/>
      <c r="AI1152" s="11" t="n"/>
      <c r="AK1152">
        <f>IF($D1152="","",IF(COUNTIF($D$2:$D1152,$D1152)=1,1,0))</f>
        <v/>
      </c>
      <c r="AL1152">
        <f>IF($AK1152=1,SUMPRODUCT(--($AO$2:$AO$3001&lt;$AO1152))+1,"")</f>
        <v/>
      </c>
      <c r="AM1152">
        <f>IF($D1152="","",IF(OR($R1152=TRUE(),$R1152="TRUE"),1,0))</f>
        <v/>
      </c>
      <c r="AN1152">
        <f>IF($D1152="","",IF($X1152="Yes",1,0))</f>
        <v/>
      </c>
      <c r="AO1152">
        <f>IF($AK1152=1,IFERROR(IF(VALUE($D1152)&lt;100000000,VALUE($D1152),1000000000),IFERROR(IF(VALUE(MID($D1152,2,20))&lt;100000000,VALUE(MID($D1152,2,20)),1000000000),1000000000))+ROW()/100000,"")</f>
        <v/>
      </c>
    </row>
    <row r="1153">
      <c r="F1153" s="11" t="n"/>
      <c r="N1153" s="7">
        <f>IF($D1153="","",M1153*V1153/100)</f>
        <v/>
      </c>
      <c r="O1153" s="7" t="n"/>
      <c r="U1153" s="7" t="n"/>
      <c r="V1153" s="7" t="n"/>
      <c r="Y1153">
        <f>IF($D1153="","",IF($AN1153=1,0,IF($AM1153=1,Settings!$C$6,Settings!$C$7))*100)</f>
        <v/>
      </c>
      <c r="Z1153" s="7">
        <f>IF($D1153="","",V1153*Y1153/100)</f>
        <v/>
      </c>
      <c r="AA1153" s="7">
        <f>IF($D1153="","",V1153-Z1153)</f>
        <v/>
      </c>
      <c r="AB1153" s="7">
        <f>IF($D1153="","",AA1153-N1153)</f>
        <v/>
      </c>
      <c r="AF1153" s="7" t="n"/>
      <c r="AI1153" s="11" t="n"/>
      <c r="AK1153">
        <f>IF($D1153="","",IF(COUNTIF($D$2:$D1153,$D1153)=1,1,0))</f>
        <v/>
      </c>
      <c r="AL1153">
        <f>IF($AK1153=1,SUMPRODUCT(--($AO$2:$AO$3001&lt;$AO1153))+1,"")</f>
        <v/>
      </c>
      <c r="AM1153">
        <f>IF($D1153="","",IF(OR($R1153=TRUE(),$R1153="TRUE"),1,0))</f>
        <v/>
      </c>
      <c r="AN1153">
        <f>IF($D1153="","",IF($X1153="Yes",1,0))</f>
        <v/>
      </c>
      <c r="AO1153">
        <f>IF($AK1153=1,IFERROR(IF(VALUE($D1153)&lt;100000000,VALUE($D1153),1000000000),IFERROR(IF(VALUE(MID($D1153,2,20))&lt;100000000,VALUE(MID($D1153,2,20)),1000000000),1000000000))+ROW()/100000,"")</f>
        <v/>
      </c>
    </row>
    <row r="1154">
      <c r="F1154" s="11" t="n"/>
      <c r="N1154" s="7">
        <f>IF($D1154="","",M1154*V1154/100)</f>
        <v/>
      </c>
      <c r="O1154" s="7" t="n"/>
      <c r="U1154" s="7" t="n"/>
      <c r="V1154" s="7" t="n"/>
      <c r="Y1154">
        <f>IF($D1154="","",IF($AN1154=1,0,IF($AM1154=1,Settings!$C$6,Settings!$C$7))*100)</f>
        <v/>
      </c>
      <c r="Z1154" s="7">
        <f>IF($D1154="","",V1154*Y1154/100)</f>
        <v/>
      </c>
      <c r="AA1154" s="7">
        <f>IF($D1154="","",V1154-Z1154)</f>
        <v/>
      </c>
      <c r="AB1154" s="7">
        <f>IF($D1154="","",AA1154-N1154)</f>
        <v/>
      </c>
      <c r="AF1154" s="7" t="n"/>
      <c r="AI1154" s="11" t="n"/>
      <c r="AK1154">
        <f>IF($D1154="","",IF(COUNTIF($D$2:$D1154,$D1154)=1,1,0))</f>
        <v/>
      </c>
      <c r="AL1154">
        <f>IF($AK1154=1,SUMPRODUCT(--($AO$2:$AO$3001&lt;$AO1154))+1,"")</f>
        <v/>
      </c>
      <c r="AM1154">
        <f>IF($D1154="","",IF(OR($R1154=TRUE(),$R1154="TRUE"),1,0))</f>
        <v/>
      </c>
      <c r="AN1154">
        <f>IF($D1154="","",IF($X1154="Yes",1,0))</f>
        <v/>
      </c>
      <c r="AO1154">
        <f>IF($AK1154=1,IFERROR(IF(VALUE($D1154)&lt;100000000,VALUE($D1154),1000000000),IFERROR(IF(VALUE(MID($D1154,2,20))&lt;100000000,VALUE(MID($D1154,2,20)),1000000000),1000000000))+ROW()/100000,"")</f>
        <v/>
      </c>
    </row>
    <row r="1155">
      <c r="F1155" s="11" t="n"/>
      <c r="N1155" s="7">
        <f>IF($D1155="","",M1155*V1155/100)</f>
        <v/>
      </c>
      <c r="O1155" s="7" t="n"/>
      <c r="U1155" s="7" t="n"/>
      <c r="V1155" s="7" t="n"/>
      <c r="Y1155">
        <f>IF($D1155="","",IF($AN1155=1,0,IF($AM1155=1,Settings!$C$6,Settings!$C$7))*100)</f>
        <v/>
      </c>
      <c r="Z1155" s="7">
        <f>IF($D1155="","",V1155*Y1155/100)</f>
        <v/>
      </c>
      <c r="AA1155" s="7">
        <f>IF($D1155="","",V1155-Z1155)</f>
        <v/>
      </c>
      <c r="AB1155" s="7">
        <f>IF($D1155="","",AA1155-N1155)</f>
        <v/>
      </c>
      <c r="AF1155" s="7" t="n"/>
      <c r="AI1155" s="11" t="n"/>
      <c r="AK1155">
        <f>IF($D1155="","",IF(COUNTIF($D$2:$D1155,$D1155)=1,1,0))</f>
        <v/>
      </c>
      <c r="AL1155">
        <f>IF($AK1155=1,SUMPRODUCT(--($AO$2:$AO$3001&lt;$AO1155))+1,"")</f>
        <v/>
      </c>
      <c r="AM1155">
        <f>IF($D1155="","",IF(OR($R1155=TRUE(),$R1155="TRUE"),1,0))</f>
        <v/>
      </c>
      <c r="AN1155">
        <f>IF($D1155="","",IF($X1155="Yes",1,0))</f>
        <v/>
      </c>
      <c r="AO1155">
        <f>IF($AK1155=1,IFERROR(IF(VALUE($D1155)&lt;100000000,VALUE($D1155),1000000000),IFERROR(IF(VALUE(MID($D1155,2,20))&lt;100000000,VALUE(MID($D1155,2,20)),1000000000),1000000000))+ROW()/100000,"")</f>
        <v/>
      </c>
    </row>
    <row r="1156">
      <c r="F1156" s="11" t="n"/>
      <c r="N1156" s="7">
        <f>IF($D1156="","",M1156*V1156/100)</f>
        <v/>
      </c>
      <c r="O1156" s="7" t="n"/>
      <c r="U1156" s="7" t="n"/>
      <c r="V1156" s="7" t="n"/>
      <c r="Y1156">
        <f>IF($D1156="","",IF($AN1156=1,0,IF($AM1156=1,Settings!$C$6,Settings!$C$7))*100)</f>
        <v/>
      </c>
      <c r="Z1156" s="7">
        <f>IF($D1156="","",V1156*Y1156/100)</f>
        <v/>
      </c>
      <c r="AA1156" s="7">
        <f>IF($D1156="","",V1156-Z1156)</f>
        <v/>
      </c>
      <c r="AB1156" s="7">
        <f>IF($D1156="","",AA1156-N1156)</f>
        <v/>
      </c>
      <c r="AF1156" s="7" t="n"/>
      <c r="AI1156" s="11" t="n"/>
      <c r="AK1156">
        <f>IF($D1156="","",IF(COUNTIF($D$2:$D1156,$D1156)=1,1,0))</f>
        <v/>
      </c>
      <c r="AL1156">
        <f>IF($AK1156=1,SUMPRODUCT(--($AO$2:$AO$3001&lt;$AO1156))+1,"")</f>
        <v/>
      </c>
      <c r="AM1156">
        <f>IF($D1156="","",IF(OR($R1156=TRUE(),$R1156="TRUE"),1,0))</f>
        <v/>
      </c>
      <c r="AN1156">
        <f>IF($D1156="","",IF($X1156="Yes",1,0))</f>
        <v/>
      </c>
      <c r="AO1156">
        <f>IF($AK1156=1,IFERROR(IF(VALUE($D1156)&lt;100000000,VALUE($D1156),1000000000),IFERROR(IF(VALUE(MID($D1156,2,20))&lt;100000000,VALUE(MID($D1156,2,20)),1000000000),1000000000))+ROW()/100000,"")</f>
        <v/>
      </c>
    </row>
    <row r="1157">
      <c r="F1157" s="11" t="n"/>
      <c r="N1157" s="7">
        <f>IF($D1157="","",M1157*V1157/100)</f>
        <v/>
      </c>
      <c r="O1157" s="7" t="n"/>
      <c r="U1157" s="7" t="n"/>
      <c r="V1157" s="7" t="n"/>
      <c r="Y1157">
        <f>IF($D1157="","",IF($AN1157=1,0,IF($AM1157=1,Settings!$C$6,Settings!$C$7))*100)</f>
        <v/>
      </c>
      <c r="Z1157" s="7">
        <f>IF($D1157="","",V1157*Y1157/100)</f>
        <v/>
      </c>
      <c r="AA1157" s="7">
        <f>IF($D1157="","",V1157-Z1157)</f>
        <v/>
      </c>
      <c r="AB1157" s="7">
        <f>IF($D1157="","",AA1157-N1157)</f>
        <v/>
      </c>
      <c r="AF1157" s="7" t="n"/>
      <c r="AI1157" s="11" t="n"/>
      <c r="AK1157">
        <f>IF($D1157="","",IF(COUNTIF($D$2:$D1157,$D1157)=1,1,0))</f>
        <v/>
      </c>
      <c r="AL1157">
        <f>IF($AK1157=1,SUMPRODUCT(--($AO$2:$AO$3001&lt;$AO1157))+1,"")</f>
        <v/>
      </c>
      <c r="AM1157">
        <f>IF($D1157="","",IF(OR($R1157=TRUE(),$R1157="TRUE"),1,0))</f>
        <v/>
      </c>
      <c r="AN1157">
        <f>IF($D1157="","",IF($X1157="Yes",1,0))</f>
        <v/>
      </c>
      <c r="AO1157">
        <f>IF($AK1157=1,IFERROR(IF(VALUE($D1157)&lt;100000000,VALUE($D1157),1000000000),IFERROR(IF(VALUE(MID($D1157,2,20))&lt;100000000,VALUE(MID($D1157,2,20)),1000000000),1000000000))+ROW()/100000,"")</f>
        <v/>
      </c>
    </row>
    <row r="1158">
      <c r="F1158" s="11" t="n"/>
      <c r="N1158" s="7">
        <f>IF($D1158="","",M1158*V1158/100)</f>
        <v/>
      </c>
      <c r="O1158" s="7" t="n"/>
      <c r="U1158" s="7" t="n"/>
      <c r="V1158" s="7" t="n"/>
      <c r="Y1158">
        <f>IF($D1158="","",IF($AN1158=1,0,IF($AM1158=1,Settings!$C$6,Settings!$C$7))*100)</f>
        <v/>
      </c>
      <c r="Z1158" s="7">
        <f>IF($D1158="","",V1158*Y1158/100)</f>
        <v/>
      </c>
      <c r="AA1158" s="7">
        <f>IF($D1158="","",V1158-Z1158)</f>
        <v/>
      </c>
      <c r="AB1158" s="7">
        <f>IF($D1158="","",AA1158-N1158)</f>
        <v/>
      </c>
      <c r="AF1158" s="7" t="n"/>
      <c r="AI1158" s="11" t="n"/>
      <c r="AK1158">
        <f>IF($D1158="","",IF(COUNTIF($D$2:$D1158,$D1158)=1,1,0))</f>
        <v/>
      </c>
      <c r="AL1158">
        <f>IF($AK1158=1,SUMPRODUCT(--($AO$2:$AO$3001&lt;$AO1158))+1,"")</f>
        <v/>
      </c>
      <c r="AM1158">
        <f>IF($D1158="","",IF(OR($R1158=TRUE(),$R1158="TRUE"),1,0))</f>
        <v/>
      </c>
      <c r="AN1158">
        <f>IF($D1158="","",IF($X1158="Yes",1,0))</f>
        <v/>
      </c>
      <c r="AO1158">
        <f>IF($AK1158=1,IFERROR(IF(VALUE($D1158)&lt;100000000,VALUE($D1158),1000000000),IFERROR(IF(VALUE(MID($D1158,2,20))&lt;100000000,VALUE(MID($D1158,2,20)),1000000000),1000000000))+ROW()/100000,"")</f>
        <v/>
      </c>
    </row>
    <row r="1159">
      <c r="F1159" s="11" t="n"/>
      <c r="N1159" s="7">
        <f>IF($D1159="","",M1159*V1159/100)</f>
        <v/>
      </c>
      <c r="O1159" s="7" t="n"/>
      <c r="U1159" s="7" t="n"/>
      <c r="V1159" s="7" t="n"/>
      <c r="Y1159">
        <f>IF($D1159="","",IF($AN1159=1,0,IF($AM1159=1,Settings!$C$6,Settings!$C$7))*100)</f>
        <v/>
      </c>
      <c r="Z1159" s="7">
        <f>IF($D1159="","",V1159*Y1159/100)</f>
        <v/>
      </c>
      <c r="AA1159" s="7">
        <f>IF($D1159="","",V1159-Z1159)</f>
        <v/>
      </c>
      <c r="AB1159" s="7">
        <f>IF($D1159="","",AA1159-N1159)</f>
        <v/>
      </c>
      <c r="AF1159" s="7" t="n"/>
      <c r="AI1159" s="11" t="n"/>
      <c r="AK1159">
        <f>IF($D1159="","",IF(COUNTIF($D$2:$D1159,$D1159)=1,1,0))</f>
        <v/>
      </c>
      <c r="AL1159">
        <f>IF($AK1159=1,SUMPRODUCT(--($AO$2:$AO$3001&lt;$AO1159))+1,"")</f>
        <v/>
      </c>
      <c r="AM1159">
        <f>IF($D1159="","",IF(OR($R1159=TRUE(),$R1159="TRUE"),1,0))</f>
        <v/>
      </c>
      <c r="AN1159">
        <f>IF($D1159="","",IF($X1159="Yes",1,0))</f>
        <v/>
      </c>
      <c r="AO1159">
        <f>IF($AK1159=1,IFERROR(IF(VALUE($D1159)&lt;100000000,VALUE($D1159),1000000000),IFERROR(IF(VALUE(MID($D1159,2,20))&lt;100000000,VALUE(MID($D1159,2,20)),1000000000),1000000000))+ROW()/100000,"")</f>
        <v/>
      </c>
    </row>
    <row r="1160">
      <c r="F1160" s="11" t="n"/>
      <c r="N1160" s="7">
        <f>IF($D1160="","",M1160*V1160/100)</f>
        <v/>
      </c>
      <c r="O1160" s="7" t="n"/>
      <c r="U1160" s="7" t="n"/>
      <c r="V1160" s="7" t="n"/>
      <c r="Y1160">
        <f>IF($D1160="","",IF($AN1160=1,0,IF($AM1160=1,Settings!$C$6,Settings!$C$7))*100)</f>
        <v/>
      </c>
      <c r="Z1160" s="7">
        <f>IF($D1160="","",V1160*Y1160/100)</f>
        <v/>
      </c>
      <c r="AA1160" s="7">
        <f>IF($D1160="","",V1160-Z1160)</f>
        <v/>
      </c>
      <c r="AB1160" s="7">
        <f>IF($D1160="","",AA1160-N1160)</f>
        <v/>
      </c>
      <c r="AF1160" s="7" t="n"/>
      <c r="AI1160" s="11" t="n"/>
      <c r="AK1160">
        <f>IF($D1160="","",IF(COUNTIF($D$2:$D1160,$D1160)=1,1,0))</f>
        <v/>
      </c>
      <c r="AL1160">
        <f>IF($AK1160=1,SUMPRODUCT(--($AO$2:$AO$3001&lt;$AO1160))+1,"")</f>
        <v/>
      </c>
      <c r="AM1160">
        <f>IF($D1160="","",IF(OR($R1160=TRUE(),$R1160="TRUE"),1,0))</f>
        <v/>
      </c>
      <c r="AN1160">
        <f>IF($D1160="","",IF($X1160="Yes",1,0))</f>
        <v/>
      </c>
      <c r="AO1160">
        <f>IF($AK1160=1,IFERROR(IF(VALUE($D1160)&lt;100000000,VALUE($D1160),1000000000),IFERROR(IF(VALUE(MID($D1160,2,20))&lt;100000000,VALUE(MID($D1160,2,20)),1000000000),1000000000))+ROW()/100000,"")</f>
        <v/>
      </c>
    </row>
    <row r="1161">
      <c r="F1161" s="11" t="n"/>
      <c r="N1161" s="7">
        <f>IF($D1161="","",M1161*V1161/100)</f>
        <v/>
      </c>
      <c r="O1161" s="7" t="n"/>
      <c r="U1161" s="7" t="n"/>
      <c r="V1161" s="7" t="n"/>
      <c r="Y1161">
        <f>IF($D1161="","",IF($AN1161=1,0,IF($AM1161=1,Settings!$C$6,Settings!$C$7))*100)</f>
        <v/>
      </c>
      <c r="Z1161" s="7">
        <f>IF($D1161="","",V1161*Y1161/100)</f>
        <v/>
      </c>
      <c r="AA1161" s="7">
        <f>IF($D1161="","",V1161-Z1161)</f>
        <v/>
      </c>
      <c r="AB1161" s="7">
        <f>IF($D1161="","",AA1161-N1161)</f>
        <v/>
      </c>
      <c r="AF1161" s="7" t="n"/>
      <c r="AI1161" s="11" t="n"/>
      <c r="AK1161">
        <f>IF($D1161="","",IF(COUNTIF($D$2:$D1161,$D1161)=1,1,0))</f>
        <v/>
      </c>
      <c r="AL1161">
        <f>IF($AK1161=1,SUMPRODUCT(--($AO$2:$AO$3001&lt;$AO1161))+1,"")</f>
        <v/>
      </c>
      <c r="AM1161">
        <f>IF($D1161="","",IF(OR($R1161=TRUE(),$R1161="TRUE"),1,0))</f>
        <v/>
      </c>
      <c r="AN1161">
        <f>IF($D1161="","",IF($X1161="Yes",1,0))</f>
        <v/>
      </c>
      <c r="AO1161">
        <f>IF($AK1161=1,IFERROR(IF(VALUE($D1161)&lt;100000000,VALUE($D1161),1000000000),IFERROR(IF(VALUE(MID($D1161,2,20))&lt;100000000,VALUE(MID($D1161,2,20)),1000000000),1000000000))+ROW()/100000,"")</f>
        <v/>
      </c>
    </row>
    <row r="1162">
      <c r="F1162" s="11" t="n"/>
      <c r="N1162" s="7">
        <f>IF($D1162="","",M1162*V1162/100)</f>
        <v/>
      </c>
      <c r="O1162" s="7" t="n"/>
      <c r="U1162" s="7" t="n"/>
      <c r="V1162" s="7" t="n"/>
      <c r="Y1162">
        <f>IF($D1162="","",IF($AN1162=1,0,IF($AM1162=1,Settings!$C$6,Settings!$C$7))*100)</f>
        <v/>
      </c>
      <c r="Z1162" s="7">
        <f>IF($D1162="","",V1162*Y1162/100)</f>
        <v/>
      </c>
      <c r="AA1162" s="7">
        <f>IF($D1162="","",V1162-Z1162)</f>
        <v/>
      </c>
      <c r="AB1162" s="7">
        <f>IF($D1162="","",AA1162-N1162)</f>
        <v/>
      </c>
      <c r="AF1162" s="7" t="n"/>
      <c r="AI1162" s="11" t="n"/>
      <c r="AK1162">
        <f>IF($D1162="","",IF(COUNTIF($D$2:$D1162,$D1162)=1,1,0))</f>
        <v/>
      </c>
      <c r="AL1162">
        <f>IF($AK1162=1,SUMPRODUCT(--($AO$2:$AO$3001&lt;$AO1162))+1,"")</f>
        <v/>
      </c>
      <c r="AM1162">
        <f>IF($D1162="","",IF(OR($R1162=TRUE(),$R1162="TRUE"),1,0))</f>
        <v/>
      </c>
      <c r="AN1162">
        <f>IF($D1162="","",IF($X1162="Yes",1,0))</f>
        <v/>
      </c>
      <c r="AO1162">
        <f>IF($AK1162=1,IFERROR(IF(VALUE($D1162)&lt;100000000,VALUE($D1162),1000000000),IFERROR(IF(VALUE(MID($D1162,2,20))&lt;100000000,VALUE(MID($D1162,2,20)),1000000000),1000000000))+ROW()/100000,"")</f>
        <v/>
      </c>
    </row>
    <row r="1163">
      <c r="F1163" s="11" t="n"/>
      <c r="N1163" s="7">
        <f>IF($D1163="","",M1163*V1163/100)</f>
        <v/>
      </c>
      <c r="O1163" s="7" t="n"/>
      <c r="U1163" s="7" t="n"/>
      <c r="V1163" s="7" t="n"/>
      <c r="Y1163">
        <f>IF($D1163="","",IF($AN1163=1,0,IF($AM1163=1,Settings!$C$6,Settings!$C$7))*100)</f>
        <v/>
      </c>
      <c r="Z1163" s="7">
        <f>IF($D1163="","",V1163*Y1163/100)</f>
        <v/>
      </c>
      <c r="AA1163" s="7">
        <f>IF($D1163="","",V1163-Z1163)</f>
        <v/>
      </c>
      <c r="AB1163" s="7">
        <f>IF($D1163="","",AA1163-N1163)</f>
        <v/>
      </c>
      <c r="AF1163" s="7" t="n"/>
      <c r="AI1163" s="11" t="n"/>
      <c r="AK1163">
        <f>IF($D1163="","",IF(COUNTIF($D$2:$D1163,$D1163)=1,1,0))</f>
        <v/>
      </c>
      <c r="AL1163">
        <f>IF($AK1163=1,SUMPRODUCT(--($AO$2:$AO$3001&lt;$AO1163))+1,"")</f>
        <v/>
      </c>
      <c r="AM1163">
        <f>IF($D1163="","",IF(OR($R1163=TRUE(),$R1163="TRUE"),1,0))</f>
        <v/>
      </c>
      <c r="AN1163">
        <f>IF($D1163="","",IF($X1163="Yes",1,0))</f>
        <v/>
      </c>
      <c r="AO1163">
        <f>IF($AK1163=1,IFERROR(IF(VALUE($D1163)&lt;100000000,VALUE($D1163),1000000000),IFERROR(IF(VALUE(MID($D1163,2,20))&lt;100000000,VALUE(MID($D1163,2,20)),1000000000),1000000000))+ROW()/100000,"")</f>
        <v/>
      </c>
    </row>
    <row r="1164">
      <c r="F1164" s="11" t="n"/>
      <c r="N1164" s="7">
        <f>IF($D1164="","",M1164*V1164/100)</f>
        <v/>
      </c>
      <c r="O1164" s="7" t="n"/>
      <c r="U1164" s="7" t="n"/>
      <c r="V1164" s="7" t="n"/>
      <c r="Y1164">
        <f>IF($D1164="","",IF($AN1164=1,0,IF($AM1164=1,Settings!$C$6,Settings!$C$7))*100)</f>
        <v/>
      </c>
      <c r="Z1164" s="7">
        <f>IF($D1164="","",V1164*Y1164/100)</f>
        <v/>
      </c>
      <c r="AA1164" s="7">
        <f>IF($D1164="","",V1164-Z1164)</f>
        <v/>
      </c>
      <c r="AB1164" s="7">
        <f>IF($D1164="","",AA1164-N1164)</f>
        <v/>
      </c>
      <c r="AF1164" s="7" t="n"/>
      <c r="AI1164" s="11" t="n"/>
      <c r="AK1164">
        <f>IF($D1164="","",IF(COUNTIF($D$2:$D1164,$D1164)=1,1,0))</f>
        <v/>
      </c>
      <c r="AL1164">
        <f>IF($AK1164=1,SUMPRODUCT(--($AO$2:$AO$3001&lt;$AO1164))+1,"")</f>
        <v/>
      </c>
      <c r="AM1164">
        <f>IF($D1164="","",IF(OR($R1164=TRUE(),$R1164="TRUE"),1,0))</f>
        <v/>
      </c>
      <c r="AN1164">
        <f>IF($D1164="","",IF($X1164="Yes",1,0))</f>
        <v/>
      </c>
      <c r="AO1164">
        <f>IF($AK1164=1,IFERROR(IF(VALUE($D1164)&lt;100000000,VALUE($D1164),1000000000),IFERROR(IF(VALUE(MID($D1164,2,20))&lt;100000000,VALUE(MID($D1164,2,20)),1000000000),1000000000))+ROW()/100000,"")</f>
        <v/>
      </c>
    </row>
    <row r="1165">
      <c r="F1165" s="11" t="n"/>
      <c r="N1165" s="7">
        <f>IF($D1165="","",M1165*V1165/100)</f>
        <v/>
      </c>
      <c r="O1165" s="7" t="n"/>
      <c r="U1165" s="7" t="n"/>
      <c r="V1165" s="7" t="n"/>
      <c r="Y1165">
        <f>IF($D1165="","",IF($AN1165=1,0,IF($AM1165=1,Settings!$C$6,Settings!$C$7))*100)</f>
        <v/>
      </c>
      <c r="Z1165" s="7">
        <f>IF($D1165="","",V1165*Y1165/100)</f>
        <v/>
      </c>
      <c r="AA1165" s="7">
        <f>IF($D1165="","",V1165-Z1165)</f>
        <v/>
      </c>
      <c r="AB1165" s="7">
        <f>IF($D1165="","",AA1165-N1165)</f>
        <v/>
      </c>
      <c r="AF1165" s="7" t="n"/>
      <c r="AI1165" s="11" t="n"/>
      <c r="AK1165">
        <f>IF($D1165="","",IF(COUNTIF($D$2:$D1165,$D1165)=1,1,0))</f>
        <v/>
      </c>
      <c r="AL1165">
        <f>IF($AK1165=1,SUMPRODUCT(--($AO$2:$AO$3001&lt;$AO1165))+1,"")</f>
        <v/>
      </c>
      <c r="AM1165">
        <f>IF($D1165="","",IF(OR($R1165=TRUE(),$R1165="TRUE"),1,0))</f>
        <v/>
      </c>
      <c r="AN1165">
        <f>IF($D1165="","",IF($X1165="Yes",1,0))</f>
        <v/>
      </c>
      <c r="AO1165">
        <f>IF($AK1165=1,IFERROR(IF(VALUE($D1165)&lt;100000000,VALUE($D1165),1000000000),IFERROR(IF(VALUE(MID($D1165,2,20))&lt;100000000,VALUE(MID($D1165,2,20)),1000000000),1000000000))+ROW()/100000,"")</f>
        <v/>
      </c>
    </row>
    <row r="1166">
      <c r="F1166" s="11" t="n"/>
      <c r="N1166" s="7">
        <f>IF($D1166="","",M1166*V1166/100)</f>
        <v/>
      </c>
      <c r="O1166" s="7" t="n"/>
      <c r="U1166" s="7" t="n"/>
      <c r="V1166" s="7" t="n"/>
      <c r="Y1166">
        <f>IF($D1166="","",IF($AN1166=1,0,IF($AM1166=1,Settings!$C$6,Settings!$C$7))*100)</f>
        <v/>
      </c>
      <c r="Z1166" s="7">
        <f>IF($D1166="","",V1166*Y1166/100)</f>
        <v/>
      </c>
      <c r="AA1166" s="7">
        <f>IF($D1166="","",V1166-Z1166)</f>
        <v/>
      </c>
      <c r="AB1166" s="7">
        <f>IF($D1166="","",AA1166-N1166)</f>
        <v/>
      </c>
      <c r="AF1166" s="7" t="n"/>
      <c r="AI1166" s="11" t="n"/>
      <c r="AK1166">
        <f>IF($D1166="","",IF(COUNTIF($D$2:$D1166,$D1166)=1,1,0))</f>
        <v/>
      </c>
      <c r="AL1166">
        <f>IF($AK1166=1,SUMPRODUCT(--($AO$2:$AO$3001&lt;$AO1166))+1,"")</f>
        <v/>
      </c>
      <c r="AM1166">
        <f>IF($D1166="","",IF(OR($R1166=TRUE(),$R1166="TRUE"),1,0))</f>
        <v/>
      </c>
      <c r="AN1166">
        <f>IF($D1166="","",IF($X1166="Yes",1,0))</f>
        <v/>
      </c>
      <c r="AO1166">
        <f>IF($AK1166=1,IFERROR(IF(VALUE($D1166)&lt;100000000,VALUE($D1166),1000000000),IFERROR(IF(VALUE(MID($D1166,2,20))&lt;100000000,VALUE(MID($D1166,2,20)),1000000000),1000000000))+ROW()/100000,"")</f>
        <v/>
      </c>
    </row>
    <row r="1167">
      <c r="F1167" s="11" t="n"/>
      <c r="N1167" s="7">
        <f>IF($D1167="","",M1167*V1167/100)</f>
        <v/>
      </c>
      <c r="O1167" s="7" t="n"/>
      <c r="U1167" s="7" t="n"/>
      <c r="V1167" s="7" t="n"/>
      <c r="Y1167">
        <f>IF($D1167="","",IF($AN1167=1,0,IF($AM1167=1,Settings!$C$6,Settings!$C$7))*100)</f>
        <v/>
      </c>
      <c r="Z1167" s="7">
        <f>IF($D1167="","",V1167*Y1167/100)</f>
        <v/>
      </c>
      <c r="AA1167" s="7">
        <f>IF($D1167="","",V1167-Z1167)</f>
        <v/>
      </c>
      <c r="AB1167" s="7">
        <f>IF($D1167="","",AA1167-N1167)</f>
        <v/>
      </c>
      <c r="AF1167" s="7" t="n"/>
      <c r="AI1167" s="11" t="n"/>
      <c r="AK1167">
        <f>IF($D1167="","",IF(COUNTIF($D$2:$D1167,$D1167)=1,1,0))</f>
        <v/>
      </c>
      <c r="AL1167">
        <f>IF($AK1167=1,SUMPRODUCT(--($AO$2:$AO$3001&lt;$AO1167))+1,"")</f>
        <v/>
      </c>
      <c r="AM1167">
        <f>IF($D1167="","",IF(OR($R1167=TRUE(),$R1167="TRUE"),1,0))</f>
        <v/>
      </c>
      <c r="AN1167">
        <f>IF($D1167="","",IF($X1167="Yes",1,0))</f>
        <v/>
      </c>
      <c r="AO1167">
        <f>IF($AK1167=1,IFERROR(IF(VALUE($D1167)&lt;100000000,VALUE($D1167),1000000000),IFERROR(IF(VALUE(MID($D1167,2,20))&lt;100000000,VALUE(MID($D1167,2,20)),1000000000),1000000000))+ROW()/100000,"")</f>
        <v/>
      </c>
    </row>
    <row r="1168">
      <c r="F1168" s="11" t="n"/>
      <c r="N1168" s="7">
        <f>IF($D1168="","",M1168*V1168/100)</f>
        <v/>
      </c>
      <c r="O1168" s="7" t="n"/>
      <c r="U1168" s="7" t="n"/>
      <c r="V1168" s="7" t="n"/>
      <c r="Y1168">
        <f>IF($D1168="","",IF($AN1168=1,0,IF($AM1168=1,Settings!$C$6,Settings!$C$7))*100)</f>
        <v/>
      </c>
      <c r="Z1168" s="7">
        <f>IF($D1168="","",V1168*Y1168/100)</f>
        <v/>
      </c>
      <c r="AA1168" s="7">
        <f>IF($D1168="","",V1168-Z1168)</f>
        <v/>
      </c>
      <c r="AB1168" s="7">
        <f>IF($D1168="","",AA1168-N1168)</f>
        <v/>
      </c>
      <c r="AF1168" s="7" t="n"/>
      <c r="AI1168" s="11" t="n"/>
      <c r="AK1168">
        <f>IF($D1168="","",IF(COUNTIF($D$2:$D1168,$D1168)=1,1,0))</f>
        <v/>
      </c>
      <c r="AL1168">
        <f>IF($AK1168=1,SUMPRODUCT(--($AO$2:$AO$3001&lt;$AO1168))+1,"")</f>
        <v/>
      </c>
      <c r="AM1168">
        <f>IF($D1168="","",IF(OR($R1168=TRUE(),$R1168="TRUE"),1,0))</f>
        <v/>
      </c>
      <c r="AN1168">
        <f>IF($D1168="","",IF($X1168="Yes",1,0))</f>
        <v/>
      </c>
      <c r="AO1168">
        <f>IF($AK1168=1,IFERROR(IF(VALUE($D1168)&lt;100000000,VALUE($D1168),1000000000),IFERROR(IF(VALUE(MID($D1168,2,20))&lt;100000000,VALUE(MID($D1168,2,20)),1000000000),1000000000))+ROW()/100000,"")</f>
        <v/>
      </c>
    </row>
    <row r="1169">
      <c r="F1169" s="11" t="n"/>
      <c r="N1169" s="7">
        <f>IF($D1169="","",M1169*V1169/100)</f>
        <v/>
      </c>
      <c r="O1169" s="7" t="n"/>
      <c r="U1169" s="7" t="n"/>
      <c r="V1169" s="7" t="n"/>
      <c r="Y1169">
        <f>IF($D1169="","",IF($AN1169=1,0,IF($AM1169=1,Settings!$C$6,Settings!$C$7))*100)</f>
        <v/>
      </c>
      <c r="Z1169" s="7">
        <f>IF($D1169="","",V1169*Y1169/100)</f>
        <v/>
      </c>
      <c r="AA1169" s="7">
        <f>IF($D1169="","",V1169-Z1169)</f>
        <v/>
      </c>
      <c r="AB1169" s="7">
        <f>IF($D1169="","",AA1169-N1169)</f>
        <v/>
      </c>
      <c r="AF1169" s="7" t="n"/>
      <c r="AI1169" s="11" t="n"/>
      <c r="AK1169">
        <f>IF($D1169="","",IF(COUNTIF($D$2:$D1169,$D1169)=1,1,0))</f>
        <v/>
      </c>
      <c r="AL1169">
        <f>IF($AK1169=1,SUMPRODUCT(--($AO$2:$AO$3001&lt;$AO1169))+1,"")</f>
        <v/>
      </c>
      <c r="AM1169">
        <f>IF($D1169="","",IF(OR($R1169=TRUE(),$R1169="TRUE"),1,0))</f>
        <v/>
      </c>
      <c r="AN1169">
        <f>IF($D1169="","",IF($X1169="Yes",1,0))</f>
        <v/>
      </c>
      <c r="AO1169">
        <f>IF($AK1169=1,IFERROR(IF(VALUE($D1169)&lt;100000000,VALUE($D1169),1000000000),IFERROR(IF(VALUE(MID($D1169,2,20))&lt;100000000,VALUE(MID($D1169,2,20)),1000000000),1000000000))+ROW()/100000,"")</f>
        <v/>
      </c>
    </row>
    <row r="1170">
      <c r="F1170" s="11" t="n"/>
      <c r="N1170" s="7">
        <f>IF($D1170="","",M1170*V1170/100)</f>
        <v/>
      </c>
      <c r="O1170" s="7" t="n"/>
      <c r="U1170" s="7" t="n"/>
      <c r="V1170" s="7" t="n"/>
      <c r="Y1170">
        <f>IF($D1170="","",IF($AN1170=1,0,IF($AM1170=1,Settings!$C$6,Settings!$C$7))*100)</f>
        <v/>
      </c>
      <c r="Z1170" s="7">
        <f>IF($D1170="","",V1170*Y1170/100)</f>
        <v/>
      </c>
      <c r="AA1170" s="7">
        <f>IF($D1170="","",V1170-Z1170)</f>
        <v/>
      </c>
      <c r="AB1170" s="7">
        <f>IF($D1170="","",AA1170-N1170)</f>
        <v/>
      </c>
      <c r="AF1170" s="7" t="n"/>
      <c r="AI1170" s="11" t="n"/>
      <c r="AK1170">
        <f>IF($D1170="","",IF(COUNTIF($D$2:$D1170,$D1170)=1,1,0))</f>
        <v/>
      </c>
      <c r="AL1170">
        <f>IF($AK1170=1,SUMPRODUCT(--($AO$2:$AO$3001&lt;$AO1170))+1,"")</f>
        <v/>
      </c>
      <c r="AM1170">
        <f>IF($D1170="","",IF(OR($R1170=TRUE(),$R1170="TRUE"),1,0))</f>
        <v/>
      </c>
      <c r="AN1170">
        <f>IF($D1170="","",IF($X1170="Yes",1,0))</f>
        <v/>
      </c>
      <c r="AO1170">
        <f>IF($AK1170=1,IFERROR(IF(VALUE($D1170)&lt;100000000,VALUE($D1170),1000000000),IFERROR(IF(VALUE(MID($D1170,2,20))&lt;100000000,VALUE(MID($D1170,2,20)),1000000000),1000000000))+ROW()/100000,"")</f>
        <v/>
      </c>
    </row>
    <row r="1171">
      <c r="F1171" s="11" t="n"/>
      <c r="N1171" s="7">
        <f>IF($D1171="","",M1171*V1171/100)</f>
        <v/>
      </c>
      <c r="O1171" s="7" t="n"/>
      <c r="U1171" s="7" t="n"/>
      <c r="V1171" s="7" t="n"/>
      <c r="Y1171">
        <f>IF($D1171="","",IF($AN1171=1,0,IF($AM1171=1,Settings!$C$6,Settings!$C$7))*100)</f>
        <v/>
      </c>
      <c r="Z1171" s="7">
        <f>IF($D1171="","",V1171*Y1171/100)</f>
        <v/>
      </c>
      <c r="AA1171" s="7">
        <f>IF($D1171="","",V1171-Z1171)</f>
        <v/>
      </c>
      <c r="AB1171" s="7">
        <f>IF($D1171="","",AA1171-N1171)</f>
        <v/>
      </c>
      <c r="AF1171" s="7" t="n"/>
      <c r="AI1171" s="11" t="n"/>
      <c r="AK1171">
        <f>IF($D1171="","",IF(COUNTIF($D$2:$D1171,$D1171)=1,1,0))</f>
        <v/>
      </c>
      <c r="AL1171">
        <f>IF($AK1171=1,SUMPRODUCT(--($AO$2:$AO$3001&lt;$AO1171))+1,"")</f>
        <v/>
      </c>
      <c r="AM1171">
        <f>IF($D1171="","",IF(OR($R1171=TRUE(),$R1171="TRUE"),1,0))</f>
        <v/>
      </c>
      <c r="AN1171">
        <f>IF($D1171="","",IF($X1171="Yes",1,0))</f>
        <v/>
      </c>
      <c r="AO1171">
        <f>IF($AK1171=1,IFERROR(IF(VALUE($D1171)&lt;100000000,VALUE($D1171),1000000000),IFERROR(IF(VALUE(MID($D1171,2,20))&lt;100000000,VALUE(MID($D1171,2,20)),1000000000),1000000000))+ROW()/100000,"")</f>
        <v/>
      </c>
    </row>
    <row r="1172">
      <c r="F1172" s="11" t="n"/>
      <c r="N1172" s="7">
        <f>IF($D1172="","",M1172*V1172/100)</f>
        <v/>
      </c>
      <c r="O1172" s="7" t="n"/>
      <c r="U1172" s="7" t="n"/>
      <c r="V1172" s="7" t="n"/>
      <c r="Y1172">
        <f>IF($D1172="","",IF($AN1172=1,0,IF($AM1172=1,Settings!$C$6,Settings!$C$7))*100)</f>
        <v/>
      </c>
      <c r="Z1172" s="7">
        <f>IF($D1172="","",V1172*Y1172/100)</f>
        <v/>
      </c>
      <c r="AA1172" s="7">
        <f>IF($D1172="","",V1172-Z1172)</f>
        <v/>
      </c>
      <c r="AB1172" s="7">
        <f>IF($D1172="","",AA1172-N1172)</f>
        <v/>
      </c>
      <c r="AF1172" s="7" t="n"/>
      <c r="AI1172" s="11" t="n"/>
      <c r="AK1172">
        <f>IF($D1172="","",IF(COUNTIF($D$2:$D1172,$D1172)=1,1,0))</f>
        <v/>
      </c>
      <c r="AL1172">
        <f>IF($AK1172=1,SUMPRODUCT(--($AO$2:$AO$3001&lt;$AO1172))+1,"")</f>
        <v/>
      </c>
      <c r="AM1172">
        <f>IF($D1172="","",IF(OR($R1172=TRUE(),$R1172="TRUE"),1,0))</f>
        <v/>
      </c>
      <c r="AN1172">
        <f>IF($D1172="","",IF($X1172="Yes",1,0))</f>
        <v/>
      </c>
      <c r="AO1172">
        <f>IF($AK1172=1,IFERROR(IF(VALUE($D1172)&lt;100000000,VALUE($D1172),1000000000),IFERROR(IF(VALUE(MID($D1172,2,20))&lt;100000000,VALUE(MID($D1172,2,20)),1000000000),1000000000))+ROW()/100000,"")</f>
        <v/>
      </c>
    </row>
    <row r="1173">
      <c r="F1173" s="11" t="n"/>
      <c r="N1173" s="7">
        <f>IF($D1173="","",M1173*V1173/100)</f>
        <v/>
      </c>
      <c r="O1173" s="7" t="n"/>
      <c r="U1173" s="7" t="n"/>
      <c r="V1173" s="7" t="n"/>
      <c r="Y1173">
        <f>IF($D1173="","",IF($AN1173=1,0,IF($AM1173=1,Settings!$C$6,Settings!$C$7))*100)</f>
        <v/>
      </c>
      <c r="Z1173" s="7">
        <f>IF($D1173="","",V1173*Y1173/100)</f>
        <v/>
      </c>
      <c r="AA1173" s="7">
        <f>IF($D1173="","",V1173-Z1173)</f>
        <v/>
      </c>
      <c r="AB1173" s="7">
        <f>IF($D1173="","",AA1173-N1173)</f>
        <v/>
      </c>
      <c r="AF1173" s="7" t="n"/>
      <c r="AI1173" s="11" t="n"/>
      <c r="AK1173">
        <f>IF($D1173="","",IF(COUNTIF($D$2:$D1173,$D1173)=1,1,0))</f>
        <v/>
      </c>
      <c r="AL1173">
        <f>IF($AK1173=1,SUMPRODUCT(--($AO$2:$AO$3001&lt;$AO1173))+1,"")</f>
        <v/>
      </c>
      <c r="AM1173">
        <f>IF($D1173="","",IF(OR($R1173=TRUE(),$R1173="TRUE"),1,0))</f>
        <v/>
      </c>
      <c r="AN1173">
        <f>IF($D1173="","",IF($X1173="Yes",1,0))</f>
        <v/>
      </c>
      <c r="AO1173">
        <f>IF($AK1173=1,IFERROR(IF(VALUE($D1173)&lt;100000000,VALUE($D1173),1000000000),IFERROR(IF(VALUE(MID($D1173,2,20))&lt;100000000,VALUE(MID($D1173,2,20)),1000000000),1000000000))+ROW()/100000,"")</f>
        <v/>
      </c>
    </row>
    <row r="1174">
      <c r="F1174" s="11" t="n"/>
      <c r="N1174" s="7">
        <f>IF($D1174="","",M1174*V1174/100)</f>
        <v/>
      </c>
      <c r="O1174" s="7" t="n"/>
      <c r="U1174" s="7" t="n"/>
      <c r="V1174" s="7" t="n"/>
      <c r="Y1174">
        <f>IF($D1174="","",IF($AN1174=1,0,IF($AM1174=1,Settings!$C$6,Settings!$C$7))*100)</f>
        <v/>
      </c>
      <c r="Z1174" s="7">
        <f>IF($D1174="","",V1174*Y1174/100)</f>
        <v/>
      </c>
      <c r="AA1174" s="7">
        <f>IF($D1174="","",V1174-Z1174)</f>
        <v/>
      </c>
      <c r="AB1174" s="7">
        <f>IF($D1174="","",AA1174-N1174)</f>
        <v/>
      </c>
      <c r="AF1174" s="7" t="n"/>
      <c r="AI1174" s="11" t="n"/>
      <c r="AK1174">
        <f>IF($D1174="","",IF(COUNTIF($D$2:$D1174,$D1174)=1,1,0))</f>
        <v/>
      </c>
      <c r="AL1174">
        <f>IF($AK1174=1,SUMPRODUCT(--($AO$2:$AO$3001&lt;$AO1174))+1,"")</f>
        <v/>
      </c>
      <c r="AM1174">
        <f>IF($D1174="","",IF(OR($R1174=TRUE(),$R1174="TRUE"),1,0))</f>
        <v/>
      </c>
      <c r="AN1174">
        <f>IF($D1174="","",IF($X1174="Yes",1,0))</f>
        <v/>
      </c>
      <c r="AO1174">
        <f>IF($AK1174=1,IFERROR(IF(VALUE($D1174)&lt;100000000,VALUE($D1174),1000000000),IFERROR(IF(VALUE(MID($D1174,2,20))&lt;100000000,VALUE(MID($D1174,2,20)),1000000000),1000000000))+ROW()/100000,"")</f>
        <v/>
      </c>
    </row>
    <row r="1175">
      <c r="F1175" s="11" t="n"/>
      <c r="N1175" s="7">
        <f>IF($D1175="","",M1175*V1175/100)</f>
        <v/>
      </c>
      <c r="O1175" s="7" t="n"/>
      <c r="U1175" s="7" t="n"/>
      <c r="V1175" s="7" t="n"/>
      <c r="Y1175">
        <f>IF($D1175="","",IF($AN1175=1,0,IF($AM1175=1,Settings!$C$6,Settings!$C$7))*100)</f>
        <v/>
      </c>
      <c r="Z1175" s="7">
        <f>IF($D1175="","",V1175*Y1175/100)</f>
        <v/>
      </c>
      <c r="AA1175" s="7">
        <f>IF($D1175="","",V1175-Z1175)</f>
        <v/>
      </c>
      <c r="AB1175" s="7">
        <f>IF($D1175="","",AA1175-N1175)</f>
        <v/>
      </c>
      <c r="AF1175" s="7" t="n"/>
      <c r="AI1175" s="11" t="n"/>
      <c r="AK1175">
        <f>IF($D1175="","",IF(COUNTIF($D$2:$D1175,$D1175)=1,1,0))</f>
        <v/>
      </c>
      <c r="AL1175">
        <f>IF($AK1175=1,SUMPRODUCT(--($AO$2:$AO$3001&lt;$AO1175))+1,"")</f>
        <v/>
      </c>
      <c r="AM1175">
        <f>IF($D1175="","",IF(OR($R1175=TRUE(),$R1175="TRUE"),1,0))</f>
        <v/>
      </c>
      <c r="AN1175">
        <f>IF($D1175="","",IF($X1175="Yes",1,0))</f>
        <v/>
      </c>
      <c r="AO1175">
        <f>IF($AK1175=1,IFERROR(IF(VALUE($D1175)&lt;100000000,VALUE($D1175),1000000000),IFERROR(IF(VALUE(MID($D1175,2,20))&lt;100000000,VALUE(MID($D1175,2,20)),1000000000),1000000000))+ROW()/100000,"")</f>
        <v/>
      </c>
    </row>
    <row r="1176">
      <c r="F1176" s="11" t="n"/>
      <c r="N1176" s="7">
        <f>IF($D1176="","",M1176*V1176/100)</f>
        <v/>
      </c>
      <c r="O1176" s="7" t="n"/>
      <c r="U1176" s="7" t="n"/>
      <c r="V1176" s="7" t="n"/>
      <c r="Y1176">
        <f>IF($D1176="","",IF($AN1176=1,0,IF($AM1176=1,Settings!$C$6,Settings!$C$7))*100)</f>
        <v/>
      </c>
      <c r="Z1176" s="7">
        <f>IF($D1176="","",V1176*Y1176/100)</f>
        <v/>
      </c>
      <c r="AA1176" s="7">
        <f>IF($D1176="","",V1176-Z1176)</f>
        <v/>
      </c>
      <c r="AB1176" s="7">
        <f>IF($D1176="","",AA1176-N1176)</f>
        <v/>
      </c>
      <c r="AF1176" s="7" t="n"/>
      <c r="AI1176" s="11" t="n"/>
      <c r="AK1176">
        <f>IF($D1176="","",IF(COUNTIF($D$2:$D1176,$D1176)=1,1,0))</f>
        <v/>
      </c>
      <c r="AL1176">
        <f>IF($AK1176=1,SUMPRODUCT(--($AO$2:$AO$3001&lt;$AO1176))+1,"")</f>
        <v/>
      </c>
      <c r="AM1176">
        <f>IF($D1176="","",IF(OR($R1176=TRUE(),$R1176="TRUE"),1,0))</f>
        <v/>
      </c>
      <c r="AN1176">
        <f>IF($D1176="","",IF($X1176="Yes",1,0))</f>
        <v/>
      </c>
      <c r="AO1176">
        <f>IF($AK1176=1,IFERROR(IF(VALUE($D1176)&lt;100000000,VALUE($D1176),1000000000),IFERROR(IF(VALUE(MID($D1176,2,20))&lt;100000000,VALUE(MID($D1176,2,20)),1000000000),1000000000))+ROW()/100000,"")</f>
        <v/>
      </c>
    </row>
    <row r="1177">
      <c r="F1177" s="11" t="n"/>
      <c r="N1177" s="7">
        <f>IF($D1177="","",M1177*V1177/100)</f>
        <v/>
      </c>
      <c r="O1177" s="7" t="n"/>
      <c r="U1177" s="7" t="n"/>
      <c r="V1177" s="7" t="n"/>
      <c r="Y1177">
        <f>IF($D1177="","",IF($AN1177=1,0,IF($AM1177=1,Settings!$C$6,Settings!$C$7))*100)</f>
        <v/>
      </c>
      <c r="Z1177" s="7">
        <f>IF($D1177="","",V1177*Y1177/100)</f>
        <v/>
      </c>
      <c r="AA1177" s="7">
        <f>IF($D1177="","",V1177-Z1177)</f>
        <v/>
      </c>
      <c r="AB1177" s="7">
        <f>IF($D1177="","",AA1177-N1177)</f>
        <v/>
      </c>
      <c r="AF1177" s="7" t="n"/>
      <c r="AI1177" s="11" t="n"/>
      <c r="AK1177">
        <f>IF($D1177="","",IF(COUNTIF($D$2:$D1177,$D1177)=1,1,0))</f>
        <v/>
      </c>
      <c r="AL1177">
        <f>IF($AK1177=1,SUMPRODUCT(--($AO$2:$AO$3001&lt;$AO1177))+1,"")</f>
        <v/>
      </c>
      <c r="AM1177">
        <f>IF($D1177="","",IF(OR($R1177=TRUE(),$R1177="TRUE"),1,0))</f>
        <v/>
      </c>
      <c r="AN1177">
        <f>IF($D1177="","",IF($X1177="Yes",1,0))</f>
        <v/>
      </c>
      <c r="AO1177">
        <f>IF($AK1177=1,IFERROR(IF(VALUE($D1177)&lt;100000000,VALUE($D1177),1000000000),IFERROR(IF(VALUE(MID($D1177,2,20))&lt;100000000,VALUE(MID($D1177,2,20)),1000000000),1000000000))+ROW()/100000,"")</f>
        <v/>
      </c>
    </row>
    <row r="1178">
      <c r="F1178" s="11" t="n"/>
      <c r="N1178" s="7">
        <f>IF($D1178="","",M1178*V1178/100)</f>
        <v/>
      </c>
      <c r="O1178" s="7" t="n"/>
      <c r="U1178" s="7" t="n"/>
      <c r="V1178" s="7" t="n"/>
      <c r="Y1178">
        <f>IF($D1178="","",IF($AN1178=1,0,IF($AM1178=1,Settings!$C$6,Settings!$C$7))*100)</f>
        <v/>
      </c>
      <c r="Z1178" s="7">
        <f>IF($D1178="","",V1178*Y1178/100)</f>
        <v/>
      </c>
      <c r="AA1178" s="7">
        <f>IF($D1178="","",V1178-Z1178)</f>
        <v/>
      </c>
      <c r="AB1178" s="7">
        <f>IF($D1178="","",AA1178-N1178)</f>
        <v/>
      </c>
      <c r="AF1178" s="7" t="n"/>
      <c r="AI1178" s="11" t="n"/>
      <c r="AK1178">
        <f>IF($D1178="","",IF(COUNTIF($D$2:$D1178,$D1178)=1,1,0))</f>
        <v/>
      </c>
      <c r="AL1178">
        <f>IF($AK1178=1,SUMPRODUCT(--($AO$2:$AO$3001&lt;$AO1178))+1,"")</f>
        <v/>
      </c>
      <c r="AM1178">
        <f>IF($D1178="","",IF(OR($R1178=TRUE(),$R1178="TRUE"),1,0))</f>
        <v/>
      </c>
      <c r="AN1178">
        <f>IF($D1178="","",IF($X1178="Yes",1,0))</f>
        <v/>
      </c>
      <c r="AO1178">
        <f>IF($AK1178=1,IFERROR(IF(VALUE($D1178)&lt;100000000,VALUE($D1178),1000000000),IFERROR(IF(VALUE(MID($D1178,2,20))&lt;100000000,VALUE(MID($D1178,2,20)),1000000000),1000000000))+ROW()/100000,"")</f>
        <v/>
      </c>
    </row>
    <row r="1179">
      <c r="F1179" s="11" t="n"/>
      <c r="N1179" s="7">
        <f>IF($D1179="","",M1179*V1179/100)</f>
        <v/>
      </c>
      <c r="O1179" s="7" t="n"/>
      <c r="U1179" s="7" t="n"/>
      <c r="V1179" s="7" t="n"/>
      <c r="Y1179">
        <f>IF($D1179="","",IF($AN1179=1,0,IF($AM1179=1,Settings!$C$6,Settings!$C$7))*100)</f>
        <v/>
      </c>
      <c r="Z1179" s="7">
        <f>IF($D1179="","",V1179*Y1179/100)</f>
        <v/>
      </c>
      <c r="AA1179" s="7">
        <f>IF($D1179="","",V1179-Z1179)</f>
        <v/>
      </c>
      <c r="AB1179" s="7">
        <f>IF($D1179="","",AA1179-N1179)</f>
        <v/>
      </c>
      <c r="AF1179" s="7" t="n"/>
      <c r="AI1179" s="11" t="n"/>
      <c r="AK1179">
        <f>IF($D1179="","",IF(COUNTIF($D$2:$D1179,$D1179)=1,1,0))</f>
        <v/>
      </c>
      <c r="AL1179">
        <f>IF($AK1179=1,SUMPRODUCT(--($AO$2:$AO$3001&lt;$AO1179))+1,"")</f>
        <v/>
      </c>
      <c r="AM1179">
        <f>IF($D1179="","",IF(OR($R1179=TRUE(),$R1179="TRUE"),1,0))</f>
        <v/>
      </c>
      <c r="AN1179">
        <f>IF($D1179="","",IF($X1179="Yes",1,0))</f>
        <v/>
      </c>
      <c r="AO1179">
        <f>IF($AK1179=1,IFERROR(IF(VALUE($D1179)&lt;100000000,VALUE($D1179),1000000000),IFERROR(IF(VALUE(MID($D1179,2,20))&lt;100000000,VALUE(MID($D1179,2,20)),1000000000),1000000000))+ROW()/100000,"")</f>
        <v/>
      </c>
    </row>
    <row r="1180">
      <c r="F1180" s="11" t="n"/>
      <c r="N1180" s="7">
        <f>IF($D1180="","",M1180*V1180/100)</f>
        <v/>
      </c>
      <c r="O1180" s="7" t="n"/>
      <c r="U1180" s="7" t="n"/>
      <c r="V1180" s="7" t="n"/>
      <c r="Y1180">
        <f>IF($D1180="","",IF($AN1180=1,0,IF($AM1180=1,Settings!$C$6,Settings!$C$7))*100)</f>
        <v/>
      </c>
      <c r="Z1180" s="7">
        <f>IF($D1180="","",V1180*Y1180/100)</f>
        <v/>
      </c>
      <c r="AA1180" s="7">
        <f>IF($D1180="","",V1180-Z1180)</f>
        <v/>
      </c>
      <c r="AB1180" s="7">
        <f>IF($D1180="","",AA1180-N1180)</f>
        <v/>
      </c>
      <c r="AF1180" s="7" t="n"/>
      <c r="AI1180" s="11" t="n"/>
      <c r="AK1180">
        <f>IF($D1180="","",IF(COUNTIF($D$2:$D1180,$D1180)=1,1,0))</f>
        <v/>
      </c>
      <c r="AL1180">
        <f>IF($AK1180=1,SUMPRODUCT(--($AO$2:$AO$3001&lt;$AO1180))+1,"")</f>
        <v/>
      </c>
      <c r="AM1180">
        <f>IF($D1180="","",IF(OR($R1180=TRUE(),$R1180="TRUE"),1,0))</f>
        <v/>
      </c>
      <c r="AN1180">
        <f>IF($D1180="","",IF($X1180="Yes",1,0))</f>
        <v/>
      </c>
      <c r="AO1180">
        <f>IF($AK1180=1,IFERROR(IF(VALUE($D1180)&lt;100000000,VALUE($D1180),1000000000),IFERROR(IF(VALUE(MID($D1180,2,20))&lt;100000000,VALUE(MID($D1180,2,20)),1000000000),1000000000))+ROW()/100000,"")</f>
        <v/>
      </c>
    </row>
    <row r="1181">
      <c r="F1181" s="11" t="n"/>
      <c r="N1181" s="7">
        <f>IF($D1181="","",M1181*V1181/100)</f>
        <v/>
      </c>
      <c r="O1181" s="7" t="n"/>
      <c r="U1181" s="7" t="n"/>
      <c r="V1181" s="7" t="n"/>
      <c r="Y1181">
        <f>IF($D1181="","",IF($AN1181=1,0,IF($AM1181=1,Settings!$C$6,Settings!$C$7))*100)</f>
        <v/>
      </c>
      <c r="Z1181" s="7">
        <f>IF($D1181="","",V1181*Y1181/100)</f>
        <v/>
      </c>
      <c r="AA1181" s="7">
        <f>IF($D1181="","",V1181-Z1181)</f>
        <v/>
      </c>
      <c r="AB1181" s="7">
        <f>IF($D1181="","",AA1181-N1181)</f>
        <v/>
      </c>
      <c r="AF1181" s="7" t="n"/>
      <c r="AI1181" s="11" t="n"/>
      <c r="AK1181">
        <f>IF($D1181="","",IF(COUNTIF($D$2:$D1181,$D1181)=1,1,0))</f>
        <v/>
      </c>
      <c r="AL1181">
        <f>IF($AK1181=1,SUMPRODUCT(--($AO$2:$AO$3001&lt;$AO1181))+1,"")</f>
        <v/>
      </c>
      <c r="AM1181">
        <f>IF($D1181="","",IF(OR($R1181=TRUE(),$R1181="TRUE"),1,0))</f>
        <v/>
      </c>
      <c r="AN1181">
        <f>IF($D1181="","",IF($X1181="Yes",1,0))</f>
        <v/>
      </c>
      <c r="AO1181">
        <f>IF($AK1181=1,IFERROR(IF(VALUE($D1181)&lt;100000000,VALUE($D1181),1000000000),IFERROR(IF(VALUE(MID($D1181,2,20))&lt;100000000,VALUE(MID($D1181,2,20)),1000000000),1000000000))+ROW()/100000,"")</f>
        <v/>
      </c>
    </row>
    <row r="1182">
      <c r="F1182" s="11" t="n"/>
      <c r="N1182" s="7">
        <f>IF($D1182="","",M1182*V1182/100)</f>
        <v/>
      </c>
      <c r="O1182" s="7" t="n"/>
      <c r="U1182" s="7" t="n"/>
      <c r="V1182" s="7" t="n"/>
      <c r="Y1182">
        <f>IF($D1182="","",IF($AN1182=1,0,IF($AM1182=1,Settings!$C$6,Settings!$C$7))*100)</f>
        <v/>
      </c>
      <c r="Z1182" s="7">
        <f>IF($D1182="","",V1182*Y1182/100)</f>
        <v/>
      </c>
      <c r="AA1182" s="7">
        <f>IF($D1182="","",V1182-Z1182)</f>
        <v/>
      </c>
      <c r="AB1182" s="7">
        <f>IF($D1182="","",AA1182-N1182)</f>
        <v/>
      </c>
      <c r="AF1182" s="7" t="n"/>
      <c r="AI1182" s="11" t="n"/>
      <c r="AK1182">
        <f>IF($D1182="","",IF(COUNTIF($D$2:$D1182,$D1182)=1,1,0))</f>
        <v/>
      </c>
      <c r="AL1182">
        <f>IF($AK1182=1,SUMPRODUCT(--($AO$2:$AO$3001&lt;$AO1182))+1,"")</f>
        <v/>
      </c>
      <c r="AM1182">
        <f>IF($D1182="","",IF(OR($R1182=TRUE(),$R1182="TRUE"),1,0))</f>
        <v/>
      </c>
      <c r="AN1182">
        <f>IF($D1182="","",IF($X1182="Yes",1,0))</f>
        <v/>
      </c>
      <c r="AO1182">
        <f>IF($AK1182=1,IFERROR(IF(VALUE($D1182)&lt;100000000,VALUE($D1182),1000000000),IFERROR(IF(VALUE(MID($D1182,2,20))&lt;100000000,VALUE(MID($D1182,2,20)),1000000000),1000000000))+ROW()/100000,"")</f>
        <v/>
      </c>
    </row>
    <row r="1183">
      <c r="F1183" s="11" t="n"/>
      <c r="N1183" s="7">
        <f>IF($D1183="","",M1183*V1183/100)</f>
        <v/>
      </c>
      <c r="O1183" s="7" t="n"/>
      <c r="U1183" s="7" t="n"/>
      <c r="V1183" s="7" t="n"/>
      <c r="Y1183">
        <f>IF($D1183="","",IF($AN1183=1,0,IF($AM1183=1,Settings!$C$6,Settings!$C$7))*100)</f>
        <v/>
      </c>
      <c r="Z1183" s="7">
        <f>IF($D1183="","",V1183*Y1183/100)</f>
        <v/>
      </c>
      <c r="AA1183" s="7">
        <f>IF($D1183="","",V1183-Z1183)</f>
        <v/>
      </c>
      <c r="AB1183" s="7">
        <f>IF($D1183="","",AA1183-N1183)</f>
        <v/>
      </c>
      <c r="AF1183" s="7" t="n"/>
      <c r="AI1183" s="11" t="n"/>
      <c r="AK1183">
        <f>IF($D1183="","",IF(COUNTIF($D$2:$D1183,$D1183)=1,1,0))</f>
        <v/>
      </c>
      <c r="AL1183">
        <f>IF($AK1183=1,SUMPRODUCT(--($AO$2:$AO$3001&lt;$AO1183))+1,"")</f>
        <v/>
      </c>
      <c r="AM1183">
        <f>IF($D1183="","",IF(OR($R1183=TRUE(),$R1183="TRUE"),1,0))</f>
        <v/>
      </c>
      <c r="AN1183">
        <f>IF($D1183="","",IF($X1183="Yes",1,0))</f>
        <v/>
      </c>
      <c r="AO1183">
        <f>IF($AK1183=1,IFERROR(IF(VALUE($D1183)&lt;100000000,VALUE($D1183),1000000000),IFERROR(IF(VALUE(MID($D1183,2,20))&lt;100000000,VALUE(MID($D1183,2,20)),1000000000),1000000000))+ROW()/100000,"")</f>
        <v/>
      </c>
    </row>
    <row r="1184">
      <c r="F1184" s="11" t="n"/>
      <c r="N1184" s="7">
        <f>IF($D1184="","",M1184*V1184/100)</f>
        <v/>
      </c>
      <c r="O1184" s="7" t="n"/>
      <c r="U1184" s="7" t="n"/>
      <c r="V1184" s="7" t="n"/>
      <c r="Y1184">
        <f>IF($D1184="","",IF($AN1184=1,0,IF($AM1184=1,Settings!$C$6,Settings!$C$7))*100)</f>
        <v/>
      </c>
      <c r="Z1184" s="7">
        <f>IF($D1184="","",V1184*Y1184/100)</f>
        <v/>
      </c>
      <c r="AA1184" s="7">
        <f>IF($D1184="","",V1184-Z1184)</f>
        <v/>
      </c>
      <c r="AB1184" s="7">
        <f>IF($D1184="","",AA1184-N1184)</f>
        <v/>
      </c>
      <c r="AF1184" s="7" t="n"/>
      <c r="AI1184" s="11" t="n"/>
      <c r="AK1184">
        <f>IF($D1184="","",IF(COUNTIF($D$2:$D1184,$D1184)=1,1,0))</f>
        <v/>
      </c>
      <c r="AL1184">
        <f>IF($AK1184=1,SUMPRODUCT(--($AO$2:$AO$3001&lt;$AO1184))+1,"")</f>
        <v/>
      </c>
      <c r="AM1184">
        <f>IF($D1184="","",IF(OR($R1184=TRUE(),$R1184="TRUE"),1,0))</f>
        <v/>
      </c>
      <c r="AN1184">
        <f>IF($D1184="","",IF($X1184="Yes",1,0))</f>
        <v/>
      </c>
      <c r="AO1184">
        <f>IF($AK1184=1,IFERROR(IF(VALUE($D1184)&lt;100000000,VALUE($D1184),1000000000),IFERROR(IF(VALUE(MID($D1184,2,20))&lt;100000000,VALUE(MID($D1184,2,20)),1000000000),1000000000))+ROW()/100000,"")</f>
        <v/>
      </c>
    </row>
    <row r="1185">
      <c r="F1185" s="11" t="n"/>
      <c r="N1185" s="7">
        <f>IF($D1185="","",M1185*V1185/100)</f>
        <v/>
      </c>
      <c r="O1185" s="7" t="n"/>
      <c r="U1185" s="7" t="n"/>
      <c r="V1185" s="7" t="n"/>
      <c r="Y1185">
        <f>IF($D1185="","",IF($AN1185=1,0,IF($AM1185=1,Settings!$C$6,Settings!$C$7))*100)</f>
        <v/>
      </c>
      <c r="Z1185" s="7">
        <f>IF($D1185="","",V1185*Y1185/100)</f>
        <v/>
      </c>
      <c r="AA1185" s="7">
        <f>IF($D1185="","",V1185-Z1185)</f>
        <v/>
      </c>
      <c r="AB1185" s="7">
        <f>IF($D1185="","",AA1185-N1185)</f>
        <v/>
      </c>
      <c r="AF1185" s="7" t="n"/>
      <c r="AI1185" s="11" t="n"/>
      <c r="AK1185">
        <f>IF($D1185="","",IF(COUNTIF($D$2:$D1185,$D1185)=1,1,0))</f>
        <v/>
      </c>
      <c r="AL1185">
        <f>IF($AK1185=1,SUMPRODUCT(--($AO$2:$AO$3001&lt;$AO1185))+1,"")</f>
        <v/>
      </c>
      <c r="AM1185">
        <f>IF($D1185="","",IF(OR($R1185=TRUE(),$R1185="TRUE"),1,0))</f>
        <v/>
      </c>
      <c r="AN1185">
        <f>IF($D1185="","",IF($X1185="Yes",1,0))</f>
        <v/>
      </c>
      <c r="AO1185">
        <f>IF($AK1185=1,IFERROR(IF(VALUE($D1185)&lt;100000000,VALUE($D1185),1000000000),IFERROR(IF(VALUE(MID($D1185,2,20))&lt;100000000,VALUE(MID($D1185,2,20)),1000000000),1000000000))+ROW()/100000,"")</f>
        <v/>
      </c>
    </row>
    <row r="1186">
      <c r="F1186" s="11" t="n"/>
      <c r="N1186" s="7">
        <f>IF($D1186="","",M1186*V1186/100)</f>
        <v/>
      </c>
      <c r="O1186" s="7" t="n"/>
      <c r="U1186" s="7" t="n"/>
      <c r="V1186" s="7" t="n"/>
      <c r="Y1186">
        <f>IF($D1186="","",IF($AN1186=1,0,IF($AM1186=1,Settings!$C$6,Settings!$C$7))*100)</f>
        <v/>
      </c>
      <c r="Z1186" s="7">
        <f>IF($D1186="","",V1186*Y1186/100)</f>
        <v/>
      </c>
      <c r="AA1186" s="7">
        <f>IF($D1186="","",V1186-Z1186)</f>
        <v/>
      </c>
      <c r="AB1186" s="7">
        <f>IF($D1186="","",AA1186-N1186)</f>
        <v/>
      </c>
      <c r="AF1186" s="7" t="n"/>
      <c r="AI1186" s="11" t="n"/>
      <c r="AK1186">
        <f>IF($D1186="","",IF(COUNTIF($D$2:$D1186,$D1186)=1,1,0))</f>
        <v/>
      </c>
      <c r="AL1186">
        <f>IF($AK1186=1,SUMPRODUCT(--($AO$2:$AO$3001&lt;$AO1186))+1,"")</f>
        <v/>
      </c>
      <c r="AM1186">
        <f>IF($D1186="","",IF(OR($R1186=TRUE(),$R1186="TRUE"),1,0))</f>
        <v/>
      </c>
      <c r="AN1186">
        <f>IF($D1186="","",IF($X1186="Yes",1,0))</f>
        <v/>
      </c>
      <c r="AO1186">
        <f>IF($AK1186=1,IFERROR(IF(VALUE($D1186)&lt;100000000,VALUE($D1186),1000000000),IFERROR(IF(VALUE(MID($D1186,2,20))&lt;100000000,VALUE(MID($D1186,2,20)),1000000000),1000000000))+ROW()/100000,"")</f>
        <v/>
      </c>
    </row>
    <row r="1187">
      <c r="F1187" s="11" t="n"/>
      <c r="N1187" s="7">
        <f>IF($D1187="","",M1187*V1187/100)</f>
        <v/>
      </c>
      <c r="O1187" s="7" t="n"/>
      <c r="U1187" s="7" t="n"/>
      <c r="V1187" s="7" t="n"/>
      <c r="Y1187">
        <f>IF($D1187="","",IF($AN1187=1,0,IF($AM1187=1,Settings!$C$6,Settings!$C$7))*100)</f>
        <v/>
      </c>
      <c r="Z1187" s="7">
        <f>IF($D1187="","",V1187*Y1187/100)</f>
        <v/>
      </c>
      <c r="AA1187" s="7">
        <f>IF($D1187="","",V1187-Z1187)</f>
        <v/>
      </c>
      <c r="AB1187" s="7">
        <f>IF($D1187="","",AA1187-N1187)</f>
        <v/>
      </c>
      <c r="AF1187" s="7" t="n"/>
      <c r="AI1187" s="11" t="n"/>
      <c r="AK1187">
        <f>IF($D1187="","",IF(COUNTIF($D$2:$D1187,$D1187)=1,1,0))</f>
        <v/>
      </c>
      <c r="AL1187">
        <f>IF($AK1187=1,SUMPRODUCT(--($AO$2:$AO$3001&lt;$AO1187))+1,"")</f>
        <v/>
      </c>
      <c r="AM1187">
        <f>IF($D1187="","",IF(OR($R1187=TRUE(),$R1187="TRUE"),1,0))</f>
        <v/>
      </c>
      <c r="AN1187">
        <f>IF($D1187="","",IF($X1187="Yes",1,0))</f>
        <v/>
      </c>
      <c r="AO1187">
        <f>IF($AK1187=1,IFERROR(IF(VALUE($D1187)&lt;100000000,VALUE($D1187),1000000000),IFERROR(IF(VALUE(MID($D1187,2,20))&lt;100000000,VALUE(MID($D1187,2,20)),1000000000),1000000000))+ROW()/100000,"")</f>
        <v/>
      </c>
    </row>
    <row r="1188">
      <c r="F1188" s="11" t="n"/>
      <c r="N1188" s="7">
        <f>IF($D1188="","",M1188*V1188/100)</f>
        <v/>
      </c>
      <c r="O1188" s="7" t="n"/>
      <c r="U1188" s="7" t="n"/>
      <c r="V1188" s="7" t="n"/>
      <c r="Y1188">
        <f>IF($D1188="","",IF($AN1188=1,0,IF($AM1188=1,Settings!$C$6,Settings!$C$7))*100)</f>
        <v/>
      </c>
      <c r="Z1188" s="7">
        <f>IF($D1188="","",V1188*Y1188/100)</f>
        <v/>
      </c>
      <c r="AA1188" s="7">
        <f>IF($D1188="","",V1188-Z1188)</f>
        <v/>
      </c>
      <c r="AB1188" s="7">
        <f>IF($D1188="","",AA1188-N1188)</f>
        <v/>
      </c>
      <c r="AF1188" s="7" t="n"/>
      <c r="AI1188" s="11" t="n"/>
      <c r="AK1188">
        <f>IF($D1188="","",IF(COUNTIF($D$2:$D1188,$D1188)=1,1,0))</f>
        <v/>
      </c>
      <c r="AL1188">
        <f>IF($AK1188=1,SUMPRODUCT(--($AO$2:$AO$3001&lt;$AO1188))+1,"")</f>
        <v/>
      </c>
      <c r="AM1188">
        <f>IF($D1188="","",IF(OR($R1188=TRUE(),$R1188="TRUE"),1,0))</f>
        <v/>
      </c>
      <c r="AN1188">
        <f>IF($D1188="","",IF($X1188="Yes",1,0))</f>
        <v/>
      </c>
      <c r="AO1188">
        <f>IF($AK1188=1,IFERROR(IF(VALUE($D1188)&lt;100000000,VALUE($D1188),1000000000),IFERROR(IF(VALUE(MID($D1188,2,20))&lt;100000000,VALUE(MID($D1188,2,20)),1000000000),1000000000))+ROW()/100000,"")</f>
        <v/>
      </c>
    </row>
    <row r="1189">
      <c r="F1189" s="11" t="n"/>
      <c r="N1189" s="7">
        <f>IF($D1189="","",M1189*V1189/100)</f>
        <v/>
      </c>
      <c r="O1189" s="7" t="n"/>
      <c r="U1189" s="7" t="n"/>
      <c r="V1189" s="7" t="n"/>
      <c r="Y1189">
        <f>IF($D1189="","",IF($AN1189=1,0,IF($AM1189=1,Settings!$C$6,Settings!$C$7))*100)</f>
        <v/>
      </c>
      <c r="Z1189" s="7">
        <f>IF($D1189="","",V1189*Y1189/100)</f>
        <v/>
      </c>
      <c r="AA1189" s="7">
        <f>IF($D1189="","",V1189-Z1189)</f>
        <v/>
      </c>
      <c r="AB1189" s="7">
        <f>IF($D1189="","",AA1189-N1189)</f>
        <v/>
      </c>
      <c r="AF1189" s="7" t="n"/>
      <c r="AI1189" s="11" t="n"/>
      <c r="AK1189">
        <f>IF($D1189="","",IF(COUNTIF($D$2:$D1189,$D1189)=1,1,0))</f>
        <v/>
      </c>
      <c r="AL1189">
        <f>IF($AK1189=1,SUMPRODUCT(--($AO$2:$AO$3001&lt;$AO1189))+1,"")</f>
        <v/>
      </c>
      <c r="AM1189">
        <f>IF($D1189="","",IF(OR($R1189=TRUE(),$R1189="TRUE"),1,0))</f>
        <v/>
      </c>
      <c r="AN1189">
        <f>IF($D1189="","",IF($X1189="Yes",1,0))</f>
        <v/>
      </c>
      <c r="AO1189">
        <f>IF($AK1189=1,IFERROR(IF(VALUE($D1189)&lt;100000000,VALUE($D1189),1000000000),IFERROR(IF(VALUE(MID($D1189,2,20))&lt;100000000,VALUE(MID($D1189,2,20)),1000000000),1000000000))+ROW()/100000,"")</f>
        <v/>
      </c>
    </row>
    <row r="1190">
      <c r="F1190" s="11" t="n"/>
      <c r="N1190" s="7">
        <f>IF($D1190="","",M1190*V1190/100)</f>
        <v/>
      </c>
      <c r="O1190" s="7" t="n"/>
      <c r="U1190" s="7" t="n"/>
      <c r="V1190" s="7" t="n"/>
      <c r="Y1190">
        <f>IF($D1190="","",IF($AN1190=1,0,IF($AM1190=1,Settings!$C$6,Settings!$C$7))*100)</f>
        <v/>
      </c>
      <c r="Z1190" s="7">
        <f>IF($D1190="","",V1190*Y1190/100)</f>
        <v/>
      </c>
      <c r="AA1190" s="7">
        <f>IF($D1190="","",V1190-Z1190)</f>
        <v/>
      </c>
      <c r="AB1190" s="7">
        <f>IF($D1190="","",AA1190-N1190)</f>
        <v/>
      </c>
      <c r="AF1190" s="7" t="n"/>
      <c r="AI1190" s="11" t="n"/>
      <c r="AK1190">
        <f>IF($D1190="","",IF(COUNTIF($D$2:$D1190,$D1190)=1,1,0))</f>
        <v/>
      </c>
      <c r="AL1190">
        <f>IF($AK1190=1,SUMPRODUCT(--($AO$2:$AO$3001&lt;$AO1190))+1,"")</f>
        <v/>
      </c>
      <c r="AM1190">
        <f>IF($D1190="","",IF(OR($R1190=TRUE(),$R1190="TRUE"),1,0))</f>
        <v/>
      </c>
      <c r="AN1190">
        <f>IF($D1190="","",IF($X1190="Yes",1,0))</f>
        <v/>
      </c>
      <c r="AO1190">
        <f>IF($AK1190=1,IFERROR(IF(VALUE($D1190)&lt;100000000,VALUE($D1190),1000000000),IFERROR(IF(VALUE(MID($D1190,2,20))&lt;100000000,VALUE(MID($D1190,2,20)),1000000000),1000000000))+ROW()/100000,"")</f>
        <v/>
      </c>
    </row>
    <row r="1191">
      <c r="F1191" s="11" t="n"/>
      <c r="N1191" s="7">
        <f>IF($D1191="","",M1191*V1191/100)</f>
        <v/>
      </c>
      <c r="O1191" s="7" t="n"/>
      <c r="U1191" s="7" t="n"/>
      <c r="V1191" s="7" t="n"/>
      <c r="Y1191">
        <f>IF($D1191="","",IF($AN1191=1,0,IF($AM1191=1,Settings!$C$6,Settings!$C$7))*100)</f>
        <v/>
      </c>
      <c r="Z1191" s="7">
        <f>IF($D1191="","",V1191*Y1191/100)</f>
        <v/>
      </c>
      <c r="AA1191" s="7">
        <f>IF($D1191="","",V1191-Z1191)</f>
        <v/>
      </c>
      <c r="AB1191" s="7">
        <f>IF($D1191="","",AA1191-N1191)</f>
        <v/>
      </c>
      <c r="AF1191" s="7" t="n"/>
      <c r="AI1191" s="11" t="n"/>
      <c r="AK1191">
        <f>IF($D1191="","",IF(COUNTIF($D$2:$D1191,$D1191)=1,1,0))</f>
        <v/>
      </c>
      <c r="AL1191">
        <f>IF($AK1191=1,SUMPRODUCT(--($AO$2:$AO$3001&lt;$AO1191))+1,"")</f>
        <v/>
      </c>
      <c r="AM1191">
        <f>IF($D1191="","",IF(OR($R1191=TRUE(),$R1191="TRUE"),1,0))</f>
        <v/>
      </c>
      <c r="AN1191">
        <f>IF($D1191="","",IF($X1191="Yes",1,0))</f>
        <v/>
      </c>
      <c r="AO1191">
        <f>IF($AK1191=1,IFERROR(IF(VALUE($D1191)&lt;100000000,VALUE($D1191),1000000000),IFERROR(IF(VALUE(MID($D1191,2,20))&lt;100000000,VALUE(MID($D1191,2,20)),1000000000),1000000000))+ROW()/100000,"")</f>
        <v/>
      </c>
    </row>
    <row r="1192">
      <c r="F1192" s="11" t="n"/>
      <c r="N1192" s="7">
        <f>IF($D1192="","",M1192*V1192/100)</f>
        <v/>
      </c>
      <c r="O1192" s="7" t="n"/>
      <c r="U1192" s="7" t="n"/>
      <c r="V1192" s="7" t="n"/>
      <c r="Y1192">
        <f>IF($D1192="","",IF($AN1192=1,0,IF($AM1192=1,Settings!$C$6,Settings!$C$7))*100)</f>
        <v/>
      </c>
      <c r="Z1192" s="7">
        <f>IF($D1192="","",V1192*Y1192/100)</f>
        <v/>
      </c>
      <c r="AA1192" s="7">
        <f>IF($D1192="","",V1192-Z1192)</f>
        <v/>
      </c>
      <c r="AB1192" s="7">
        <f>IF($D1192="","",AA1192-N1192)</f>
        <v/>
      </c>
      <c r="AF1192" s="7" t="n"/>
      <c r="AI1192" s="11" t="n"/>
      <c r="AK1192">
        <f>IF($D1192="","",IF(COUNTIF($D$2:$D1192,$D1192)=1,1,0))</f>
        <v/>
      </c>
      <c r="AL1192">
        <f>IF($AK1192=1,SUMPRODUCT(--($AO$2:$AO$3001&lt;$AO1192))+1,"")</f>
        <v/>
      </c>
      <c r="AM1192">
        <f>IF($D1192="","",IF(OR($R1192=TRUE(),$R1192="TRUE"),1,0))</f>
        <v/>
      </c>
      <c r="AN1192">
        <f>IF($D1192="","",IF($X1192="Yes",1,0))</f>
        <v/>
      </c>
      <c r="AO1192">
        <f>IF($AK1192=1,IFERROR(IF(VALUE($D1192)&lt;100000000,VALUE($D1192),1000000000),IFERROR(IF(VALUE(MID($D1192,2,20))&lt;100000000,VALUE(MID($D1192,2,20)),1000000000),1000000000))+ROW()/100000,"")</f>
        <v/>
      </c>
    </row>
    <row r="1193">
      <c r="F1193" s="11" t="n"/>
      <c r="N1193" s="7">
        <f>IF($D1193="","",M1193*V1193/100)</f>
        <v/>
      </c>
      <c r="O1193" s="7" t="n"/>
      <c r="U1193" s="7" t="n"/>
      <c r="V1193" s="7" t="n"/>
      <c r="Y1193">
        <f>IF($D1193="","",IF($AN1193=1,0,IF($AM1193=1,Settings!$C$6,Settings!$C$7))*100)</f>
        <v/>
      </c>
      <c r="Z1193" s="7">
        <f>IF($D1193="","",V1193*Y1193/100)</f>
        <v/>
      </c>
      <c r="AA1193" s="7">
        <f>IF($D1193="","",V1193-Z1193)</f>
        <v/>
      </c>
      <c r="AB1193" s="7">
        <f>IF($D1193="","",AA1193-N1193)</f>
        <v/>
      </c>
      <c r="AF1193" s="7" t="n"/>
      <c r="AI1193" s="11" t="n"/>
      <c r="AK1193">
        <f>IF($D1193="","",IF(COUNTIF($D$2:$D1193,$D1193)=1,1,0))</f>
        <v/>
      </c>
      <c r="AL1193">
        <f>IF($AK1193=1,SUMPRODUCT(--($AO$2:$AO$3001&lt;$AO1193))+1,"")</f>
        <v/>
      </c>
      <c r="AM1193">
        <f>IF($D1193="","",IF(OR($R1193=TRUE(),$R1193="TRUE"),1,0))</f>
        <v/>
      </c>
      <c r="AN1193">
        <f>IF($D1193="","",IF($X1193="Yes",1,0))</f>
        <v/>
      </c>
      <c r="AO1193">
        <f>IF($AK1193=1,IFERROR(IF(VALUE($D1193)&lt;100000000,VALUE($D1193),1000000000),IFERROR(IF(VALUE(MID($D1193,2,20))&lt;100000000,VALUE(MID($D1193,2,20)),1000000000),1000000000))+ROW()/100000,"")</f>
        <v/>
      </c>
    </row>
    <row r="1194">
      <c r="F1194" s="11" t="n"/>
      <c r="N1194" s="7">
        <f>IF($D1194="","",M1194*V1194/100)</f>
        <v/>
      </c>
      <c r="O1194" s="7" t="n"/>
      <c r="U1194" s="7" t="n"/>
      <c r="V1194" s="7" t="n"/>
      <c r="Y1194">
        <f>IF($D1194="","",IF($AN1194=1,0,IF($AM1194=1,Settings!$C$6,Settings!$C$7))*100)</f>
        <v/>
      </c>
      <c r="Z1194" s="7">
        <f>IF($D1194="","",V1194*Y1194/100)</f>
        <v/>
      </c>
      <c r="AA1194" s="7">
        <f>IF($D1194="","",V1194-Z1194)</f>
        <v/>
      </c>
      <c r="AB1194" s="7">
        <f>IF($D1194="","",AA1194-N1194)</f>
        <v/>
      </c>
      <c r="AF1194" s="7" t="n"/>
      <c r="AI1194" s="11" t="n"/>
      <c r="AK1194">
        <f>IF($D1194="","",IF(COUNTIF($D$2:$D1194,$D1194)=1,1,0))</f>
        <v/>
      </c>
      <c r="AL1194">
        <f>IF($AK1194=1,SUMPRODUCT(--($AO$2:$AO$3001&lt;$AO1194))+1,"")</f>
        <v/>
      </c>
      <c r="AM1194">
        <f>IF($D1194="","",IF(OR($R1194=TRUE(),$R1194="TRUE"),1,0))</f>
        <v/>
      </c>
      <c r="AN1194">
        <f>IF($D1194="","",IF($X1194="Yes",1,0))</f>
        <v/>
      </c>
      <c r="AO1194">
        <f>IF($AK1194=1,IFERROR(IF(VALUE($D1194)&lt;100000000,VALUE($D1194),1000000000),IFERROR(IF(VALUE(MID($D1194,2,20))&lt;100000000,VALUE(MID($D1194,2,20)),1000000000),1000000000))+ROW()/100000,"")</f>
        <v/>
      </c>
    </row>
    <row r="1195">
      <c r="F1195" s="11" t="n"/>
      <c r="N1195" s="7">
        <f>IF($D1195="","",M1195*V1195/100)</f>
        <v/>
      </c>
      <c r="O1195" s="7" t="n"/>
      <c r="U1195" s="7" t="n"/>
      <c r="V1195" s="7" t="n"/>
      <c r="Y1195">
        <f>IF($D1195="","",IF($AN1195=1,0,IF($AM1195=1,Settings!$C$6,Settings!$C$7))*100)</f>
        <v/>
      </c>
      <c r="Z1195" s="7">
        <f>IF($D1195="","",V1195*Y1195/100)</f>
        <v/>
      </c>
      <c r="AA1195" s="7">
        <f>IF($D1195="","",V1195-Z1195)</f>
        <v/>
      </c>
      <c r="AB1195" s="7">
        <f>IF($D1195="","",AA1195-N1195)</f>
        <v/>
      </c>
      <c r="AF1195" s="7" t="n"/>
      <c r="AI1195" s="11" t="n"/>
      <c r="AK1195">
        <f>IF($D1195="","",IF(COUNTIF($D$2:$D1195,$D1195)=1,1,0))</f>
        <v/>
      </c>
      <c r="AL1195">
        <f>IF($AK1195=1,SUMPRODUCT(--($AO$2:$AO$3001&lt;$AO1195))+1,"")</f>
        <v/>
      </c>
      <c r="AM1195">
        <f>IF($D1195="","",IF(OR($R1195=TRUE(),$R1195="TRUE"),1,0))</f>
        <v/>
      </c>
      <c r="AN1195">
        <f>IF($D1195="","",IF($X1195="Yes",1,0))</f>
        <v/>
      </c>
      <c r="AO1195">
        <f>IF($AK1195=1,IFERROR(IF(VALUE($D1195)&lt;100000000,VALUE($D1195),1000000000),IFERROR(IF(VALUE(MID($D1195,2,20))&lt;100000000,VALUE(MID($D1195,2,20)),1000000000),1000000000))+ROW()/100000,"")</f>
        <v/>
      </c>
    </row>
    <row r="1196">
      <c r="F1196" s="11" t="n"/>
      <c r="N1196" s="7">
        <f>IF($D1196="","",M1196*V1196/100)</f>
        <v/>
      </c>
      <c r="O1196" s="7" t="n"/>
      <c r="U1196" s="7" t="n"/>
      <c r="V1196" s="7" t="n"/>
      <c r="Y1196">
        <f>IF($D1196="","",IF($AN1196=1,0,IF($AM1196=1,Settings!$C$6,Settings!$C$7))*100)</f>
        <v/>
      </c>
      <c r="Z1196" s="7">
        <f>IF($D1196="","",V1196*Y1196/100)</f>
        <v/>
      </c>
      <c r="AA1196" s="7">
        <f>IF($D1196="","",V1196-Z1196)</f>
        <v/>
      </c>
      <c r="AB1196" s="7">
        <f>IF($D1196="","",AA1196-N1196)</f>
        <v/>
      </c>
      <c r="AF1196" s="7" t="n"/>
      <c r="AI1196" s="11" t="n"/>
      <c r="AK1196">
        <f>IF($D1196="","",IF(COUNTIF($D$2:$D1196,$D1196)=1,1,0))</f>
        <v/>
      </c>
      <c r="AL1196">
        <f>IF($AK1196=1,SUMPRODUCT(--($AO$2:$AO$3001&lt;$AO1196))+1,"")</f>
        <v/>
      </c>
      <c r="AM1196">
        <f>IF($D1196="","",IF(OR($R1196=TRUE(),$R1196="TRUE"),1,0))</f>
        <v/>
      </c>
      <c r="AN1196">
        <f>IF($D1196="","",IF($X1196="Yes",1,0))</f>
        <v/>
      </c>
      <c r="AO1196">
        <f>IF($AK1196=1,IFERROR(IF(VALUE($D1196)&lt;100000000,VALUE($D1196),1000000000),IFERROR(IF(VALUE(MID($D1196,2,20))&lt;100000000,VALUE(MID($D1196,2,20)),1000000000),1000000000))+ROW()/100000,"")</f>
        <v/>
      </c>
    </row>
    <row r="1197">
      <c r="F1197" s="11" t="n"/>
      <c r="N1197" s="7">
        <f>IF($D1197="","",M1197*V1197/100)</f>
        <v/>
      </c>
      <c r="O1197" s="7" t="n"/>
      <c r="U1197" s="7" t="n"/>
      <c r="V1197" s="7" t="n"/>
      <c r="Y1197">
        <f>IF($D1197="","",IF($AN1197=1,0,IF($AM1197=1,Settings!$C$6,Settings!$C$7))*100)</f>
        <v/>
      </c>
      <c r="Z1197" s="7">
        <f>IF($D1197="","",V1197*Y1197/100)</f>
        <v/>
      </c>
      <c r="AA1197" s="7">
        <f>IF($D1197="","",V1197-Z1197)</f>
        <v/>
      </c>
      <c r="AB1197" s="7">
        <f>IF($D1197="","",AA1197-N1197)</f>
        <v/>
      </c>
      <c r="AF1197" s="7" t="n"/>
      <c r="AI1197" s="11" t="n"/>
      <c r="AK1197">
        <f>IF($D1197="","",IF(COUNTIF($D$2:$D1197,$D1197)=1,1,0))</f>
        <v/>
      </c>
      <c r="AL1197">
        <f>IF($AK1197=1,SUMPRODUCT(--($AO$2:$AO$3001&lt;$AO1197))+1,"")</f>
        <v/>
      </c>
      <c r="AM1197">
        <f>IF($D1197="","",IF(OR($R1197=TRUE(),$R1197="TRUE"),1,0))</f>
        <v/>
      </c>
      <c r="AN1197">
        <f>IF($D1197="","",IF($X1197="Yes",1,0))</f>
        <v/>
      </c>
      <c r="AO1197">
        <f>IF($AK1197=1,IFERROR(IF(VALUE($D1197)&lt;100000000,VALUE($D1197),1000000000),IFERROR(IF(VALUE(MID($D1197,2,20))&lt;100000000,VALUE(MID($D1197,2,20)),1000000000),1000000000))+ROW()/100000,"")</f>
        <v/>
      </c>
    </row>
    <row r="1198">
      <c r="F1198" s="11" t="n"/>
      <c r="N1198" s="7">
        <f>IF($D1198="","",M1198*V1198/100)</f>
        <v/>
      </c>
      <c r="O1198" s="7" t="n"/>
      <c r="U1198" s="7" t="n"/>
      <c r="V1198" s="7" t="n"/>
      <c r="Y1198">
        <f>IF($D1198="","",IF($AN1198=1,0,IF($AM1198=1,Settings!$C$6,Settings!$C$7))*100)</f>
        <v/>
      </c>
      <c r="Z1198" s="7">
        <f>IF($D1198="","",V1198*Y1198/100)</f>
        <v/>
      </c>
      <c r="AA1198" s="7">
        <f>IF($D1198="","",V1198-Z1198)</f>
        <v/>
      </c>
      <c r="AB1198" s="7">
        <f>IF($D1198="","",AA1198-N1198)</f>
        <v/>
      </c>
      <c r="AF1198" s="7" t="n"/>
      <c r="AI1198" s="11" t="n"/>
      <c r="AK1198">
        <f>IF($D1198="","",IF(COUNTIF($D$2:$D1198,$D1198)=1,1,0))</f>
        <v/>
      </c>
      <c r="AL1198">
        <f>IF($AK1198=1,SUMPRODUCT(--($AO$2:$AO$3001&lt;$AO1198))+1,"")</f>
        <v/>
      </c>
      <c r="AM1198">
        <f>IF($D1198="","",IF(OR($R1198=TRUE(),$R1198="TRUE"),1,0))</f>
        <v/>
      </c>
      <c r="AN1198">
        <f>IF($D1198="","",IF($X1198="Yes",1,0))</f>
        <v/>
      </c>
      <c r="AO1198">
        <f>IF($AK1198=1,IFERROR(IF(VALUE($D1198)&lt;100000000,VALUE($D1198),1000000000),IFERROR(IF(VALUE(MID($D1198,2,20))&lt;100000000,VALUE(MID($D1198,2,20)),1000000000),1000000000))+ROW()/100000,"")</f>
        <v/>
      </c>
    </row>
    <row r="1199">
      <c r="F1199" s="11" t="n"/>
      <c r="N1199" s="7">
        <f>IF($D1199="","",M1199*V1199/100)</f>
        <v/>
      </c>
      <c r="O1199" s="7" t="n"/>
      <c r="U1199" s="7" t="n"/>
      <c r="V1199" s="7" t="n"/>
      <c r="Y1199">
        <f>IF($D1199="","",IF($AN1199=1,0,IF($AM1199=1,Settings!$C$6,Settings!$C$7))*100)</f>
        <v/>
      </c>
      <c r="Z1199" s="7">
        <f>IF($D1199="","",V1199*Y1199/100)</f>
        <v/>
      </c>
      <c r="AA1199" s="7">
        <f>IF($D1199="","",V1199-Z1199)</f>
        <v/>
      </c>
      <c r="AB1199" s="7">
        <f>IF($D1199="","",AA1199-N1199)</f>
        <v/>
      </c>
      <c r="AF1199" s="7" t="n"/>
      <c r="AI1199" s="11" t="n"/>
      <c r="AK1199">
        <f>IF($D1199="","",IF(COUNTIF($D$2:$D1199,$D1199)=1,1,0))</f>
        <v/>
      </c>
      <c r="AL1199">
        <f>IF($AK1199=1,SUMPRODUCT(--($AO$2:$AO$3001&lt;$AO1199))+1,"")</f>
        <v/>
      </c>
      <c r="AM1199">
        <f>IF($D1199="","",IF(OR($R1199=TRUE(),$R1199="TRUE"),1,0))</f>
        <v/>
      </c>
      <c r="AN1199">
        <f>IF($D1199="","",IF($X1199="Yes",1,0))</f>
        <v/>
      </c>
      <c r="AO1199">
        <f>IF($AK1199=1,IFERROR(IF(VALUE($D1199)&lt;100000000,VALUE($D1199),1000000000),IFERROR(IF(VALUE(MID($D1199,2,20))&lt;100000000,VALUE(MID($D1199,2,20)),1000000000),1000000000))+ROW()/100000,"")</f>
        <v/>
      </c>
    </row>
    <row r="1200">
      <c r="F1200" s="11" t="n"/>
      <c r="N1200" s="7">
        <f>IF($D1200="","",M1200*V1200/100)</f>
        <v/>
      </c>
      <c r="O1200" s="7" t="n"/>
      <c r="U1200" s="7" t="n"/>
      <c r="V1200" s="7" t="n"/>
      <c r="Y1200">
        <f>IF($D1200="","",IF($AN1200=1,0,IF($AM1200=1,Settings!$C$6,Settings!$C$7))*100)</f>
        <v/>
      </c>
      <c r="Z1200" s="7">
        <f>IF($D1200="","",V1200*Y1200/100)</f>
        <v/>
      </c>
      <c r="AA1200" s="7">
        <f>IF($D1200="","",V1200-Z1200)</f>
        <v/>
      </c>
      <c r="AB1200" s="7">
        <f>IF($D1200="","",AA1200-N1200)</f>
        <v/>
      </c>
      <c r="AF1200" s="7" t="n"/>
      <c r="AI1200" s="11" t="n"/>
      <c r="AK1200">
        <f>IF($D1200="","",IF(COUNTIF($D$2:$D1200,$D1200)=1,1,0))</f>
        <v/>
      </c>
      <c r="AL1200">
        <f>IF($AK1200=1,SUMPRODUCT(--($AO$2:$AO$3001&lt;$AO1200))+1,"")</f>
        <v/>
      </c>
      <c r="AM1200">
        <f>IF($D1200="","",IF(OR($R1200=TRUE(),$R1200="TRUE"),1,0))</f>
        <v/>
      </c>
      <c r="AN1200">
        <f>IF($D1200="","",IF($X1200="Yes",1,0))</f>
        <v/>
      </c>
      <c r="AO1200">
        <f>IF($AK1200=1,IFERROR(IF(VALUE($D1200)&lt;100000000,VALUE($D1200),1000000000),IFERROR(IF(VALUE(MID($D1200,2,20))&lt;100000000,VALUE(MID($D1200,2,20)),1000000000),1000000000))+ROW()/100000,"")</f>
        <v/>
      </c>
    </row>
    <row r="1201">
      <c r="F1201" s="11" t="n"/>
      <c r="N1201" s="7">
        <f>IF($D1201="","",M1201*V1201/100)</f>
        <v/>
      </c>
      <c r="O1201" s="7" t="n"/>
      <c r="U1201" s="7" t="n"/>
      <c r="V1201" s="7" t="n"/>
      <c r="Y1201">
        <f>IF($D1201="","",IF($AN1201=1,0,IF($AM1201=1,Settings!$C$6,Settings!$C$7))*100)</f>
        <v/>
      </c>
      <c r="Z1201" s="7">
        <f>IF($D1201="","",V1201*Y1201/100)</f>
        <v/>
      </c>
      <c r="AA1201" s="7">
        <f>IF($D1201="","",V1201-Z1201)</f>
        <v/>
      </c>
      <c r="AB1201" s="7">
        <f>IF($D1201="","",AA1201-N1201)</f>
        <v/>
      </c>
      <c r="AF1201" s="7" t="n"/>
      <c r="AI1201" s="11" t="n"/>
      <c r="AK1201">
        <f>IF($D1201="","",IF(COUNTIF($D$2:$D1201,$D1201)=1,1,0))</f>
        <v/>
      </c>
      <c r="AL1201">
        <f>IF($AK1201=1,SUMPRODUCT(--($AO$2:$AO$3001&lt;$AO1201))+1,"")</f>
        <v/>
      </c>
      <c r="AM1201">
        <f>IF($D1201="","",IF(OR($R1201=TRUE(),$R1201="TRUE"),1,0))</f>
        <v/>
      </c>
      <c r="AN1201">
        <f>IF($D1201="","",IF($X1201="Yes",1,0))</f>
        <v/>
      </c>
      <c r="AO1201">
        <f>IF($AK1201=1,IFERROR(IF(VALUE($D1201)&lt;100000000,VALUE($D1201),1000000000),IFERROR(IF(VALUE(MID($D1201,2,20))&lt;100000000,VALUE(MID($D1201,2,20)),1000000000),1000000000))+ROW()/100000,"")</f>
        <v/>
      </c>
    </row>
    <row r="1202">
      <c r="F1202" s="11" t="n"/>
      <c r="N1202" s="7">
        <f>IF($D1202="","",M1202*V1202/100)</f>
        <v/>
      </c>
      <c r="O1202" s="7" t="n"/>
      <c r="U1202" s="7" t="n"/>
      <c r="V1202" s="7" t="n"/>
      <c r="Y1202">
        <f>IF($D1202="","",IF($AN1202=1,0,IF($AM1202=1,Settings!$C$6,Settings!$C$7))*100)</f>
        <v/>
      </c>
      <c r="Z1202" s="7">
        <f>IF($D1202="","",V1202*Y1202/100)</f>
        <v/>
      </c>
      <c r="AA1202" s="7">
        <f>IF($D1202="","",V1202-Z1202)</f>
        <v/>
      </c>
      <c r="AB1202" s="7">
        <f>IF($D1202="","",AA1202-N1202)</f>
        <v/>
      </c>
      <c r="AF1202" s="7" t="n"/>
      <c r="AI1202" s="11" t="n"/>
      <c r="AK1202">
        <f>IF($D1202="","",IF(COUNTIF($D$2:$D1202,$D1202)=1,1,0))</f>
        <v/>
      </c>
      <c r="AL1202">
        <f>IF($AK1202=1,SUMPRODUCT(--($AO$2:$AO$3001&lt;$AO1202))+1,"")</f>
        <v/>
      </c>
      <c r="AM1202">
        <f>IF($D1202="","",IF(OR($R1202=TRUE(),$R1202="TRUE"),1,0))</f>
        <v/>
      </c>
      <c r="AN1202">
        <f>IF($D1202="","",IF($X1202="Yes",1,0))</f>
        <v/>
      </c>
      <c r="AO1202">
        <f>IF($AK1202=1,IFERROR(IF(VALUE($D1202)&lt;100000000,VALUE($D1202),1000000000),IFERROR(IF(VALUE(MID($D1202,2,20))&lt;100000000,VALUE(MID($D1202,2,20)),1000000000),1000000000))+ROW()/100000,"")</f>
        <v/>
      </c>
    </row>
    <row r="1203">
      <c r="F1203" s="11" t="n"/>
      <c r="N1203" s="7">
        <f>IF($D1203="","",M1203*V1203/100)</f>
        <v/>
      </c>
      <c r="O1203" s="7" t="n"/>
      <c r="U1203" s="7" t="n"/>
      <c r="V1203" s="7" t="n"/>
      <c r="Y1203">
        <f>IF($D1203="","",IF($AN1203=1,0,IF($AM1203=1,Settings!$C$6,Settings!$C$7))*100)</f>
        <v/>
      </c>
      <c r="Z1203" s="7">
        <f>IF($D1203="","",V1203*Y1203/100)</f>
        <v/>
      </c>
      <c r="AA1203" s="7">
        <f>IF($D1203="","",V1203-Z1203)</f>
        <v/>
      </c>
      <c r="AB1203" s="7">
        <f>IF($D1203="","",AA1203-N1203)</f>
        <v/>
      </c>
      <c r="AF1203" s="7" t="n"/>
      <c r="AI1203" s="11" t="n"/>
      <c r="AK1203">
        <f>IF($D1203="","",IF(COUNTIF($D$2:$D1203,$D1203)=1,1,0))</f>
        <v/>
      </c>
      <c r="AL1203">
        <f>IF($AK1203=1,SUMPRODUCT(--($AO$2:$AO$3001&lt;$AO1203))+1,"")</f>
        <v/>
      </c>
      <c r="AM1203">
        <f>IF($D1203="","",IF(OR($R1203=TRUE(),$R1203="TRUE"),1,0))</f>
        <v/>
      </c>
      <c r="AN1203">
        <f>IF($D1203="","",IF($X1203="Yes",1,0))</f>
        <v/>
      </c>
      <c r="AO1203">
        <f>IF($AK1203=1,IFERROR(IF(VALUE($D1203)&lt;100000000,VALUE($D1203),1000000000),IFERROR(IF(VALUE(MID($D1203,2,20))&lt;100000000,VALUE(MID($D1203,2,20)),1000000000),1000000000))+ROW()/100000,"")</f>
        <v/>
      </c>
    </row>
    <row r="1204">
      <c r="F1204" s="11" t="n"/>
      <c r="N1204" s="7">
        <f>IF($D1204="","",M1204*V1204/100)</f>
        <v/>
      </c>
      <c r="O1204" s="7" t="n"/>
      <c r="U1204" s="7" t="n"/>
      <c r="V1204" s="7" t="n"/>
      <c r="Y1204">
        <f>IF($D1204="","",IF($AN1204=1,0,IF($AM1204=1,Settings!$C$6,Settings!$C$7))*100)</f>
        <v/>
      </c>
      <c r="Z1204" s="7">
        <f>IF($D1204="","",V1204*Y1204/100)</f>
        <v/>
      </c>
      <c r="AA1204" s="7">
        <f>IF($D1204="","",V1204-Z1204)</f>
        <v/>
      </c>
      <c r="AB1204" s="7">
        <f>IF($D1204="","",AA1204-N1204)</f>
        <v/>
      </c>
      <c r="AF1204" s="7" t="n"/>
      <c r="AI1204" s="11" t="n"/>
      <c r="AK1204">
        <f>IF($D1204="","",IF(COUNTIF($D$2:$D1204,$D1204)=1,1,0))</f>
        <v/>
      </c>
      <c r="AL1204">
        <f>IF($AK1204=1,SUMPRODUCT(--($AO$2:$AO$3001&lt;$AO1204))+1,"")</f>
        <v/>
      </c>
      <c r="AM1204">
        <f>IF($D1204="","",IF(OR($R1204=TRUE(),$R1204="TRUE"),1,0))</f>
        <v/>
      </c>
      <c r="AN1204">
        <f>IF($D1204="","",IF($X1204="Yes",1,0))</f>
        <v/>
      </c>
      <c r="AO1204">
        <f>IF($AK1204=1,IFERROR(IF(VALUE($D1204)&lt;100000000,VALUE($D1204),1000000000),IFERROR(IF(VALUE(MID($D1204,2,20))&lt;100000000,VALUE(MID($D1204,2,20)),1000000000),1000000000))+ROW()/100000,"")</f>
        <v/>
      </c>
    </row>
    <row r="1205">
      <c r="F1205" s="11" t="n"/>
      <c r="N1205" s="7">
        <f>IF($D1205="","",M1205*V1205/100)</f>
        <v/>
      </c>
      <c r="O1205" s="7" t="n"/>
      <c r="U1205" s="7" t="n"/>
      <c r="V1205" s="7" t="n"/>
      <c r="Y1205">
        <f>IF($D1205="","",IF($AN1205=1,0,IF($AM1205=1,Settings!$C$6,Settings!$C$7))*100)</f>
        <v/>
      </c>
      <c r="Z1205" s="7">
        <f>IF($D1205="","",V1205*Y1205/100)</f>
        <v/>
      </c>
      <c r="AA1205" s="7">
        <f>IF($D1205="","",V1205-Z1205)</f>
        <v/>
      </c>
      <c r="AB1205" s="7">
        <f>IF($D1205="","",AA1205-N1205)</f>
        <v/>
      </c>
      <c r="AF1205" s="7" t="n"/>
      <c r="AI1205" s="11" t="n"/>
      <c r="AK1205">
        <f>IF($D1205="","",IF(COUNTIF($D$2:$D1205,$D1205)=1,1,0))</f>
        <v/>
      </c>
      <c r="AL1205">
        <f>IF($AK1205=1,SUMPRODUCT(--($AO$2:$AO$3001&lt;$AO1205))+1,"")</f>
        <v/>
      </c>
      <c r="AM1205">
        <f>IF($D1205="","",IF(OR($R1205=TRUE(),$R1205="TRUE"),1,0))</f>
        <v/>
      </c>
      <c r="AN1205">
        <f>IF($D1205="","",IF($X1205="Yes",1,0))</f>
        <v/>
      </c>
      <c r="AO1205">
        <f>IF($AK1205=1,IFERROR(IF(VALUE($D1205)&lt;100000000,VALUE($D1205),1000000000),IFERROR(IF(VALUE(MID($D1205,2,20))&lt;100000000,VALUE(MID($D1205,2,20)),1000000000),1000000000))+ROW()/100000,"")</f>
        <v/>
      </c>
    </row>
    <row r="1206">
      <c r="F1206" s="11" t="n"/>
      <c r="N1206" s="7">
        <f>IF($D1206="","",M1206*V1206/100)</f>
        <v/>
      </c>
      <c r="O1206" s="7" t="n"/>
      <c r="U1206" s="7" t="n"/>
      <c r="V1206" s="7" t="n"/>
      <c r="Y1206">
        <f>IF($D1206="","",IF($AN1206=1,0,IF($AM1206=1,Settings!$C$6,Settings!$C$7))*100)</f>
        <v/>
      </c>
      <c r="Z1206" s="7">
        <f>IF($D1206="","",V1206*Y1206/100)</f>
        <v/>
      </c>
      <c r="AA1206" s="7">
        <f>IF($D1206="","",V1206-Z1206)</f>
        <v/>
      </c>
      <c r="AB1206" s="7">
        <f>IF($D1206="","",AA1206-N1206)</f>
        <v/>
      </c>
      <c r="AF1206" s="7" t="n"/>
      <c r="AI1206" s="11" t="n"/>
      <c r="AK1206">
        <f>IF($D1206="","",IF(COUNTIF($D$2:$D1206,$D1206)=1,1,0))</f>
        <v/>
      </c>
      <c r="AL1206">
        <f>IF($AK1206=1,SUMPRODUCT(--($AO$2:$AO$3001&lt;$AO1206))+1,"")</f>
        <v/>
      </c>
      <c r="AM1206">
        <f>IF($D1206="","",IF(OR($R1206=TRUE(),$R1206="TRUE"),1,0))</f>
        <v/>
      </c>
      <c r="AN1206">
        <f>IF($D1206="","",IF($X1206="Yes",1,0))</f>
        <v/>
      </c>
      <c r="AO1206">
        <f>IF($AK1206=1,IFERROR(IF(VALUE($D1206)&lt;100000000,VALUE($D1206),1000000000),IFERROR(IF(VALUE(MID($D1206,2,20))&lt;100000000,VALUE(MID($D1206,2,20)),1000000000),1000000000))+ROW()/100000,"")</f>
        <v/>
      </c>
    </row>
    <row r="1207">
      <c r="F1207" s="11" t="n"/>
      <c r="N1207" s="7">
        <f>IF($D1207="","",M1207*V1207/100)</f>
        <v/>
      </c>
      <c r="O1207" s="7" t="n"/>
      <c r="U1207" s="7" t="n"/>
      <c r="V1207" s="7" t="n"/>
      <c r="Y1207">
        <f>IF($D1207="","",IF($AN1207=1,0,IF($AM1207=1,Settings!$C$6,Settings!$C$7))*100)</f>
        <v/>
      </c>
      <c r="Z1207" s="7">
        <f>IF($D1207="","",V1207*Y1207/100)</f>
        <v/>
      </c>
      <c r="AA1207" s="7">
        <f>IF($D1207="","",V1207-Z1207)</f>
        <v/>
      </c>
      <c r="AB1207" s="7">
        <f>IF($D1207="","",AA1207-N1207)</f>
        <v/>
      </c>
      <c r="AF1207" s="7" t="n"/>
      <c r="AI1207" s="11" t="n"/>
      <c r="AK1207">
        <f>IF($D1207="","",IF(COUNTIF($D$2:$D1207,$D1207)=1,1,0))</f>
        <v/>
      </c>
      <c r="AL1207">
        <f>IF($AK1207=1,SUMPRODUCT(--($AO$2:$AO$3001&lt;$AO1207))+1,"")</f>
        <v/>
      </c>
      <c r="AM1207">
        <f>IF($D1207="","",IF(OR($R1207=TRUE(),$R1207="TRUE"),1,0))</f>
        <v/>
      </c>
      <c r="AN1207">
        <f>IF($D1207="","",IF($X1207="Yes",1,0))</f>
        <v/>
      </c>
      <c r="AO1207">
        <f>IF($AK1207=1,IFERROR(IF(VALUE($D1207)&lt;100000000,VALUE($D1207),1000000000),IFERROR(IF(VALUE(MID($D1207,2,20))&lt;100000000,VALUE(MID($D1207,2,20)),1000000000),1000000000))+ROW()/100000,"")</f>
        <v/>
      </c>
    </row>
    <row r="1208">
      <c r="F1208" s="11" t="n"/>
      <c r="N1208" s="7">
        <f>IF($D1208="","",M1208*V1208/100)</f>
        <v/>
      </c>
      <c r="O1208" s="7" t="n"/>
      <c r="U1208" s="7" t="n"/>
      <c r="V1208" s="7" t="n"/>
      <c r="Y1208">
        <f>IF($D1208="","",IF($AN1208=1,0,IF($AM1208=1,Settings!$C$6,Settings!$C$7))*100)</f>
        <v/>
      </c>
      <c r="Z1208" s="7">
        <f>IF($D1208="","",V1208*Y1208/100)</f>
        <v/>
      </c>
      <c r="AA1208" s="7">
        <f>IF($D1208="","",V1208-Z1208)</f>
        <v/>
      </c>
      <c r="AB1208" s="7">
        <f>IF($D1208="","",AA1208-N1208)</f>
        <v/>
      </c>
      <c r="AF1208" s="7" t="n"/>
      <c r="AI1208" s="11" t="n"/>
      <c r="AK1208">
        <f>IF($D1208="","",IF(COUNTIF($D$2:$D1208,$D1208)=1,1,0))</f>
        <v/>
      </c>
      <c r="AL1208">
        <f>IF($AK1208=1,SUMPRODUCT(--($AO$2:$AO$3001&lt;$AO1208))+1,"")</f>
        <v/>
      </c>
      <c r="AM1208">
        <f>IF($D1208="","",IF(OR($R1208=TRUE(),$R1208="TRUE"),1,0))</f>
        <v/>
      </c>
      <c r="AN1208">
        <f>IF($D1208="","",IF($X1208="Yes",1,0))</f>
        <v/>
      </c>
      <c r="AO1208">
        <f>IF($AK1208=1,IFERROR(IF(VALUE($D1208)&lt;100000000,VALUE($D1208),1000000000),IFERROR(IF(VALUE(MID($D1208,2,20))&lt;100000000,VALUE(MID($D1208,2,20)),1000000000),1000000000))+ROW()/100000,"")</f>
        <v/>
      </c>
    </row>
    <row r="1209">
      <c r="F1209" s="11" t="n"/>
      <c r="N1209" s="7">
        <f>IF($D1209="","",M1209*V1209/100)</f>
        <v/>
      </c>
      <c r="O1209" s="7" t="n"/>
      <c r="U1209" s="7" t="n"/>
      <c r="V1209" s="7" t="n"/>
      <c r="Y1209">
        <f>IF($D1209="","",IF($AN1209=1,0,IF($AM1209=1,Settings!$C$6,Settings!$C$7))*100)</f>
        <v/>
      </c>
      <c r="Z1209" s="7">
        <f>IF($D1209="","",V1209*Y1209/100)</f>
        <v/>
      </c>
      <c r="AA1209" s="7">
        <f>IF($D1209="","",V1209-Z1209)</f>
        <v/>
      </c>
      <c r="AB1209" s="7">
        <f>IF($D1209="","",AA1209-N1209)</f>
        <v/>
      </c>
      <c r="AF1209" s="7" t="n"/>
      <c r="AI1209" s="11" t="n"/>
      <c r="AK1209">
        <f>IF($D1209="","",IF(COUNTIF($D$2:$D1209,$D1209)=1,1,0))</f>
        <v/>
      </c>
      <c r="AL1209">
        <f>IF($AK1209=1,SUMPRODUCT(--($AO$2:$AO$3001&lt;$AO1209))+1,"")</f>
        <v/>
      </c>
      <c r="AM1209">
        <f>IF($D1209="","",IF(OR($R1209=TRUE(),$R1209="TRUE"),1,0))</f>
        <v/>
      </c>
      <c r="AN1209">
        <f>IF($D1209="","",IF($X1209="Yes",1,0))</f>
        <v/>
      </c>
      <c r="AO1209">
        <f>IF($AK1209=1,IFERROR(IF(VALUE($D1209)&lt;100000000,VALUE($D1209),1000000000),IFERROR(IF(VALUE(MID($D1209,2,20))&lt;100000000,VALUE(MID($D1209,2,20)),1000000000),1000000000))+ROW()/100000,"")</f>
        <v/>
      </c>
    </row>
    <row r="1210">
      <c r="F1210" s="11" t="n"/>
      <c r="N1210" s="7">
        <f>IF($D1210="","",M1210*V1210/100)</f>
        <v/>
      </c>
      <c r="O1210" s="7" t="n"/>
      <c r="U1210" s="7" t="n"/>
      <c r="V1210" s="7" t="n"/>
      <c r="Y1210">
        <f>IF($D1210="","",IF($AN1210=1,0,IF($AM1210=1,Settings!$C$6,Settings!$C$7))*100)</f>
        <v/>
      </c>
      <c r="Z1210" s="7">
        <f>IF($D1210="","",V1210*Y1210/100)</f>
        <v/>
      </c>
      <c r="AA1210" s="7">
        <f>IF($D1210="","",V1210-Z1210)</f>
        <v/>
      </c>
      <c r="AB1210" s="7">
        <f>IF($D1210="","",AA1210-N1210)</f>
        <v/>
      </c>
      <c r="AF1210" s="7" t="n"/>
      <c r="AI1210" s="11" t="n"/>
      <c r="AK1210">
        <f>IF($D1210="","",IF(COUNTIF($D$2:$D1210,$D1210)=1,1,0))</f>
        <v/>
      </c>
      <c r="AL1210">
        <f>IF($AK1210=1,SUMPRODUCT(--($AO$2:$AO$3001&lt;$AO1210))+1,"")</f>
        <v/>
      </c>
      <c r="AM1210">
        <f>IF($D1210="","",IF(OR($R1210=TRUE(),$R1210="TRUE"),1,0))</f>
        <v/>
      </c>
      <c r="AN1210">
        <f>IF($D1210="","",IF($X1210="Yes",1,0))</f>
        <v/>
      </c>
      <c r="AO1210">
        <f>IF($AK1210=1,IFERROR(IF(VALUE($D1210)&lt;100000000,VALUE($D1210),1000000000),IFERROR(IF(VALUE(MID($D1210,2,20))&lt;100000000,VALUE(MID($D1210,2,20)),1000000000),1000000000))+ROW()/100000,"")</f>
        <v/>
      </c>
    </row>
    <row r="1211">
      <c r="F1211" s="11" t="n"/>
      <c r="N1211" s="7">
        <f>IF($D1211="","",M1211*V1211/100)</f>
        <v/>
      </c>
      <c r="O1211" s="7" t="n"/>
      <c r="U1211" s="7" t="n"/>
      <c r="V1211" s="7" t="n"/>
      <c r="Y1211">
        <f>IF($D1211="","",IF($AN1211=1,0,IF($AM1211=1,Settings!$C$6,Settings!$C$7))*100)</f>
        <v/>
      </c>
      <c r="Z1211" s="7">
        <f>IF($D1211="","",V1211*Y1211/100)</f>
        <v/>
      </c>
      <c r="AA1211" s="7">
        <f>IF($D1211="","",V1211-Z1211)</f>
        <v/>
      </c>
      <c r="AB1211" s="7">
        <f>IF($D1211="","",AA1211-N1211)</f>
        <v/>
      </c>
      <c r="AF1211" s="7" t="n"/>
      <c r="AI1211" s="11" t="n"/>
      <c r="AK1211">
        <f>IF($D1211="","",IF(COUNTIF($D$2:$D1211,$D1211)=1,1,0))</f>
        <v/>
      </c>
      <c r="AL1211">
        <f>IF($AK1211=1,SUMPRODUCT(--($AO$2:$AO$3001&lt;$AO1211))+1,"")</f>
        <v/>
      </c>
      <c r="AM1211">
        <f>IF($D1211="","",IF(OR($R1211=TRUE(),$R1211="TRUE"),1,0))</f>
        <v/>
      </c>
      <c r="AN1211">
        <f>IF($D1211="","",IF($X1211="Yes",1,0))</f>
        <v/>
      </c>
      <c r="AO1211">
        <f>IF($AK1211=1,IFERROR(IF(VALUE($D1211)&lt;100000000,VALUE($D1211),1000000000),IFERROR(IF(VALUE(MID($D1211,2,20))&lt;100000000,VALUE(MID($D1211,2,20)),1000000000),1000000000))+ROW()/100000,"")</f>
        <v/>
      </c>
    </row>
    <row r="1212">
      <c r="F1212" s="11" t="n"/>
      <c r="N1212" s="7">
        <f>IF($D1212="","",M1212*V1212/100)</f>
        <v/>
      </c>
      <c r="O1212" s="7" t="n"/>
      <c r="U1212" s="7" t="n"/>
      <c r="V1212" s="7" t="n"/>
      <c r="Y1212">
        <f>IF($D1212="","",IF($AN1212=1,0,IF($AM1212=1,Settings!$C$6,Settings!$C$7))*100)</f>
        <v/>
      </c>
      <c r="Z1212" s="7">
        <f>IF($D1212="","",V1212*Y1212/100)</f>
        <v/>
      </c>
      <c r="AA1212" s="7">
        <f>IF($D1212="","",V1212-Z1212)</f>
        <v/>
      </c>
      <c r="AB1212" s="7">
        <f>IF($D1212="","",AA1212-N1212)</f>
        <v/>
      </c>
      <c r="AF1212" s="7" t="n"/>
      <c r="AI1212" s="11" t="n"/>
      <c r="AK1212">
        <f>IF($D1212="","",IF(COUNTIF($D$2:$D1212,$D1212)=1,1,0))</f>
        <v/>
      </c>
      <c r="AL1212">
        <f>IF($AK1212=1,SUMPRODUCT(--($AO$2:$AO$3001&lt;$AO1212))+1,"")</f>
        <v/>
      </c>
      <c r="AM1212">
        <f>IF($D1212="","",IF(OR($R1212=TRUE(),$R1212="TRUE"),1,0))</f>
        <v/>
      </c>
      <c r="AN1212">
        <f>IF($D1212="","",IF($X1212="Yes",1,0))</f>
        <v/>
      </c>
      <c r="AO1212">
        <f>IF($AK1212=1,IFERROR(IF(VALUE($D1212)&lt;100000000,VALUE($D1212),1000000000),IFERROR(IF(VALUE(MID($D1212,2,20))&lt;100000000,VALUE(MID($D1212,2,20)),1000000000),1000000000))+ROW()/100000,"")</f>
        <v/>
      </c>
    </row>
    <row r="1213">
      <c r="F1213" s="11" t="n"/>
      <c r="N1213" s="7">
        <f>IF($D1213="","",M1213*V1213/100)</f>
        <v/>
      </c>
      <c r="O1213" s="7" t="n"/>
      <c r="U1213" s="7" t="n"/>
      <c r="V1213" s="7" t="n"/>
      <c r="Y1213">
        <f>IF($D1213="","",IF($AN1213=1,0,IF($AM1213=1,Settings!$C$6,Settings!$C$7))*100)</f>
        <v/>
      </c>
      <c r="Z1213" s="7">
        <f>IF($D1213="","",V1213*Y1213/100)</f>
        <v/>
      </c>
      <c r="AA1213" s="7">
        <f>IF($D1213="","",V1213-Z1213)</f>
        <v/>
      </c>
      <c r="AB1213" s="7">
        <f>IF($D1213="","",AA1213-N1213)</f>
        <v/>
      </c>
      <c r="AF1213" s="7" t="n"/>
      <c r="AI1213" s="11" t="n"/>
      <c r="AK1213">
        <f>IF($D1213="","",IF(COUNTIF($D$2:$D1213,$D1213)=1,1,0))</f>
        <v/>
      </c>
      <c r="AL1213">
        <f>IF($AK1213=1,SUMPRODUCT(--($AO$2:$AO$3001&lt;$AO1213))+1,"")</f>
        <v/>
      </c>
      <c r="AM1213">
        <f>IF($D1213="","",IF(OR($R1213=TRUE(),$R1213="TRUE"),1,0))</f>
        <v/>
      </c>
      <c r="AN1213">
        <f>IF($D1213="","",IF($X1213="Yes",1,0))</f>
        <v/>
      </c>
      <c r="AO1213">
        <f>IF($AK1213=1,IFERROR(IF(VALUE($D1213)&lt;100000000,VALUE($D1213),1000000000),IFERROR(IF(VALUE(MID($D1213,2,20))&lt;100000000,VALUE(MID($D1213,2,20)),1000000000),1000000000))+ROW()/100000,"")</f>
        <v/>
      </c>
    </row>
    <row r="1214">
      <c r="F1214" s="11" t="n"/>
      <c r="N1214" s="7">
        <f>IF($D1214="","",M1214*V1214/100)</f>
        <v/>
      </c>
      <c r="O1214" s="7" t="n"/>
      <c r="U1214" s="7" t="n"/>
      <c r="V1214" s="7" t="n"/>
      <c r="Y1214">
        <f>IF($D1214="","",IF($AN1214=1,0,IF($AM1214=1,Settings!$C$6,Settings!$C$7))*100)</f>
        <v/>
      </c>
      <c r="Z1214" s="7">
        <f>IF($D1214="","",V1214*Y1214/100)</f>
        <v/>
      </c>
      <c r="AA1214" s="7">
        <f>IF($D1214="","",V1214-Z1214)</f>
        <v/>
      </c>
      <c r="AB1214" s="7">
        <f>IF($D1214="","",AA1214-N1214)</f>
        <v/>
      </c>
      <c r="AF1214" s="7" t="n"/>
      <c r="AI1214" s="11" t="n"/>
      <c r="AK1214">
        <f>IF($D1214="","",IF(COUNTIF($D$2:$D1214,$D1214)=1,1,0))</f>
        <v/>
      </c>
      <c r="AL1214">
        <f>IF($AK1214=1,SUMPRODUCT(--($AO$2:$AO$3001&lt;$AO1214))+1,"")</f>
        <v/>
      </c>
      <c r="AM1214">
        <f>IF($D1214="","",IF(OR($R1214=TRUE(),$R1214="TRUE"),1,0))</f>
        <v/>
      </c>
      <c r="AN1214">
        <f>IF($D1214="","",IF($X1214="Yes",1,0))</f>
        <v/>
      </c>
      <c r="AO1214">
        <f>IF($AK1214=1,IFERROR(IF(VALUE($D1214)&lt;100000000,VALUE($D1214),1000000000),IFERROR(IF(VALUE(MID($D1214,2,20))&lt;100000000,VALUE(MID($D1214,2,20)),1000000000),1000000000))+ROW()/100000,"")</f>
        <v/>
      </c>
    </row>
    <row r="1215">
      <c r="F1215" s="11" t="n"/>
      <c r="N1215" s="7">
        <f>IF($D1215="","",M1215*V1215/100)</f>
        <v/>
      </c>
      <c r="O1215" s="7" t="n"/>
      <c r="U1215" s="7" t="n"/>
      <c r="V1215" s="7" t="n"/>
      <c r="Y1215">
        <f>IF($D1215="","",IF($AN1215=1,0,IF($AM1215=1,Settings!$C$6,Settings!$C$7))*100)</f>
        <v/>
      </c>
      <c r="Z1215" s="7">
        <f>IF($D1215="","",V1215*Y1215/100)</f>
        <v/>
      </c>
      <c r="AA1215" s="7">
        <f>IF($D1215="","",V1215-Z1215)</f>
        <v/>
      </c>
      <c r="AB1215" s="7">
        <f>IF($D1215="","",AA1215-N1215)</f>
        <v/>
      </c>
      <c r="AF1215" s="7" t="n"/>
      <c r="AI1215" s="11" t="n"/>
      <c r="AK1215">
        <f>IF($D1215="","",IF(COUNTIF($D$2:$D1215,$D1215)=1,1,0))</f>
        <v/>
      </c>
      <c r="AL1215">
        <f>IF($AK1215=1,SUMPRODUCT(--($AO$2:$AO$3001&lt;$AO1215))+1,"")</f>
        <v/>
      </c>
      <c r="AM1215">
        <f>IF($D1215="","",IF(OR($R1215=TRUE(),$R1215="TRUE"),1,0))</f>
        <v/>
      </c>
      <c r="AN1215">
        <f>IF($D1215="","",IF($X1215="Yes",1,0))</f>
        <v/>
      </c>
      <c r="AO1215">
        <f>IF($AK1215=1,IFERROR(IF(VALUE($D1215)&lt;100000000,VALUE($D1215),1000000000),IFERROR(IF(VALUE(MID($D1215,2,20))&lt;100000000,VALUE(MID($D1215,2,20)),1000000000),1000000000))+ROW()/100000,"")</f>
        <v/>
      </c>
    </row>
    <row r="1216">
      <c r="F1216" s="11" t="n"/>
      <c r="N1216" s="7">
        <f>IF($D1216="","",M1216*V1216/100)</f>
        <v/>
      </c>
      <c r="O1216" s="7" t="n"/>
      <c r="U1216" s="7" t="n"/>
      <c r="V1216" s="7" t="n"/>
      <c r="Y1216">
        <f>IF($D1216="","",IF($AN1216=1,0,IF($AM1216=1,Settings!$C$6,Settings!$C$7))*100)</f>
        <v/>
      </c>
      <c r="Z1216" s="7">
        <f>IF($D1216="","",V1216*Y1216/100)</f>
        <v/>
      </c>
      <c r="AA1216" s="7">
        <f>IF($D1216="","",V1216-Z1216)</f>
        <v/>
      </c>
      <c r="AB1216" s="7">
        <f>IF($D1216="","",AA1216-N1216)</f>
        <v/>
      </c>
      <c r="AF1216" s="7" t="n"/>
      <c r="AI1216" s="11" t="n"/>
      <c r="AK1216">
        <f>IF($D1216="","",IF(COUNTIF($D$2:$D1216,$D1216)=1,1,0))</f>
        <v/>
      </c>
      <c r="AL1216">
        <f>IF($AK1216=1,SUMPRODUCT(--($AO$2:$AO$3001&lt;$AO1216))+1,"")</f>
        <v/>
      </c>
      <c r="AM1216">
        <f>IF($D1216="","",IF(OR($R1216=TRUE(),$R1216="TRUE"),1,0))</f>
        <v/>
      </c>
      <c r="AN1216">
        <f>IF($D1216="","",IF($X1216="Yes",1,0))</f>
        <v/>
      </c>
      <c r="AO1216">
        <f>IF($AK1216=1,IFERROR(IF(VALUE($D1216)&lt;100000000,VALUE($D1216),1000000000),IFERROR(IF(VALUE(MID($D1216,2,20))&lt;100000000,VALUE(MID($D1216,2,20)),1000000000),1000000000))+ROW()/100000,"")</f>
        <v/>
      </c>
    </row>
    <row r="1217">
      <c r="F1217" s="11" t="n"/>
      <c r="N1217" s="7">
        <f>IF($D1217="","",M1217*V1217/100)</f>
        <v/>
      </c>
      <c r="O1217" s="7" t="n"/>
      <c r="U1217" s="7" t="n"/>
      <c r="V1217" s="7" t="n"/>
      <c r="Y1217">
        <f>IF($D1217="","",IF($AN1217=1,0,IF($AM1217=1,Settings!$C$6,Settings!$C$7))*100)</f>
        <v/>
      </c>
      <c r="Z1217" s="7">
        <f>IF($D1217="","",V1217*Y1217/100)</f>
        <v/>
      </c>
      <c r="AA1217" s="7">
        <f>IF($D1217="","",V1217-Z1217)</f>
        <v/>
      </c>
      <c r="AB1217" s="7">
        <f>IF($D1217="","",AA1217-N1217)</f>
        <v/>
      </c>
      <c r="AF1217" s="7" t="n"/>
      <c r="AI1217" s="11" t="n"/>
      <c r="AK1217">
        <f>IF($D1217="","",IF(COUNTIF($D$2:$D1217,$D1217)=1,1,0))</f>
        <v/>
      </c>
      <c r="AL1217">
        <f>IF($AK1217=1,SUMPRODUCT(--($AO$2:$AO$3001&lt;$AO1217))+1,"")</f>
        <v/>
      </c>
      <c r="AM1217">
        <f>IF($D1217="","",IF(OR($R1217=TRUE(),$R1217="TRUE"),1,0))</f>
        <v/>
      </c>
      <c r="AN1217">
        <f>IF($D1217="","",IF($X1217="Yes",1,0))</f>
        <v/>
      </c>
      <c r="AO1217">
        <f>IF($AK1217=1,IFERROR(IF(VALUE($D1217)&lt;100000000,VALUE($D1217),1000000000),IFERROR(IF(VALUE(MID($D1217,2,20))&lt;100000000,VALUE(MID($D1217,2,20)),1000000000),1000000000))+ROW()/100000,"")</f>
        <v/>
      </c>
    </row>
    <row r="1218">
      <c r="F1218" s="11" t="n"/>
      <c r="N1218" s="7">
        <f>IF($D1218="","",M1218*V1218/100)</f>
        <v/>
      </c>
      <c r="O1218" s="7" t="n"/>
      <c r="U1218" s="7" t="n"/>
      <c r="V1218" s="7" t="n"/>
      <c r="Y1218">
        <f>IF($D1218="","",IF($AN1218=1,0,IF($AM1218=1,Settings!$C$6,Settings!$C$7))*100)</f>
        <v/>
      </c>
      <c r="Z1218" s="7">
        <f>IF($D1218="","",V1218*Y1218/100)</f>
        <v/>
      </c>
      <c r="AA1218" s="7">
        <f>IF($D1218="","",V1218-Z1218)</f>
        <v/>
      </c>
      <c r="AB1218" s="7">
        <f>IF($D1218="","",AA1218-N1218)</f>
        <v/>
      </c>
      <c r="AF1218" s="7" t="n"/>
      <c r="AI1218" s="11" t="n"/>
      <c r="AK1218">
        <f>IF($D1218="","",IF(COUNTIF($D$2:$D1218,$D1218)=1,1,0))</f>
        <v/>
      </c>
      <c r="AL1218">
        <f>IF($AK1218=1,SUMPRODUCT(--($AO$2:$AO$3001&lt;$AO1218))+1,"")</f>
        <v/>
      </c>
      <c r="AM1218">
        <f>IF($D1218="","",IF(OR($R1218=TRUE(),$R1218="TRUE"),1,0))</f>
        <v/>
      </c>
      <c r="AN1218">
        <f>IF($D1218="","",IF($X1218="Yes",1,0))</f>
        <v/>
      </c>
      <c r="AO1218">
        <f>IF($AK1218=1,IFERROR(IF(VALUE($D1218)&lt;100000000,VALUE($D1218),1000000000),IFERROR(IF(VALUE(MID($D1218,2,20))&lt;100000000,VALUE(MID($D1218,2,20)),1000000000),1000000000))+ROW()/100000,"")</f>
        <v/>
      </c>
    </row>
    <row r="1219">
      <c r="F1219" s="11" t="n"/>
      <c r="N1219" s="7">
        <f>IF($D1219="","",M1219*V1219/100)</f>
        <v/>
      </c>
      <c r="O1219" s="7" t="n"/>
      <c r="U1219" s="7" t="n"/>
      <c r="V1219" s="7" t="n"/>
      <c r="Y1219">
        <f>IF($D1219="","",IF($AN1219=1,0,IF($AM1219=1,Settings!$C$6,Settings!$C$7))*100)</f>
        <v/>
      </c>
      <c r="Z1219" s="7">
        <f>IF($D1219="","",V1219*Y1219/100)</f>
        <v/>
      </c>
      <c r="AA1219" s="7">
        <f>IF($D1219="","",V1219-Z1219)</f>
        <v/>
      </c>
      <c r="AB1219" s="7">
        <f>IF($D1219="","",AA1219-N1219)</f>
        <v/>
      </c>
      <c r="AF1219" s="7" t="n"/>
      <c r="AI1219" s="11" t="n"/>
      <c r="AK1219">
        <f>IF($D1219="","",IF(COUNTIF($D$2:$D1219,$D1219)=1,1,0))</f>
        <v/>
      </c>
      <c r="AL1219">
        <f>IF($AK1219=1,SUMPRODUCT(--($AO$2:$AO$3001&lt;$AO1219))+1,"")</f>
        <v/>
      </c>
      <c r="AM1219">
        <f>IF($D1219="","",IF(OR($R1219=TRUE(),$R1219="TRUE"),1,0))</f>
        <v/>
      </c>
      <c r="AN1219">
        <f>IF($D1219="","",IF($X1219="Yes",1,0))</f>
        <v/>
      </c>
      <c r="AO1219">
        <f>IF($AK1219=1,IFERROR(IF(VALUE($D1219)&lt;100000000,VALUE($D1219),1000000000),IFERROR(IF(VALUE(MID($D1219,2,20))&lt;100000000,VALUE(MID($D1219,2,20)),1000000000),1000000000))+ROW()/100000,"")</f>
        <v/>
      </c>
    </row>
    <row r="1220">
      <c r="F1220" s="11" t="n"/>
      <c r="N1220" s="7">
        <f>IF($D1220="","",M1220*V1220/100)</f>
        <v/>
      </c>
      <c r="O1220" s="7" t="n"/>
      <c r="U1220" s="7" t="n"/>
      <c r="V1220" s="7" t="n"/>
      <c r="Y1220">
        <f>IF($D1220="","",IF($AN1220=1,0,IF($AM1220=1,Settings!$C$6,Settings!$C$7))*100)</f>
        <v/>
      </c>
      <c r="Z1220" s="7">
        <f>IF($D1220="","",V1220*Y1220/100)</f>
        <v/>
      </c>
      <c r="AA1220" s="7">
        <f>IF($D1220="","",V1220-Z1220)</f>
        <v/>
      </c>
      <c r="AB1220" s="7">
        <f>IF($D1220="","",AA1220-N1220)</f>
        <v/>
      </c>
      <c r="AF1220" s="7" t="n"/>
      <c r="AI1220" s="11" t="n"/>
      <c r="AK1220">
        <f>IF($D1220="","",IF(COUNTIF($D$2:$D1220,$D1220)=1,1,0))</f>
        <v/>
      </c>
      <c r="AL1220">
        <f>IF($AK1220=1,SUMPRODUCT(--($AO$2:$AO$3001&lt;$AO1220))+1,"")</f>
        <v/>
      </c>
      <c r="AM1220">
        <f>IF($D1220="","",IF(OR($R1220=TRUE(),$R1220="TRUE"),1,0))</f>
        <v/>
      </c>
      <c r="AN1220">
        <f>IF($D1220="","",IF($X1220="Yes",1,0))</f>
        <v/>
      </c>
      <c r="AO1220">
        <f>IF($AK1220=1,IFERROR(IF(VALUE($D1220)&lt;100000000,VALUE($D1220),1000000000),IFERROR(IF(VALUE(MID($D1220,2,20))&lt;100000000,VALUE(MID($D1220,2,20)),1000000000),1000000000))+ROW()/100000,"")</f>
        <v/>
      </c>
    </row>
    <row r="1221">
      <c r="F1221" s="11" t="n"/>
      <c r="N1221" s="7">
        <f>IF($D1221="","",M1221*V1221/100)</f>
        <v/>
      </c>
      <c r="O1221" s="7" t="n"/>
      <c r="U1221" s="7" t="n"/>
      <c r="V1221" s="7" t="n"/>
      <c r="Y1221">
        <f>IF($D1221="","",IF($AN1221=1,0,IF($AM1221=1,Settings!$C$6,Settings!$C$7))*100)</f>
        <v/>
      </c>
      <c r="Z1221" s="7">
        <f>IF($D1221="","",V1221*Y1221/100)</f>
        <v/>
      </c>
      <c r="AA1221" s="7">
        <f>IF($D1221="","",V1221-Z1221)</f>
        <v/>
      </c>
      <c r="AB1221" s="7">
        <f>IF($D1221="","",AA1221-N1221)</f>
        <v/>
      </c>
      <c r="AF1221" s="7" t="n"/>
      <c r="AI1221" s="11" t="n"/>
      <c r="AK1221">
        <f>IF($D1221="","",IF(COUNTIF($D$2:$D1221,$D1221)=1,1,0))</f>
        <v/>
      </c>
      <c r="AL1221">
        <f>IF($AK1221=1,SUMPRODUCT(--($AO$2:$AO$3001&lt;$AO1221))+1,"")</f>
        <v/>
      </c>
      <c r="AM1221">
        <f>IF($D1221="","",IF(OR($R1221=TRUE(),$R1221="TRUE"),1,0))</f>
        <v/>
      </c>
      <c r="AN1221">
        <f>IF($D1221="","",IF($X1221="Yes",1,0))</f>
        <v/>
      </c>
      <c r="AO1221">
        <f>IF($AK1221=1,IFERROR(IF(VALUE($D1221)&lt;100000000,VALUE($D1221),1000000000),IFERROR(IF(VALUE(MID($D1221,2,20))&lt;100000000,VALUE(MID($D1221,2,20)),1000000000),1000000000))+ROW()/100000,"")</f>
        <v/>
      </c>
    </row>
    <row r="1222">
      <c r="F1222" s="11" t="n"/>
      <c r="N1222" s="7">
        <f>IF($D1222="","",M1222*V1222/100)</f>
        <v/>
      </c>
      <c r="O1222" s="7" t="n"/>
      <c r="U1222" s="7" t="n"/>
      <c r="V1222" s="7" t="n"/>
      <c r="Y1222">
        <f>IF($D1222="","",IF($AN1222=1,0,IF($AM1222=1,Settings!$C$6,Settings!$C$7))*100)</f>
        <v/>
      </c>
      <c r="Z1222" s="7">
        <f>IF($D1222="","",V1222*Y1222/100)</f>
        <v/>
      </c>
      <c r="AA1222" s="7">
        <f>IF($D1222="","",V1222-Z1222)</f>
        <v/>
      </c>
      <c r="AB1222" s="7">
        <f>IF($D1222="","",AA1222-N1222)</f>
        <v/>
      </c>
      <c r="AF1222" s="7" t="n"/>
      <c r="AI1222" s="11" t="n"/>
      <c r="AK1222">
        <f>IF($D1222="","",IF(COUNTIF($D$2:$D1222,$D1222)=1,1,0))</f>
        <v/>
      </c>
      <c r="AL1222">
        <f>IF($AK1222=1,SUMPRODUCT(--($AO$2:$AO$3001&lt;$AO1222))+1,"")</f>
        <v/>
      </c>
      <c r="AM1222">
        <f>IF($D1222="","",IF(OR($R1222=TRUE(),$R1222="TRUE"),1,0))</f>
        <v/>
      </c>
      <c r="AN1222">
        <f>IF($D1222="","",IF($X1222="Yes",1,0))</f>
        <v/>
      </c>
      <c r="AO1222">
        <f>IF($AK1222=1,IFERROR(IF(VALUE($D1222)&lt;100000000,VALUE($D1222),1000000000),IFERROR(IF(VALUE(MID($D1222,2,20))&lt;100000000,VALUE(MID($D1222,2,20)),1000000000),1000000000))+ROW()/100000,"")</f>
        <v/>
      </c>
    </row>
    <row r="1223">
      <c r="F1223" s="11" t="n"/>
      <c r="N1223" s="7">
        <f>IF($D1223="","",M1223*V1223/100)</f>
        <v/>
      </c>
      <c r="O1223" s="7" t="n"/>
      <c r="U1223" s="7" t="n"/>
      <c r="V1223" s="7" t="n"/>
      <c r="Y1223">
        <f>IF($D1223="","",IF($AN1223=1,0,IF($AM1223=1,Settings!$C$6,Settings!$C$7))*100)</f>
        <v/>
      </c>
      <c r="Z1223" s="7">
        <f>IF($D1223="","",V1223*Y1223/100)</f>
        <v/>
      </c>
      <c r="AA1223" s="7">
        <f>IF($D1223="","",V1223-Z1223)</f>
        <v/>
      </c>
      <c r="AB1223" s="7">
        <f>IF($D1223="","",AA1223-N1223)</f>
        <v/>
      </c>
      <c r="AF1223" s="7" t="n"/>
      <c r="AI1223" s="11" t="n"/>
      <c r="AK1223">
        <f>IF($D1223="","",IF(COUNTIF($D$2:$D1223,$D1223)=1,1,0))</f>
        <v/>
      </c>
      <c r="AL1223">
        <f>IF($AK1223=1,SUMPRODUCT(--($AO$2:$AO$3001&lt;$AO1223))+1,"")</f>
        <v/>
      </c>
      <c r="AM1223">
        <f>IF($D1223="","",IF(OR($R1223=TRUE(),$R1223="TRUE"),1,0))</f>
        <v/>
      </c>
      <c r="AN1223">
        <f>IF($D1223="","",IF($X1223="Yes",1,0))</f>
        <v/>
      </c>
      <c r="AO1223">
        <f>IF($AK1223=1,IFERROR(IF(VALUE($D1223)&lt;100000000,VALUE($D1223),1000000000),IFERROR(IF(VALUE(MID($D1223,2,20))&lt;100000000,VALUE(MID($D1223,2,20)),1000000000),1000000000))+ROW()/100000,"")</f>
        <v/>
      </c>
    </row>
    <row r="1224">
      <c r="F1224" s="11" t="n"/>
      <c r="N1224" s="7">
        <f>IF($D1224="","",M1224*V1224/100)</f>
        <v/>
      </c>
      <c r="O1224" s="7" t="n"/>
      <c r="U1224" s="7" t="n"/>
      <c r="V1224" s="7" t="n"/>
      <c r="Y1224">
        <f>IF($D1224="","",IF($AN1224=1,0,IF($AM1224=1,Settings!$C$6,Settings!$C$7))*100)</f>
        <v/>
      </c>
      <c r="Z1224" s="7">
        <f>IF($D1224="","",V1224*Y1224/100)</f>
        <v/>
      </c>
      <c r="AA1224" s="7">
        <f>IF($D1224="","",V1224-Z1224)</f>
        <v/>
      </c>
      <c r="AB1224" s="7">
        <f>IF($D1224="","",AA1224-N1224)</f>
        <v/>
      </c>
      <c r="AF1224" s="7" t="n"/>
      <c r="AI1224" s="11" t="n"/>
      <c r="AK1224">
        <f>IF($D1224="","",IF(COUNTIF($D$2:$D1224,$D1224)=1,1,0))</f>
        <v/>
      </c>
      <c r="AL1224">
        <f>IF($AK1224=1,SUMPRODUCT(--($AO$2:$AO$3001&lt;$AO1224))+1,"")</f>
        <v/>
      </c>
      <c r="AM1224">
        <f>IF($D1224="","",IF(OR($R1224=TRUE(),$R1224="TRUE"),1,0))</f>
        <v/>
      </c>
      <c r="AN1224">
        <f>IF($D1224="","",IF($X1224="Yes",1,0))</f>
        <v/>
      </c>
      <c r="AO1224">
        <f>IF($AK1224=1,IFERROR(IF(VALUE($D1224)&lt;100000000,VALUE($D1224),1000000000),IFERROR(IF(VALUE(MID($D1224,2,20))&lt;100000000,VALUE(MID($D1224,2,20)),1000000000),1000000000))+ROW()/100000,"")</f>
        <v/>
      </c>
    </row>
    <row r="1225">
      <c r="F1225" s="11" t="n"/>
      <c r="N1225" s="7">
        <f>IF($D1225="","",M1225*V1225/100)</f>
        <v/>
      </c>
      <c r="O1225" s="7" t="n"/>
      <c r="U1225" s="7" t="n"/>
      <c r="V1225" s="7" t="n"/>
      <c r="Y1225">
        <f>IF($D1225="","",IF($AN1225=1,0,IF($AM1225=1,Settings!$C$6,Settings!$C$7))*100)</f>
        <v/>
      </c>
      <c r="Z1225" s="7">
        <f>IF($D1225="","",V1225*Y1225/100)</f>
        <v/>
      </c>
      <c r="AA1225" s="7">
        <f>IF($D1225="","",V1225-Z1225)</f>
        <v/>
      </c>
      <c r="AB1225" s="7">
        <f>IF($D1225="","",AA1225-N1225)</f>
        <v/>
      </c>
      <c r="AF1225" s="7" t="n"/>
      <c r="AI1225" s="11" t="n"/>
      <c r="AK1225">
        <f>IF($D1225="","",IF(COUNTIF($D$2:$D1225,$D1225)=1,1,0))</f>
        <v/>
      </c>
      <c r="AL1225">
        <f>IF($AK1225=1,SUMPRODUCT(--($AO$2:$AO$3001&lt;$AO1225))+1,"")</f>
        <v/>
      </c>
      <c r="AM1225">
        <f>IF($D1225="","",IF(OR($R1225=TRUE(),$R1225="TRUE"),1,0))</f>
        <v/>
      </c>
      <c r="AN1225">
        <f>IF($D1225="","",IF($X1225="Yes",1,0))</f>
        <v/>
      </c>
      <c r="AO1225">
        <f>IF($AK1225=1,IFERROR(IF(VALUE($D1225)&lt;100000000,VALUE($D1225),1000000000),IFERROR(IF(VALUE(MID($D1225,2,20))&lt;100000000,VALUE(MID($D1225,2,20)),1000000000),1000000000))+ROW()/100000,"")</f>
        <v/>
      </c>
    </row>
    <row r="1226">
      <c r="F1226" s="11" t="n"/>
      <c r="N1226" s="7">
        <f>IF($D1226="","",M1226*V1226/100)</f>
        <v/>
      </c>
      <c r="O1226" s="7" t="n"/>
      <c r="U1226" s="7" t="n"/>
      <c r="V1226" s="7" t="n"/>
      <c r="Y1226">
        <f>IF($D1226="","",IF($AN1226=1,0,IF($AM1226=1,Settings!$C$6,Settings!$C$7))*100)</f>
        <v/>
      </c>
      <c r="Z1226" s="7">
        <f>IF($D1226="","",V1226*Y1226/100)</f>
        <v/>
      </c>
      <c r="AA1226" s="7">
        <f>IF($D1226="","",V1226-Z1226)</f>
        <v/>
      </c>
      <c r="AB1226" s="7">
        <f>IF($D1226="","",AA1226-N1226)</f>
        <v/>
      </c>
      <c r="AF1226" s="7" t="n"/>
      <c r="AI1226" s="11" t="n"/>
      <c r="AK1226">
        <f>IF($D1226="","",IF(COUNTIF($D$2:$D1226,$D1226)=1,1,0))</f>
        <v/>
      </c>
      <c r="AL1226">
        <f>IF($AK1226=1,SUMPRODUCT(--($AO$2:$AO$3001&lt;$AO1226))+1,"")</f>
        <v/>
      </c>
      <c r="AM1226">
        <f>IF($D1226="","",IF(OR($R1226=TRUE(),$R1226="TRUE"),1,0))</f>
        <v/>
      </c>
      <c r="AN1226">
        <f>IF($D1226="","",IF($X1226="Yes",1,0))</f>
        <v/>
      </c>
      <c r="AO1226">
        <f>IF($AK1226=1,IFERROR(IF(VALUE($D1226)&lt;100000000,VALUE($D1226),1000000000),IFERROR(IF(VALUE(MID($D1226,2,20))&lt;100000000,VALUE(MID($D1226,2,20)),1000000000),1000000000))+ROW()/100000,"")</f>
        <v/>
      </c>
    </row>
    <row r="1227">
      <c r="F1227" s="11" t="n"/>
      <c r="N1227" s="7">
        <f>IF($D1227="","",M1227*V1227/100)</f>
        <v/>
      </c>
      <c r="O1227" s="7" t="n"/>
      <c r="U1227" s="7" t="n"/>
      <c r="V1227" s="7" t="n"/>
      <c r="Y1227">
        <f>IF($D1227="","",IF($AN1227=1,0,IF($AM1227=1,Settings!$C$6,Settings!$C$7))*100)</f>
        <v/>
      </c>
      <c r="Z1227" s="7">
        <f>IF($D1227="","",V1227*Y1227/100)</f>
        <v/>
      </c>
      <c r="AA1227" s="7">
        <f>IF($D1227="","",V1227-Z1227)</f>
        <v/>
      </c>
      <c r="AB1227" s="7">
        <f>IF($D1227="","",AA1227-N1227)</f>
        <v/>
      </c>
      <c r="AF1227" s="7" t="n"/>
      <c r="AI1227" s="11" t="n"/>
      <c r="AK1227">
        <f>IF($D1227="","",IF(COUNTIF($D$2:$D1227,$D1227)=1,1,0))</f>
        <v/>
      </c>
      <c r="AL1227">
        <f>IF($AK1227=1,SUMPRODUCT(--($AO$2:$AO$3001&lt;$AO1227))+1,"")</f>
        <v/>
      </c>
      <c r="AM1227">
        <f>IF($D1227="","",IF(OR($R1227=TRUE(),$R1227="TRUE"),1,0))</f>
        <v/>
      </c>
      <c r="AN1227">
        <f>IF($D1227="","",IF($X1227="Yes",1,0))</f>
        <v/>
      </c>
      <c r="AO1227">
        <f>IF($AK1227=1,IFERROR(IF(VALUE($D1227)&lt;100000000,VALUE($D1227),1000000000),IFERROR(IF(VALUE(MID($D1227,2,20))&lt;100000000,VALUE(MID($D1227,2,20)),1000000000),1000000000))+ROW()/100000,"")</f>
        <v/>
      </c>
    </row>
    <row r="1228">
      <c r="F1228" s="11" t="n"/>
      <c r="N1228" s="7">
        <f>IF($D1228="","",M1228*V1228/100)</f>
        <v/>
      </c>
      <c r="O1228" s="7" t="n"/>
      <c r="U1228" s="7" t="n"/>
      <c r="V1228" s="7" t="n"/>
      <c r="Y1228">
        <f>IF($D1228="","",IF($AN1228=1,0,IF($AM1228=1,Settings!$C$6,Settings!$C$7))*100)</f>
        <v/>
      </c>
      <c r="Z1228" s="7">
        <f>IF($D1228="","",V1228*Y1228/100)</f>
        <v/>
      </c>
      <c r="AA1228" s="7">
        <f>IF($D1228="","",V1228-Z1228)</f>
        <v/>
      </c>
      <c r="AB1228" s="7">
        <f>IF($D1228="","",AA1228-N1228)</f>
        <v/>
      </c>
      <c r="AF1228" s="7" t="n"/>
      <c r="AI1228" s="11" t="n"/>
      <c r="AK1228">
        <f>IF($D1228="","",IF(COUNTIF($D$2:$D1228,$D1228)=1,1,0))</f>
        <v/>
      </c>
      <c r="AL1228">
        <f>IF($AK1228=1,SUMPRODUCT(--($AO$2:$AO$3001&lt;$AO1228))+1,"")</f>
        <v/>
      </c>
      <c r="AM1228">
        <f>IF($D1228="","",IF(OR($R1228=TRUE(),$R1228="TRUE"),1,0))</f>
        <v/>
      </c>
      <c r="AN1228">
        <f>IF($D1228="","",IF($X1228="Yes",1,0))</f>
        <v/>
      </c>
      <c r="AO1228">
        <f>IF($AK1228=1,IFERROR(IF(VALUE($D1228)&lt;100000000,VALUE($D1228),1000000000),IFERROR(IF(VALUE(MID($D1228,2,20))&lt;100000000,VALUE(MID($D1228,2,20)),1000000000),1000000000))+ROW()/100000,"")</f>
        <v/>
      </c>
    </row>
    <row r="1229">
      <c r="F1229" s="11" t="n"/>
      <c r="N1229" s="7">
        <f>IF($D1229="","",M1229*V1229/100)</f>
        <v/>
      </c>
      <c r="O1229" s="7" t="n"/>
      <c r="U1229" s="7" t="n"/>
      <c r="V1229" s="7" t="n"/>
      <c r="Y1229">
        <f>IF($D1229="","",IF($AN1229=1,0,IF($AM1229=1,Settings!$C$6,Settings!$C$7))*100)</f>
        <v/>
      </c>
      <c r="Z1229" s="7">
        <f>IF($D1229="","",V1229*Y1229/100)</f>
        <v/>
      </c>
      <c r="AA1229" s="7">
        <f>IF($D1229="","",V1229-Z1229)</f>
        <v/>
      </c>
      <c r="AB1229" s="7">
        <f>IF($D1229="","",AA1229-N1229)</f>
        <v/>
      </c>
      <c r="AF1229" s="7" t="n"/>
      <c r="AI1229" s="11" t="n"/>
      <c r="AK1229">
        <f>IF($D1229="","",IF(COUNTIF($D$2:$D1229,$D1229)=1,1,0))</f>
        <v/>
      </c>
      <c r="AL1229">
        <f>IF($AK1229=1,SUMPRODUCT(--($AO$2:$AO$3001&lt;$AO1229))+1,"")</f>
        <v/>
      </c>
      <c r="AM1229">
        <f>IF($D1229="","",IF(OR($R1229=TRUE(),$R1229="TRUE"),1,0))</f>
        <v/>
      </c>
      <c r="AN1229">
        <f>IF($D1229="","",IF($X1229="Yes",1,0))</f>
        <v/>
      </c>
      <c r="AO1229">
        <f>IF($AK1229=1,IFERROR(IF(VALUE($D1229)&lt;100000000,VALUE($D1229),1000000000),IFERROR(IF(VALUE(MID($D1229,2,20))&lt;100000000,VALUE(MID($D1229,2,20)),1000000000),1000000000))+ROW()/100000,"")</f>
        <v/>
      </c>
    </row>
    <row r="1230">
      <c r="F1230" s="11" t="n"/>
      <c r="N1230" s="7">
        <f>IF($D1230="","",M1230*V1230/100)</f>
        <v/>
      </c>
      <c r="O1230" s="7" t="n"/>
      <c r="U1230" s="7" t="n"/>
      <c r="V1230" s="7" t="n"/>
      <c r="Y1230">
        <f>IF($D1230="","",IF($AN1230=1,0,IF($AM1230=1,Settings!$C$6,Settings!$C$7))*100)</f>
        <v/>
      </c>
      <c r="Z1230" s="7">
        <f>IF($D1230="","",V1230*Y1230/100)</f>
        <v/>
      </c>
      <c r="AA1230" s="7">
        <f>IF($D1230="","",V1230-Z1230)</f>
        <v/>
      </c>
      <c r="AB1230" s="7">
        <f>IF($D1230="","",AA1230-N1230)</f>
        <v/>
      </c>
      <c r="AF1230" s="7" t="n"/>
      <c r="AI1230" s="11" t="n"/>
      <c r="AK1230">
        <f>IF($D1230="","",IF(COUNTIF($D$2:$D1230,$D1230)=1,1,0))</f>
        <v/>
      </c>
      <c r="AL1230">
        <f>IF($AK1230=1,SUMPRODUCT(--($AO$2:$AO$3001&lt;$AO1230))+1,"")</f>
        <v/>
      </c>
      <c r="AM1230">
        <f>IF($D1230="","",IF(OR($R1230=TRUE(),$R1230="TRUE"),1,0))</f>
        <v/>
      </c>
      <c r="AN1230">
        <f>IF($D1230="","",IF($X1230="Yes",1,0))</f>
        <v/>
      </c>
      <c r="AO1230">
        <f>IF($AK1230=1,IFERROR(IF(VALUE($D1230)&lt;100000000,VALUE($D1230),1000000000),IFERROR(IF(VALUE(MID($D1230,2,20))&lt;100000000,VALUE(MID($D1230,2,20)),1000000000),1000000000))+ROW()/100000,"")</f>
        <v/>
      </c>
    </row>
    <row r="1231">
      <c r="F1231" s="11" t="n"/>
      <c r="N1231" s="7">
        <f>IF($D1231="","",M1231*V1231/100)</f>
        <v/>
      </c>
      <c r="O1231" s="7" t="n"/>
      <c r="U1231" s="7" t="n"/>
      <c r="V1231" s="7" t="n"/>
      <c r="Y1231">
        <f>IF($D1231="","",IF($AN1231=1,0,IF($AM1231=1,Settings!$C$6,Settings!$C$7))*100)</f>
        <v/>
      </c>
      <c r="Z1231" s="7">
        <f>IF($D1231="","",V1231*Y1231/100)</f>
        <v/>
      </c>
      <c r="AA1231" s="7">
        <f>IF($D1231="","",V1231-Z1231)</f>
        <v/>
      </c>
      <c r="AB1231" s="7">
        <f>IF($D1231="","",AA1231-N1231)</f>
        <v/>
      </c>
      <c r="AF1231" s="7" t="n"/>
      <c r="AI1231" s="11" t="n"/>
      <c r="AK1231">
        <f>IF($D1231="","",IF(COUNTIF($D$2:$D1231,$D1231)=1,1,0))</f>
        <v/>
      </c>
      <c r="AL1231">
        <f>IF($AK1231=1,SUMPRODUCT(--($AO$2:$AO$3001&lt;$AO1231))+1,"")</f>
        <v/>
      </c>
      <c r="AM1231">
        <f>IF($D1231="","",IF(OR($R1231=TRUE(),$R1231="TRUE"),1,0))</f>
        <v/>
      </c>
      <c r="AN1231">
        <f>IF($D1231="","",IF($X1231="Yes",1,0))</f>
        <v/>
      </c>
      <c r="AO1231">
        <f>IF($AK1231=1,IFERROR(IF(VALUE($D1231)&lt;100000000,VALUE($D1231),1000000000),IFERROR(IF(VALUE(MID($D1231,2,20))&lt;100000000,VALUE(MID($D1231,2,20)),1000000000),1000000000))+ROW()/100000,"")</f>
        <v/>
      </c>
    </row>
    <row r="1232">
      <c r="F1232" s="11" t="n"/>
      <c r="N1232" s="7">
        <f>IF($D1232="","",M1232*V1232/100)</f>
        <v/>
      </c>
      <c r="O1232" s="7" t="n"/>
      <c r="U1232" s="7" t="n"/>
      <c r="V1232" s="7" t="n"/>
      <c r="Y1232">
        <f>IF($D1232="","",IF($AN1232=1,0,IF($AM1232=1,Settings!$C$6,Settings!$C$7))*100)</f>
        <v/>
      </c>
      <c r="Z1232" s="7">
        <f>IF($D1232="","",V1232*Y1232/100)</f>
        <v/>
      </c>
      <c r="AA1232" s="7">
        <f>IF($D1232="","",V1232-Z1232)</f>
        <v/>
      </c>
      <c r="AB1232" s="7">
        <f>IF($D1232="","",AA1232-N1232)</f>
        <v/>
      </c>
      <c r="AF1232" s="7" t="n"/>
      <c r="AI1232" s="11" t="n"/>
      <c r="AK1232">
        <f>IF($D1232="","",IF(COUNTIF($D$2:$D1232,$D1232)=1,1,0))</f>
        <v/>
      </c>
      <c r="AL1232">
        <f>IF($AK1232=1,SUMPRODUCT(--($AO$2:$AO$3001&lt;$AO1232))+1,"")</f>
        <v/>
      </c>
      <c r="AM1232">
        <f>IF($D1232="","",IF(OR($R1232=TRUE(),$R1232="TRUE"),1,0))</f>
        <v/>
      </c>
      <c r="AN1232">
        <f>IF($D1232="","",IF($X1232="Yes",1,0))</f>
        <v/>
      </c>
      <c r="AO1232">
        <f>IF($AK1232=1,IFERROR(IF(VALUE($D1232)&lt;100000000,VALUE($D1232),1000000000),IFERROR(IF(VALUE(MID($D1232,2,20))&lt;100000000,VALUE(MID($D1232,2,20)),1000000000),1000000000))+ROW()/100000,"")</f>
        <v/>
      </c>
    </row>
    <row r="1233">
      <c r="F1233" s="11" t="n"/>
      <c r="N1233" s="7">
        <f>IF($D1233="","",M1233*V1233/100)</f>
        <v/>
      </c>
      <c r="O1233" s="7" t="n"/>
      <c r="U1233" s="7" t="n"/>
      <c r="V1233" s="7" t="n"/>
      <c r="Y1233">
        <f>IF($D1233="","",IF($AN1233=1,0,IF($AM1233=1,Settings!$C$6,Settings!$C$7))*100)</f>
        <v/>
      </c>
      <c r="Z1233" s="7">
        <f>IF($D1233="","",V1233*Y1233/100)</f>
        <v/>
      </c>
      <c r="AA1233" s="7">
        <f>IF($D1233="","",V1233-Z1233)</f>
        <v/>
      </c>
      <c r="AB1233" s="7">
        <f>IF($D1233="","",AA1233-N1233)</f>
        <v/>
      </c>
      <c r="AF1233" s="7" t="n"/>
      <c r="AI1233" s="11" t="n"/>
      <c r="AK1233">
        <f>IF($D1233="","",IF(COUNTIF($D$2:$D1233,$D1233)=1,1,0))</f>
        <v/>
      </c>
      <c r="AL1233">
        <f>IF($AK1233=1,SUMPRODUCT(--($AO$2:$AO$3001&lt;$AO1233))+1,"")</f>
        <v/>
      </c>
      <c r="AM1233">
        <f>IF($D1233="","",IF(OR($R1233=TRUE(),$R1233="TRUE"),1,0))</f>
        <v/>
      </c>
      <c r="AN1233">
        <f>IF($D1233="","",IF($X1233="Yes",1,0))</f>
        <v/>
      </c>
      <c r="AO1233">
        <f>IF($AK1233=1,IFERROR(IF(VALUE($D1233)&lt;100000000,VALUE($D1233),1000000000),IFERROR(IF(VALUE(MID($D1233,2,20))&lt;100000000,VALUE(MID($D1233,2,20)),1000000000),1000000000))+ROW()/100000,"")</f>
        <v/>
      </c>
    </row>
    <row r="1234">
      <c r="F1234" s="11" t="n"/>
      <c r="N1234" s="7">
        <f>IF($D1234="","",M1234*V1234/100)</f>
        <v/>
      </c>
      <c r="O1234" s="7" t="n"/>
      <c r="U1234" s="7" t="n"/>
      <c r="V1234" s="7" t="n"/>
      <c r="Y1234">
        <f>IF($D1234="","",IF($AN1234=1,0,IF($AM1234=1,Settings!$C$6,Settings!$C$7))*100)</f>
        <v/>
      </c>
      <c r="Z1234" s="7">
        <f>IF($D1234="","",V1234*Y1234/100)</f>
        <v/>
      </c>
      <c r="AA1234" s="7">
        <f>IF($D1234="","",V1234-Z1234)</f>
        <v/>
      </c>
      <c r="AB1234" s="7">
        <f>IF($D1234="","",AA1234-N1234)</f>
        <v/>
      </c>
      <c r="AF1234" s="7" t="n"/>
      <c r="AI1234" s="11" t="n"/>
      <c r="AK1234">
        <f>IF($D1234="","",IF(COUNTIF($D$2:$D1234,$D1234)=1,1,0))</f>
        <v/>
      </c>
      <c r="AL1234">
        <f>IF($AK1234=1,SUMPRODUCT(--($AO$2:$AO$3001&lt;$AO1234))+1,"")</f>
        <v/>
      </c>
      <c r="AM1234">
        <f>IF($D1234="","",IF(OR($R1234=TRUE(),$R1234="TRUE"),1,0))</f>
        <v/>
      </c>
      <c r="AN1234">
        <f>IF($D1234="","",IF($X1234="Yes",1,0))</f>
        <v/>
      </c>
      <c r="AO1234">
        <f>IF($AK1234=1,IFERROR(IF(VALUE($D1234)&lt;100000000,VALUE($D1234),1000000000),IFERROR(IF(VALUE(MID($D1234,2,20))&lt;100000000,VALUE(MID($D1234,2,20)),1000000000),1000000000))+ROW()/100000,"")</f>
        <v/>
      </c>
    </row>
    <row r="1235">
      <c r="F1235" s="11" t="n"/>
      <c r="N1235" s="7">
        <f>IF($D1235="","",M1235*V1235/100)</f>
        <v/>
      </c>
      <c r="O1235" s="7" t="n"/>
      <c r="U1235" s="7" t="n"/>
      <c r="V1235" s="7" t="n"/>
      <c r="Y1235">
        <f>IF($D1235="","",IF($AN1235=1,0,IF($AM1235=1,Settings!$C$6,Settings!$C$7))*100)</f>
        <v/>
      </c>
      <c r="Z1235" s="7">
        <f>IF($D1235="","",V1235*Y1235/100)</f>
        <v/>
      </c>
      <c r="AA1235" s="7">
        <f>IF($D1235="","",V1235-Z1235)</f>
        <v/>
      </c>
      <c r="AB1235" s="7">
        <f>IF($D1235="","",AA1235-N1235)</f>
        <v/>
      </c>
      <c r="AF1235" s="7" t="n"/>
      <c r="AI1235" s="11" t="n"/>
      <c r="AK1235">
        <f>IF($D1235="","",IF(COUNTIF($D$2:$D1235,$D1235)=1,1,0))</f>
        <v/>
      </c>
      <c r="AL1235">
        <f>IF($AK1235=1,SUMPRODUCT(--($AO$2:$AO$3001&lt;$AO1235))+1,"")</f>
        <v/>
      </c>
      <c r="AM1235">
        <f>IF($D1235="","",IF(OR($R1235=TRUE(),$R1235="TRUE"),1,0))</f>
        <v/>
      </c>
      <c r="AN1235">
        <f>IF($D1235="","",IF($X1235="Yes",1,0))</f>
        <v/>
      </c>
      <c r="AO1235">
        <f>IF($AK1235=1,IFERROR(IF(VALUE($D1235)&lt;100000000,VALUE($D1235),1000000000),IFERROR(IF(VALUE(MID($D1235,2,20))&lt;100000000,VALUE(MID($D1235,2,20)),1000000000),1000000000))+ROW()/100000,"")</f>
        <v/>
      </c>
    </row>
    <row r="1236">
      <c r="F1236" s="11" t="n"/>
      <c r="N1236" s="7">
        <f>IF($D1236="","",M1236*V1236/100)</f>
        <v/>
      </c>
      <c r="O1236" s="7" t="n"/>
      <c r="U1236" s="7" t="n"/>
      <c r="V1236" s="7" t="n"/>
      <c r="Y1236">
        <f>IF($D1236="","",IF($AN1236=1,0,IF($AM1236=1,Settings!$C$6,Settings!$C$7))*100)</f>
        <v/>
      </c>
      <c r="Z1236" s="7">
        <f>IF($D1236="","",V1236*Y1236/100)</f>
        <v/>
      </c>
      <c r="AA1236" s="7">
        <f>IF($D1236="","",V1236-Z1236)</f>
        <v/>
      </c>
      <c r="AB1236" s="7">
        <f>IF($D1236="","",AA1236-N1236)</f>
        <v/>
      </c>
      <c r="AF1236" s="7" t="n"/>
      <c r="AI1236" s="11" t="n"/>
      <c r="AK1236">
        <f>IF($D1236="","",IF(COUNTIF($D$2:$D1236,$D1236)=1,1,0))</f>
        <v/>
      </c>
      <c r="AL1236">
        <f>IF($AK1236=1,SUMPRODUCT(--($AO$2:$AO$3001&lt;$AO1236))+1,"")</f>
        <v/>
      </c>
      <c r="AM1236">
        <f>IF($D1236="","",IF(OR($R1236=TRUE(),$R1236="TRUE"),1,0))</f>
        <v/>
      </c>
      <c r="AN1236">
        <f>IF($D1236="","",IF($X1236="Yes",1,0))</f>
        <v/>
      </c>
      <c r="AO1236">
        <f>IF($AK1236=1,IFERROR(IF(VALUE($D1236)&lt;100000000,VALUE($D1236),1000000000),IFERROR(IF(VALUE(MID($D1236,2,20))&lt;100000000,VALUE(MID($D1236,2,20)),1000000000),1000000000))+ROW()/100000,"")</f>
        <v/>
      </c>
    </row>
    <row r="1237">
      <c r="F1237" s="11" t="n"/>
      <c r="N1237" s="7">
        <f>IF($D1237="","",M1237*V1237/100)</f>
        <v/>
      </c>
      <c r="O1237" s="7" t="n"/>
      <c r="U1237" s="7" t="n"/>
      <c r="V1237" s="7" t="n"/>
      <c r="Y1237">
        <f>IF($D1237="","",IF($AN1237=1,0,IF($AM1237=1,Settings!$C$6,Settings!$C$7))*100)</f>
        <v/>
      </c>
      <c r="Z1237" s="7">
        <f>IF($D1237="","",V1237*Y1237/100)</f>
        <v/>
      </c>
      <c r="AA1237" s="7">
        <f>IF($D1237="","",V1237-Z1237)</f>
        <v/>
      </c>
      <c r="AB1237" s="7">
        <f>IF($D1237="","",AA1237-N1237)</f>
        <v/>
      </c>
      <c r="AF1237" s="7" t="n"/>
      <c r="AI1237" s="11" t="n"/>
      <c r="AK1237">
        <f>IF($D1237="","",IF(COUNTIF($D$2:$D1237,$D1237)=1,1,0))</f>
        <v/>
      </c>
      <c r="AL1237">
        <f>IF($AK1237=1,SUMPRODUCT(--($AO$2:$AO$3001&lt;$AO1237))+1,"")</f>
        <v/>
      </c>
      <c r="AM1237">
        <f>IF($D1237="","",IF(OR($R1237=TRUE(),$R1237="TRUE"),1,0))</f>
        <v/>
      </c>
      <c r="AN1237">
        <f>IF($D1237="","",IF($X1237="Yes",1,0))</f>
        <v/>
      </c>
      <c r="AO1237">
        <f>IF($AK1237=1,IFERROR(IF(VALUE($D1237)&lt;100000000,VALUE($D1237),1000000000),IFERROR(IF(VALUE(MID($D1237,2,20))&lt;100000000,VALUE(MID($D1237,2,20)),1000000000),1000000000))+ROW()/100000,"")</f>
        <v/>
      </c>
    </row>
    <row r="1238">
      <c r="F1238" s="11" t="n"/>
      <c r="N1238" s="7">
        <f>IF($D1238="","",M1238*V1238/100)</f>
        <v/>
      </c>
      <c r="O1238" s="7" t="n"/>
      <c r="U1238" s="7" t="n"/>
      <c r="V1238" s="7" t="n"/>
      <c r="Y1238">
        <f>IF($D1238="","",IF($AN1238=1,0,IF($AM1238=1,Settings!$C$6,Settings!$C$7))*100)</f>
        <v/>
      </c>
      <c r="Z1238" s="7">
        <f>IF($D1238="","",V1238*Y1238/100)</f>
        <v/>
      </c>
      <c r="AA1238" s="7">
        <f>IF($D1238="","",V1238-Z1238)</f>
        <v/>
      </c>
      <c r="AB1238" s="7">
        <f>IF($D1238="","",AA1238-N1238)</f>
        <v/>
      </c>
      <c r="AF1238" s="7" t="n"/>
      <c r="AI1238" s="11" t="n"/>
      <c r="AK1238">
        <f>IF($D1238="","",IF(COUNTIF($D$2:$D1238,$D1238)=1,1,0))</f>
        <v/>
      </c>
      <c r="AL1238">
        <f>IF($AK1238=1,SUMPRODUCT(--($AO$2:$AO$3001&lt;$AO1238))+1,"")</f>
        <v/>
      </c>
      <c r="AM1238">
        <f>IF($D1238="","",IF(OR($R1238=TRUE(),$R1238="TRUE"),1,0))</f>
        <v/>
      </c>
      <c r="AN1238">
        <f>IF($D1238="","",IF($X1238="Yes",1,0))</f>
        <v/>
      </c>
      <c r="AO1238">
        <f>IF($AK1238=1,IFERROR(IF(VALUE($D1238)&lt;100000000,VALUE($D1238),1000000000),IFERROR(IF(VALUE(MID($D1238,2,20))&lt;100000000,VALUE(MID($D1238,2,20)),1000000000),1000000000))+ROW()/100000,"")</f>
        <v/>
      </c>
    </row>
    <row r="1239">
      <c r="F1239" s="11" t="n"/>
      <c r="N1239" s="7">
        <f>IF($D1239="","",M1239*V1239/100)</f>
        <v/>
      </c>
      <c r="O1239" s="7" t="n"/>
      <c r="U1239" s="7" t="n"/>
      <c r="V1239" s="7" t="n"/>
      <c r="Y1239">
        <f>IF($D1239="","",IF($AN1239=1,0,IF($AM1239=1,Settings!$C$6,Settings!$C$7))*100)</f>
        <v/>
      </c>
      <c r="Z1239" s="7">
        <f>IF($D1239="","",V1239*Y1239/100)</f>
        <v/>
      </c>
      <c r="AA1239" s="7">
        <f>IF($D1239="","",V1239-Z1239)</f>
        <v/>
      </c>
      <c r="AB1239" s="7">
        <f>IF($D1239="","",AA1239-N1239)</f>
        <v/>
      </c>
      <c r="AF1239" s="7" t="n"/>
      <c r="AI1239" s="11" t="n"/>
      <c r="AK1239">
        <f>IF($D1239="","",IF(COUNTIF($D$2:$D1239,$D1239)=1,1,0))</f>
        <v/>
      </c>
      <c r="AL1239">
        <f>IF($AK1239=1,SUMPRODUCT(--($AO$2:$AO$3001&lt;$AO1239))+1,"")</f>
        <v/>
      </c>
      <c r="AM1239">
        <f>IF($D1239="","",IF(OR($R1239=TRUE(),$R1239="TRUE"),1,0))</f>
        <v/>
      </c>
      <c r="AN1239">
        <f>IF($D1239="","",IF($X1239="Yes",1,0))</f>
        <v/>
      </c>
      <c r="AO1239">
        <f>IF($AK1239=1,IFERROR(IF(VALUE($D1239)&lt;100000000,VALUE($D1239),1000000000),IFERROR(IF(VALUE(MID($D1239,2,20))&lt;100000000,VALUE(MID($D1239,2,20)),1000000000),1000000000))+ROW()/100000,"")</f>
        <v/>
      </c>
    </row>
    <row r="1240">
      <c r="F1240" s="11" t="n"/>
      <c r="N1240" s="7">
        <f>IF($D1240="","",M1240*V1240/100)</f>
        <v/>
      </c>
      <c r="O1240" s="7" t="n"/>
      <c r="U1240" s="7" t="n"/>
      <c r="V1240" s="7" t="n"/>
      <c r="Y1240">
        <f>IF($D1240="","",IF($AN1240=1,0,IF($AM1240=1,Settings!$C$6,Settings!$C$7))*100)</f>
        <v/>
      </c>
      <c r="Z1240" s="7">
        <f>IF($D1240="","",V1240*Y1240/100)</f>
        <v/>
      </c>
      <c r="AA1240" s="7">
        <f>IF($D1240="","",V1240-Z1240)</f>
        <v/>
      </c>
      <c r="AB1240" s="7">
        <f>IF($D1240="","",AA1240-N1240)</f>
        <v/>
      </c>
      <c r="AF1240" s="7" t="n"/>
      <c r="AI1240" s="11" t="n"/>
      <c r="AK1240">
        <f>IF($D1240="","",IF(COUNTIF($D$2:$D1240,$D1240)=1,1,0))</f>
        <v/>
      </c>
      <c r="AL1240">
        <f>IF($AK1240=1,SUMPRODUCT(--($AO$2:$AO$3001&lt;$AO1240))+1,"")</f>
        <v/>
      </c>
      <c r="AM1240">
        <f>IF($D1240="","",IF(OR($R1240=TRUE(),$R1240="TRUE"),1,0))</f>
        <v/>
      </c>
      <c r="AN1240">
        <f>IF($D1240="","",IF($X1240="Yes",1,0))</f>
        <v/>
      </c>
      <c r="AO1240">
        <f>IF($AK1240=1,IFERROR(IF(VALUE($D1240)&lt;100000000,VALUE($D1240),1000000000),IFERROR(IF(VALUE(MID($D1240,2,20))&lt;100000000,VALUE(MID($D1240,2,20)),1000000000),1000000000))+ROW()/100000,"")</f>
        <v/>
      </c>
    </row>
    <row r="1241">
      <c r="F1241" s="11" t="n"/>
      <c r="N1241" s="7">
        <f>IF($D1241="","",M1241*V1241/100)</f>
        <v/>
      </c>
      <c r="O1241" s="7" t="n"/>
      <c r="U1241" s="7" t="n"/>
      <c r="V1241" s="7" t="n"/>
      <c r="Y1241">
        <f>IF($D1241="","",IF($AN1241=1,0,IF($AM1241=1,Settings!$C$6,Settings!$C$7))*100)</f>
        <v/>
      </c>
      <c r="Z1241" s="7">
        <f>IF($D1241="","",V1241*Y1241/100)</f>
        <v/>
      </c>
      <c r="AA1241" s="7">
        <f>IF($D1241="","",V1241-Z1241)</f>
        <v/>
      </c>
      <c r="AB1241" s="7">
        <f>IF($D1241="","",AA1241-N1241)</f>
        <v/>
      </c>
      <c r="AF1241" s="7" t="n"/>
      <c r="AI1241" s="11" t="n"/>
      <c r="AK1241">
        <f>IF($D1241="","",IF(COUNTIF($D$2:$D1241,$D1241)=1,1,0))</f>
        <v/>
      </c>
      <c r="AL1241">
        <f>IF($AK1241=1,SUMPRODUCT(--($AO$2:$AO$3001&lt;$AO1241))+1,"")</f>
        <v/>
      </c>
      <c r="AM1241">
        <f>IF($D1241="","",IF(OR($R1241=TRUE(),$R1241="TRUE"),1,0))</f>
        <v/>
      </c>
      <c r="AN1241">
        <f>IF($D1241="","",IF($X1241="Yes",1,0))</f>
        <v/>
      </c>
      <c r="AO1241">
        <f>IF($AK1241=1,IFERROR(IF(VALUE($D1241)&lt;100000000,VALUE($D1241),1000000000),IFERROR(IF(VALUE(MID($D1241,2,20))&lt;100000000,VALUE(MID($D1241,2,20)),1000000000),1000000000))+ROW()/100000,"")</f>
        <v/>
      </c>
    </row>
    <row r="1242">
      <c r="F1242" s="11" t="n"/>
      <c r="N1242" s="7">
        <f>IF($D1242="","",M1242*V1242/100)</f>
        <v/>
      </c>
      <c r="O1242" s="7" t="n"/>
      <c r="U1242" s="7" t="n"/>
      <c r="V1242" s="7" t="n"/>
      <c r="Y1242">
        <f>IF($D1242="","",IF($AN1242=1,0,IF($AM1242=1,Settings!$C$6,Settings!$C$7))*100)</f>
        <v/>
      </c>
      <c r="Z1242" s="7">
        <f>IF($D1242="","",V1242*Y1242/100)</f>
        <v/>
      </c>
      <c r="AA1242" s="7">
        <f>IF($D1242="","",V1242-Z1242)</f>
        <v/>
      </c>
      <c r="AB1242" s="7">
        <f>IF($D1242="","",AA1242-N1242)</f>
        <v/>
      </c>
      <c r="AF1242" s="7" t="n"/>
      <c r="AI1242" s="11" t="n"/>
      <c r="AK1242">
        <f>IF($D1242="","",IF(COUNTIF($D$2:$D1242,$D1242)=1,1,0))</f>
        <v/>
      </c>
      <c r="AL1242">
        <f>IF($AK1242=1,SUMPRODUCT(--($AO$2:$AO$3001&lt;$AO1242))+1,"")</f>
        <v/>
      </c>
      <c r="AM1242">
        <f>IF($D1242="","",IF(OR($R1242=TRUE(),$R1242="TRUE"),1,0))</f>
        <v/>
      </c>
      <c r="AN1242">
        <f>IF($D1242="","",IF($X1242="Yes",1,0))</f>
        <v/>
      </c>
      <c r="AO1242">
        <f>IF($AK1242=1,IFERROR(IF(VALUE($D1242)&lt;100000000,VALUE($D1242),1000000000),IFERROR(IF(VALUE(MID($D1242,2,20))&lt;100000000,VALUE(MID($D1242,2,20)),1000000000),1000000000))+ROW()/100000,"")</f>
        <v/>
      </c>
    </row>
    <row r="1243">
      <c r="F1243" s="11" t="n"/>
      <c r="N1243" s="7">
        <f>IF($D1243="","",M1243*V1243/100)</f>
        <v/>
      </c>
      <c r="O1243" s="7" t="n"/>
      <c r="U1243" s="7" t="n"/>
      <c r="V1243" s="7" t="n"/>
      <c r="Y1243">
        <f>IF($D1243="","",IF($AN1243=1,0,IF($AM1243=1,Settings!$C$6,Settings!$C$7))*100)</f>
        <v/>
      </c>
      <c r="Z1243" s="7">
        <f>IF($D1243="","",V1243*Y1243/100)</f>
        <v/>
      </c>
      <c r="AA1243" s="7">
        <f>IF($D1243="","",V1243-Z1243)</f>
        <v/>
      </c>
      <c r="AB1243" s="7">
        <f>IF($D1243="","",AA1243-N1243)</f>
        <v/>
      </c>
      <c r="AF1243" s="7" t="n"/>
      <c r="AI1243" s="11" t="n"/>
      <c r="AK1243">
        <f>IF($D1243="","",IF(COUNTIF($D$2:$D1243,$D1243)=1,1,0))</f>
        <v/>
      </c>
      <c r="AL1243">
        <f>IF($AK1243=1,SUMPRODUCT(--($AO$2:$AO$3001&lt;$AO1243))+1,"")</f>
        <v/>
      </c>
      <c r="AM1243">
        <f>IF($D1243="","",IF(OR($R1243=TRUE(),$R1243="TRUE"),1,0))</f>
        <v/>
      </c>
      <c r="AN1243">
        <f>IF($D1243="","",IF($X1243="Yes",1,0))</f>
        <v/>
      </c>
      <c r="AO1243">
        <f>IF($AK1243=1,IFERROR(IF(VALUE($D1243)&lt;100000000,VALUE($D1243),1000000000),IFERROR(IF(VALUE(MID($D1243,2,20))&lt;100000000,VALUE(MID($D1243,2,20)),1000000000),1000000000))+ROW()/100000,"")</f>
        <v/>
      </c>
    </row>
    <row r="1244">
      <c r="F1244" s="11" t="n"/>
      <c r="N1244" s="7">
        <f>IF($D1244="","",M1244*V1244/100)</f>
        <v/>
      </c>
      <c r="O1244" s="7" t="n"/>
      <c r="U1244" s="7" t="n"/>
      <c r="V1244" s="7" t="n"/>
      <c r="Y1244">
        <f>IF($D1244="","",IF($AN1244=1,0,IF($AM1244=1,Settings!$C$6,Settings!$C$7))*100)</f>
        <v/>
      </c>
      <c r="Z1244" s="7">
        <f>IF($D1244="","",V1244*Y1244/100)</f>
        <v/>
      </c>
      <c r="AA1244" s="7">
        <f>IF($D1244="","",V1244-Z1244)</f>
        <v/>
      </c>
      <c r="AB1244" s="7">
        <f>IF($D1244="","",AA1244-N1244)</f>
        <v/>
      </c>
      <c r="AF1244" s="7" t="n"/>
      <c r="AI1244" s="11" t="n"/>
      <c r="AK1244">
        <f>IF($D1244="","",IF(COUNTIF($D$2:$D1244,$D1244)=1,1,0))</f>
        <v/>
      </c>
      <c r="AL1244">
        <f>IF($AK1244=1,SUMPRODUCT(--($AO$2:$AO$3001&lt;$AO1244))+1,"")</f>
        <v/>
      </c>
      <c r="AM1244">
        <f>IF($D1244="","",IF(OR($R1244=TRUE(),$R1244="TRUE"),1,0))</f>
        <v/>
      </c>
      <c r="AN1244">
        <f>IF($D1244="","",IF($X1244="Yes",1,0))</f>
        <v/>
      </c>
      <c r="AO1244">
        <f>IF($AK1244=1,IFERROR(IF(VALUE($D1244)&lt;100000000,VALUE($D1244),1000000000),IFERROR(IF(VALUE(MID($D1244,2,20))&lt;100000000,VALUE(MID($D1244,2,20)),1000000000),1000000000))+ROW()/100000,"")</f>
        <v/>
      </c>
    </row>
    <row r="1245">
      <c r="F1245" s="11" t="n"/>
      <c r="N1245" s="7">
        <f>IF($D1245="","",M1245*V1245/100)</f>
        <v/>
      </c>
      <c r="O1245" s="7" t="n"/>
      <c r="U1245" s="7" t="n"/>
      <c r="V1245" s="7" t="n"/>
      <c r="Y1245">
        <f>IF($D1245="","",IF($AN1245=1,0,IF($AM1245=1,Settings!$C$6,Settings!$C$7))*100)</f>
        <v/>
      </c>
      <c r="Z1245" s="7">
        <f>IF($D1245="","",V1245*Y1245/100)</f>
        <v/>
      </c>
      <c r="AA1245" s="7">
        <f>IF($D1245="","",V1245-Z1245)</f>
        <v/>
      </c>
      <c r="AB1245" s="7">
        <f>IF($D1245="","",AA1245-N1245)</f>
        <v/>
      </c>
      <c r="AF1245" s="7" t="n"/>
      <c r="AI1245" s="11" t="n"/>
      <c r="AK1245">
        <f>IF($D1245="","",IF(COUNTIF($D$2:$D1245,$D1245)=1,1,0))</f>
        <v/>
      </c>
      <c r="AL1245">
        <f>IF($AK1245=1,SUMPRODUCT(--($AO$2:$AO$3001&lt;$AO1245))+1,"")</f>
        <v/>
      </c>
      <c r="AM1245">
        <f>IF($D1245="","",IF(OR($R1245=TRUE(),$R1245="TRUE"),1,0))</f>
        <v/>
      </c>
      <c r="AN1245">
        <f>IF($D1245="","",IF($X1245="Yes",1,0))</f>
        <v/>
      </c>
      <c r="AO1245">
        <f>IF($AK1245=1,IFERROR(IF(VALUE($D1245)&lt;100000000,VALUE($D1245),1000000000),IFERROR(IF(VALUE(MID($D1245,2,20))&lt;100000000,VALUE(MID($D1245,2,20)),1000000000),1000000000))+ROW()/100000,"")</f>
        <v/>
      </c>
    </row>
    <row r="1246">
      <c r="F1246" s="11" t="n"/>
      <c r="N1246" s="7">
        <f>IF($D1246="","",M1246*V1246/100)</f>
        <v/>
      </c>
      <c r="O1246" s="7" t="n"/>
      <c r="U1246" s="7" t="n"/>
      <c r="V1246" s="7" t="n"/>
      <c r="Y1246">
        <f>IF($D1246="","",IF($AN1246=1,0,IF($AM1246=1,Settings!$C$6,Settings!$C$7))*100)</f>
        <v/>
      </c>
      <c r="Z1246" s="7">
        <f>IF($D1246="","",V1246*Y1246/100)</f>
        <v/>
      </c>
      <c r="AA1246" s="7">
        <f>IF($D1246="","",V1246-Z1246)</f>
        <v/>
      </c>
      <c r="AB1246" s="7">
        <f>IF($D1246="","",AA1246-N1246)</f>
        <v/>
      </c>
      <c r="AF1246" s="7" t="n"/>
      <c r="AI1246" s="11" t="n"/>
      <c r="AK1246">
        <f>IF($D1246="","",IF(COUNTIF($D$2:$D1246,$D1246)=1,1,0))</f>
        <v/>
      </c>
      <c r="AL1246">
        <f>IF($AK1246=1,SUMPRODUCT(--($AO$2:$AO$3001&lt;$AO1246))+1,"")</f>
        <v/>
      </c>
      <c r="AM1246">
        <f>IF($D1246="","",IF(OR($R1246=TRUE(),$R1246="TRUE"),1,0))</f>
        <v/>
      </c>
      <c r="AN1246">
        <f>IF($D1246="","",IF($X1246="Yes",1,0))</f>
        <v/>
      </c>
      <c r="AO1246">
        <f>IF($AK1246=1,IFERROR(IF(VALUE($D1246)&lt;100000000,VALUE($D1246),1000000000),IFERROR(IF(VALUE(MID($D1246,2,20))&lt;100000000,VALUE(MID($D1246,2,20)),1000000000),1000000000))+ROW()/100000,"")</f>
        <v/>
      </c>
    </row>
    <row r="1247">
      <c r="F1247" s="11" t="n"/>
      <c r="N1247" s="7">
        <f>IF($D1247="","",M1247*V1247/100)</f>
        <v/>
      </c>
      <c r="O1247" s="7" t="n"/>
      <c r="U1247" s="7" t="n"/>
      <c r="V1247" s="7" t="n"/>
      <c r="Y1247">
        <f>IF($D1247="","",IF($AN1247=1,0,IF($AM1247=1,Settings!$C$6,Settings!$C$7))*100)</f>
        <v/>
      </c>
      <c r="Z1247" s="7">
        <f>IF($D1247="","",V1247*Y1247/100)</f>
        <v/>
      </c>
      <c r="AA1247" s="7">
        <f>IF($D1247="","",V1247-Z1247)</f>
        <v/>
      </c>
      <c r="AB1247" s="7">
        <f>IF($D1247="","",AA1247-N1247)</f>
        <v/>
      </c>
      <c r="AF1247" s="7" t="n"/>
      <c r="AI1247" s="11" t="n"/>
      <c r="AK1247">
        <f>IF($D1247="","",IF(COUNTIF($D$2:$D1247,$D1247)=1,1,0))</f>
        <v/>
      </c>
      <c r="AL1247">
        <f>IF($AK1247=1,SUMPRODUCT(--($AO$2:$AO$3001&lt;$AO1247))+1,"")</f>
        <v/>
      </c>
      <c r="AM1247">
        <f>IF($D1247="","",IF(OR($R1247=TRUE(),$R1247="TRUE"),1,0))</f>
        <v/>
      </c>
      <c r="AN1247">
        <f>IF($D1247="","",IF($X1247="Yes",1,0))</f>
        <v/>
      </c>
      <c r="AO1247">
        <f>IF($AK1247=1,IFERROR(IF(VALUE($D1247)&lt;100000000,VALUE($D1247),1000000000),IFERROR(IF(VALUE(MID($D1247,2,20))&lt;100000000,VALUE(MID($D1247,2,20)),1000000000),1000000000))+ROW()/100000,"")</f>
        <v/>
      </c>
    </row>
    <row r="1248">
      <c r="F1248" s="11" t="n"/>
      <c r="N1248" s="7">
        <f>IF($D1248="","",M1248*V1248/100)</f>
        <v/>
      </c>
      <c r="O1248" s="7" t="n"/>
      <c r="U1248" s="7" t="n"/>
      <c r="V1248" s="7" t="n"/>
      <c r="Y1248">
        <f>IF($D1248="","",IF($AN1248=1,0,IF($AM1248=1,Settings!$C$6,Settings!$C$7))*100)</f>
        <v/>
      </c>
      <c r="Z1248" s="7">
        <f>IF($D1248="","",V1248*Y1248/100)</f>
        <v/>
      </c>
      <c r="AA1248" s="7">
        <f>IF($D1248="","",V1248-Z1248)</f>
        <v/>
      </c>
      <c r="AB1248" s="7">
        <f>IF($D1248="","",AA1248-N1248)</f>
        <v/>
      </c>
      <c r="AF1248" s="7" t="n"/>
      <c r="AI1248" s="11" t="n"/>
      <c r="AK1248">
        <f>IF($D1248="","",IF(COUNTIF($D$2:$D1248,$D1248)=1,1,0))</f>
        <v/>
      </c>
      <c r="AL1248">
        <f>IF($AK1248=1,SUMPRODUCT(--($AO$2:$AO$3001&lt;$AO1248))+1,"")</f>
        <v/>
      </c>
      <c r="AM1248">
        <f>IF($D1248="","",IF(OR($R1248=TRUE(),$R1248="TRUE"),1,0))</f>
        <v/>
      </c>
      <c r="AN1248">
        <f>IF($D1248="","",IF($X1248="Yes",1,0))</f>
        <v/>
      </c>
      <c r="AO1248">
        <f>IF($AK1248=1,IFERROR(IF(VALUE($D1248)&lt;100000000,VALUE($D1248),1000000000),IFERROR(IF(VALUE(MID($D1248,2,20))&lt;100000000,VALUE(MID($D1248,2,20)),1000000000),1000000000))+ROW()/100000,"")</f>
        <v/>
      </c>
    </row>
    <row r="1249">
      <c r="F1249" s="11" t="n"/>
      <c r="N1249" s="7">
        <f>IF($D1249="","",M1249*V1249/100)</f>
        <v/>
      </c>
      <c r="O1249" s="7" t="n"/>
      <c r="U1249" s="7" t="n"/>
      <c r="V1249" s="7" t="n"/>
      <c r="Y1249">
        <f>IF($D1249="","",IF($AN1249=1,0,IF($AM1249=1,Settings!$C$6,Settings!$C$7))*100)</f>
        <v/>
      </c>
      <c r="Z1249" s="7">
        <f>IF($D1249="","",V1249*Y1249/100)</f>
        <v/>
      </c>
      <c r="AA1249" s="7">
        <f>IF($D1249="","",V1249-Z1249)</f>
        <v/>
      </c>
      <c r="AB1249" s="7">
        <f>IF($D1249="","",AA1249-N1249)</f>
        <v/>
      </c>
      <c r="AF1249" s="7" t="n"/>
      <c r="AI1249" s="11" t="n"/>
      <c r="AK1249">
        <f>IF($D1249="","",IF(COUNTIF($D$2:$D1249,$D1249)=1,1,0))</f>
        <v/>
      </c>
      <c r="AL1249">
        <f>IF($AK1249=1,SUMPRODUCT(--($AO$2:$AO$3001&lt;$AO1249))+1,"")</f>
        <v/>
      </c>
      <c r="AM1249">
        <f>IF($D1249="","",IF(OR($R1249=TRUE(),$R1249="TRUE"),1,0))</f>
        <v/>
      </c>
      <c r="AN1249">
        <f>IF($D1249="","",IF($X1249="Yes",1,0))</f>
        <v/>
      </c>
      <c r="AO1249">
        <f>IF($AK1249=1,IFERROR(IF(VALUE($D1249)&lt;100000000,VALUE($D1249),1000000000),IFERROR(IF(VALUE(MID($D1249,2,20))&lt;100000000,VALUE(MID($D1249,2,20)),1000000000),1000000000))+ROW()/100000,"")</f>
        <v/>
      </c>
    </row>
    <row r="1250">
      <c r="F1250" s="11" t="n"/>
      <c r="N1250" s="7">
        <f>IF($D1250="","",M1250*V1250/100)</f>
        <v/>
      </c>
      <c r="O1250" s="7" t="n"/>
      <c r="U1250" s="7" t="n"/>
      <c r="V1250" s="7" t="n"/>
      <c r="Y1250">
        <f>IF($D1250="","",IF($AN1250=1,0,IF($AM1250=1,Settings!$C$6,Settings!$C$7))*100)</f>
        <v/>
      </c>
      <c r="Z1250" s="7">
        <f>IF($D1250="","",V1250*Y1250/100)</f>
        <v/>
      </c>
      <c r="AA1250" s="7">
        <f>IF($D1250="","",V1250-Z1250)</f>
        <v/>
      </c>
      <c r="AB1250" s="7">
        <f>IF($D1250="","",AA1250-N1250)</f>
        <v/>
      </c>
      <c r="AF1250" s="7" t="n"/>
      <c r="AI1250" s="11" t="n"/>
      <c r="AK1250">
        <f>IF($D1250="","",IF(COUNTIF($D$2:$D1250,$D1250)=1,1,0))</f>
        <v/>
      </c>
      <c r="AL1250">
        <f>IF($AK1250=1,SUMPRODUCT(--($AO$2:$AO$3001&lt;$AO1250))+1,"")</f>
        <v/>
      </c>
      <c r="AM1250">
        <f>IF($D1250="","",IF(OR($R1250=TRUE(),$R1250="TRUE"),1,0))</f>
        <v/>
      </c>
      <c r="AN1250">
        <f>IF($D1250="","",IF($X1250="Yes",1,0))</f>
        <v/>
      </c>
      <c r="AO1250">
        <f>IF($AK1250=1,IFERROR(IF(VALUE($D1250)&lt;100000000,VALUE($D1250),1000000000),IFERROR(IF(VALUE(MID($D1250,2,20))&lt;100000000,VALUE(MID($D1250,2,20)),1000000000),1000000000))+ROW()/100000,"")</f>
        <v/>
      </c>
    </row>
    <row r="1251">
      <c r="F1251" s="11" t="n"/>
      <c r="N1251" s="7">
        <f>IF($D1251="","",M1251*V1251/100)</f>
        <v/>
      </c>
      <c r="O1251" s="7" t="n"/>
      <c r="U1251" s="7" t="n"/>
      <c r="V1251" s="7" t="n"/>
      <c r="Y1251">
        <f>IF($D1251="","",IF($AN1251=1,0,IF($AM1251=1,Settings!$C$6,Settings!$C$7))*100)</f>
        <v/>
      </c>
      <c r="Z1251" s="7">
        <f>IF($D1251="","",V1251*Y1251/100)</f>
        <v/>
      </c>
      <c r="AA1251" s="7">
        <f>IF($D1251="","",V1251-Z1251)</f>
        <v/>
      </c>
      <c r="AB1251" s="7">
        <f>IF($D1251="","",AA1251-N1251)</f>
        <v/>
      </c>
      <c r="AF1251" s="7" t="n"/>
      <c r="AI1251" s="11" t="n"/>
      <c r="AK1251">
        <f>IF($D1251="","",IF(COUNTIF($D$2:$D1251,$D1251)=1,1,0))</f>
        <v/>
      </c>
      <c r="AL1251">
        <f>IF($AK1251=1,SUMPRODUCT(--($AO$2:$AO$3001&lt;$AO1251))+1,"")</f>
        <v/>
      </c>
      <c r="AM1251">
        <f>IF($D1251="","",IF(OR($R1251=TRUE(),$R1251="TRUE"),1,0))</f>
        <v/>
      </c>
      <c r="AN1251">
        <f>IF($D1251="","",IF($X1251="Yes",1,0))</f>
        <v/>
      </c>
      <c r="AO1251">
        <f>IF($AK1251=1,IFERROR(IF(VALUE($D1251)&lt;100000000,VALUE($D1251),1000000000),IFERROR(IF(VALUE(MID($D1251,2,20))&lt;100000000,VALUE(MID($D1251,2,20)),1000000000),1000000000))+ROW()/100000,"")</f>
        <v/>
      </c>
    </row>
    <row r="1252">
      <c r="F1252" s="11" t="n"/>
      <c r="N1252" s="7">
        <f>IF($D1252="","",M1252*V1252/100)</f>
        <v/>
      </c>
      <c r="O1252" s="7" t="n"/>
      <c r="U1252" s="7" t="n"/>
      <c r="V1252" s="7" t="n"/>
      <c r="Y1252">
        <f>IF($D1252="","",IF($AN1252=1,0,IF($AM1252=1,Settings!$C$6,Settings!$C$7))*100)</f>
        <v/>
      </c>
      <c r="Z1252" s="7">
        <f>IF($D1252="","",V1252*Y1252/100)</f>
        <v/>
      </c>
      <c r="AA1252" s="7">
        <f>IF($D1252="","",V1252-Z1252)</f>
        <v/>
      </c>
      <c r="AB1252" s="7">
        <f>IF($D1252="","",AA1252-N1252)</f>
        <v/>
      </c>
      <c r="AF1252" s="7" t="n"/>
      <c r="AI1252" s="11" t="n"/>
      <c r="AK1252">
        <f>IF($D1252="","",IF(COUNTIF($D$2:$D1252,$D1252)=1,1,0))</f>
        <v/>
      </c>
      <c r="AL1252">
        <f>IF($AK1252=1,SUMPRODUCT(--($AO$2:$AO$3001&lt;$AO1252))+1,"")</f>
        <v/>
      </c>
      <c r="AM1252">
        <f>IF($D1252="","",IF(OR($R1252=TRUE(),$R1252="TRUE"),1,0))</f>
        <v/>
      </c>
      <c r="AN1252">
        <f>IF($D1252="","",IF($X1252="Yes",1,0))</f>
        <v/>
      </c>
      <c r="AO1252">
        <f>IF($AK1252=1,IFERROR(IF(VALUE($D1252)&lt;100000000,VALUE($D1252),1000000000),IFERROR(IF(VALUE(MID($D1252,2,20))&lt;100000000,VALUE(MID($D1252,2,20)),1000000000),1000000000))+ROW()/100000,"")</f>
        <v/>
      </c>
    </row>
    <row r="1253">
      <c r="F1253" s="11" t="n"/>
      <c r="N1253" s="7">
        <f>IF($D1253="","",M1253*V1253/100)</f>
        <v/>
      </c>
      <c r="O1253" s="7" t="n"/>
      <c r="U1253" s="7" t="n"/>
      <c r="V1253" s="7" t="n"/>
      <c r="Y1253">
        <f>IF($D1253="","",IF($AN1253=1,0,IF($AM1253=1,Settings!$C$6,Settings!$C$7))*100)</f>
        <v/>
      </c>
      <c r="Z1253" s="7">
        <f>IF($D1253="","",V1253*Y1253/100)</f>
        <v/>
      </c>
      <c r="AA1253" s="7">
        <f>IF($D1253="","",V1253-Z1253)</f>
        <v/>
      </c>
      <c r="AB1253" s="7">
        <f>IF($D1253="","",AA1253-N1253)</f>
        <v/>
      </c>
      <c r="AF1253" s="7" t="n"/>
      <c r="AI1253" s="11" t="n"/>
      <c r="AK1253">
        <f>IF($D1253="","",IF(COUNTIF($D$2:$D1253,$D1253)=1,1,0))</f>
        <v/>
      </c>
      <c r="AL1253">
        <f>IF($AK1253=1,SUMPRODUCT(--($AO$2:$AO$3001&lt;$AO1253))+1,"")</f>
        <v/>
      </c>
      <c r="AM1253">
        <f>IF($D1253="","",IF(OR($R1253=TRUE(),$R1253="TRUE"),1,0))</f>
        <v/>
      </c>
      <c r="AN1253">
        <f>IF($D1253="","",IF($X1253="Yes",1,0))</f>
        <v/>
      </c>
      <c r="AO1253">
        <f>IF($AK1253=1,IFERROR(IF(VALUE($D1253)&lt;100000000,VALUE($D1253),1000000000),IFERROR(IF(VALUE(MID($D1253,2,20))&lt;100000000,VALUE(MID($D1253,2,20)),1000000000),1000000000))+ROW()/100000,"")</f>
        <v/>
      </c>
    </row>
    <row r="1254">
      <c r="F1254" s="11" t="n"/>
      <c r="N1254" s="7">
        <f>IF($D1254="","",M1254*V1254/100)</f>
        <v/>
      </c>
      <c r="O1254" s="7" t="n"/>
      <c r="U1254" s="7" t="n"/>
      <c r="V1254" s="7" t="n"/>
      <c r="Y1254">
        <f>IF($D1254="","",IF($AN1254=1,0,IF($AM1254=1,Settings!$C$6,Settings!$C$7))*100)</f>
        <v/>
      </c>
      <c r="Z1254" s="7">
        <f>IF($D1254="","",V1254*Y1254/100)</f>
        <v/>
      </c>
      <c r="AA1254" s="7">
        <f>IF($D1254="","",V1254-Z1254)</f>
        <v/>
      </c>
      <c r="AB1254" s="7">
        <f>IF($D1254="","",AA1254-N1254)</f>
        <v/>
      </c>
      <c r="AF1254" s="7" t="n"/>
      <c r="AI1254" s="11" t="n"/>
      <c r="AK1254">
        <f>IF($D1254="","",IF(COUNTIF($D$2:$D1254,$D1254)=1,1,0))</f>
        <v/>
      </c>
      <c r="AL1254">
        <f>IF($AK1254=1,SUMPRODUCT(--($AO$2:$AO$3001&lt;$AO1254))+1,"")</f>
        <v/>
      </c>
      <c r="AM1254">
        <f>IF($D1254="","",IF(OR($R1254=TRUE(),$R1254="TRUE"),1,0))</f>
        <v/>
      </c>
      <c r="AN1254">
        <f>IF($D1254="","",IF($X1254="Yes",1,0))</f>
        <v/>
      </c>
      <c r="AO1254">
        <f>IF($AK1254=1,IFERROR(IF(VALUE($D1254)&lt;100000000,VALUE($D1254),1000000000),IFERROR(IF(VALUE(MID($D1254,2,20))&lt;100000000,VALUE(MID($D1254,2,20)),1000000000),1000000000))+ROW()/100000,"")</f>
        <v/>
      </c>
    </row>
    <row r="1255">
      <c r="F1255" s="11" t="n"/>
      <c r="N1255" s="7">
        <f>IF($D1255="","",M1255*V1255/100)</f>
        <v/>
      </c>
      <c r="O1255" s="7" t="n"/>
      <c r="U1255" s="7" t="n"/>
      <c r="V1255" s="7" t="n"/>
      <c r="Y1255">
        <f>IF($D1255="","",IF($AN1255=1,0,IF($AM1255=1,Settings!$C$6,Settings!$C$7))*100)</f>
        <v/>
      </c>
      <c r="Z1255" s="7">
        <f>IF($D1255="","",V1255*Y1255/100)</f>
        <v/>
      </c>
      <c r="AA1255" s="7">
        <f>IF($D1255="","",V1255-Z1255)</f>
        <v/>
      </c>
      <c r="AB1255" s="7">
        <f>IF($D1255="","",AA1255-N1255)</f>
        <v/>
      </c>
      <c r="AF1255" s="7" t="n"/>
      <c r="AI1255" s="11" t="n"/>
      <c r="AK1255">
        <f>IF($D1255="","",IF(COUNTIF($D$2:$D1255,$D1255)=1,1,0))</f>
        <v/>
      </c>
      <c r="AL1255">
        <f>IF($AK1255=1,SUMPRODUCT(--($AO$2:$AO$3001&lt;$AO1255))+1,"")</f>
        <v/>
      </c>
      <c r="AM1255">
        <f>IF($D1255="","",IF(OR($R1255=TRUE(),$R1255="TRUE"),1,0))</f>
        <v/>
      </c>
      <c r="AN1255">
        <f>IF($D1255="","",IF($X1255="Yes",1,0))</f>
        <v/>
      </c>
      <c r="AO1255">
        <f>IF($AK1255=1,IFERROR(IF(VALUE($D1255)&lt;100000000,VALUE($D1255),1000000000),IFERROR(IF(VALUE(MID($D1255,2,20))&lt;100000000,VALUE(MID($D1255,2,20)),1000000000),1000000000))+ROW()/100000,"")</f>
        <v/>
      </c>
    </row>
    <row r="1256">
      <c r="F1256" s="11" t="n"/>
      <c r="N1256" s="7">
        <f>IF($D1256="","",M1256*V1256/100)</f>
        <v/>
      </c>
      <c r="O1256" s="7" t="n"/>
      <c r="U1256" s="7" t="n"/>
      <c r="V1256" s="7" t="n"/>
      <c r="Y1256">
        <f>IF($D1256="","",IF($AN1256=1,0,IF($AM1256=1,Settings!$C$6,Settings!$C$7))*100)</f>
        <v/>
      </c>
      <c r="Z1256" s="7">
        <f>IF($D1256="","",V1256*Y1256/100)</f>
        <v/>
      </c>
      <c r="AA1256" s="7">
        <f>IF($D1256="","",V1256-Z1256)</f>
        <v/>
      </c>
      <c r="AB1256" s="7">
        <f>IF($D1256="","",AA1256-N1256)</f>
        <v/>
      </c>
      <c r="AF1256" s="7" t="n"/>
      <c r="AI1256" s="11" t="n"/>
      <c r="AK1256">
        <f>IF($D1256="","",IF(COUNTIF($D$2:$D1256,$D1256)=1,1,0))</f>
        <v/>
      </c>
      <c r="AL1256">
        <f>IF($AK1256=1,SUMPRODUCT(--($AO$2:$AO$3001&lt;$AO1256))+1,"")</f>
        <v/>
      </c>
      <c r="AM1256">
        <f>IF($D1256="","",IF(OR($R1256=TRUE(),$R1256="TRUE"),1,0))</f>
        <v/>
      </c>
      <c r="AN1256">
        <f>IF($D1256="","",IF($X1256="Yes",1,0))</f>
        <v/>
      </c>
      <c r="AO1256">
        <f>IF($AK1256=1,IFERROR(IF(VALUE($D1256)&lt;100000000,VALUE($D1256),1000000000),IFERROR(IF(VALUE(MID($D1256,2,20))&lt;100000000,VALUE(MID($D1256,2,20)),1000000000),1000000000))+ROW()/100000,"")</f>
        <v/>
      </c>
    </row>
    <row r="1257">
      <c r="F1257" s="11" t="n"/>
      <c r="N1257" s="7">
        <f>IF($D1257="","",M1257*V1257/100)</f>
        <v/>
      </c>
      <c r="O1257" s="7" t="n"/>
      <c r="U1257" s="7" t="n"/>
      <c r="V1257" s="7" t="n"/>
      <c r="Y1257">
        <f>IF($D1257="","",IF($AN1257=1,0,IF($AM1257=1,Settings!$C$6,Settings!$C$7))*100)</f>
        <v/>
      </c>
      <c r="Z1257" s="7">
        <f>IF($D1257="","",V1257*Y1257/100)</f>
        <v/>
      </c>
      <c r="AA1257" s="7">
        <f>IF($D1257="","",V1257-Z1257)</f>
        <v/>
      </c>
      <c r="AB1257" s="7">
        <f>IF($D1257="","",AA1257-N1257)</f>
        <v/>
      </c>
      <c r="AF1257" s="7" t="n"/>
      <c r="AI1257" s="11" t="n"/>
      <c r="AK1257">
        <f>IF($D1257="","",IF(COUNTIF($D$2:$D1257,$D1257)=1,1,0))</f>
        <v/>
      </c>
      <c r="AL1257">
        <f>IF($AK1257=1,SUMPRODUCT(--($AO$2:$AO$3001&lt;$AO1257))+1,"")</f>
        <v/>
      </c>
      <c r="AM1257">
        <f>IF($D1257="","",IF(OR($R1257=TRUE(),$R1257="TRUE"),1,0))</f>
        <v/>
      </c>
      <c r="AN1257">
        <f>IF($D1257="","",IF($X1257="Yes",1,0))</f>
        <v/>
      </c>
      <c r="AO1257">
        <f>IF($AK1257=1,IFERROR(IF(VALUE($D1257)&lt;100000000,VALUE($D1257),1000000000),IFERROR(IF(VALUE(MID($D1257,2,20))&lt;100000000,VALUE(MID($D1257,2,20)),1000000000),1000000000))+ROW()/100000,"")</f>
        <v/>
      </c>
    </row>
    <row r="1258">
      <c r="F1258" s="11" t="n"/>
      <c r="N1258" s="7">
        <f>IF($D1258="","",M1258*V1258/100)</f>
        <v/>
      </c>
      <c r="O1258" s="7" t="n"/>
      <c r="U1258" s="7" t="n"/>
      <c r="V1258" s="7" t="n"/>
      <c r="Y1258">
        <f>IF($D1258="","",IF($AN1258=1,0,IF($AM1258=1,Settings!$C$6,Settings!$C$7))*100)</f>
        <v/>
      </c>
      <c r="Z1258" s="7">
        <f>IF($D1258="","",V1258*Y1258/100)</f>
        <v/>
      </c>
      <c r="AA1258" s="7">
        <f>IF($D1258="","",V1258-Z1258)</f>
        <v/>
      </c>
      <c r="AB1258" s="7">
        <f>IF($D1258="","",AA1258-N1258)</f>
        <v/>
      </c>
      <c r="AF1258" s="7" t="n"/>
      <c r="AI1258" s="11" t="n"/>
      <c r="AK1258">
        <f>IF($D1258="","",IF(COUNTIF($D$2:$D1258,$D1258)=1,1,0))</f>
        <v/>
      </c>
      <c r="AL1258">
        <f>IF($AK1258=1,SUMPRODUCT(--($AO$2:$AO$3001&lt;$AO1258))+1,"")</f>
        <v/>
      </c>
      <c r="AM1258">
        <f>IF($D1258="","",IF(OR($R1258=TRUE(),$R1258="TRUE"),1,0))</f>
        <v/>
      </c>
      <c r="AN1258">
        <f>IF($D1258="","",IF($X1258="Yes",1,0))</f>
        <v/>
      </c>
      <c r="AO1258">
        <f>IF($AK1258=1,IFERROR(IF(VALUE($D1258)&lt;100000000,VALUE($D1258),1000000000),IFERROR(IF(VALUE(MID($D1258,2,20))&lt;100000000,VALUE(MID($D1258,2,20)),1000000000),1000000000))+ROW()/100000,"")</f>
        <v/>
      </c>
    </row>
    <row r="1259">
      <c r="F1259" s="11" t="n"/>
      <c r="N1259" s="7">
        <f>IF($D1259="","",M1259*V1259/100)</f>
        <v/>
      </c>
      <c r="O1259" s="7" t="n"/>
      <c r="U1259" s="7" t="n"/>
      <c r="V1259" s="7" t="n"/>
      <c r="Y1259">
        <f>IF($D1259="","",IF($AN1259=1,0,IF($AM1259=1,Settings!$C$6,Settings!$C$7))*100)</f>
        <v/>
      </c>
      <c r="Z1259" s="7">
        <f>IF($D1259="","",V1259*Y1259/100)</f>
        <v/>
      </c>
      <c r="AA1259" s="7">
        <f>IF($D1259="","",V1259-Z1259)</f>
        <v/>
      </c>
      <c r="AB1259" s="7">
        <f>IF($D1259="","",AA1259-N1259)</f>
        <v/>
      </c>
      <c r="AF1259" s="7" t="n"/>
      <c r="AI1259" s="11" t="n"/>
      <c r="AK1259">
        <f>IF($D1259="","",IF(COUNTIF($D$2:$D1259,$D1259)=1,1,0))</f>
        <v/>
      </c>
      <c r="AL1259">
        <f>IF($AK1259=1,SUMPRODUCT(--($AO$2:$AO$3001&lt;$AO1259))+1,"")</f>
        <v/>
      </c>
      <c r="AM1259">
        <f>IF($D1259="","",IF(OR($R1259=TRUE(),$R1259="TRUE"),1,0))</f>
        <v/>
      </c>
      <c r="AN1259">
        <f>IF($D1259="","",IF($X1259="Yes",1,0))</f>
        <v/>
      </c>
      <c r="AO1259">
        <f>IF($AK1259=1,IFERROR(IF(VALUE($D1259)&lt;100000000,VALUE($D1259),1000000000),IFERROR(IF(VALUE(MID($D1259,2,20))&lt;100000000,VALUE(MID($D1259,2,20)),1000000000),1000000000))+ROW()/100000,"")</f>
        <v/>
      </c>
    </row>
    <row r="1260">
      <c r="F1260" s="11" t="n"/>
      <c r="N1260" s="7">
        <f>IF($D1260="","",M1260*V1260/100)</f>
        <v/>
      </c>
      <c r="O1260" s="7" t="n"/>
      <c r="U1260" s="7" t="n"/>
      <c r="V1260" s="7" t="n"/>
      <c r="Y1260">
        <f>IF($D1260="","",IF($AN1260=1,0,IF($AM1260=1,Settings!$C$6,Settings!$C$7))*100)</f>
        <v/>
      </c>
      <c r="Z1260" s="7">
        <f>IF($D1260="","",V1260*Y1260/100)</f>
        <v/>
      </c>
      <c r="AA1260" s="7">
        <f>IF($D1260="","",V1260-Z1260)</f>
        <v/>
      </c>
      <c r="AB1260" s="7">
        <f>IF($D1260="","",AA1260-N1260)</f>
        <v/>
      </c>
      <c r="AF1260" s="7" t="n"/>
      <c r="AI1260" s="11" t="n"/>
      <c r="AK1260">
        <f>IF($D1260="","",IF(COUNTIF($D$2:$D1260,$D1260)=1,1,0))</f>
        <v/>
      </c>
      <c r="AL1260">
        <f>IF($AK1260=1,SUMPRODUCT(--($AO$2:$AO$3001&lt;$AO1260))+1,"")</f>
        <v/>
      </c>
      <c r="AM1260">
        <f>IF($D1260="","",IF(OR($R1260=TRUE(),$R1260="TRUE"),1,0))</f>
        <v/>
      </c>
      <c r="AN1260">
        <f>IF($D1260="","",IF($X1260="Yes",1,0))</f>
        <v/>
      </c>
      <c r="AO1260">
        <f>IF($AK1260=1,IFERROR(IF(VALUE($D1260)&lt;100000000,VALUE($D1260),1000000000),IFERROR(IF(VALUE(MID($D1260,2,20))&lt;100000000,VALUE(MID($D1260,2,20)),1000000000),1000000000))+ROW()/100000,"")</f>
        <v/>
      </c>
    </row>
    <row r="1261">
      <c r="F1261" s="11" t="n"/>
      <c r="N1261" s="7">
        <f>IF($D1261="","",M1261*V1261/100)</f>
        <v/>
      </c>
      <c r="O1261" s="7" t="n"/>
      <c r="U1261" s="7" t="n"/>
      <c r="V1261" s="7" t="n"/>
      <c r="Y1261">
        <f>IF($D1261="","",IF($AN1261=1,0,IF($AM1261=1,Settings!$C$6,Settings!$C$7))*100)</f>
        <v/>
      </c>
      <c r="Z1261" s="7">
        <f>IF($D1261="","",V1261*Y1261/100)</f>
        <v/>
      </c>
      <c r="AA1261" s="7">
        <f>IF($D1261="","",V1261-Z1261)</f>
        <v/>
      </c>
      <c r="AB1261" s="7">
        <f>IF($D1261="","",AA1261-N1261)</f>
        <v/>
      </c>
      <c r="AF1261" s="7" t="n"/>
      <c r="AI1261" s="11" t="n"/>
      <c r="AK1261">
        <f>IF($D1261="","",IF(COUNTIF($D$2:$D1261,$D1261)=1,1,0))</f>
        <v/>
      </c>
      <c r="AL1261">
        <f>IF($AK1261=1,SUMPRODUCT(--($AO$2:$AO$3001&lt;$AO1261))+1,"")</f>
        <v/>
      </c>
      <c r="AM1261">
        <f>IF($D1261="","",IF(OR($R1261=TRUE(),$R1261="TRUE"),1,0))</f>
        <v/>
      </c>
      <c r="AN1261">
        <f>IF($D1261="","",IF($X1261="Yes",1,0))</f>
        <v/>
      </c>
      <c r="AO1261">
        <f>IF($AK1261=1,IFERROR(IF(VALUE($D1261)&lt;100000000,VALUE($D1261),1000000000),IFERROR(IF(VALUE(MID($D1261,2,20))&lt;100000000,VALUE(MID($D1261,2,20)),1000000000),1000000000))+ROW()/100000,"")</f>
        <v/>
      </c>
    </row>
    <row r="1262">
      <c r="F1262" s="11" t="n"/>
      <c r="N1262" s="7">
        <f>IF($D1262="","",M1262*V1262/100)</f>
        <v/>
      </c>
      <c r="O1262" s="7" t="n"/>
      <c r="U1262" s="7" t="n"/>
      <c r="V1262" s="7" t="n"/>
      <c r="Y1262">
        <f>IF($D1262="","",IF($AN1262=1,0,IF($AM1262=1,Settings!$C$6,Settings!$C$7))*100)</f>
        <v/>
      </c>
      <c r="Z1262" s="7">
        <f>IF($D1262="","",V1262*Y1262/100)</f>
        <v/>
      </c>
      <c r="AA1262" s="7">
        <f>IF($D1262="","",V1262-Z1262)</f>
        <v/>
      </c>
      <c r="AB1262" s="7">
        <f>IF($D1262="","",AA1262-N1262)</f>
        <v/>
      </c>
      <c r="AF1262" s="7" t="n"/>
      <c r="AI1262" s="11" t="n"/>
      <c r="AK1262">
        <f>IF($D1262="","",IF(COUNTIF($D$2:$D1262,$D1262)=1,1,0))</f>
        <v/>
      </c>
      <c r="AL1262">
        <f>IF($AK1262=1,SUMPRODUCT(--($AO$2:$AO$3001&lt;$AO1262))+1,"")</f>
        <v/>
      </c>
      <c r="AM1262">
        <f>IF($D1262="","",IF(OR($R1262=TRUE(),$R1262="TRUE"),1,0))</f>
        <v/>
      </c>
      <c r="AN1262">
        <f>IF($D1262="","",IF($X1262="Yes",1,0))</f>
        <v/>
      </c>
      <c r="AO1262">
        <f>IF($AK1262=1,IFERROR(IF(VALUE($D1262)&lt;100000000,VALUE($D1262),1000000000),IFERROR(IF(VALUE(MID($D1262,2,20))&lt;100000000,VALUE(MID($D1262,2,20)),1000000000),1000000000))+ROW()/100000,"")</f>
        <v/>
      </c>
    </row>
    <row r="1263">
      <c r="F1263" s="11" t="n"/>
      <c r="N1263" s="7">
        <f>IF($D1263="","",M1263*V1263/100)</f>
        <v/>
      </c>
      <c r="O1263" s="7" t="n"/>
      <c r="U1263" s="7" t="n"/>
      <c r="V1263" s="7" t="n"/>
      <c r="Y1263">
        <f>IF($D1263="","",IF($AN1263=1,0,IF($AM1263=1,Settings!$C$6,Settings!$C$7))*100)</f>
        <v/>
      </c>
      <c r="Z1263" s="7">
        <f>IF($D1263="","",V1263*Y1263/100)</f>
        <v/>
      </c>
      <c r="AA1263" s="7">
        <f>IF($D1263="","",V1263-Z1263)</f>
        <v/>
      </c>
      <c r="AB1263" s="7">
        <f>IF($D1263="","",AA1263-N1263)</f>
        <v/>
      </c>
      <c r="AF1263" s="7" t="n"/>
      <c r="AI1263" s="11" t="n"/>
      <c r="AK1263">
        <f>IF($D1263="","",IF(COUNTIF($D$2:$D1263,$D1263)=1,1,0))</f>
        <v/>
      </c>
      <c r="AL1263">
        <f>IF($AK1263=1,SUMPRODUCT(--($AO$2:$AO$3001&lt;$AO1263))+1,"")</f>
        <v/>
      </c>
      <c r="AM1263">
        <f>IF($D1263="","",IF(OR($R1263=TRUE(),$R1263="TRUE"),1,0))</f>
        <v/>
      </c>
      <c r="AN1263">
        <f>IF($D1263="","",IF($X1263="Yes",1,0))</f>
        <v/>
      </c>
      <c r="AO1263">
        <f>IF($AK1263=1,IFERROR(IF(VALUE($D1263)&lt;100000000,VALUE($D1263),1000000000),IFERROR(IF(VALUE(MID($D1263,2,20))&lt;100000000,VALUE(MID($D1263,2,20)),1000000000),1000000000))+ROW()/100000,"")</f>
        <v/>
      </c>
    </row>
    <row r="1264">
      <c r="F1264" s="11" t="n"/>
      <c r="N1264" s="7">
        <f>IF($D1264="","",M1264*V1264/100)</f>
        <v/>
      </c>
      <c r="O1264" s="7" t="n"/>
      <c r="U1264" s="7" t="n"/>
      <c r="V1264" s="7" t="n"/>
      <c r="Y1264">
        <f>IF($D1264="","",IF($AN1264=1,0,IF($AM1264=1,Settings!$C$6,Settings!$C$7))*100)</f>
        <v/>
      </c>
      <c r="Z1264" s="7">
        <f>IF($D1264="","",V1264*Y1264/100)</f>
        <v/>
      </c>
      <c r="AA1264" s="7">
        <f>IF($D1264="","",V1264-Z1264)</f>
        <v/>
      </c>
      <c r="AB1264" s="7">
        <f>IF($D1264="","",AA1264-N1264)</f>
        <v/>
      </c>
      <c r="AF1264" s="7" t="n"/>
      <c r="AI1264" s="11" t="n"/>
      <c r="AK1264">
        <f>IF($D1264="","",IF(COUNTIF($D$2:$D1264,$D1264)=1,1,0))</f>
        <v/>
      </c>
      <c r="AL1264">
        <f>IF($AK1264=1,SUMPRODUCT(--($AO$2:$AO$3001&lt;$AO1264))+1,"")</f>
        <v/>
      </c>
      <c r="AM1264">
        <f>IF($D1264="","",IF(OR($R1264=TRUE(),$R1264="TRUE"),1,0))</f>
        <v/>
      </c>
      <c r="AN1264">
        <f>IF($D1264="","",IF($X1264="Yes",1,0))</f>
        <v/>
      </c>
      <c r="AO1264">
        <f>IF($AK1264=1,IFERROR(IF(VALUE($D1264)&lt;100000000,VALUE($D1264),1000000000),IFERROR(IF(VALUE(MID($D1264,2,20))&lt;100000000,VALUE(MID($D1264,2,20)),1000000000),1000000000))+ROW()/100000,"")</f>
        <v/>
      </c>
    </row>
    <row r="1265">
      <c r="F1265" s="11" t="n"/>
      <c r="N1265" s="7">
        <f>IF($D1265="","",M1265*V1265/100)</f>
        <v/>
      </c>
      <c r="O1265" s="7" t="n"/>
      <c r="U1265" s="7" t="n"/>
      <c r="V1265" s="7" t="n"/>
      <c r="Y1265">
        <f>IF($D1265="","",IF($AN1265=1,0,IF($AM1265=1,Settings!$C$6,Settings!$C$7))*100)</f>
        <v/>
      </c>
      <c r="Z1265" s="7">
        <f>IF($D1265="","",V1265*Y1265/100)</f>
        <v/>
      </c>
      <c r="AA1265" s="7">
        <f>IF($D1265="","",V1265-Z1265)</f>
        <v/>
      </c>
      <c r="AB1265" s="7">
        <f>IF($D1265="","",AA1265-N1265)</f>
        <v/>
      </c>
      <c r="AF1265" s="7" t="n"/>
      <c r="AI1265" s="11" t="n"/>
      <c r="AK1265">
        <f>IF($D1265="","",IF(COUNTIF($D$2:$D1265,$D1265)=1,1,0))</f>
        <v/>
      </c>
      <c r="AL1265">
        <f>IF($AK1265=1,SUMPRODUCT(--($AO$2:$AO$3001&lt;$AO1265))+1,"")</f>
        <v/>
      </c>
      <c r="AM1265">
        <f>IF($D1265="","",IF(OR($R1265=TRUE(),$R1265="TRUE"),1,0))</f>
        <v/>
      </c>
      <c r="AN1265">
        <f>IF($D1265="","",IF($X1265="Yes",1,0))</f>
        <v/>
      </c>
      <c r="AO1265">
        <f>IF($AK1265=1,IFERROR(IF(VALUE($D1265)&lt;100000000,VALUE($D1265),1000000000),IFERROR(IF(VALUE(MID($D1265,2,20))&lt;100000000,VALUE(MID($D1265,2,20)),1000000000),1000000000))+ROW()/100000,"")</f>
        <v/>
      </c>
    </row>
    <row r="1266">
      <c r="F1266" s="11" t="n"/>
      <c r="N1266" s="7">
        <f>IF($D1266="","",M1266*V1266/100)</f>
        <v/>
      </c>
      <c r="O1266" s="7" t="n"/>
      <c r="U1266" s="7" t="n"/>
      <c r="V1266" s="7" t="n"/>
      <c r="Y1266">
        <f>IF($D1266="","",IF($AN1266=1,0,IF($AM1266=1,Settings!$C$6,Settings!$C$7))*100)</f>
        <v/>
      </c>
      <c r="Z1266" s="7">
        <f>IF($D1266="","",V1266*Y1266/100)</f>
        <v/>
      </c>
      <c r="AA1266" s="7">
        <f>IF($D1266="","",V1266-Z1266)</f>
        <v/>
      </c>
      <c r="AB1266" s="7">
        <f>IF($D1266="","",AA1266-N1266)</f>
        <v/>
      </c>
      <c r="AF1266" s="7" t="n"/>
      <c r="AI1266" s="11" t="n"/>
      <c r="AK1266">
        <f>IF($D1266="","",IF(COUNTIF($D$2:$D1266,$D1266)=1,1,0))</f>
        <v/>
      </c>
      <c r="AL1266">
        <f>IF($AK1266=1,SUMPRODUCT(--($AO$2:$AO$3001&lt;$AO1266))+1,"")</f>
        <v/>
      </c>
      <c r="AM1266">
        <f>IF($D1266="","",IF(OR($R1266=TRUE(),$R1266="TRUE"),1,0))</f>
        <v/>
      </c>
      <c r="AN1266">
        <f>IF($D1266="","",IF($X1266="Yes",1,0))</f>
        <v/>
      </c>
      <c r="AO1266">
        <f>IF($AK1266=1,IFERROR(IF(VALUE($D1266)&lt;100000000,VALUE($D1266),1000000000),IFERROR(IF(VALUE(MID($D1266,2,20))&lt;100000000,VALUE(MID($D1266,2,20)),1000000000),1000000000))+ROW()/100000,"")</f>
        <v/>
      </c>
    </row>
    <row r="1267">
      <c r="F1267" s="11" t="n"/>
      <c r="N1267" s="7">
        <f>IF($D1267="","",M1267*V1267/100)</f>
        <v/>
      </c>
      <c r="O1267" s="7" t="n"/>
      <c r="U1267" s="7" t="n"/>
      <c r="V1267" s="7" t="n"/>
      <c r="Y1267">
        <f>IF($D1267="","",IF($AN1267=1,0,IF($AM1267=1,Settings!$C$6,Settings!$C$7))*100)</f>
        <v/>
      </c>
      <c r="Z1267" s="7">
        <f>IF($D1267="","",V1267*Y1267/100)</f>
        <v/>
      </c>
      <c r="AA1267" s="7">
        <f>IF($D1267="","",V1267-Z1267)</f>
        <v/>
      </c>
      <c r="AB1267" s="7">
        <f>IF($D1267="","",AA1267-N1267)</f>
        <v/>
      </c>
      <c r="AF1267" s="7" t="n"/>
      <c r="AI1267" s="11" t="n"/>
      <c r="AK1267">
        <f>IF($D1267="","",IF(COUNTIF($D$2:$D1267,$D1267)=1,1,0))</f>
        <v/>
      </c>
      <c r="AL1267">
        <f>IF($AK1267=1,SUMPRODUCT(--($AO$2:$AO$3001&lt;$AO1267))+1,"")</f>
        <v/>
      </c>
      <c r="AM1267">
        <f>IF($D1267="","",IF(OR($R1267=TRUE(),$R1267="TRUE"),1,0))</f>
        <v/>
      </c>
      <c r="AN1267">
        <f>IF($D1267="","",IF($X1267="Yes",1,0))</f>
        <v/>
      </c>
      <c r="AO1267">
        <f>IF($AK1267=1,IFERROR(IF(VALUE($D1267)&lt;100000000,VALUE($D1267),1000000000),IFERROR(IF(VALUE(MID($D1267,2,20))&lt;100000000,VALUE(MID($D1267,2,20)),1000000000),1000000000))+ROW()/100000,"")</f>
        <v/>
      </c>
    </row>
    <row r="1268">
      <c r="F1268" s="11" t="n"/>
      <c r="N1268" s="7">
        <f>IF($D1268="","",M1268*V1268/100)</f>
        <v/>
      </c>
      <c r="O1268" s="7" t="n"/>
      <c r="U1268" s="7" t="n"/>
      <c r="V1268" s="7" t="n"/>
      <c r="Y1268">
        <f>IF($D1268="","",IF($AN1268=1,0,IF($AM1268=1,Settings!$C$6,Settings!$C$7))*100)</f>
        <v/>
      </c>
      <c r="Z1268" s="7">
        <f>IF($D1268="","",V1268*Y1268/100)</f>
        <v/>
      </c>
      <c r="AA1268" s="7">
        <f>IF($D1268="","",V1268-Z1268)</f>
        <v/>
      </c>
      <c r="AB1268" s="7">
        <f>IF($D1268="","",AA1268-N1268)</f>
        <v/>
      </c>
      <c r="AF1268" s="7" t="n"/>
      <c r="AI1268" s="11" t="n"/>
      <c r="AK1268">
        <f>IF($D1268="","",IF(COUNTIF($D$2:$D1268,$D1268)=1,1,0))</f>
        <v/>
      </c>
      <c r="AL1268">
        <f>IF($AK1268=1,SUMPRODUCT(--($AO$2:$AO$3001&lt;$AO1268))+1,"")</f>
        <v/>
      </c>
      <c r="AM1268">
        <f>IF($D1268="","",IF(OR($R1268=TRUE(),$R1268="TRUE"),1,0))</f>
        <v/>
      </c>
      <c r="AN1268">
        <f>IF($D1268="","",IF($X1268="Yes",1,0))</f>
        <v/>
      </c>
      <c r="AO1268">
        <f>IF($AK1268=1,IFERROR(IF(VALUE($D1268)&lt;100000000,VALUE($D1268),1000000000),IFERROR(IF(VALUE(MID($D1268,2,20))&lt;100000000,VALUE(MID($D1268,2,20)),1000000000),1000000000))+ROW()/100000,"")</f>
        <v/>
      </c>
    </row>
    <row r="1269">
      <c r="F1269" s="11" t="n"/>
      <c r="N1269" s="7">
        <f>IF($D1269="","",M1269*V1269/100)</f>
        <v/>
      </c>
      <c r="O1269" s="7" t="n"/>
      <c r="U1269" s="7" t="n"/>
      <c r="V1269" s="7" t="n"/>
      <c r="Y1269">
        <f>IF($D1269="","",IF($AN1269=1,0,IF($AM1269=1,Settings!$C$6,Settings!$C$7))*100)</f>
        <v/>
      </c>
      <c r="Z1269" s="7">
        <f>IF($D1269="","",V1269*Y1269/100)</f>
        <v/>
      </c>
      <c r="AA1269" s="7">
        <f>IF($D1269="","",V1269-Z1269)</f>
        <v/>
      </c>
      <c r="AB1269" s="7">
        <f>IF($D1269="","",AA1269-N1269)</f>
        <v/>
      </c>
      <c r="AF1269" s="7" t="n"/>
      <c r="AI1269" s="11" t="n"/>
      <c r="AK1269">
        <f>IF($D1269="","",IF(COUNTIF($D$2:$D1269,$D1269)=1,1,0))</f>
        <v/>
      </c>
      <c r="AL1269">
        <f>IF($AK1269=1,SUMPRODUCT(--($AO$2:$AO$3001&lt;$AO1269))+1,"")</f>
        <v/>
      </c>
      <c r="AM1269">
        <f>IF($D1269="","",IF(OR($R1269=TRUE(),$R1269="TRUE"),1,0))</f>
        <v/>
      </c>
      <c r="AN1269">
        <f>IF($D1269="","",IF($X1269="Yes",1,0))</f>
        <v/>
      </c>
      <c r="AO1269">
        <f>IF($AK1269=1,IFERROR(IF(VALUE($D1269)&lt;100000000,VALUE($D1269),1000000000),IFERROR(IF(VALUE(MID($D1269,2,20))&lt;100000000,VALUE(MID($D1269,2,20)),1000000000),1000000000))+ROW()/100000,"")</f>
        <v/>
      </c>
    </row>
    <row r="1270">
      <c r="F1270" s="11" t="n"/>
      <c r="N1270" s="7">
        <f>IF($D1270="","",M1270*V1270/100)</f>
        <v/>
      </c>
      <c r="O1270" s="7" t="n"/>
      <c r="U1270" s="7" t="n"/>
      <c r="V1270" s="7" t="n"/>
      <c r="Y1270">
        <f>IF($D1270="","",IF($AN1270=1,0,IF($AM1270=1,Settings!$C$6,Settings!$C$7))*100)</f>
        <v/>
      </c>
      <c r="Z1270" s="7">
        <f>IF($D1270="","",V1270*Y1270/100)</f>
        <v/>
      </c>
      <c r="AA1270" s="7">
        <f>IF($D1270="","",V1270-Z1270)</f>
        <v/>
      </c>
      <c r="AB1270" s="7">
        <f>IF($D1270="","",AA1270-N1270)</f>
        <v/>
      </c>
      <c r="AF1270" s="7" t="n"/>
      <c r="AI1270" s="11" t="n"/>
      <c r="AK1270">
        <f>IF($D1270="","",IF(COUNTIF($D$2:$D1270,$D1270)=1,1,0))</f>
        <v/>
      </c>
      <c r="AL1270">
        <f>IF($AK1270=1,SUMPRODUCT(--($AO$2:$AO$3001&lt;$AO1270))+1,"")</f>
        <v/>
      </c>
      <c r="AM1270">
        <f>IF($D1270="","",IF(OR($R1270=TRUE(),$R1270="TRUE"),1,0))</f>
        <v/>
      </c>
      <c r="AN1270">
        <f>IF($D1270="","",IF($X1270="Yes",1,0))</f>
        <v/>
      </c>
      <c r="AO1270">
        <f>IF($AK1270=1,IFERROR(IF(VALUE($D1270)&lt;100000000,VALUE($D1270),1000000000),IFERROR(IF(VALUE(MID($D1270,2,20))&lt;100000000,VALUE(MID($D1270,2,20)),1000000000),1000000000))+ROW()/100000,"")</f>
        <v/>
      </c>
    </row>
    <row r="1271">
      <c r="F1271" s="11" t="n"/>
      <c r="N1271" s="7">
        <f>IF($D1271="","",M1271*V1271/100)</f>
        <v/>
      </c>
      <c r="O1271" s="7" t="n"/>
      <c r="U1271" s="7" t="n"/>
      <c r="V1271" s="7" t="n"/>
      <c r="Y1271">
        <f>IF($D1271="","",IF($AN1271=1,0,IF($AM1271=1,Settings!$C$6,Settings!$C$7))*100)</f>
        <v/>
      </c>
      <c r="Z1271" s="7">
        <f>IF($D1271="","",V1271*Y1271/100)</f>
        <v/>
      </c>
      <c r="AA1271" s="7">
        <f>IF($D1271="","",V1271-Z1271)</f>
        <v/>
      </c>
      <c r="AB1271" s="7">
        <f>IF($D1271="","",AA1271-N1271)</f>
        <v/>
      </c>
      <c r="AF1271" s="7" t="n"/>
      <c r="AI1271" s="11" t="n"/>
      <c r="AK1271">
        <f>IF($D1271="","",IF(COUNTIF($D$2:$D1271,$D1271)=1,1,0))</f>
        <v/>
      </c>
      <c r="AL1271">
        <f>IF($AK1271=1,SUMPRODUCT(--($AO$2:$AO$3001&lt;$AO1271))+1,"")</f>
        <v/>
      </c>
      <c r="AM1271">
        <f>IF($D1271="","",IF(OR($R1271=TRUE(),$R1271="TRUE"),1,0))</f>
        <v/>
      </c>
      <c r="AN1271">
        <f>IF($D1271="","",IF($X1271="Yes",1,0))</f>
        <v/>
      </c>
      <c r="AO1271">
        <f>IF($AK1271=1,IFERROR(IF(VALUE($D1271)&lt;100000000,VALUE($D1271),1000000000),IFERROR(IF(VALUE(MID($D1271,2,20))&lt;100000000,VALUE(MID($D1271,2,20)),1000000000),1000000000))+ROW()/100000,"")</f>
        <v/>
      </c>
    </row>
    <row r="1272">
      <c r="F1272" s="11" t="n"/>
      <c r="N1272" s="7">
        <f>IF($D1272="","",M1272*V1272/100)</f>
        <v/>
      </c>
      <c r="O1272" s="7" t="n"/>
      <c r="U1272" s="7" t="n"/>
      <c r="V1272" s="7" t="n"/>
      <c r="Y1272">
        <f>IF($D1272="","",IF($AN1272=1,0,IF($AM1272=1,Settings!$C$6,Settings!$C$7))*100)</f>
        <v/>
      </c>
      <c r="Z1272" s="7">
        <f>IF($D1272="","",V1272*Y1272/100)</f>
        <v/>
      </c>
      <c r="AA1272" s="7">
        <f>IF($D1272="","",V1272-Z1272)</f>
        <v/>
      </c>
      <c r="AB1272" s="7">
        <f>IF($D1272="","",AA1272-N1272)</f>
        <v/>
      </c>
      <c r="AF1272" s="7" t="n"/>
      <c r="AI1272" s="11" t="n"/>
      <c r="AK1272">
        <f>IF($D1272="","",IF(COUNTIF($D$2:$D1272,$D1272)=1,1,0))</f>
        <v/>
      </c>
      <c r="AL1272">
        <f>IF($AK1272=1,SUMPRODUCT(--($AO$2:$AO$3001&lt;$AO1272))+1,"")</f>
        <v/>
      </c>
      <c r="AM1272">
        <f>IF($D1272="","",IF(OR($R1272=TRUE(),$R1272="TRUE"),1,0))</f>
        <v/>
      </c>
      <c r="AN1272">
        <f>IF($D1272="","",IF($X1272="Yes",1,0))</f>
        <v/>
      </c>
      <c r="AO1272">
        <f>IF($AK1272=1,IFERROR(IF(VALUE($D1272)&lt;100000000,VALUE($D1272),1000000000),IFERROR(IF(VALUE(MID($D1272,2,20))&lt;100000000,VALUE(MID($D1272,2,20)),1000000000),1000000000))+ROW()/100000,"")</f>
        <v/>
      </c>
    </row>
    <row r="1273">
      <c r="F1273" s="11" t="n"/>
      <c r="N1273" s="7">
        <f>IF($D1273="","",M1273*V1273/100)</f>
        <v/>
      </c>
      <c r="O1273" s="7" t="n"/>
      <c r="U1273" s="7" t="n"/>
      <c r="V1273" s="7" t="n"/>
      <c r="Y1273">
        <f>IF($D1273="","",IF($AN1273=1,0,IF($AM1273=1,Settings!$C$6,Settings!$C$7))*100)</f>
        <v/>
      </c>
      <c r="Z1273" s="7">
        <f>IF($D1273="","",V1273*Y1273/100)</f>
        <v/>
      </c>
      <c r="AA1273" s="7">
        <f>IF($D1273="","",V1273-Z1273)</f>
        <v/>
      </c>
      <c r="AB1273" s="7">
        <f>IF($D1273="","",AA1273-N1273)</f>
        <v/>
      </c>
      <c r="AF1273" s="7" t="n"/>
      <c r="AI1273" s="11" t="n"/>
      <c r="AK1273">
        <f>IF($D1273="","",IF(COUNTIF($D$2:$D1273,$D1273)=1,1,0))</f>
        <v/>
      </c>
      <c r="AL1273">
        <f>IF($AK1273=1,SUMPRODUCT(--($AO$2:$AO$3001&lt;$AO1273))+1,"")</f>
        <v/>
      </c>
      <c r="AM1273">
        <f>IF($D1273="","",IF(OR($R1273=TRUE(),$R1273="TRUE"),1,0))</f>
        <v/>
      </c>
      <c r="AN1273">
        <f>IF($D1273="","",IF($X1273="Yes",1,0))</f>
        <v/>
      </c>
      <c r="AO1273">
        <f>IF($AK1273=1,IFERROR(IF(VALUE($D1273)&lt;100000000,VALUE($D1273),1000000000),IFERROR(IF(VALUE(MID($D1273,2,20))&lt;100000000,VALUE(MID($D1273,2,20)),1000000000),1000000000))+ROW()/100000,"")</f>
        <v/>
      </c>
    </row>
    <row r="1274">
      <c r="F1274" s="11" t="n"/>
      <c r="N1274" s="7">
        <f>IF($D1274="","",M1274*V1274/100)</f>
        <v/>
      </c>
      <c r="O1274" s="7" t="n"/>
      <c r="U1274" s="7" t="n"/>
      <c r="V1274" s="7" t="n"/>
      <c r="Y1274">
        <f>IF($D1274="","",IF($AN1274=1,0,IF($AM1274=1,Settings!$C$6,Settings!$C$7))*100)</f>
        <v/>
      </c>
      <c r="Z1274" s="7">
        <f>IF($D1274="","",V1274*Y1274/100)</f>
        <v/>
      </c>
      <c r="AA1274" s="7">
        <f>IF($D1274="","",V1274-Z1274)</f>
        <v/>
      </c>
      <c r="AB1274" s="7">
        <f>IF($D1274="","",AA1274-N1274)</f>
        <v/>
      </c>
      <c r="AF1274" s="7" t="n"/>
      <c r="AI1274" s="11" t="n"/>
      <c r="AK1274">
        <f>IF($D1274="","",IF(COUNTIF($D$2:$D1274,$D1274)=1,1,0))</f>
        <v/>
      </c>
      <c r="AL1274">
        <f>IF($AK1274=1,SUMPRODUCT(--($AO$2:$AO$3001&lt;$AO1274))+1,"")</f>
        <v/>
      </c>
      <c r="AM1274">
        <f>IF($D1274="","",IF(OR($R1274=TRUE(),$R1274="TRUE"),1,0))</f>
        <v/>
      </c>
      <c r="AN1274">
        <f>IF($D1274="","",IF($X1274="Yes",1,0))</f>
        <v/>
      </c>
      <c r="AO1274">
        <f>IF($AK1274=1,IFERROR(IF(VALUE($D1274)&lt;100000000,VALUE($D1274),1000000000),IFERROR(IF(VALUE(MID($D1274,2,20))&lt;100000000,VALUE(MID($D1274,2,20)),1000000000),1000000000))+ROW()/100000,"")</f>
        <v/>
      </c>
    </row>
    <row r="1275">
      <c r="F1275" s="11" t="n"/>
      <c r="N1275" s="7">
        <f>IF($D1275="","",M1275*V1275/100)</f>
        <v/>
      </c>
      <c r="O1275" s="7" t="n"/>
      <c r="U1275" s="7" t="n"/>
      <c r="V1275" s="7" t="n"/>
      <c r="Y1275">
        <f>IF($D1275="","",IF($AN1275=1,0,IF($AM1275=1,Settings!$C$6,Settings!$C$7))*100)</f>
        <v/>
      </c>
      <c r="Z1275" s="7">
        <f>IF($D1275="","",V1275*Y1275/100)</f>
        <v/>
      </c>
      <c r="AA1275" s="7">
        <f>IF($D1275="","",V1275-Z1275)</f>
        <v/>
      </c>
      <c r="AB1275" s="7">
        <f>IF($D1275="","",AA1275-N1275)</f>
        <v/>
      </c>
      <c r="AF1275" s="7" t="n"/>
      <c r="AI1275" s="11" t="n"/>
      <c r="AK1275">
        <f>IF($D1275="","",IF(COUNTIF($D$2:$D1275,$D1275)=1,1,0))</f>
        <v/>
      </c>
      <c r="AL1275">
        <f>IF($AK1275=1,SUMPRODUCT(--($AO$2:$AO$3001&lt;$AO1275))+1,"")</f>
        <v/>
      </c>
      <c r="AM1275">
        <f>IF($D1275="","",IF(OR($R1275=TRUE(),$R1275="TRUE"),1,0))</f>
        <v/>
      </c>
      <c r="AN1275">
        <f>IF($D1275="","",IF($X1275="Yes",1,0))</f>
        <v/>
      </c>
      <c r="AO1275">
        <f>IF($AK1275=1,IFERROR(IF(VALUE($D1275)&lt;100000000,VALUE($D1275),1000000000),IFERROR(IF(VALUE(MID($D1275,2,20))&lt;100000000,VALUE(MID($D1275,2,20)),1000000000),1000000000))+ROW()/100000,"")</f>
        <v/>
      </c>
    </row>
    <row r="1276">
      <c r="F1276" s="11" t="n"/>
      <c r="N1276" s="7">
        <f>IF($D1276="","",M1276*V1276/100)</f>
        <v/>
      </c>
      <c r="O1276" s="7" t="n"/>
      <c r="U1276" s="7" t="n"/>
      <c r="V1276" s="7" t="n"/>
      <c r="Y1276">
        <f>IF($D1276="","",IF($AN1276=1,0,IF($AM1276=1,Settings!$C$6,Settings!$C$7))*100)</f>
        <v/>
      </c>
      <c r="Z1276" s="7">
        <f>IF($D1276="","",V1276*Y1276/100)</f>
        <v/>
      </c>
      <c r="AA1276" s="7">
        <f>IF($D1276="","",V1276-Z1276)</f>
        <v/>
      </c>
      <c r="AB1276" s="7">
        <f>IF($D1276="","",AA1276-N1276)</f>
        <v/>
      </c>
      <c r="AF1276" s="7" t="n"/>
      <c r="AI1276" s="11" t="n"/>
      <c r="AK1276">
        <f>IF($D1276="","",IF(COUNTIF($D$2:$D1276,$D1276)=1,1,0))</f>
        <v/>
      </c>
      <c r="AL1276">
        <f>IF($AK1276=1,SUMPRODUCT(--($AO$2:$AO$3001&lt;$AO1276))+1,"")</f>
        <v/>
      </c>
      <c r="AM1276">
        <f>IF($D1276="","",IF(OR($R1276=TRUE(),$R1276="TRUE"),1,0))</f>
        <v/>
      </c>
      <c r="AN1276">
        <f>IF($D1276="","",IF($X1276="Yes",1,0))</f>
        <v/>
      </c>
      <c r="AO1276">
        <f>IF($AK1276=1,IFERROR(IF(VALUE($D1276)&lt;100000000,VALUE($D1276),1000000000),IFERROR(IF(VALUE(MID($D1276,2,20))&lt;100000000,VALUE(MID($D1276,2,20)),1000000000),1000000000))+ROW()/100000,"")</f>
        <v/>
      </c>
    </row>
    <row r="1277">
      <c r="F1277" s="11" t="n"/>
      <c r="N1277" s="7">
        <f>IF($D1277="","",M1277*V1277/100)</f>
        <v/>
      </c>
      <c r="O1277" s="7" t="n"/>
      <c r="U1277" s="7" t="n"/>
      <c r="V1277" s="7" t="n"/>
      <c r="Y1277">
        <f>IF($D1277="","",IF($AN1277=1,0,IF($AM1277=1,Settings!$C$6,Settings!$C$7))*100)</f>
        <v/>
      </c>
      <c r="Z1277" s="7">
        <f>IF($D1277="","",V1277*Y1277/100)</f>
        <v/>
      </c>
      <c r="AA1277" s="7">
        <f>IF($D1277="","",V1277-Z1277)</f>
        <v/>
      </c>
      <c r="AB1277" s="7">
        <f>IF($D1277="","",AA1277-N1277)</f>
        <v/>
      </c>
      <c r="AF1277" s="7" t="n"/>
      <c r="AI1277" s="11" t="n"/>
      <c r="AK1277">
        <f>IF($D1277="","",IF(COUNTIF($D$2:$D1277,$D1277)=1,1,0))</f>
        <v/>
      </c>
      <c r="AL1277">
        <f>IF($AK1277=1,SUMPRODUCT(--($AO$2:$AO$3001&lt;$AO1277))+1,"")</f>
        <v/>
      </c>
      <c r="AM1277">
        <f>IF($D1277="","",IF(OR($R1277=TRUE(),$R1277="TRUE"),1,0))</f>
        <v/>
      </c>
      <c r="AN1277">
        <f>IF($D1277="","",IF($X1277="Yes",1,0))</f>
        <v/>
      </c>
      <c r="AO1277">
        <f>IF($AK1277=1,IFERROR(IF(VALUE($D1277)&lt;100000000,VALUE($D1277),1000000000),IFERROR(IF(VALUE(MID($D1277,2,20))&lt;100000000,VALUE(MID($D1277,2,20)),1000000000),1000000000))+ROW()/100000,"")</f>
        <v/>
      </c>
    </row>
    <row r="1278">
      <c r="F1278" s="11" t="n"/>
      <c r="N1278" s="7">
        <f>IF($D1278="","",M1278*V1278/100)</f>
        <v/>
      </c>
      <c r="O1278" s="7" t="n"/>
      <c r="U1278" s="7" t="n"/>
      <c r="V1278" s="7" t="n"/>
      <c r="Y1278">
        <f>IF($D1278="","",IF($AN1278=1,0,IF($AM1278=1,Settings!$C$6,Settings!$C$7))*100)</f>
        <v/>
      </c>
      <c r="Z1278" s="7">
        <f>IF($D1278="","",V1278*Y1278/100)</f>
        <v/>
      </c>
      <c r="AA1278" s="7">
        <f>IF($D1278="","",V1278-Z1278)</f>
        <v/>
      </c>
      <c r="AB1278" s="7">
        <f>IF($D1278="","",AA1278-N1278)</f>
        <v/>
      </c>
      <c r="AF1278" s="7" t="n"/>
      <c r="AI1278" s="11" t="n"/>
      <c r="AK1278">
        <f>IF($D1278="","",IF(COUNTIF($D$2:$D1278,$D1278)=1,1,0))</f>
        <v/>
      </c>
      <c r="AL1278">
        <f>IF($AK1278=1,SUMPRODUCT(--($AO$2:$AO$3001&lt;$AO1278))+1,"")</f>
        <v/>
      </c>
      <c r="AM1278">
        <f>IF($D1278="","",IF(OR($R1278=TRUE(),$R1278="TRUE"),1,0))</f>
        <v/>
      </c>
      <c r="AN1278">
        <f>IF($D1278="","",IF($X1278="Yes",1,0))</f>
        <v/>
      </c>
      <c r="AO1278">
        <f>IF($AK1278=1,IFERROR(IF(VALUE($D1278)&lt;100000000,VALUE($D1278),1000000000),IFERROR(IF(VALUE(MID($D1278,2,20))&lt;100000000,VALUE(MID($D1278,2,20)),1000000000),1000000000))+ROW()/100000,"")</f>
        <v/>
      </c>
    </row>
    <row r="1279">
      <c r="F1279" s="11" t="n"/>
      <c r="N1279" s="7">
        <f>IF($D1279="","",M1279*V1279/100)</f>
        <v/>
      </c>
      <c r="O1279" s="7" t="n"/>
      <c r="U1279" s="7" t="n"/>
      <c r="V1279" s="7" t="n"/>
      <c r="Y1279">
        <f>IF($D1279="","",IF($AN1279=1,0,IF($AM1279=1,Settings!$C$6,Settings!$C$7))*100)</f>
        <v/>
      </c>
      <c r="Z1279" s="7">
        <f>IF($D1279="","",V1279*Y1279/100)</f>
        <v/>
      </c>
      <c r="AA1279" s="7">
        <f>IF($D1279="","",V1279-Z1279)</f>
        <v/>
      </c>
      <c r="AB1279" s="7">
        <f>IF($D1279="","",AA1279-N1279)</f>
        <v/>
      </c>
      <c r="AF1279" s="7" t="n"/>
      <c r="AI1279" s="11" t="n"/>
      <c r="AK1279">
        <f>IF($D1279="","",IF(COUNTIF($D$2:$D1279,$D1279)=1,1,0))</f>
        <v/>
      </c>
      <c r="AL1279">
        <f>IF($AK1279=1,SUMPRODUCT(--($AO$2:$AO$3001&lt;$AO1279))+1,"")</f>
        <v/>
      </c>
      <c r="AM1279">
        <f>IF($D1279="","",IF(OR($R1279=TRUE(),$R1279="TRUE"),1,0))</f>
        <v/>
      </c>
      <c r="AN1279">
        <f>IF($D1279="","",IF($X1279="Yes",1,0))</f>
        <v/>
      </c>
      <c r="AO1279">
        <f>IF($AK1279=1,IFERROR(IF(VALUE($D1279)&lt;100000000,VALUE($D1279),1000000000),IFERROR(IF(VALUE(MID($D1279,2,20))&lt;100000000,VALUE(MID($D1279,2,20)),1000000000),1000000000))+ROW()/100000,"")</f>
        <v/>
      </c>
    </row>
    <row r="1280">
      <c r="F1280" s="11" t="n"/>
      <c r="N1280" s="7">
        <f>IF($D1280="","",M1280*V1280/100)</f>
        <v/>
      </c>
      <c r="O1280" s="7" t="n"/>
      <c r="U1280" s="7" t="n"/>
      <c r="V1280" s="7" t="n"/>
      <c r="Y1280">
        <f>IF($D1280="","",IF($AN1280=1,0,IF($AM1280=1,Settings!$C$6,Settings!$C$7))*100)</f>
        <v/>
      </c>
      <c r="Z1280" s="7">
        <f>IF($D1280="","",V1280*Y1280/100)</f>
        <v/>
      </c>
      <c r="AA1280" s="7">
        <f>IF($D1280="","",V1280-Z1280)</f>
        <v/>
      </c>
      <c r="AB1280" s="7">
        <f>IF($D1280="","",AA1280-N1280)</f>
        <v/>
      </c>
      <c r="AF1280" s="7" t="n"/>
      <c r="AI1280" s="11" t="n"/>
      <c r="AK1280">
        <f>IF($D1280="","",IF(COUNTIF($D$2:$D1280,$D1280)=1,1,0))</f>
        <v/>
      </c>
      <c r="AL1280">
        <f>IF($AK1280=1,SUMPRODUCT(--($AO$2:$AO$3001&lt;$AO1280))+1,"")</f>
        <v/>
      </c>
      <c r="AM1280">
        <f>IF($D1280="","",IF(OR($R1280=TRUE(),$R1280="TRUE"),1,0))</f>
        <v/>
      </c>
      <c r="AN1280">
        <f>IF($D1280="","",IF($X1280="Yes",1,0))</f>
        <v/>
      </c>
      <c r="AO1280">
        <f>IF($AK1280=1,IFERROR(IF(VALUE($D1280)&lt;100000000,VALUE($D1280),1000000000),IFERROR(IF(VALUE(MID($D1280,2,20))&lt;100000000,VALUE(MID($D1280,2,20)),1000000000),1000000000))+ROW()/100000,"")</f>
        <v/>
      </c>
    </row>
    <row r="1281">
      <c r="F1281" s="11" t="n"/>
      <c r="N1281" s="7">
        <f>IF($D1281="","",M1281*V1281/100)</f>
        <v/>
      </c>
      <c r="O1281" s="7" t="n"/>
      <c r="U1281" s="7" t="n"/>
      <c r="V1281" s="7" t="n"/>
      <c r="Y1281">
        <f>IF($D1281="","",IF($AN1281=1,0,IF($AM1281=1,Settings!$C$6,Settings!$C$7))*100)</f>
        <v/>
      </c>
      <c r="Z1281" s="7">
        <f>IF($D1281="","",V1281*Y1281/100)</f>
        <v/>
      </c>
      <c r="AA1281" s="7">
        <f>IF($D1281="","",V1281-Z1281)</f>
        <v/>
      </c>
      <c r="AB1281" s="7">
        <f>IF($D1281="","",AA1281-N1281)</f>
        <v/>
      </c>
      <c r="AF1281" s="7" t="n"/>
      <c r="AI1281" s="11" t="n"/>
      <c r="AK1281">
        <f>IF($D1281="","",IF(COUNTIF($D$2:$D1281,$D1281)=1,1,0))</f>
        <v/>
      </c>
      <c r="AL1281">
        <f>IF($AK1281=1,SUMPRODUCT(--($AO$2:$AO$3001&lt;$AO1281))+1,"")</f>
        <v/>
      </c>
      <c r="AM1281">
        <f>IF($D1281="","",IF(OR($R1281=TRUE(),$R1281="TRUE"),1,0))</f>
        <v/>
      </c>
      <c r="AN1281">
        <f>IF($D1281="","",IF($X1281="Yes",1,0))</f>
        <v/>
      </c>
      <c r="AO1281">
        <f>IF($AK1281=1,IFERROR(IF(VALUE($D1281)&lt;100000000,VALUE($D1281),1000000000),IFERROR(IF(VALUE(MID($D1281,2,20))&lt;100000000,VALUE(MID($D1281,2,20)),1000000000),1000000000))+ROW()/100000,"")</f>
        <v/>
      </c>
    </row>
    <row r="1282">
      <c r="F1282" s="11" t="n"/>
      <c r="N1282" s="7">
        <f>IF($D1282="","",M1282*V1282/100)</f>
        <v/>
      </c>
      <c r="O1282" s="7" t="n"/>
      <c r="U1282" s="7" t="n"/>
      <c r="V1282" s="7" t="n"/>
      <c r="Y1282">
        <f>IF($D1282="","",IF($AN1282=1,0,IF($AM1282=1,Settings!$C$6,Settings!$C$7))*100)</f>
        <v/>
      </c>
      <c r="Z1282" s="7">
        <f>IF($D1282="","",V1282*Y1282/100)</f>
        <v/>
      </c>
      <c r="AA1282" s="7">
        <f>IF($D1282="","",V1282-Z1282)</f>
        <v/>
      </c>
      <c r="AB1282" s="7">
        <f>IF($D1282="","",AA1282-N1282)</f>
        <v/>
      </c>
      <c r="AF1282" s="7" t="n"/>
      <c r="AI1282" s="11" t="n"/>
      <c r="AK1282">
        <f>IF($D1282="","",IF(COUNTIF($D$2:$D1282,$D1282)=1,1,0))</f>
        <v/>
      </c>
      <c r="AL1282">
        <f>IF($AK1282=1,SUMPRODUCT(--($AO$2:$AO$3001&lt;$AO1282))+1,"")</f>
        <v/>
      </c>
      <c r="AM1282">
        <f>IF($D1282="","",IF(OR($R1282=TRUE(),$R1282="TRUE"),1,0))</f>
        <v/>
      </c>
      <c r="AN1282">
        <f>IF($D1282="","",IF($X1282="Yes",1,0))</f>
        <v/>
      </c>
      <c r="AO1282">
        <f>IF($AK1282=1,IFERROR(IF(VALUE($D1282)&lt;100000000,VALUE($D1282),1000000000),IFERROR(IF(VALUE(MID($D1282,2,20))&lt;100000000,VALUE(MID($D1282,2,20)),1000000000),1000000000))+ROW()/100000,"")</f>
        <v/>
      </c>
    </row>
    <row r="1283">
      <c r="F1283" s="11" t="n"/>
      <c r="N1283" s="7">
        <f>IF($D1283="","",M1283*V1283/100)</f>
        <v/>
      </c>
      <c r="O1283" s="7" t="n"/>
      <c r="U1283" s="7" t="n"/>
      <c r="V1283" s="7" t="n"/>
      <c r="Y1283">
        <f>IF($D1283="","",IF($AN1283=1,0,IF($AM1283=1,Settings!$C$6,Settings!$C$7))*100)</f>
        <v/>
      </c>
      <c r="Z1283" s="7">
        <f>IF($D1283="","",V1283*Y1283/100)</f>
        <v/>
      </c>
      <c r="AA1283" s="7">
        <f>IF($D1283="","",V1283-Z1283)</f>
        <v/>
      </c>
      <c r="AB1283" s="7">
        <f>IF($D1283="","",AA1283-N1283)</f>
        <v/>
      </c>
      <c r="AF1283" s="7" t="n"/>
      <c r="AI1283" s="11" t="n"/>
      <c r="AK1283">
        <f>IF($D1283="","",IF(COUNTIF($D$2:$D1283,$D1283)=1,1,0))</f>
        <v/>
      </c>
      <c r="AL1283">
        <f>IF($AK1283=1,SUMPRODUCT(--($AO$2:$AO$3001&lt;$AO1283))+1,"")</f>
        <v/>
      </c>
      <c r="AM1283">
        <f>IF($D1283="","",IF(OR($R1283=TRUE(),$R1283="TRUE"),1,0))</f>
        <v/>
      </c>
      <c r="AN1283">
        <f>IF($D1283="","",IF($X1283="Yes",1,0))</f>
        <v/>
      </c>
      <c r="AO1283">
        <f>IF($AK1283=1,IFERROR(IF(VALUE($D1283)&lt;100000000,VALUE($D1283),1000000000),IFERROR(IF(VALUE(MID($D1283,2,20))&lt;100000000,VALUE(MID($D1283,2,20)),1000000000),1000000000))+ROW()/100000,"")</f>
        <v/>
      </c>
    </row>
    <row r="1284">
      <c r="F1284" s="11" t="n"/>
      <c r="N1284" s="7">
        <f>IF($D1284="","",M1284*V1284/100)</f>
        <v/>
      </c>
      <c r="O1284" s="7" t="n"/>
      <c r="U1284" s="7" t="n"/>
      <c r="V1284" s="7" t="n"/>
      <c r="Y1284">
        <f>IF($D1284="","",IF($AN1284=1,0,IF($AM1284=1,Settings!$C$6,Settings!$C$7))*100)</f>
        <v/>
      </c>
      <c r="Z1284" s="7">
        <f>IF($D1284="","",V1284*Y1284/100)</f>
        <v/>
      </c>
      <c r="AA1284" s="7">
        <f>IF($D1284="","",V1284-Z1284)</f>
        <v/>
      </c>
      <c r="AB1284" s="7">
        <f>IF($D1284="","",AA1284-N1284)</f>
        <v/>
      </c>
      <c r="AF1284" s="7" t="n"/>
      <c r="AI1284" s="11" t="n"/>
      <c r="AK1284">
        <f>IF($D1284="","",IF(COUNTIF($D$2:$D1284,$D1284)=1,1,0))</f>
        <v/>
      </c>
      <c r="AL1284">
        <f>IF($AK1284=1,SUMPRODUCT(--($AO$2:$AO$3001&lt;$AO1284))+1,"")</f>
        <v/>
      </c>
      <c r="AM1284">
        <f>IF($D1284="","",IF(OR($R1284=TRUE(),$R1284="TRUE"),1,0))</f>
        <v/>
      </c>
      <c r="AN1284">
        <f>IF($D1284="","",IF($X1284="Yes",1,0))</f>
        <v/>
      </c>
      <c r="AO1284">
        <f>IF($AK1284=1,IFERROR(IF(VALUE($D1284)&lt;100000000,VALUE($D1284),1000000000),IFERROR(IF(VALUE(MID($D1284,2,20))&lt;100000000,VALUE(MID($D1284,2,20)),1000000000),1000000000))+ROW()/100000,"")</f>
        <v/>
      </c>
    </row>
    <row r="1285">
      <c r="F1285" s="11" t="n"/>
      <c r="N1285" s="7">
        <f>IF($D1285="","",M1285*V1285/100)</f>
        <v/>
      </c>
      <c r="O1285" s="7" t="n"/>
      <c r="U1285" s="7" t="n"/>
      <c r="V1285" s="7" t="n"/>
      <c r="Y1285">
        <f>IF($D1285="","",IF($AN1285=1,0,IF($AM1285=1,Settings!$C$6,Settings!$C$7))*100)</f>
        <v/>
      </c>
      <c r="Z1285" s="7">
        <f>IF($D1285="","",V1285*Y1285/100)</f>
        <v/>
      </c>
      <c r="AA1285" s="7">
        <f>IF($D1285="","",V1285-Z1285)</f>
        <v/>
      </c>
      <c r="AB1285" s="7">
        <f>IF($D1285="","",AA1285-N1285)</f>
        <v/>
      </c>
      <c r="AF1285" s="7" t="n"/>
      <c r="AI1285" s="11" t="n"/>
      <c r="AK1285">
        <f>IF($D1285="","",IF(COUNTIF($D$2:$D1285,$D1285)=1,1,0))</f>
        <v/>
      </c>
      <c r="AL1285">
        <f>IF($AK1285=1,SUMPRODUCT(--($AO$2:$AO$3001&lt;$AO1285))+1,"")</f>
        <v/>
      </c>
      <c r="AM1285">
        <f>IF($D1285="","",IF(OR($R1285=TRUE(),$R1285="TRUE"),1,0))</f>
        <v/>
      </c>
      <c r="AN1285">
        <f>IF($D1285="","",IF($X1285="Yes",1,0))</f>
        <v/>
      </c>
      <c r="AO1285">
        <f>IF($AK1285=1,IFERROR(IF(VALUE($D1285)&lt;100000000,VALUE($D1285),1000000000),IFERROR(IF(VALUE(MID($D1285,2,20))&lt;100000000,VALUE(MID($D1285,2,20)),1000000000),1000000000))+ROW()/100000,"")</f>
        <v/>
      </c>
    </row>
    <row r="1286">
      <c r="F1286" s="11" t="n"/>
      <c r="N1286" s="7">
        <f>IF($D1286="","",M1286*V1286/100)</f>
        <v/>
      </c>
      <c r="O1286" s="7" t="n"/>
      <c r="U1286" s="7" t="n"/>
      <c r="V1286" s="7" t="n"/>
      <c r="Y1286">
        <f>IF($D1286="","",IF($AN1286=1,0,IF($AM1286=1,Settings!$C$6,Settings!$C$7))*100)</f>
        <v/>
      </c>
      <c r="Z1286" s="7">
        <f>IF($D1286="","",V1286*Y1286/100)</f>
        <v/>
      </c>
      <c r="AA1286" s="7">
        <f>IF($D1286="","",V1286-Z1286)</f>
        <v/>
      </c>
      <c r="AB1286" s="7">
        <f>IF($D1286="","",AA1286-N1286)</f>
        <v/>
      </c>
      <c r="AF1286" s="7" t="n"/>
      <c r="AI1286" s="11" t="n"/>
      <c r="AK1286">
        <f>IF($D1286="","",IF(COUNTIF($D$2:$D1286,$D1286)=1,1,0))</f>
        <v/>
      </c>
      <c r="AL1286">
        <f>IF($AK1286=1,SUMPRODUCT(--($AO$2:$AO$3001&lt;$AO1286))+1,"")</f>
        <v/>
      </c>
      <c r="AM1286">
        <f>IF($D1286="","",IF(OR($R1286=TRUE(),$R1286="TRUE"),1,0))</f>
        <v/>
      </c>
      <c r="AN1286">
        <f>IF($D1286="","",IF($X1286="Yes",1,0))</f>
        <v/>
      </c>
      <c r="AO1286">
        <f>IF($AK1286=1,IFERROR(IF(VALUE($D1286)&lt;100000000,VALUE($D1286),1000000000),IFERROR(IF(VALUE(MID($D1286,2,20))&lt;100000000,VALUE(MID($D1286,2,20)),1000000000),1000000000))+ROW()/100000,"")</f>
        <v/>
      </c>
    </row>
    <row r="1287">
      <c r="F1287" s="11" t="n"/>
      <c r="N1287" s="7">
        <f>IF($D1287="","",M1287*V1287/100)</f>
        <v/>
      </c>
      <c r="O1287" s="7" t="n"/>
      <c r="U1287" s="7" t="n"/>
      <c r="V1287" s="7" t="n"/>
      <c r="Y1287">
        <f>IF($D1287="","",IF($AN1287=1,0,IF($AM1287=1,Settings!$C$6,Settings!$C$7))*100)</f>
        <v/>
      </c>
      <c r="Z1287" s="7">
        <f>IF($D1287="","",V1287*Y1287/100)</f>
        <v/>
      </c>
      <c r="AA1287" s="7">
        <f>IF($D1287="","",V1287-Z1287)</f>
        <v/>
      </c>
      <c r="AB1287" s="7">
        <f>IF($D1287="","",AA1287-N1287)</f>
        <v/>
      </c>
      <c r="AF1287" s="7" t="n"/>
      <c r="AI1287" s="11" t="n"/>
      <c r="AK1287">
        <f>IF($D1287="","",IF(COUNTIF($D$2:$D1287,$D1287)=1,1,0))</f>
        <v/>
      </c>
      <c r="AL1287">
        <f>IF($AK1287=1,SUMPRODUCT(--($AO$2:$AO$3001&lt;$AO1287))+1,"")</f>
        <v/>
      </c>
      <c r="AM1287">
        <f>IF($D1287="","",IF(OR($R1287=TRUE(),$R1287="TRUE"),1,0))</f>
        <v/>
      </c>
      <c r="AN1287">
        <f>IF($D1287="","",IF($X1287="Yes",1,0))</f>
        <v/>
      </c>
      <c r="AO1287">
        <f>IF($AK1287=1,IFERROR(IF(VALUE($D1287)&lt;100000000,VALUE($D1287),1000000000),IFERROR(IF(VALUE(MID($D1287,2,20))&lt;100000000,VALUE(MID($D1287,2,20)),1000000000),1000000000))+ROW()/100000,"")</f>
        <v/>
      </c>
    </row>
    <row r="1288">
      <c r="F1288" s="11" t="n"/>
      <c r="N1288" s="7">
        <f>IF($D1288="","",M1288*V1288/100)</f>
        <v/>
      </c>
      <c r="O1288" s="7" t="n"/>
      <c r="U1288" s="7" t="n"/>
      <c r="V1288" s="7" t="n"/>
      <c r="Y1288">
        <f>IF($D1288="","",IF($AN1288=1,0,IF($AM1288=1,Settings!$C$6,Settings!$C$7))*100)</f>
        <v/>
      </c>
      <c r="Z1288" s="7">
        <f>IF($D1288="","",V1288*Y1288/100)</f>
        <v/>
      </c>
      <c r="AA1288" s="7">
        <f>IF($D1288="","",V1288-Z1288)</f>
        <v/>
      </c>
      <c r="AB1288" s="7">
        <f>IF($D1288="","",AA1288-N1288)</f>
        <v/>
      </c>
      <c r="AF1288" s="7" t="n"/>
      <c r="AI1288" s="11" t="n"/>
      <c r="AK1288">
        <f>IF($D1288="","",IF(COUNTIF($D$2:$D1288,$D1288)=1,1,0))</f>
        <v/>
      </c>
      <c r="AL1288">
        <f>IF($AK1288=1,SUMPRODUCT(--($AO$2:$AO$3001&lt;$AO1288))+1,"")</f>
        <v/>
      </c>
      <c r="AM1288">
        <f>IF($D1288="","",IF(OR($R1288=TRUE(),$R1288="TRUE"),1,0))</f>
        <v/>
      </c>
      <c r="AN1288">
        <f>IF($D1288="","",IF($X1288="Yes",1,0))</f>
        <v/>
      </c>
      <c r="AO1288">
        <f>IF($AK1288=1,IFERROR(IF(VALUE($D1288)&lt;100000000,VALUE($D1288),1000000000),IFERROR(IF(VALUE(MID($D1288,2,20))&lt;100000000,VALUE(MID($D1288,2,20)),1000000000),1000000000))+ROW()/100000,"")</f>
        <v/>
      </c>
    </row>
    <row r="1289">
      <c r="F1289" s="11" t="n"/>
      <c r="N1289" s="7">
        <f>IF($D1289="","",M1289*V1289/100)</f>
        <v/>
      </c>
      <c r="O1289" s="7" t="n"/>
      <c r="U1289" s="7" t="n"/>
      <c r="V1289" s="7" t="n"/>
      <c r="Y1289">
        <f>IF($D1289="","",IF($AN1289=1,0,IF($AM1289=1,Settings!$C$6,Settings!$C$7))*100)</f>
        <v/>
      </c>
      <c r="Z1289" s="7">
        <f>IF($D1289="","",V1289*Y1289/100)</f>
        <v/>
      </c>
      <c r="AA1289" s="7">
        <f>IF($D1289="","",V1289-Z1289)</f>
        <v/>
      </c>
      <c r="AB1289" s="7">
        <f>IF($D1289="","",AA1289-N1289)</f>
        <v/>
      </c>
      <c r="AF1289" s="7" t="n"/>
      <c r="AI1289" s="11" t="n"/>
      <c r="AK1289">
        <f>IF($D1289="","",IF(COUNTIF($D$2:$D1289,$D1289)=1,1,0))</f>
        <v/>
      </c>
      <c r="AL1289">
        <f>IF($AK1289=1,SUMPRODUCT(--($AO$2:$AO$3001&lt;$AO1289))+1,"")</f>
        <v/>
      </c>
      <c r="AM1289">
        <f>IF($D1289="","",IF(OR($R1289=TRUE(),$R1289="TRUE"),1,0))</f>
        <v/>
      </c>
      <c r="AN1289">
        <f>IF($D1289="","",IF($X1289="Yes",1,0))</f>
        <v/>
      </c>
      <c r="AO1289">
        <f>IF($AK1289=1,IFERROR(IF(VALUE($D1289)&lt;100000000,VALUE($D1289),1000000000),IFERROR(IF(VALUE(MID($D1289,2,20))&lt;100000000,VALUE(MID($D1289,2,20)),1000000000),1000000000))+ROW()/100000,"")</f>
        <v/>
      </c>
    </row>
    <row r="1290">
      <c r="F1290" s="11" t="n"/>
      <c r="N1290" s="7">
        <f>IF($D1290="","",M1290*V1290/100)</f>
        <v/>
      </c>
      <c r="O1290" s="7" t="n"/>
      <c r="U1290" s="7" t="n"/>
      <c r="V1290" s="7" t="n"/>
      <c r="Y1290">
        <f>IF($D1290="","",IF($AN1290=1,0,IF($AM1290=1,Settings!$C$6,Settings!$C$7))*100)</f>
        <v/>
      </c>
      <c r="Z1290" s="7">
        <f>IF($D1290="","",V1290*Y1290/100)</f>
        <v/>
      </c>
      <c r="AA1290" s="7">
        <f>IF($D1290="","",V1290-Z1290)</f>
        <v/>
      </c>
      <c r="AB1290" s="7">
        <f>IF($D1290="","",AA1290-N1290)</f>
        <v/>
      </c>
      <c r="AF1290" s="7" t="n"/>
      <c r="AI1290" s="11" t="n"/>
      <c r="AK1290">
        <f>IF($D1290="","",IF(COUNTIF($D$2:$D1290,$D1290)=1,1,0))</f>
        <v/>
      </c>
      <c r="AL1290">
        <f>IF($AK1290=1,SUMPRODUCT(--($AO$2:$AO$3001&lt;$AO1290))+1,"")</f>
        <v/>
      </c>
      <c r="AM1290">
        <f>IF($D1290="","",IF(OR($R1290=TRUE(),$R1290="TRUE"),1,0))</f>
        <v/>
      </c>
      <c r="AN1290">
        <f>IF($D1290="","",IF($X1290="Yes",1,0))</f>
        <v/>
      </c>
      <c r="AO1290">
        <f>IF($AK1290=1,IFERROR(IF(VALUE($D1290)&lt;100000000,VALUE($D1290),1000000000),IFERROR(IF(VALUE(MID($D1290,2,20))&lt;100000000,VALUE(MID($D1290,2,20)),1000000000),1000000000))+ROW()/100000,"")</f>
        <v/>
      </c>
    </row>
    <row r="1291">
      <c r="F1291" s="11" t="n"/>
      <c r="N1291" s="7">
        <f>IF($D1291="","",M1291*V1291/100)</f>
        <v/>
      </c>
      <c r="O1291" s="7" t="n"/>
      <c r="U1291" s="7" t="n"/>
      <c r="V1291" s="7" t="n"/>
      <c r="Y1291">
        <f>IF($D1291="","",IF($AN1291=1,0,IF($AM1291=1,Settings!$C$6,Settings!$C$7))*100)</f>
        <v/>
      </c>
      <c r="Z1291" s="7">
        <f>IF($D1291="","",V1291*Y1291/100)</f>
        <v/>
      </c>
      <c r="AA1291" s="7">
        <f>IF($D1291="","",V1291-Z1291)</f>
        <v/>
      </c>
      <c r="AB1291" s="7">
        <f>IF($D1291="","",AA1291-N1291)</f>
        <v/>
      </c>
      <c r="AF1291" s="7" t="n"/>
      <c r="AI1291" s="11" t="n"/>
      <c r="AK1291">
        <f>IF($D1291="","",IF(COUNTIF($D$2:$D1291,$D1291)=1,1,0))</f>
        <v/>
      </c>
      <c r="AL1291">
        <f>IF($AK1291=1,SUMPRODUCT(--($AO$2:$AO$3001&lt;$AO1291))+1,"")</f>
        <v/>
      </c>
      <c r="AM1291">
        <f>IF($D1291="","",IF(OR($R1291=TRUE(),$R1291="TRUE"),1,0))</f>
        <v/>
      </c>
      <c r="AN1291">
        <f>IF($D1291="","",IF($X1291="Yes",1,0))</f>
        <v/>
      </c>
      <c r="AO1291">
        <f>IF($AK1291=1,IFERROR(IF(VALUE($D1291)&lt;100000000,VALUE($D1291),1000000000),IFERROR(IF(VALUE(MID($D1291,2,20))&lt;100000000,VALUE(MID($D1291,2,20)),1000000000),1000000000))+ROW()/100000,"")</f>
        <v/>
      </c>
    </row>
    <row r="1292">
      <c r="F1292" s="11" t="n"/>
      <c r="N1292" s="7">
        <f>IF($D1292="","",M1292*V1292/100)</f>
        <v/>
      </c>
      <c r="O1292" s="7" t="n"/>
      <c r="U1292" s="7" t="n"/>
      <c r="V1292" s="7" t="n"/>
      <c r="Y1292">
        <f>IF($D1292="","",IF($AN1292=1,0,IF($AM1292=1,Settings!$C$6,Settings!$C$7))*100)</f>
        <v/>
      </c>
      <c r="Z1292" s="7">
        <f>IF($D1292="","",V1292*Y1292/100)</f>
        <v/>
      </c>
      <c r="AA1292" s="7">
        <f>IF($D1292="","",V1292-Z1292)</f>
        <v/>
      </c>
      <c r="AB1292" s="7">
        <f>IF($D1292="","",AA1292-N1292)</f>
        <v/>
      </c>
      <c r="AF1292" s="7" t="n"/>
      <c r="AI1292" s="11" t="n"/>
      <c r="AK1292">
        <f>IF($D1292="","",IF(COUNTIF($D$2:$D1292,$D1292)=1,1,0))</f>
        <v/>
      </c>
      <c r="AL1292">
        <f>IF($AK1292=1,SUMPRODUCT(--($AO$2:$AO$3001&lt;$AO1292))+1,"")</f>
        <v/>
      </c>
      <c r="AM1292">
        <f>IF($D1292="","",IF(OR($R1292=TRUE(),$R1292="TRUE"),1,0))</f>
        <v/>
      </c>
      <c r="AN1292">
        <f>IF($D1292="","",IF($X1292="Yes",1,0))</f>
        <v/>
      </c>
      <c r="AO1292">
        <f>IF($AK1292=1,IFERROR(IF(VALUE($D1292)&lt;100000000,VALUE($D1292),1000000000),IFERROR(IF(VALUE(MID($D1292,2,20))&lt;100000000,VALUE(MID($D1292,2,20)),1000000000),1000000000))+ROW()/100000,"")</f>
        <v/>
      </c>
    </row>
    <row r="1293">
      <c r="F1293" s="11" t="n"/>
      <c r="N1293" s="7">
        <f>IF($D1293="","",M1293*V1293/100)</f>
        <v/>
      </c>
      <c r="O1293" s="7" t="n"/>
      <c r="U1293" s="7" t="n"/>
      <c r="V1293" s="7" t="n"/>
      <c r="Y1293">
        <f>IF($D1293="","",IF($AN1293=1,0,IF($AM1293=1,Settings!$C$6,Settings!$C$7))*100)</f>
        <v/>
      </c>
      <c r="Z1293" s="7">
        <f>IF($D1293="","",V1293*Y1293/100)</f>
        <v/>
      </c>
      <c r="AA1293" s="7">
        <f>IF($D1293="","",V1293-Z1293)</f>
        <v/>
      </c>
      <c r="AB1293" s="7">
        <f>IF($D1293="","",AA1293-N1293)</f>
        <v/>
      </c>
      <c r="AF1293" s="7" t="n"/>
      <c r="AI1293" s="11" t="n"/>
      <c r="AK1293">
        <f>IF($D1293="","",IF(COUNTIF($D$2:$D1293,$D1293)=1,1,0))</f>
        <v/>
      </c>
      <c r="AL1293">
        <f>IF($AK1293=1,SUMPRODUCT(--($AO$2:$AO$3001&lt;$AO1293))+1,"")</f>
        <v/>
      </c>
      <c r="AM1293">
        <f>IF($D1293="","",IF(OR($R1293=TRUE(),$R1293="TRUE"),1,0))</f>
        <v/>
      </c>
      <c r="AN1293">
        <f>IF($D1293="","",IF($X1293="Yes",1,0))</f>
        <v/>
      </c>
      <c r="AO1293">
        <f>IF($AK1293=1,IFERROR(IF(VALUE($D1293)&lt;100000000,VALUE($D1293),1000000000),IFERROR(IF(VALUE(MID($D1293,2,20))&lt;100000000,VALUE(MID($D1293,2,20)),1000000000),1000000000))+ROW()/100000,"")</f>
        <v/>
      </c>
    </row>
    <row r="1294">
      <c r="F1294" s="11" t="n"/>
      <c r="N1294" s="7">
        <f>IF($D1294="","",M1294*V1294/100)</f>
        <v/>
      </c>
      <c r="O1294" s="7" t="n"/>
      <c r="U1294" s="7" t="n"/>
      <c r="V1294" s="7" t="n"/>
      <c r="Y1294">
        <f>IF($D1294="","",IF($AN1294=1,0,IF($AM1294=1,Settings!$C$6,Settings!$C$7))*100)</f>
        <v/>
      </c>
      <c r="Z1294" s="7">
        <f>IF($D1294="","",V1294*Y1294/100)</f>
        <v/>
      </c>
      <c r="AA1294" s="7">
        <f>IF($D1294="","",V1294-Z1294)</f>
        <v/>
      </c>
      <c r="AB1294" s="7">
        <f>IF($D1294="","",AA1294-N1294)</f>
        <v/>
      </c>
      <c r="AF1294" s="7" t="n"/>
      <c r="AI1294" s="11" t="n"/>
      <c r="AK1294">
        <f>IF($D1294="","",IF(COUNTIF($D$2:$D1294,$D1294)=1,1,0))</f>
        <v/>
      </c>
      <c r="AL1294">
        <f>IF($AK1294=1,SUMPRODUCT(--($AO$2:$AO$3001&lt;$AO1294))+1,"")</f>
        <v/>
      </c>
      <c r="AM1294">
        <f>IF($D1294="","",IF(OR($R1294=TRUE(),$R1294="TRUE"),1,0))</f>
        <v/>
      </c>
      <c r="AN1294">
        <f>IF($D1294="","",IF($X1294="Yes",1,0))</f>
        <v/>
      </c>
      <c r="AO1294">
        <f>IF($AK1294=1,IFERROR(IF(VALUE($D1294)&lt;100000000,VALUE($D1294),1000000000),IFERROR(IF(VALUE(MID($D1294,2,20))&lt;100000000,VALUE(MID($D1294,2,20)),1000000000),1000000000))+ROW()/100000,"")</f>
        <v/>
      </c>
    </row>
    <row r="1295">
      <c r="F1295" s="11" t="n"/>
      <c r="N1295" s="7">
        <f>IF($D1295="","",M1295*V1295/100)</f>
        <v/>
      </c>
      <c r="O1295" s="7" t="n"/>
      <c r="U1295" s="7" t="n"/>
      <c r="V1295" s="7" t="n"/>
      <c r="Y1295">
        <f>IF($D1295="","",IF($AN1295=1,0,IF($AM1295=1,Settings!$C$6,Settings!$C$7))*100)</f>
        <v/>
      </c>
      <c r="Z1295" s="7">
        <f>IF($D1295="","",V1295*Y1295/100)</f>
        <v/>
      </c>
      <c r="AA1295" s="7">
        <f>IF($D1295="","",V1295-Z1295)</f>
        <v/>
      </c>
      <c r="AB1295" s="7">
        <f>IF($D1295="","",AA1295-N1295)</f>
        <v/>
      </c>
      <c r="AF1295" s="7" t="n"/>
      <c r="AI1295" s="11" t="n"/>
      <c r="AK1295">
        <f>IF($D1295="","",IF(COUNTIF($D$2:$D1295,$D1295)=1,1,0))</f>
        <v/>
      </c>
      <c r="AL1295">
        <f>IF($AK1295=1,SUMPRODUCT(--($AO$2:$AO$3001&lt;$AO1295))+1,"")</f>
        <v/>
      </c>
      <c r="AM1295">
        <f>IF($D1295="","",IF(OR($R1295=TRUE(),$R1295="TRUE"),1,0))</f>
        <v/>
      </c>
      <c r="AN1295">
        <f>IF($D1295="","",IF($X1295="Yes",1,0))</f>
        <v/>
      </c>
      <c r="AO1295">
        <f>IF($AK1295=1,IFERROR(IF(VALUE($D1295)&lt;100000000,VALUE($D1295),1000000000),IFERROR(IF(VALUE(MID($D1295,2,20))&lt;100000000,VALUE(MID($D1295,2,20)),1000000000),1000000000))+ROW()/100000,"")</f>
        <v/>
      </c>
    </row>
    <row r="1296">
      <c r="F1296" s="11" t="n"/>
      <c r="N1296" s="7">
        <f>IF($D1296="","",M1296*V1296/100)</f>
        <v/>
      </c>
      <c r="O1296" s="7" t="n"/>
      <c r="U1296" s="7" t="n"/>
      <c r="V1296" s="7" t="n"/>
      <c r="Y1296">
        <f>IF($D1296="","",IF($AN1296=1,0,IF($AM1296=1,Settings!$C$6,Settings!$C$7))*100)</f>
        <v/>
      </c>
      <c r="Z1296" s="7">
        <f>IF($D1296="","",V1296*Y1296/100)</f>
        <v/>
      </c>
      <c r="AA1296" s="7">
        <f>IF($D1296="","",V1296-Z1296)</f>
        <v/>
      </c>
      <c r="AB1296" s="7">
        <f>IF($D1296="","",AA1296-N1296)</f>
        <v/>
      </c>
      <c r="AF1296" s="7" t="n"/>
      <c r="AI1296" s="11" t="n"/>
      <c r="AK1296">
        <f>IF($D1296="","",IF(COUNTIF($D$2:$D1296,$D1296)=1,1,0))</f>
        <v/>
      </c>
      <c r="AL1296">
        <f>IF($AK1296=1,SUMPRODUCT(--($AO$2:$AO$3001&lt;$AO1296))+1,"")</f>
        <v/>
      </c>
      <c r="AM1296">
        <f>IF($D1296="","",IF(OR($R1296=TRUE(),$R1296="TRUE"),1,0))</f>
        <v/>
      </c>
      <c r="AN1296">
        <f>IF($D1296="","",IF($X1296="Yes",1,0))</f>
        <v/>
      </c>
      <c r="AO1296">
        <f>IF($AK1296=1,IFERROR(IF(VALUE($D1296)&lt;100000000,VALUE($D1296),1000000000),IFERROR(IF(VALUE(MID($D1296,2,20))&lt;100000000,VALUE(MID($D1296,2,20)),1000000000),1000000000))+ROW()/100000,"")</f>
        <v/>
      </c>
    </row>
    <row r="1297">
      <c r="F1297" s="11" t="n"/>
      <c r="N1297" s="7">
        <f>IF($D1297="","",M1297*V1297/100)</f>
        <v/>
      </c>
      <c r="O1297" s="7" t="n"/>
      <c r="U1297" s="7" t="n"/>
      <c r="V1297" s="7" t="n"/>
      <c r="Y1297">
        <f>IF($D1297="","",IF($AN1297=1,0,IF($AM1297=1,Settings!$C$6,Settings!$C$7))*100)</f>
        <v/>
      </c>
      <c r="Z1297" s="7">
        <f>IF($D1297="","",V1297*Y1297/100)</f>
        <v/>
      </c>
      <c r="AA1297" s="7">
        <f>IF($D1297="","",V1297-Z1297)</f>
        <v/>
      </c>
      <c r="AB1297" s="7">
        <f>IF($D1297="","",AA1297-N1297)</f>
        <v/>
      </c>
      <c r="AF1297" s="7" t="n"/>
      <c r="AI1297" s="11" t="n"/>
      <c r="AK1297">
        <f>IF($D1297="","",IF(COUNTIF($D$2:$D1297,$D1297)=1,1,0))</f>
        <v/>
      </c>
      <c r="AL1297">
        <f>IF($AK1297=1,SUMPRODUCT(--($AO$2:$AO$3001&lt;$AO1297))+1,"")</f>
        <v/>
      </c>
      <c r="AM1297">
        <f>IF($D1297="","",IF(OR($R1297=TRUE(),$R1297="TRUE"),1,0))</f>
        <v/>
      </c>
      <c r="AN1297">
        <f>IF($D1297="","",IF($X1297="Yes",1,0))</f>
        <v/>
      </c>
      <c r="AO1297">
        <f>IF($AK1297=1,IFERROR(IF(VALUE($D1297)&lt;100000000,VALUE($D1297),1000000000),IFERROR(IF(VALUE(MID($D1297,2,20))&lt;100000000,VALUE(MID($D1297,2,20)),1000000000),1000000000))+ROW()/100000,"")</f>
        <v/>
      </c>
    </row>
    <row r="1298">
      <c r="F1298" s="11" t="n"/>
      <c r="N1298" s="7">
        <f>IF($D1298="","",M1298*V1298/100)</f>
        <v/>
      </c>
      <c r="O1298" s="7" t="n"/>
      <c r="U1298" s="7" t="n"/>
      <c r="V1298" s="7" t="n"/>
      <c r="Y1298">
        <f>IF($D1298="","",IF($AN1298=1,0,IF($AM1298=1,Settings!$C$6,Settings!$C$7))*100)</f>
        <v/>
      </c>
      <c r="Z1298" s="7">
        <f>IF($D1298="","",V1298*Y1298/100)</f>
        <v/>
      </c>
      <c r="AA1298" s="7">
        <f>IF($D1298="","",V1298-Z1298)</f>
        <v/>
      </c>
      <c r="AB1298" s="7">
        <f>IF($D1298="","",AA1298-N1298)</f>
        <v/>
      </c>
      <c r="AF1298" s="7" t="n"/>
      <c r="AI1298" s="11" t="n"/>
      <c r="AK1298">
        <f>IF($D1298="","",IF(COUNTIF($D$2:$D1298,$D1298)=1,1,0))</f>
        <v/>
      </c>
      <c r="AL1298">
        <f>IF($AK1298=1,SUMPRODUCT(--($AO$2:$AO$3001&lt;$AO1298))+1,"")</f>
        <v/>
      </c>
      <c r="AM1298">
        <f>IF($D1298="","",IF(OR($R1298=TRUE(),$R1298="TRUE"),1,0))</f>
        <v/>
      </c>
      <c r="AN1298">
        <f>IF($D1298="","",IF($X1298="Yes",1,0))</f>
        <v/>
      </c>
      <c r="AO1298">
        <f>IF($AK1298=1,IFERROR(IF(VALUE($D1298)&lt;100000000,VALUE($D1298),1000000000),IFERROR(IF(VALUE(MID($D1298,2,20))&lt;100000000,VALUE(MID($D1298,2,20)),1000000000),1000000000))+ROW()/100000,"")</f>
        <v/>
      </c>
    </row>
    <row r="1299">
      <c r="F1299" s="11" t="n"/>
      <c r="N1299" s="7">
        <f>IF($D1299="","",M1299*V1299/100)</f>
        <v/>
      </c>
      <c r="O1299" s="7" t="n"/>
      <c r="U1299" s="7" t="n"/>
      <c r="V1299" s="7" t="n"/>
      <c r="Y1299">
        <f>IF($D1299="","",IF($AN1299=1,0,IF($AM1299=1,Settings!$C$6,Settings!$C$7))*100)</f>
        <v/>
      </c>
      <c r="Z1299" s="7">
        <f>IF($D1299="","",V1299*Y1299/100)</f>
        <v/>
      </c>
      <c r="AA1299" s="7">
        <f>IF($D1299="","",V1299-Z1299)</f>
        <v/>
      </c>
      <c r="AB1299" s="7">
        <f>IF($D1299="","",AA1299-N1299)</f>
        <v/>
      </c>
      <c r="AF1299" s="7" t="n"/>
      <c r="AI1299" s="11" t="n"/>
      <c r="AK1299">
        <f>IF($D1299="","",IF(COUNTIF($D$2:$D1299,$D1299)=1,1,0))</f>
        <v/>
      </c>
      <c r="AL1299">
        <f>IF($AK1299=1,SUMPRODUCT(--($AO$2:$AO$3001&lt;$AO1299))+1,"")</f>
        <v/>
      </c>
      <c r="AM1299">
        <f>IF($D1299="","",IF(OR($R1299=TRUE(),$R1299="TRUE"),1,0))</f>
        <v/>
      </c>
      <c r="AN1299">
        <f>IF($D1299="","",IF($X1299="Yes",1,0))</f>
        <v/>
      </c>
      <c r="AO1299">
        <f>IF($AK1299=1,IFERROR(IF(VALUE($D1299)&lt;100000000,VALUE($D1299),1000000000),IFERROR(IF(VALUE(MID($D1299,2,20))&lt;100000000,VALUE(MID($D1299,2,20)),1000000000),1000000000))+ROW()/100000,"")</f>
        <v/>
      </c>
    </row>
    <row r="1300">
      <c r="F1300" s="11" t="n"/>
      <c r="N1300" s="7">
        <f>IF($D1300="","",M1300*V1300/100)</f>
        <v/>
      </c>
      <c r="O1300" s="7" t="n"/>
      <c r="U1300" s="7" t="n"/>
      <c r="V1300" s="7" t="n"/>
      <c r="Y1300">
        <f>IF($D1300="","",IF($AN1300=1,0,IF($AM1300=1,Settings!$C$6,Settings!$C$7))*100)</f>
        <v/>
      </c>
      <c r="Z1300" s="7">
        <f>IF($D1300="","",V1300*Y1300/100)</f>
        <v/>
      </c>
      <c r="AA1300" s="7">
        <f>IF($D1300="","",V1300-Z1300)</f>
        <v/>
      </c>
      <c r="AB1300" s="7">
        <f>IF($D1300="","",AA1300-N1300)</f>
        <v/>
      </c>
      <c r="AF1300" s="7" t="n"/>
      <c r="AI1300" s="11" t="n"/>
      <c r="AK1300">
        <f>IF($D1300="","",IF(COUNTIF($D$2:$D1300,$D1300)=1,1,0))</f>
        <v/>
      </c>
      <c r="AL1300">
        <f>IF($AK1300=1,SUMPRODUCT(--($AO$2:$AO$3001&lt;$AO1300))+1,"")</f>
        <v/>
      </c>
      <c r="AM1300">
        <f>IF($D1300="","",IF(OR($R1300=TRUE(),$R1300="TRUE"),1,0))</f>
        <v/>
      </c>
      <c r="AN1300">
        <f>IF($D1300="","",IF($X1300="Yes",1,0))</f>
        <v/>
      </c>
      <c r="AO1300">
        <f>IF($AK1300=1,IFERROR(IF(VALUE($D1300)&lt;100000000,VALUE($D1300),1000000000),IFERROR(IF(VALUE(MID($D1300,2,20))&lt;100000000,VALUE(MID($D1300,2,20)),1000000000),1000000000))+ROW()/100000,"")</f>
        <v/>
      </c>
    </row>
    <row r="1301">
      <c r="F1301" s="11" t="n"/>
      <c r="N1301" s="7">
        <f>IF($D1301="","",M1301*V1301/100)</f>
        <v/>
      </c>
      <c r="O1301" s="7" t="n"/>
      <c r="U1301" s="7" t="n"/>
      <c r="V1301" s="7" t="n"/>
      <c r="Y1301">
        <f>IF($D1301="","",IF($AN1301=1,0,IF($AM1301=1,Settings!$C$6,Settings!$C$7))*100)</f>
        <v/>
      </c>
      <c r="Z1301" s="7">
        <f>IF($D1301="","",V1301*Y1301/100)</f>
        <v/>
      </c>
      <c r="AA1301" s="7">
        <f>IF($D1301="","",V1301-Z1301)</f>
        <v/>
      </c>
      <c r="AB1301" s="7">
        <f>IF($D1301="","",AA1301-N1301)</f>
        <v/>
      </c>
      <c r="AF1301" s="7" t="n"/>
      <c r="AI1301" s="11" t="n"/>
      <c r="AK1301">
        <f>IF($D1301="","",IF(COUNTIF($D$2:$D1301,$D1301)=1,1,0))</f>
        <v/>
      </c>
      <c r="AL1301">
        <f>IF($AK1301=1,SUMPRODUCT(--($AO$2:$AO$3001&lt;$AO1301))+1,"")</f>
        <v/>
      </c>
      <c r="AM1301">
        <f>IF($D1301="","",IF(OR($R1301=TRUE(),$R1301="TRUE"),1,0))</f>
        <v/>
      </c>
      <c r="AN1301">
        <f>IF($D1301="","",IF($X1301="Yes",1,0))</f>
        <v/>
      </c>
      <c r="AO1301">
        <f>IF($AK1301=1,IFERROR(IF(VALUE($D1301)&lt;100000000,VALUE($D1301),1000000000),IFERROR(IF(VALUE(MID($D1301,2,20))&lt;100000000,VALUE(MID($D1301,2,20)),1000000000),1000000000))+ROW()/100000,"")</f>
        <v/>
      </c>
    </row>
    <row r="1302">
      <c r="F1302" s="11" t="n"/>
      <c r="N1302" s="7">
        <f>IF($D1302="","",M1302*V1302/100)</f>
        <v/>
      </c>
      <c r="O1302" s="7" t="n"/>
      <c r="U1302" s="7" t="n"/>
      <c r="V1302" s="7" t="n"/>
      <c r="Y1302">
        <f>IF($D1302="","",IF($AN1302=1,0,IF($AM1302=1,Settings!$C$6,Settings!$C$7))*100)</f>
        <v/>
      </c>
      <c r="Z1302" s="7">
        <f>IF($D1302="","",V1302*Y1302/100)</f>
        <v/>
      </c>
      <c r="AA1302" s="7">
        <f>IF($D1302="","",V1302-Z1302)</f>
        <v/>
      </c>
      <c r="AB1302" s="7">
        <f>IF($D1302="","",AA1302-N1302)</f>
        <v/>
      </c>
      <c r="AF1302" s="7" t="n"/>
      <c r="AI1302" s="11" t="n"/>
      <c r="AK1302">
        <f>IF($D1302="","",IF(COUNTIF($D$2:$D1302,$D1302)=1,1,0))</f>
        <v/>
      </c>
      <c r="AL1302">
        <f>IF($AK1302=1,SUMPRODUCT(--($AO$2:$AO$3001&lt;$AO1302))+1,"")</f>
        <v/>
      </c>
      <c r="AM1302">
        <f>IF($D1302="","",IF(OR($R1302=TRUE(),$R1302="TRUE"),1,0))</f>
        <v/>
      </c>
      <c r="AN1302">
        <f>IF($D1302="","",IF($X1302="Yes",1,0))</f>
        <v/>
      </c>
      <c r="AO1302">
        <f>IF($AK1302=1,IFERROR(IF(VALUE($D1302)&lt;100000000,VALUE($D1302),1000000000),IFERROR(IF(VALUE(MID($D1302,2,20))&lt;100000000,VALUE(MID($D1302,2,20)),1000000000),1000000000))+ROW()/100000,"")</f>
        <v/>
      </c>
    </row>
    <row r="1303">
      <c r="F1303" s="11" t="n"/>
      <c r="N1303" s="7">
        <f>IF($D1303="","",M1303*V1303/100)</f>
        <v/>
      </c>
      <c r="O1303" s="7" t="n"/>
      <c r="U1303" s="7" t="n"/>
      <c r="V1303" s="7" t="n"/>
      <c r="Y1303">
        <f>IF($D1303="","",IF($AN1303=1,0,IF($AM1303=1,Settings!$C$6,Settings!$C$7))*100)</f>
        <v/>
      </c>
      <c r="Z1303" s="7">
        <f>IF($D1303="","",V1303*Y1303/100)</f>
        <v/>
      </c>
      <c r="AA1303" s="7">
        <f>IF($D1303="","",V1303-Z1303)</f>
        <v/>
      </c>
      <c r="AB1303" s="7">
        <f>IF($D1303="","",AA1303-N1303)</f>
        <v/>
      </c>
      <c r="AF1303" s="7" t="n"/>
      <c r="AI1303" s="11" t="n"/>
      <c r="AK1303">
        <f>IF($D1303="","",IF(COUNTIF($D$2:$D1303,$D1303)=1,1,0))</f>
        <v/>
      </c>
      <c r="AL1303">
        <f>IF($AK1303=1,SUMPRODUCT(--($AO$2:$AO$3001&lt;$AO1303))+1,"")</f>
        <v/>
      </c>
      <c r="AM1303">
        <f>IF($D1303="","",IF(OR($R1303=TRUE(),$R1303="TRUE"),1,0))</f>
        <v/>
      </c>
      <c r="AN1303">
        <f>IF($D1303="","",IF($X1303="Yes",1,0))</f>
        <v/>
      </c>
      <c r="AO1303">
        <f>IF($AK1303=1,IFERROR(IF(VALUE($D1303)&lt;100000000,VALUE($D1303),1000000000),IFERROR(IF(VALUE(MID($D1303,2,20))&lt;100000000,VALUE(MID($D1303,2,20)),1000000000),1000000000))+ROW()/100000,"")</f>
        <v/>
      </c>
    </row>
    <row r="1304">
      <c r="F1304" s="11" t="n"/>
      <c r="N1304" s="7">
        <f>IF($D1304="","",M1304*V1304/100)</f>
        <v/>
      </c>
      <c r="O1304" s="7" t="n"/>
      <c r="U1304" s="7" t="n"/>
      <c r="V1304" s="7" t="n"/>
      <c r="Y1304">
        <f>IF($D1304="","",IF($AN1304=1,0,IF($AM1304=1,Settings!$C$6,Settings!$C$7))*100)</f>
        <v/>
      </c>
      <c r="Z1304" s="7">
        <f>IF($D1304="","",V1304*Y1304/100)</f>
        <v/>
      </c>
      <c r="AA1304" s="7">
        <f>IF($D1304="","",V1304-Z1304)</f>
        <v/>
      </c>
      <c r="AB1304" s="7">
        <f>IF($D1304="","",AA1304-N1304)</f>
        <v/>
      </c>
      <c r="AF1304" s="7" t="n"/>
      <c r="AI1304" s="11" t="n"/>
      <c r="AK1304">
        <f>IF($D1304="","",IF(COUNTIF($D$2:$D1304,$D1304)=1,1,0))</f>
        <v/>
      </c>
      <c r="AL1304">
        <f>IF($AK1304=1,SUMPRODUCT(--($AO$2:$AO$3001&lt;$AO1304))+1,"")</f>
        <v/>
      </c>
      <c r="AM1304">
        <f>IF($D1304="","",IF(OR($R1304=TRUE(),$R1304="TRUE"),1,0))</f>
        <v/>
      </c>
      <c r="AN1304">
        <f>IF($D1304="","",IF($X1304="Yes",1,0))</f>
        <v/>
      </c>
      <c r="AO1304">
        <f>IF($AK1304=1,IFERROR(IF(VALUE($D1304)&lt;100000000,VALUE($D1304),1000000000),IFERROR(IF(VALUE(MID($D1304,2,20))&lt;100000000,VALUE(MID($D1304,2,20)),1000000000),1000000000))+ROW()/100000,"")</f>
        <v/>
      </c>
    </row>
    <row r="1305">
      <c r="F1305" s="11" t="n"/>
      <c r="N1305" s="7">
        <f>IF($D1305="","",M1305*V1305/100)</f>
        <v/>
      </c>
      <c r="O1305" s="7" t="n"/>
      <c r="U1305" s="7" t="n"/>
      <c r="V1305" s="7" t="n"/>
      <c r="Y1305">
        <f>IF($D1305="","",IF($AN1305=1,0,IF($AM1305=1,Settings!$C$6,Settings!$C$7))*100)</f>
        <v/>
      </c>
      <c r="Z1305" s="7">
        <f>IF($D1305="","",V1305*Y1305/100)</f>
        <v/>
      </c>
      <c r="AA1305" s="7">
        <f>IF($D1305="","",V1305-Z1305)</f>
        <v/>
      </c>
      <c r="AB1305" s="7">
        <f>IF($D1305="","",AA1305-N1305)</f>
        <v/>
      </c>
      <c r="AF1305" s="7" t="n"/>
      <c r="AI1305" s="11" t="n"/>
      <c r="AK1305">
        <f>IF($D1305="","",IF(COUNTIF($D$2:$D1305,$D1305)=1,1,0))</f>
        <v/>
      </c>
      <c r="AL1305">
        <f>IF($AK1305=1,SUMPRODUCT(--($AO$2:$AO$3001&lt;$AO1305))+1,"")</f>
        <v/>
      </c>
      <c r="AM1305">
        <f>IF($D1305="","",IF(OR($R1305=TRUE(),$R1305="TRUE"),1,0))</f>
        <v/>
      </c>
      <c r="AN1305">
        <f>IF($D1305="","",IF($X1305="Yes",1,0))</f>
        <v/>
      </c>
      <c r="AO1305">
        <f>IF($AK1305=1,IFERROR(IF(VALUE($D1305)&lt;100000000,VALUE($D1305),1000000000),IFERROR(IF(VALUE(MID($D1305,2,20))&lt;100000000,VALUE(MID($D1305,2,20)),1000000000),1000000000))+ROW()/100000,"")</f>
        <v/>
      </c>
    </row>
    <row r="1306">
      <c r="F1306" s="11" t="n"/>
      <c r="N1306" s="7">
        <f>IF($D1306="","",M1306*V1306/100)</f>
        <v/>
      </c>
      <c r="O1306" s="7" t="n"/>
      <c r="U1306" s="7" t="n"/>
      <c r="V1306" s="7" t="n"/>
      <c r="Y1306">
        <f>IF($D1306="","",IF($AN1306=1,0,IF($AM1306=1,Settings!$C$6,Settings!$C$7))*100)</f>
        <v/>
      </c>
      <c r="Z1306" s="7">
        <f>IF($D1306="","",V1306*Y1306/100)</f>
        <v/>
      </c>
      <c r="AA1306" s="7">
        <f>IF($D1306="","",V1306-Z1306)</f>
        <v/>
      </c>
      <c r="AB1306" s="7">
        <f>IF($D1306="","",AA1306-N1306)</f>
        <v/>
      </c>
      <c r="AF1306" s="7" t="n"/>
      <c r="AI1306" s="11" t="n"/>
      <c r="AK1306">
        <f>IF($D1306="","",IF(COUNTIF($D$2:$D1306,$D1306)=1,1,0))</f>
        <v/>
      </c>
      <c r="AL1306">
        <f>IF($AK1306=1,SUMPRODUCT(--($AO$2:$AO$3001&lt;$AO1306))+1,"")</f>
        <v/>
      </c>
      <c r="AM1306">
        <f>IF($D1306="","",IF(OR($R1306=TRUE(),$R1306="TRUE"),1,0))</f>
        <v/>
      </c>
      <c r="AN1306">
        <f>IF($D1306="","",IF($X1306="Yes",1,0))</f>
        <v/>
      </c>
      <c r="AO1306">
        <f>IF($AK1306=1,IFERROR(IF(VALUE($D1306)&lt;100000000,VALUE($D1306),1000000000),IFERROR(IF(VALUE(MID($D1306,2,20))&lt;100000000,VALUE(MID($D1306,2,20)),1000000000),1000000000))+ROW()/100000,"")</f>
        <v/>
      </c>
    </row>
    <row r="1307">
      <c r="F1307" s="11" t="n"/>
      <c r="N1307" s="7">
        <f>IF($D1307="","",M1307*V1307/100)</f>
        <v/>
      </c>
      <c r="O1307" s="7" t="n"/>
      <c r="U1307" s="7" t="n"/>
      <c r="V1307" s="7" t="n"/>
      <c r="Y1307">
        <f>IF($D1307="","",IF($AN1307=1,0,IF($AM1307=1,Settings!$C$6,Settings!$C$7))*100)</f>
        <v/>
      </c>
      <c r="Z1307" s="7">
        <f>IF($D1307="","",V1307*Y1307/100)</f>
        <v/>
      </c>
      <c r="AA1307" s="7">
        <f>IF($D1307="","",V1307-Z1307)</f>
        <v/>
      </c>
      <c r="AB1307" s="7">
        <f>IF($D1307="","",AA1307-N1307)</f>
        <v/>
      </c>
      <c r="AF1307" s="7" t="n"/>
      <c r="AI1307" s="11" t="n"/>
      <c r="AK1307">
        <f>IF($D1307="","",IF(COUNTIF($D$2:$D1307,$D1307)=1,1,0))</f>
        <v/>
      </c>
      <c r="AL1307">
        <f>IF($AK1307=1,SUMPRODUCT(--($AO$2:$AO$3001&lt;$AO1307))+1,"")</f>
        <v/>
      </c>
      <c r="AM1307">
        <f>IF($D1307="","",IF(OR($R1307=TRUE(),$R1307="TRUE"),1,0))</f>
        <v/>
      </c>
      <c r="AN1307">
        <f>IF($D1307="","",IF($X1307="Yes",1,0))</f>
        <v/>
      </c>
      <c r="AO1307">
        <f>IF($AK1307=1,IFERROR(IF(VALUE($D1307)&lt;100000000,VALUE($D1307),1000000000),IFERROR(IF(VALUE(MID($D1307,2,20))&lt;100000000,VALUE(MID($D1307,2,20)),1000000000),1000000000))+ROW()/100000,"")</f>
        <v/>
      </c>
    </row>
    <row r="1308">
      <c r="F1308" s="11" t="n"/>
      <c r="N1308" s="7">
        <f>IF($D1308="","",M1308*V1308/100)</f>
        <v/>
      </c>
      <c r="O1308" s="7" t="n"/>
      <c r="U1308" s="7" t="n"/>
      <c r="V1308" s="7" t="n"/>
      <c r="Y1308">
        <f>IF($D1308="","",IF($AN1308=1,0,IF($AM1308=1,Settings!$C$6,Settings!$C$7))*100)</f>
        <v/>
      </c>
      <c r="Z1308" s="7">
        <f>IF($D1308="","",V1308*Y1308/100)</f>
        <v/>
      </c>
      <c r="AA1308" s="7">
        <f>IF($D1308="","",V1308-Z1308)</f>
        <v/>
      </c>
      <c r="AB1308" s="7">
        <f>IF($D1308="","",AA1308-N1308)</f>
        <v/>
      </c>
      <c r="AF1308" s="7" t="n"/>
      <c r="AI1308" s="11" t="n"/>
      <c r="AK1308">
        <f>IF($D1308="","",IF(COUNTIF($D$2:$D1308,$D1308)=1,1,0))</f>
        <v/>
      </c>
      <c r="AL1308">
        <f>IF($AK1308=1,SUMPRODUCT(--($AO$2:$AO$3001&lt;$AO1308))+1,"")</f>
        <v/>
      </c>
      <c r="AM1308">
        <f>IF($D1308="","",IF(OR($R1308=TRUE(),$R1308="TRUE"),1,0))</f>
        <v/>
      </c>
      <c r="AN1308">
        <f>IF($D1308="","",IF($X1308="Yes",1,0))</f>
        <v/>
      </c>
      <c r="AO1308">
        <f>IF($AK1308=1,IFERROR(IF(VALUE($D1308)&lt;100000000,VALUE($D1308),1000000000),IFERROR(IF(VALUE(MID($D1308,2,20))&lt;100000000,VALUE(MID($D1308,2,20)),1000000000),1000000000))+ROW()/100000,"")</f>
        <v/>
      </c>
    </row>
    <row r="1309">
      <c r="F1309" s="11" t="n"/>
      <c r="N1309" s="7">
        <f>IF($D1309="","",M1309*V1309/100)</f>
        <v/>
      </c>
      <c r="O1309" s="7" t="n"/>
      <c r="U1309" s="7" t="n"/>
      <c r="V1309" s="7" t="n"/>
      <c r="Y1309">
        <f>IF($D1309="","",IF($AN1309=1,0,IF($AM1309=1,Settings!$C$6,Settings!$C$7))*100)</f>
        <v/>
      </c>
      <c r="Z1309" s="7">
        <f>IF($D1309="","",V1309*Y1309/100)</f>
        <v/>
      </c>
      <c r="AA1309" s="7">
        <f>IF($D1309="","",V1309-Z1309)</f>
        <v/>
      </c>
      <c r="AB1309" s="7">
        <f>IF($D1309="","",AA1309-N1309)</f>
        <v/>
      </c>
      <c r="AF1309" s="7" t="n"/>
      <c r="AI1309" s="11" t="n"/>
      <c r="AK1309">
        <f>IF($D1309="","",IF(COUNTIF($D$2:$D1309,$D1309)=1,1,0))</f>
        <v/>
      </c>
      <c r="AL1309">
        <f>IF($AK1309=1,SUMPRODUCT(--($AO$2:$AO$3001&lt;$AO1309))+1,"")</f>
        <v/>
      </c>
      <c r="AM1309">
        <f>IF($D1309="","",IF(OR($R1309=TRUE(),$R1309="TRUE"),1,0))</f>
        <v/>
      </c>
      <c r="AN1309">
        <f>IF($D1309="","",IF($X1309="Yes",1,0))</f>
        <v/>
      </c>
      <c r="AO1309">
        <f>IF($AK1309=1,IFERROR(IF(VALUE($D1309)&lt;100000000,VALUE($D1309),1000000000),IFERROR(IF(VALUE(MID($D1309,2,20))&lt;100000000,VALUE(MID($D1309,2,20)),1000000000),1000000000))+ROW()/100000,"")</f>
        <v/>
      </c>
    </row>
    <row r="1310">
      <c r="F1310" s="11" t="n"/>
      <c r="N1310" s="7">
        <f>IF($D1310="","",M1310*V1310/100)</f>
        <v/>
      </c>
      <c r="O1310" s="7" t="n"/>
      <c r="U1310" s="7" t="n"/>
      <c r="V1310" s="7" t="n"/>
      <c r="Y1310">
        <f>IF($D1310="","",IF($AN1310=1,0,IF($AM1310=1,Settings!$C$6,Settings!$C$7))*100)</f>
        <v/>
      </c>
      <c r="Z1310" s="7">
        <f>IF($D1310="","",V1310*Y1310/100)</f>
        <v/>
      </c>
      <c r="AA1310" s="7">
        <f>IF($D1310="","",V1310-Z1310)</f>
        <v/>
      </c>
      <c r="AB1310" s="7">
        <f>IF($D1310="","",AA1310-N1310)</f>
        <v/>
      </c>
      <c r="AF1310" s="7" t="n"/>
      <c r="AI1310" s="11" t="n"/>
      <c r="AK1310">
        <f>IF($D1310="","",IF(COUNTIF($D$2:$D1310,$D1310)=1,1,0))</f>
        <v/>
      </c>
      <c r="AL1310">
        <f>IF($AK1310=1,SUMPRODUCT(--($AO$2:$AO$3001&lt;$AO1310))+1,"")</f>
        <v/>
      </c>
      <c r="AM1310">
        <f>IF($D1310="","",IF(OR($R1310=TRUE(),$R1310="TRUE"),1,0))</f>
        <v/>
      </c>
      <c r="AN1310">
        <f>IF($D1310="","",IF($X1310="Yes",1,0))</f>
        <v/>
      </c>
      <c r="AO1310">
        <f>IF($AK1310=1,IFERROR(IF(VALUE($D1310)&lt;100000000,VALUE($D1310),1000000000),IFERROR(IF(VALUE(MID($D1310,2,20))&lt;100000000,VALUE(MID($D1310,2,20)),1000000000),1000000000))+ROW()/100000,"")</f>
        <v/>
      </c>
    </row>
    <row r="1311">
      <c r="F1311" s="11" t="n"/>
      <c r="N1311" s="7">
        <f>IF($D1311="","",M1311*V1311/100)</f>
        <v/>
      </c>
      <c r="O1311" s="7" t="n"/>
      <c r="U1311" s="7" t="n"/>
      <c r="V1311" s="7" t="n"/>
      <c r="Y1311">
        <f>IF($D1311="","",IF($AN1311=1,0,IF($AM1311=1,Settings!$C$6,Settings!$C$7))*100)</f>
        <v/>
      </c>
      <c r="Z1311" s="7">
        <f>IF($D1311="","",V1311*Y1311/100)</f>
        <v/>
      </c>
      <c r="AA1311" s="7">
        <f>IF($D1311="","",V1311-Z1311)</f>
        <v/>
      </c>
      <c r="AB1311" s="7">
        <f>IF($D1311="","",AA1311-N1311)</f>
        <v/>
      </c>
      <c r="AF1311" s="7" t="n"/>
      <c r="AI1311" s="11" t="n"/>
      <c r="AK1311">
        <f>IF($D1311="","",IF(COUNTIF($D$2:$D1311,$D1311)=1,1,0))</f>
        <v/>
      </c>
      <c r="AL1311">
        <f>IF($AK1311=1,SUMPRODUCT(--($AO$2:$AO$3001&lt;$AO1311))+1,"")</f>
        <v/>
      </c>
      <c r="AM1311">
        <f>IF($D1311="","",IF(OR($R1311=TRUE(),$R1311="TRUE"),1,0))</f>
        <v/>
      </c>
      <c r="AN1311">
        <f>IF($D1311="","",IF($X1311="Yes",1,0))</f>
        <v/>
      </c>
      <c r="AO1311">
        <f>IF($AK1311=1,IFERROR(IF(VALUE($D1311)&lt;100000000,VALUE($D1311),1000000000),IFERROR(IF(VALUE(MID($D1311,2,20))&lt;100000000,VALUE(MID($D1311,2,20)),1000000000),1000000000))+ROW()/100000,"")</f>
        <v/>
      </c>
    </row>
    <row r="1312">
      <c r="F1312" s="11" t="n"/>
      <c r="N1312" s="7">
        <f>IF($D1312="","",M1312*V1312/100)</f>
        <v/>
      </c>
      <c r="O1312" s="7" t="n"/>
      <c r="U1312" s="7" t="n"/>
      <c r="V1312" s="7" t="n"/>
      <c r="Y1312">
        <f>IF($D1312="","",IF($AN1312=1,0,IF($AM1312=1,Settings!$C$6,Settings!$C$7))*100)</f>
        <v/>
      </c>
      <c r="Z1312" s="7">
        <f>IF($D1312="","",V1312*Y1312/100)</f>
        <v/>
      </c>
      <c r="AA1312" s="7">
        <f>IF($D1312="","",V1312-Z1312)</f>
        <v/>
      </c>
      <c r="AB1312" s="7">
        <f>IF($D1312="","",AA1312-N1312)</f>
        <v/>
      </c>
      <c r="AF1312" s="7" t="n"/>
      <c r="AI1312" s="11" t="n"/>
      <c r="AK1312">
        <f>IF($D1312="","",IF(COUNTIF($D$2:$D1312,$D1312)=1,1,0))</f>
        <v/>
      </c>
      <c r="AL1312">
        <f>IF($AK1312=1,SUMPRODUCT(--($AO$2:$AO$3001&lt;$AO1312))+1,"")</f>
        <v/>
      </c>
      <c r="AM1312">
        <f>IF($D1312="","",IF(OR($R1312=TRUE(),$R1312="TRUE"),1,0))</f>
        <v/>
      </c>
      <c r="AN1312">
        <f>IF($D1312="","",IF($X1312="Yes",1,0))</f>
        <v/>
      </c>
      <c r="AO1312">
        <f>IF($AK1312=1,IFERROR(IF(VALUE($D1312)&lt;100000000,VALUE($D1312),1000000000),IFERROR(IF(VALUE(MID($D1312,2,20))&lt;100000000,VALUE(MID($D1312,2,20)),1000000000),1000000000))+ROW()/100000,"")</f>
        <v/>
      </c>
    </row>
    <row r="1313">
      <c r="F1313" s="11" t="n"/>
      <c r="N1313" s="7">
        <f>IF($D1313="","",M1313*V1313/100)</f>
        <v/>
      </c>
      <c r="O1313" s="7" t="n"/>
      <c r="U1313" s="7" t="n"/>
      <c r="V1313" s="7" t="n"/>
      <c r="Y1313">
        <f>IF($D1313="","",IF($AN1313=1,0,IF($AM1313=1,Settings!$C$6,Settings!$C$7))*100)</f>
        <v/>
      </c>
      <c r="Z1313" s="7">
        <f>IF($D1313="","",V1313*Y1313/100)</f>
        <v/>
      </c>
      <c r="AA1313" s="7">
        <f>IF($D1313="","",V1313-Z1313)</f>
        <v/>
      </c>
      <c r="AB1313" s="7">
        <f>IF($D1313="","",AA1313-N1313)</f>
        <v/>
      </c>
      <c r="AF1313" s="7" t="n"/>
      <c r="AI1313" s="11" t="n"/>
      <c r="AK1313">
        <f>IF($D1313="","",IF(COUNTIF($D$2:$D1313,$D1313)=1,1,0))</f>
        <v/>
      </c>
      <c r="AL1313">
        <f>IF($AK1313=1,SUMPRODUCT(--($AO$2:$AO$3001&lt;$AO1313))+1,"")</f>
        <v/>
      </c>
      <c r="AM1313">
        <f>IF($D1313="","",IF(OR($R1313=TRUE(),$R1313="TRUE"),1,0))</f>
        <v/>
      </c>
      <c r="AN1313">
        <f>IF($D1313="","",IF($X1313="Yes",1,0))</f>
        <v/>
      </c>
      <c r="AO1313">
        <f>IF($AK1313=1,IFERROR(IF(VALUE($D1313)&lt;100000000,VALUE($D1313),1000000000),IFERROR(IF(VALUE(MID($D1313,2,20))&lt;100000000,VALUE(MID($D1313,2,20)),1000000000),1000000000))+ROW()/100000,"")</f>
        <v/>
      </c>
    </row>
    <row r="1314">
      <c r="F1314" s="11" t="n"/>
      <c r="N1314" s="7">
        <f>IF($D1314="","",M1314*V1314/100)</f>
        <v/>
      </c>
      <c r="O1314" s="7" t="n"/>
      <c r="U1314" s="7" t="n"/>
      <c r="V1314" s="7" t="n"/>
      <c r="Y1314">
        <f>IF($D1314="","",IF($AN1314=1,0,IF($AM1314=1,Settings!$C$6,Settings!$C$7))*100)</f>
        <v/>
      </c>
      <c r="Z1314" s="7">
        <f>IF($D1314="","",V1314*Y1314/100)</f>
        <v/>
      </c>
      <c r="AA1314" s="7">
        <f>IF($D1314="","",V1314-Z1314)</f>
        <v/>
      </c>
      <c r="AB1314" s="7">
        <f>IF($D1314="","",AA1314-N1314)</f>
        <v/>
      </c>
      <c r="AF1314" s="7" t="n"/>
      <c r="AI1314" s="11" t="n"/>
      <c r="AK1314">
        <f>IF($D1314="","",IF(COUNTIF($D$2:$D1314,$D1314)=1,1,0))</f>
        <v/>
      </c>
      <c r="AL1314">
        <f>IF($AK1314=1,SUMPRODUCT(--($AO$2:$AO$3001&lt;$AO1314))+1,"")</f>
        <v/>
      </c>
      <c r="AM1314">
        <f>IF($D1314="","",IF(OR($R1314=TRUE(),$R1314="TRUE"),1,0))</f>
        <v/>
      </c>
      <c r="AN1314">
        <f>IF($D1314="","",IF($X1314="Yes",1,0))</f>
        <v/>
      </c>
      <c r="AO1314">
        <f>IF($AK1314=1,IFERROR(IF(VALUE($D1314)&lt;100000000,VALUE($D1314),1000000000),IFERROR(IF(VALUE(MID($D1314,2,20))&lt;100000000,VALUE(MID($D1314,2,20)),1000000000),1000000000))+ROW()/100000,"")</f>
        <v/>
      </c>
    </row>
    <row r="1315">
      <c r="F1315" s="11" t="n"/>
      <c r="N1315" s="7">
        <f>IF($D1315="","",M1315*V1315/100)</f>
        <v/>
      </c>
      <c r="O1315" s="7" t="n"/>
      <c r="U1315" s="7" t="n"/>
      <c r="V1315" s="7" t="n"/>
      <c r="Y1315">
        <f>IF($D1315="","",IF($AN1315=1,0,IF($AM1315=1,Settings!$C$6,Settings!$C$7))*100)</f>
        <v/>
      </c>
      <c r="Z1315" s="7">
        <f>IF($D1315="","",V1315*Y1315/100)</f>
        <v/>
      </c>
      <c r="AA1315" s="7">
        <f>IF($D1315="","",V1315-Z1315)</f>
        <v/>
      </c>
      <c r="AB1315" s="7">
        <f>IF($D1315="","",AA1315-N1315)</f>
        <v/>
      </c>
      <c r="AF1315" s="7" t="n"/>
      <c r="AI1315" s="11" t="n"/>
      <c r="AK1315">
        <f>IF($D1315="","",IF(COUNTIF($D$2:$D1315,$D1315)=1,1,0))</f>
        <v/>
      </c>
      <c r="AL1315">
        <f>IF($AK1315=1,SUMPRODUCT(--($AO$2:$AO$3001&lt;$AO1315))+1,"")</f>
        <v/>
      </c>
      <c r="AM1315">
        <f>IF($D1315="","",IF(OR($R1315=TRUE(),$R1315="TRUE"),1,0))</f>
        <v/>
      </c>
      <c r="AN1315">
        <f>IF($D1315="","",IF($X1315="Yes",1,0))</f>
        <v/>
      </c>
      <c r="AO1315">
        <f>IF($AK1315=1,IFERROR(IF(VALUE($D1315)&lt;100000000,VALUE($D1315),1000000000),IFERROR(IF(VALUE(MID($D1315,2,20))&lt;100000000,VALUE(MID($D1315,2,20)),1000000000),1000000000))+ROW()/100000,"")</f>
        <v/>
      </c>
    </row>
    <row r="1316">
      <c r="F1316" s="11" t="n"/>
      <c r="N1316" s="7">
        <f>IF($D1316="","",M1316*V1316/100)</f>
        <v/>
      </c>
      <c r="O1316" s="7" t="n"/>
      <c r="U1316" s="7" t="n"/>
      <c r="V1316" s="7" t="n"/>
      <c r="Y1316">
        <f>IF($D1316="","",IF($AN1316=1,0,IF($AM1316=1,Settings!$C$6,Settings!$C$7))*100)</f>
        <v/>
      </c>
      <c r="Z1316" s="7">
        <f>IF($D1316="","",V1316*Y1316/100)</f>
        <v/>
      </c>
      <c r="AA1316" s="7">
        <f>IF($D1316="","",V1316-Z1316)</f>
        <v/>
      </c>
      <c r="AB1316" s="7">
        <f>IF($D1316="","",AA1316-N1316)</f>
        <v/>
      </c>
      <c r="AF1316" s="7" t="n"/>
      <c r="AI1316" s="11" t="n"/>
      <c r="AK1316">
        <f>IF($D1316="","",IF(COUNTIF($D$2:$D1316,$D1316)=1,1,0))</f>
        <v/>
      </c>
      <c r="AL1316">
        <f>IF($AK1316=1,SUMPRODUCT(--($AO$2:$AO$3001&lt;$AO1316))+1,"")</f>
        <v/>
      </c>
      <c r="AM1316">
        <f>IF($D1316="","",IF(OR($R1316=TRUE(),$R1316="TRUE"),1,0))</f>
        <v/>
      </c>
      <c r="AN1316">
        <f>IF($D1316="","",IF($X1316="Yes",1,0))</f>
        <v/>
      </c>
      <c r="AO1316">
        <f>IF($AK1316=1,IFERROR(IF(VALUE($D1316)&lt;100000000,VALUE($D1316),1000000000),IFERROR(IF(VALUE(MID($D1316,2,20))&lt;100000000,VALUE(MID($D1316,2,20)),1000000000),1000000000))+ROW()/100000,"")</f>
        <v/>
      </c>
    </row>
    <row r="1317">
      <c r="F1317" s="11" t="n"/>
      <c r="N1317" s="7">
        <f>IF($D1317="","",M1317*V1317/100)</f>
        <v/>
      </c>
      <c r="O1317" s="7" t="n"/>
      <c r="U1317" s="7" t="n"/>
      <c r="V1317" s="7" t="n"/>
      <c r="Y1317">
        <f>IF($D1317="","",IF($AN1317=1,0,IF($AM1317=1,Settings!$C$6,Settings!$C$7))*100)</f>
        <v/>
      </c>
      <c r="Z1317" s="7">
        <f>IF($D1317="","",V1317*Y1317/100)</f>
        <v/>
      </c>
      <c r="AA1317" s="7">
        <f>IF($D1317="","",V1317-Z1317)</f>
        <v/>
      </c>
      <c r="AB1317" s="7">
        <f>IF($D1317="","",AA1317-N1317)</f>
        <v/>
      </c>
      <c r="AF1317" s="7" t="n"/>
      <c r="AI1317" s="11" t="n"/>
      <c r="AK1317">
        <f>IF($D1317="","",IF(COUNTIF($D$2:$D1317,$D1317)=1,1,0))</f>
        <v/>
      </c>
      <c r="AL1317">
        <f>IF($AK1317=1,SUMPRODUCT(--($AO$2:$AO$3001&lt;$AO1317))+1,"")</f>
        <v/>
      </c>
      <c r="AM1317">
        <f>IF($D1317="","",IF(OR($R1317=TRUE(),$R1317="TRUE"),1,0))</f>
        <v/>
      </c>
      <c r="AN1317">
        <f>IF($D1317="","",IF($X1317="Yes",1,0))</f>
        <v/>
      </c>
      <c r="AO1317">
        <f>IF($AK1317=1,IFERROR(IF(VALUE($D1317)&lt;100000000,VALUE($D1317),1000000000),IFERROR(IF(VALUE(MID($D1317,2,20))&lt;100000000,VALUE(MID($D1317,2,20)),1000000000),1000000000))+ROW()/100000,"")</f>
        <v/>
      </c>
    </row>
    <row r="1318">
      <c r="F1318" s="11" t="n"/>
      <c r="N1318" s="7">
        <f>IF($D1318="","",M1318*V1318/100)</f>
        <v/>
      </c>
      <c r="O1318" s="7" t="n"/>
      <c r="U1318" s="7" t="n"/>
      <c r="V1318" s="7" t="n"/>
      <c r="Y1318">
        <f>IF($D1318="","",IF($AN1318=1,0,IF($AM1318=1,Settings!$C$6,Settings!$C$7))*100)</f>
        <v/>
      </c>
      <c r="Z1318" s="7">
        <f>IF($D1318="","",V1318*Y1318/100)</f>
        <v/>
      </c>
      <c r="AA1318" s="7">
        <f>IF($D1318="","",V1318-Z1318)</f>
        <v/>
      </c>
      <c r="AB1318" s="7">
        <f>IF($D1318="","",AA1318-N1318)</f>
        <v/>
      </c>
      <c r="AF1318" s="7" t="n"/>
      <c r="AI1318" s="11" t="n"/>
      <c r="AK1318">
        <f>IF($D1318="","",IF(COUNTIF($D$2:$D1318,$D1318)=1,1,0))</f>
        <v/>
      </c>
      <c r="AL1318">
        <f>IF($AK1318=1,SUMPRODUCT(--($AO$2:$AO$3001&lt;$AO1318))+1,"")</f>
        <v/>
      </c>
      <c r="AM1318">
        <f>IF($D1318="","",IF(OR($R1318=TRUE(),$R1318="TRUE"),1,0))</f>
        <v/>
      </c>
      <c r="AN1318">
        <f>IF($D1318="","",IF($X1318="Yes",1,0))</f>
        <v/>
      </c>
      <c r="AO1318">
        <f>IF($AK1318=1,IFERROR(IF(VALUE($D1318)&lt;100000000,VALUE($D1318),1000000000),IFERROR(IF(VALUE(MID($D1318,2,20))&lt;100000000,VALUE(MID($D1318,2,20)),1000000000),1000000000))+ROW()/100000,"")</f>
        <v/>
      </c>
    </row>
    <row r="1319">
      <c r="F1319" s="11" t="n"/>
      <c r="N1319" s="7">
        <f>IF($D1319="","",M1319*V1319/100)</f>
        <v/>
      </c>
      <c r="O1319" s="7" t="n"/>
      <c r="U1319" s="7" t="n"/>
      <c r="V1319" s="7" t="n"/>
      <c r="Y1319">
        <f>IF($D1319="","",IF($AN1319=1,0,IF($AM1319=1,Settings!$C$6,Settings!$C$7))*100)</f>
        <v/>
      </c>
      <c r="Z1319" s="7">
        <f>IF($D1319="","",V1319*Y1319/100)</f>
        <v/>
      </c>
      <c r="AA1319" s="7">
        <f>IF($D1319="","",V1319-Z1319)</f>
        <v/>
      </c>
      <c r="AB1319" s="7">
        <f>IF($D1319="","",AA1319-N1319)</f>
        <v/>
      </c>
      <c r="AF1319" s="7" t="n"/>
      <c r="AI1319" s="11" t="n"/>
      <c r="AK1319">
        <f>IF($D1319="","",IF(COUNTIF($D$2:$D1319,$D1319)=1,1,0))</f>
        <v/>
      </c>
      <c r="AL1319">
        <f>IF($AK1319=1,SUMPRODUCT(--($AO$2:$AO$3001&lt;$AO1319))+1,"")</f>
        <v/>
      </c>
      <c r="AM1319">
        <f>IF($D1319="","",IF(OR($R1319=TRUE(),$R1319="TRUE"),1,0))</f>
        <v/>
      </c>
      <c r="AN1319">
        <f>IF($D1319="","",IF($X1319="Yes",1,0))</f>
        <v/>
      </c>
      <c r="AO1319">
        <f>IF($AK1319=1,IFERROR(IF(VALUE($D1319)&lt;100000000,VALUE($D1319),1000000000),IFERROR(IF(VALUE(MID($D1319,2,20))&lt;100000000,VALUE(MID($D1319,2,20)),1000000000),1000000000))+ROW()/100000,"")</f>
        <v/>
      </c>
    </row>
    <row r="1320">
      <c r="F1320" s="11" t="n"/>
      <c r="N1320" s="7">
        <f>IF($D1320="","",M1320*V1320/100)</f>
        <v/>
      </c>
      <c r="O1320" s="7" t="n"/>
      <c r="U1320" s="7" t="n"/>
      <c r="V1320" s="7" t="n"/>
      <c r="Y1320">
        <f>IF($D1320="","",IF($AN1320=1,0,IF($AM1320=1,Settings!$C$6,Settings!$C$7))*100)</f>
        <v/>
      </c>
      <c r="Z1320" s="7">
        <f>IF($D1320="","",V1320*Y1320/100)</f>
        <v/>
      </c>
      <c r="AA1320" s="7">
        <f>IF($D1320="","",V1320-Z1320)</f>
        <v/>
      </c>
      <c r="AB1320" s="7">
        <f>IF($D1320="","",AA1320-N1320)</f>
        <v/>
      </c>
      <c r="AF1320" s="7" t="n"/>
      <c r="AI1320" s="11" t="n"/>
      <c r="AK1320">
        <f>IF($D1320="","",IF(COUNTIF($D$2:$D1320,$D1320)=1,1,0))</f>
        <v/>
      </c>
      <c r="AL1320">
        <f>IF($AK1320=1,SUMPRODUCT(--($AO$2:$AO$3001&lt;$AO1320))+1,"")</f>
        <v/>
      </c>
      <c r="AM1320">
        <f>IF($D1320="","",IF(OR($R1320=TRUE(),$R1320="TRUE"),1,0))</f>
        <v/>
      </c>
      <c r="AN1320">
        <f>IF($D1320="","",IF($X1320="Yes",1,0))</f>
        <v/>
      </c>
      <c r="AO1320">
        <f>IF($AK1320=1,IFERROR(IF(VALUE($D1320)&lt;100000000,VALUE($D1320),1000000000),IFERROR(IF(VALUE(MID($D1320,2,20))&lt;100000000,VALUE(MID($D1320,2,20)),1000000000),1000000000))+ROW()/100000,"")</f>
        <v/>
      </c>
    </row>
    <row r="1321">
      <c r="F1321" s="11" t="n"/>
      <c r="N1321" s="7">
        <f>IF($D1321="","",M1321*V1321/100)</f>
        <v/>
      </c>
      <c r="O1321" s="7" t="n"/>
      <c r="U1321" s="7" t="n"/>
      <c r="V1321" s="7" t="n"/>
      <c r="Y1321">
        <f>IF($D1321="","",IF($AN1321=1,0,IF($AM1321=1,Settings!$C$6,Settings!$C$7))*100)</f>
        <v/>
      </c>
      <c r="Z1321" s="7">
        <f>IF($D1321="","",V1321*Y1321/100)</f>
        <v/>
      </c>
      <c r="AA1321" s="7">
        <f>IF($D1321="","",V1321-Z1321)</f>
        <v/>
      </c>
      <c r="AB1321" s="7">
        <f>IF($D1321="","",AA1321-N1321)</f>
        <v/>
      </c>
      <c r="AF1321" s="7" t="n"/>
      <c r="AI1321" s="11" t="n"/>
      <c r="AK1321">
        <f>IF($D1321="","",IF(COUNTIF($D$2:$D1321,$D1321)=1,1,0))</f>
        <v/>
      </c>
      <c r="AL1321">
        <f>IF($AK1321=1,SUMPRODUCT(--($AO$2:$AO$3001&lt;$AO1321))+1,"")</f>
        <v/>
      </c>
      <c r="AM1321">
        <f>IF($D1321="","",IF(OR($R1321=TRUE(),$R1321="TRUE"),1,0))</f>
        <v/>
      </c>
      <c r="AN1321">
        <f>IF($D1321="","",IF($X1321="Yes",1,0))</f>
        <v/>
      </c>
      <c r="AO1321">
        <f>IF($AK1321=1,IFERROR(IF(VALUE($D1321)&lt;100000000,VALUE($D1321),1000000000),IFERROR(IF(VALUE(MID($D1321,2,20))&lt;100000000,VALUE(MID($D1321,2,20)),1000000000),1000000000))+ROW()/100000,"")</f>
        <v/>
      </c>
    </row>
    <row r="1322">
      <c r="F1322" s="11" t="n"/>
      <c r="N1322" s="7">
        <f>IF($D1322="","",M1322*V1322/100)</f>
        <v/>
      </c>
      <c r="O1322" s="7" t="n"/>
      <c r="U1322" s="7" t="n"/>
      <c r="V1322" s="7" t="n"/>
      <c r="Y1322">
        <f>IF($D1322="","",IF($AN1322=1,0,IF($AM1322=1,Settings!$C$6,Settings!$C$7))*100)</f>
        <v/>
      </c>
      <c r="Z1322" s="7">
        <f>IF($D1322="","",V1322*Y1322/100)</f>
        <v/>
      </c>
      <c r="AA1322" s="7">
        <f>IF($D1322="","",V1322-Z1322)</f>
        <v/>
      </c>
      <c r="AB1322" s="7">
        <f>IF($D1322="","",AA1322-N1322)</f>
        <v/>
      </c>
      <c r="AF1322" s="7" t="n"/>
      <c r="AI1322" s="11" t="n"/>
      <c r="AK1322">
        <f>IF($D1322="","",IF(COUNTIF($D$2:$D1322,$D1322)=1,1,0))</f>
        <v/>
      </c>
      <c r="AL1322">
        <f>IF($AK1322=1,SUMPRODUCT(--($AO$2:$AO$3001&lt;$AO1322))+1,"")</f>
        <v/>
      </c>
      <c r="AM1322">
        <f>IF($D1322="","",IF(OR($R1322=TRUE(),$R1322="TRUE"),1,0))</f>
        <v/>
      </c>
      <c r="AN1322">
        <f>IF($D1322="","",IF($X1322="Yes",1,0))</f>
        <v/>
      </c>
      <c r="AO1322">
        <f>IF($AK1322=1,IFERROR(IF(VALUE($D1322)&lt;100000000,VALUE($D1322),1000000000),IFERROR(IF(VALUE(MID($D1322,2,20))&lt;100000000,VALUE(MID($D1322,2,20)),1000000000),1000000000))+ROW()/100000,"")</f>
        <v/>
      </c>
    </row>
    <row r="1323">
      <c r="F1323" s="11" t="n"/>
      <c r="N1323" s="7">
        <f>IF($D1323="","",M1323*V1323/100)</f>
        <v/>
      </c>
      <c r="O1323" s="7" t="n"/>
      <c r="U1323" s="7" t="n"/>
      <c r="V1323" s="7" t="n"/>
      <c r="Y1323">
        <f>IF($D1323="","",IF($AN1323=1,0,IF($AM1323=1,Settings!$C$6,Settings!$C$7))*100)</f>
        <v/>
      </c>
      <c r="Z1323" s="7">
        <f>IF($D1323="","",V1323*Y1323/100)</f>
        <v/>
      </c>
      <c r="AA1323" s="7">
        <f>IF($D1323="","",V1323-Z1323)</f>
        <v/>
      </c>
      <c r="AB1323" s="7">
        <f>IF($D1323="","",AA1323-N1323)</f>
        <v/>
      </c>
      <c r="AF1323" s="7" t="n"/>
      <c r="AI1323" s="11" t="n"/>
      <c r="AK1323">
        <f>IF($D1323="","",IF(COUNTIF($D$2:$D1323,$D1323)=1,1,0))</f>
        <v/>
      </c>
      <c r="AL1323">
        <f>IF($AK1323=1,SUMPRODUCT(--($AO$2:$AO$3001&lt;$AO1323))+1,"")</f>
        <v/>
      </c>
      <c r="AM1323">
        <f>IF($D1323="","",IF(OR($R1323=TRUE(),$R1323="TRUE"),1,0))</f>
        <v/>
      </c>
      <c r="AN1323">
        <f>IF($D1323="","",IF($X1323="Yes",1,0))</f>
        <v/>
      </c>
      <c r="AO1323">
        <f>IF($AK1323=1,IFERROR(IF(VALUE($D1323)&lt;100000000,VALUE($D1323),1000000000),IFERROR(IF(VALUE(MID($D1323,2,20))&lt;100000000,VALUE(MID($D1323,2,20)),1000000000),1000000000))+ROW()/100000,"")</f>
        <v/>
      </c>
    </row>
    <row r="1324">
      <c r="F1324" s="11" t="n"/>
      <c r="N1324" s="7">
        <f>IF($D1324="","",M1324*V1324/100)</f>
        <v/>
      </c>
      <c r="O1324" s="7" t="n"/>
      <c r="U1324" s="7" t="n"/>
      <c r="V1324" s="7" t="n"/>
      <c r="Y1324">
        <f>IF($D1324="","",IF($AN1324=1,0,IF($AM1324=1,Settings!$C$6,Settings!$C$7))*100)</f>
        <v/>
      </c>
      <c r="Z1324" s="7">
        <f>IF($D1324="","",V1324*Y1324/100)</f>
        <v/>
      </c>
      <c r="AA1324" s="7">
        <f>IF($D1324="","",V1324-Z1324)</f>
        <v/>
      </c>
      <c r="AB1324" s="7">
        <f>IF($D1324="","",AA1324-N1324)</f>
        <v/>
      </c>
      <c r="AF1324" s="7" t="n"/>
      <c r="AI1324" s="11" t="n"/>
      <c r="AK1324">
        <f>IF($D1324="","",IF(COUNTIF($D$2:$D1324,$D1324)=1,1,0))</f>
        <v/>
      </c>
      <c r="AL1324">
        <f>IF($AK1324=1,SUMPRODUCT(--($AO$2:$AO$3001&lt;$AO1324))+1,"")</f>
        <v/>
      </c>
      <c r="AM1324">
        <f>IF($D1324="","",IF(OR($R1324=TRUE(),$R1324="TRUE"),1,0))</f>
        <v/>
      </c>
      <c r="AN1324">
        <f>IF($D1324="","",IF($X1324="Yes",1,0))</f>
        <v/>
      </c>
      <c r="AO1324">
        <f>IF($AK1324=1,IFERROR(IF(VALUE($D1324)&lt;100000000,VALUE($D1324),1000000000),IFERROR(IF(VALUE(MID($D1324,2,20))&lt;100000000,VALUE(MID($D1324,2,20)),1000000000),1000000000))+ROW()/100000,"")</f>
        <v/>
      </c>
    </row>
    <row r="1325">
      <c r="F1325" s="11" t="n"/>
      <c r="N1325" s="7">
        <f>IF($D1325="","",M1325*V1325/100)</f>
        <v/>
      </c>
      <c r="O1325" s="7" t="n"/>
      <c r="U1325" s="7" t="n"/>
      <c r="V1325" s="7" t="n"/>
      <c r="Y1325">
        <f>IF($D1325="","",IF($AN1325=1,0,IF($AM1325=1,Settings!$C$6,Settings!$C$7))*100)</f>
        <v/>
      </c>
      <c r="Z1325" s="7">
        <f>IF($D1325="","",V1325*Y1325/100)</f>
        <v/>
      </c>
      <c r="AA1325" s="7">
        <f>IF($D1325="","",V1325-Z1325)</f>
        <v/>
      </c>
      <c r="AB1325" s="7">
        <f>IF($D1325="","",AA1325-N1325)</f>
        <v/>
      </c>
      <c r="AF1325" s="7" t="n"/>
      <c r="AI1325" s="11" t="n"/>
      <c r="AK1325">
        <f>IF($D1325="","",IF(COUNTIF($D$2:$D1325,$D1325)=1,1,0))</f>
        <v/>
      </c>
      <c r="AL1325">
        <f>IF($AK1325=1,SUMPRODUCT(--($AO$2:$AO$3001&lt;$AO1325))+1,"")</f>
        <v/>
      </c>
      <c r="AM1325">
        <f>IF($D1325="","",IF(OR($R1325=TRUE(),$R1325="TRUE"),1,0))</f>
        <v/>
      </c>
      <c r="AN1325">
        <f>IF($D1325="","",IF($X1325="Yes",1,0))</f>
        <v/>
      </c>
      <c r="AO1325">
        <f>IF($AK1325=1,IFERROR(IF(VALUE($D1325)&lt;100000000,VALUE($D1325),1000000000),IFERROR(IF(VALUE(MID($D1325,2,20))&lt;100000000,VALUE(MID($D1325,2,20)),1000000000),1000000000))+ROW()/100000,"")</f>
        <v/>
      </c>
    </row>
    <row r="1326">
      <c r="F1326" s="11" t="n"/>
      <c r="N1326" s="7">
        <f>IF($D1326="","",M1326*V1326/100)</f>
        <v/>
      </c>
      <c r="O1326" s="7" t="n"/>
      <c r="U1326" s="7" t="n"/>
      <c r="V1326" s="7" t="n"/>
      <c r="Y1326">
        <f>IF($D1326="","",IF($AN1326=1,0,IF($AM1326=1,Settings!$C$6,Settings!$C$7))*100)</f>
        <v/>
      </c>
      <c r="Z1326" s="7">
        <f>IF($D1326="","",V1326*Y1326/100)</f>
        <v/>
      </c>
      <c r="AA1326" s="7">
        <f>IF($D1326="","",V1326-Z1326)</f>
        <v/>
      </c>
      <c r="AB1326" s="7">
        <f>IF($D1326="","",AA1326-N1326)</f>
        <v/>
      </c>
      <c r="AF1326" s="7" t="n"/>
      <c r="AI1326" s="11" t="n"/>
      <c r="AK1326">
        <f>IF($D1326="","",IF(COUNTIF($D$2:$D1326,$D1326)=1,1,0))</f>
        <v/>
      </c>
      <c r="AL1326">
        <f>IF($AK1326=1,SUMPRODUCT(--($AO$2:$AO$3001&lt;$AO1326))+1,"")</f>
        <v/>
      </c>
      <c r="AM1326">
        <f>IF($D1326="","",IF(OR($R1326=TRUE(),$R1326="TRUE"),1,0))</f>
        <v/>
      </c>
      <c r="AN1326">
        <f>IF($D1326="","",IF($X1326="Yes",1,0))</f>
        <v/>
      </c>
      <c r="AO1326">
        <f>IF($AK1326=1,IFERROR(IF(VALUE($D1326)&lt;100000000,VALUE($D1326),1000000000),IFERROR(IF(VALUE(MID($D1326,2,20))&lt;100000000,VALUE(MID($D1326,2,20)),1000000000),1000000000))+ROW()/100000,"")</f>
        <v/>
      </c>
    </row>
    <row r="1327">
      <c r="F1327" s="11" t="n"/>
      <c r="N1327" s="7">
        <f>IF($D1327="","",M1327*V1327/100)</f>
        <v/>
      </c>
      <c r="O1327" s="7" t="n"/>
      <c r="U1327" s="7" t="n"/>
      <c r="V1327" s="7" t="n"/>
      <c r="Y1327">
        <f>IF($D1327="","",IF($AN1327=1,0,IF($AM1327=1,Settings!$C$6,Settings!$C$7))*100)</f>
        <v/>
      </c>
      <c r="Z1327" s="7">
        <f>IF($D1327="","",V1327*Y1327/100)</f>
        <v/>
      </c>
      <c r="AA1327" s="7">
        <f>IF($D1327="","",V1327-Z1327)</f>
        <v/>
      </c>
      <c r="AB1327" s="7">
        <f>IF($D1327="","",AA1327-N1327)</f>
        <v/>
      </c>
      <c r="AF1327" s="7" t="n"/>
      <c r="AI1327" s="11" t="n"/>
      <c r="AK1327">
        <f>IF($D1327="","",IF(COUNTIF($D$2:$D1327,$D1327)=1,1,0))</f>
        <v/>
      </c>
      <c r="AL1327">
        <f>IF($AK1327=1,SUMPRODUCT(--($AO$2:$AO$3001&lt;$AO1327))+1,"")</f>
        <v/>
      </c>
      <c r="AM1327">
        <f>IF($D1327="","",IF(OR($R1327=TRUE(),$R1327="TRUE"),1,0))</f>
        <v/>
      </c>
      <c r="AN1327">
        <f>IF($D1327="","",IF($X1327="Yes",1,0))</f>
        <v/>
      </c>
      <c r="AO1327">
        <f>IF($AK1327=1,IFERROR(IF(VALUE($D1327)&lt;100000000,VALUE($D1327),1000000000),IFERROR(IF(VALUE(MID($D1327,2,20))&lt;100000000,VALUE(MID($D1327,2,20)),1000000000),1000000000))+ROW()/100000,"")</f>
        <v/>
      </c>
    </row>
    <row r="1328">
      <c r="F1328" s="11" t="n"/>
      <c r="N1328" s="7">
        <f>IF($D1328="","",M1328*V1328/100)</f>
        <v/>
      </c>
      <c r="O1328" s="7" t="n"/>
      <c r="U1328" s="7" t="n"/>
      <c r="V1328" s="7" t="n"/>
      <c r="Y1328">
        <f>IF($D1328="","",IF($AN1328=1,0,IF($AM1328=1,Settings!$C$6,Settings!$C$7))*100)</f>
        <v/>
      </c>
      <c r="Z1328" s="7">
        <f>IF($D1328="","",V1328*Y1328/100)</f>
        <v/>
      </c>
      <c r="AA1328" s="7">
        <f>IF($D1328="","",V1328-Z1328)</f>
        <v/>
      </c>
      <c r="AB1328" s="7">
        <f>IF($D1328="","",AA1328-N1328)</f>
        <v/>
      </c>
      <c r="AF1328" s="7" t="n"/>
      <c r="AI1328" s="11" t="n"/>
      <c r="AK1328">
        <f>IF($D1328="","",IF(COUNTIF($D$2:$D1328,$D1328)=1,1,0))</f>
        <v/>
      </c>
      <c r="AL1328">
        <f>IF($AK1328=1,SUMPRODUCT(--($AO$2:$AO$3001&lt;$AO1328))+1,"")</f>
        <v/>
      </c>
      <c r="AM1328">
        <f>IF($D1328="","",IF(OR($R1328=TRUE(),$R1328="TRUE"),1,0))</f>
        <v/>
      </c>
      <c r="AN1328">
        <f>IF($D1328="","",IF($X1328="Yes",1,0))</f>
        <v/>
      </c>
      <c r="AO1328">
        <f>IF($AK1328=1,IFERROR(IF(VALUE($D1328)&lt;100000000,VALUE($D1328),1000000000),IFERROR(IF(VALUE(MID($D1328,2,20))&lt;100000000,VALUE(MID($D1328,2,20)),1000000000),1000000000))+ROW()/100000,"")</f>
        <v/>
      </c>
    </row>
    <row r="1329">
      <c r="F1329" s="11" t="n"/>
      <c r="N1329" s="7">
        <f>IF($D1329="","",M1329*V1329/100)</f>
        <v/>
      </c>
      <c r="O1329" s="7" t="n"/>
      <c r="U1329" s="7" t="n"/>
      <c r="V1329" s="7" t="n"/>
      <c r="Y1329">
        <f>IF($D1329="","",IF($AN1329=1,0,IF($AM1329=1,Settings!$C$6,Settings!$C$7))*100)</f>
        <v/>
      </c>
      <c r="Z1329" s="7">
        <f>IF($D1329="","",V1329*Y1329/100)</f>
        <v/>
      </c>
      <c r="AA1329" s="7">
        <f>IF($D1329="","",V1329-Z1329)</f>
        <v/>
      </c>
      <c r="AB1329" s="7">
        <f>IF($D1329="","",AA1329-N1329)</f>
        <v/>
      </c>
      <c r="AF1329" s="7" t="n"/>
      <c r="AI1329" s="11" t="n"/>
      <c r="AK1329">
        <f>IF($D1329="","",IF(COUNTIF($D$2:$D1329,$D1329)=1,1,0))</f>
        <v/>
      </c>
      <c r="AL1329">
        <f>IF($AK1329=1,SUMPRODUCT(--($AO$2:$AO$3001&lt;$AO1329))+1,"")</f>
        <v/>
      </c>
      <c r="AM1329">
        <f>IF($D1329="","",IF(OR($R1329=TRUE(),$R1329="TRUE"),1,0))</f>
        <v/>
      </c>
      <c r="AN1329">
        <f>IF($D1329="","",IF($X1329="Yes",1,0))</f>
        <v/>
      </c>
      <c r="AO1329">
        <f>IF($AK1329=1,IFERROR(IF(VALUE($D1329)&lt;100000000,VALUE($D1329),1000000000),IFERROR(IF(VALUE(MID($D1329,2,20))&lt;100000000,VALUE(MID($D1329,2,20)),1000000000),1000000000))+ROW()/100000,"")</f>
        <v/>
      </c>
    </row>
    <row r="1330">
      <c r="F1330" s="11" t="n"/>
      <c r="N1330" s="7">
        <f>IF($D1330="","",M1330*V1330/100)</f>
        <v/>
      </c>
      <c r="O1330" s="7" t="n"/>
      <c r="U1330" s="7" t="n"/>
      <c r="V1330" s="7" t="n"/>
      <c r="Y1330">
        <f>IF($D1330="","",IF($AN1330=1,0,IF($AM1330=1,Settings!$C$6,Settings!$C$7))*100)</f>
        <v/>
      </c>
      <c r="Z1330" s="7">
        <f>IF($D1330="","",V1330*Y1330/100)</f>
        <v/>
      </c>
      <c r="AA1330" s="7">
        <f>IF($D1330="","",V1330-Z1330)</f>
        <v/>
      </c>
      <c r="AB1330" s="7">
        <f>IF($D1330="","",AA1330-N1330)</f>
        <v/>
      </c>
      <c r="AF1330" s="7" t="n"/>
      <c r="AI1330" s="11" t="n"/>
      <c r="AK1330">
        <f>IF($D1330="","",IF(COUNTIF($D$2:$D1330,$D1330)=1,1,0))</f>
        <v/>
      </c>
      <c r="AL1330">
        <f>IF($AK1330=1,SUMPRODUCT(--($AO$2:$AO$3001&lt;$AO1330))+1,"")</f>
        <v/>
      </c>
      <c r="AM1330">
        <f>IF($D1330="","",IF(OR($R1330=TRUE(),$R1330="TRUE"),1,0))</f>
        <v/>
      </c>
      <c r="AN1330">
        <f>IF($D1330="","",IF($X1330="Yes",1,0))</f>
        <v/>
      </c>
      <c r="AO1330">
        <f>IF($AK1330=1,IFERROR(IF(VALUE($D1330)&lt;100000000,VALUE($D1330),1000000000),IFERROR(IF(VALUE(MID($D1330,2,20))&lt;100000000,VALUE(MID($D1330,2,20)),1000000000),1000000000))+ROW()/100000,"")</f>
        <v/>
      </c>
    </row>
    <row r="1331">
      <c r="F1331" s="11" t="n"/>
      <c r="N1331" s="7">
        <f>IF($D1331="","",M1331*V1331/100)</f>
        <v/>
      </c>
      <c r="O1331" s="7" t="n"/>
      <c r="U1331" s="7" t="n"/>
      <c r="V1331" s="7" t="n"/>
      <c r="Y1331">
        <f>IF($D1331="","",IF($AN1331=1,0,IF($AM1331=1,Settings!$C$6,Settings!$C$7))*100)</f>
        <v/>
      </c>
      <c r="Z1331" s="7">
        <f>IF($D1331="","",V1331*Y1331/100)</f>
        <v/>
      </c>
      <c r="AA1331" s="7">
        <f>IF($D1331="","",V1331-Z1331)</f>
        <v/>
      </c>
      <c r="AB1331" s="7">
        <f>IF($D1331="","",AA1331-N1331)</f>
        <v/>
      </c>
      <c r="AF1331" s="7" t="n"/>
      <c r="AI1331" s="11" t="n"/>
      <c r="AK1331">
        <f>IF($D1331="","",IF(COUNTIF($D$2:$D1331,$D1331)=1,1,0))</f>
        <v/>
      </c>
      <c r="AL1331">
        <f>IF($AK1331=1,SUMPRODUCT(--($AO$2:$AO$3001&lt;$AO1331))+1,"")</f>
        <v/>
      </c>
      <c r="AM1331">
        <f>IF($D1331="","",IF(OR($R1331=TRUE(),$R1331="TRUE"),1,0))</f>
        <v/>
      </c>
      <c r="AN1331">
        <f>IF($D1331="","",IF($X1331="Yes",1,0))</f>
        <v/>
      </c>
      <c r="AO1331">
        <f>IF($AK1331=1,IFERROR(IF(VALUE($D1331)&lt;100000000,VALUE($D1331),1000000000),IFERROR(IF(VALUE(MID($D1331,2,20))&lt;100000000,VALUE(MID($D1331,2,20)),1000000000),1000000000))+ROW()/100000,"")</f>
        <v/>
      </c>
    </row>
    <row r="1332">
      <c r="F1332" s="11" t="n"/>
      <c r="N1332" s="7">
        <f>IF($D1332="","",M1332*V1332/100)</f>
        <v/>
      </c>
      <c r="O1332" s="7" t="n"/>
      <c r="U1332" s="7" t="n"/>
      <c r="V1332" s="7" t="n"/>
      <c r="Y1332">
        <f>IF($D1332="","",IF($AN1332=1,0,IF($AM1332=1,Settings!$C$6,Settings!$C$7))*100)</f>
        <v/>
      </c>
      <c r="Z1332" s="7">
        <f>IF($D1332="","",V1332*Y1332/100)</f>
        <v/>
      </c>
      <c r="AA1332" s="7">
        <f>IF($D1332="","",V1332-Z1332)</f>
        <v/>
      </c>
      <c r="AB1332" s="7">
        <f>IF($D1332="","",AA1332-N1332)</f>
        <v/>
      </c>
      <c r="AF1332" s="7" t="n"/>
      <c r="AI1332" s="11" t="n"/>
      <c r="AK1332">
        <f>IF($D1332="","",IF(COUNTIF($D$2:$D1332,$D1332)=1,1,0))</f>
        <v/>
      </c>
      <c r="AL1332">
        <f>IF($AK1332=1,SUMPRODUCT(--($AO$2:$AO$3001&lt;$AO1332))+1,"")</f>
        <v/>
      </c>
      <c r="AM1332">
        <f>IF($D1332="","",IF(OR($R1332=TRUE(),$R1332="TRUE"),1,0))</f>
        <v/>
      </c>
      <c r="AN1332">
        <f>IF($D1332="","",IF($X1332="Yes",1,0))</f>
        <v/>
      </c>
      <c r="AO1332">
        <f>IF($AK1332=1,IFERROR(IF(VALUE($D1332)&lt;100000000,VALUE($D1332),1000000000),IFERROR(IF(VALUE(MID($D1332,2,20))&lt;100000000,VALUE(MID($D1332,2,20)),1000000000),1000000000))+ROW()/100000,"")</f>
        <v/>
      </c>
    </row>
    <row r="1333">
      <c r="F1333" s="11" t="n"/>
      <c r="N1333" s="7">
        <f>IF($D1333="","",M1333*V1333/100)</f>
        <v/>
      </c>
      <c r="O1333" s="7" t="n"/>
      <c r="U1333" s="7" t="n"/>
      <c r="V1333" s="7" t="n"/>
      <c r="Y1333">
        <f>IF($D1333="","",IF($AN1333=1,0,IF($AM1333=1,Settings!$C$6,Settings!$C$7))*100)</f>
        <v/>
      </c>
      <c r="Z1333" s="7">
        <f>IF($D1333="","",V1333*Y1333/100)</f>
        <v/>
      </c>
      <c r="AA1333" s="7">
        <f>IF($D1333="","",V1333-Z1333)</f>
        <v/>
      </c>
      <c r="AB1333" s="7">
        <f>IF($D1333="","",AA1333-N1333)</f>
        <v/>
      </c>
      <c r="AF1333" s="7" t="n"/>
      <c r="AI1333" s="11" t="n"/>
      <c r="AK1333">
        <f>IF($D1333="","",IF(COUNTIF($D$2:$D1333,$D1333)=1,1,0))</f>
        <v/>
      </c>
      <c r="AL1333">
        <f>IF($AK1333=1,SUMPRODUCT(--($AO$2:$AO$3001&lt;$AO1333))+1,"")</f>
        <v/>
      </c>
      <c r="AM1333">
        <f>IF($D1333="","",IF(OR($R1333=TRUE(),$R1333="TRUE"),1,0))</f>
        <v/>
      </c>
      <c r="AN1333">
        <f>IF($D1333="","",IF($X1333="Yes",1,0))</f>
        <v/>
      </c>
      <c r="AO1333">
        <f>IF($AK1333=1,IFERROR(IF(VALUE($D1333)&lt;100000000,VALUE($D1333),1000000000),IFERROR(IF(VALUE(MID($D1333,2,20))&lt;100000000,VALUE(MID($D1333,2,20)),1000000000),1000000000))+ROW()/100000,"")</f>
        <v/>
      </c>
    </row>
    <row r="1334">
      <c r="F1334" s="11" t="n"/>
      <c r="N1334" s="7">
        <f>IF($D1334="","",M1334*V1334/100)</f>
        <v/>
      </c>
      <c r="O1334" s="7" t="n"/>
      <c r="U1334" s="7" t="n"/>
      <c r="V1334" s="7" t="n"/>
      <c r="Y1334">
        <f>IF($D1334="","",IF($AN1334=1,0,IF($AM1334=1,Settings!$C$6,Settings!$C$7))*100)</f>
        <v/>
      </c>
      <c r="Z1334" s="7">
        <f>IF($D1334="","",V1334*Y1334/100)</f>
        <v/>
      </c>
      <c r="AA1334" s="7">
        <f>IF($D1334="","",V1334-Z1334)</f>
        <v/>
      </c>
      <c r="AB1334" s="7">
        <f>IF($D1334="","",AA1334-N1334)</f>
        <v/>
      </c>
      <c r="AF1334" s="7" t="n"/>
      <c r="AI1334" s="11" t="n"/>
      <c r="AK1334">
        <f>IF($D1334="","",IF(COUNTIF($D$2:$D1334,$D1334)=1,1,0))</f>
        <v/>
      </c>
      <c r="AL1334">
        <f>IF($AK1334=1,SUMPRODUCT(--($AO$2:$AO$3001&lt;$AO1334))+1,"")</f>
        <v/>
      </c>
      <c r="AM1334">
        <f>IF($D1334="","",IF(OR($R1334=TRUE(),$R1334="TRUE"),1,0))</f>
        <v/>
      </c>
      <c r="AN1334">
        <f>IF($D1334="","",IF($X1334="Yes",1,0))</f>
        <v/>
      </c>
      <c r="AO1334">
        <f>IF($AK1334=1,IFERROR(IF(VALUE($D1334)&lt;100000000,VALUE($D1334),1000000000),IFERROR(IF(VALUE(MID($D1334,2,20))&lt;100000000,VALUE(MID($D1334,2,20)),1000000000),1000000000))+ROW()/100000,"")</f>
        <v/>
      </c>
    </row>
    <row r="1335">
      <c r="F1335" s="11" t="n"/>
      <c r="N1335" s="7">
        <f>IF($D1335="","",M1335*V1335/100)</f>
        <v/>
      </c>
      <c r="O1335" s="7" t="n"/>
      <c r="U1335" s="7" t="n"/>
      <c r="V1335" s="7" t="n"/>
      <c r="Y1335">
        <f>IF($D1335="","",IF($AN1335=1,0,IF($AM1335=1,Settings!$C$6,Settings!$C$7))*100)</f>
        <v/>
      </c>
      <c r="Z1335" s="7">
        <f>IF($D1335="","",V1335*Y1335/100)</f>
        <v/>
      </c>
      <c r="AA1335" s="7">
        <f>IF($D1335="","",V1335-Z1335)</f>
        <v/>
      </c>
      <c r="AB1335" s="7">
        <f>IF($D1335="","",AA1335-N1335)</f>
        <v/>
      </c>
      <c r="AF1335" s="7" t="n"/>
      <c r="AI1335" s="11" t="n"/>
      <c r="AK1335">
        <f>IF($D1335="","",IF(COUNTIF($D$2:$D1335,$D1335)=1,1,0))</f>
        <v/>
      </c>
      <c r="AL1335">
        <f>IF($AK1335=1,SUMPRODUCT(--($AO$2:$AO$3001&lt;$AO1335))+1,"")</f>
        <v/>
      </c>
      <c r="AM1335">
        <f>IF($D1335="","",IF(OR($R1335=TRUE(),$R1335="TRUE"),1,0))</f>
        <v/>
      </c>
      <c r="AN1335">
        <f>IF($D1335="","",IF($X1335="Yes",1,0))</f>
        <v/>
      </c>
      <c r="AO1335">
        <f>IF($AK1335=1,IFERROR(IF(VALUE($D1335)&lt;100000000,VALUE($D1335),1000000000),IFERROR(IF(VALUE(MID($D1335,2,20))&lt;100000000,VALUE(MID($D1335,2,20)),1000000000),1000000000))+ROW()/100000,"")</f>
        <v/>
      </c>
    </row>
    <row r="1336">
      <c r="F1336" s="11" t="n"/>
      <c r="N1336" s="7">
        <f>IF($D1336="","",M1336*V1336/100)</f>
        <v/>
      </c>
      <c r="O1336" s="7" t="n"/>
      <c r="U1336" s="7" t="n"/>
      <c r="V1336" s="7" t="n"/>
      <c r="Y1336">
        <f>IF($D1336="","",IF($AN1336=1,0,IF($AM1336=1,Settings!$C$6,Settings!$C$7))*100)</f>
        <v/>
      </c>
      <c r="Z1336" s="7">
        <f>IF($D1336="","",V1336*Y1336/100)</f>
        <v/>
      </c>
      <c r="AA1336" s="7">
        <f>IF($D1336="","",V1336-Z1336)</f>
        <v/>
      </c>
      <c r="AB1336" s="7">
        <f>IF($D1336="","",AA1336-N1336)</f>
        <v/>
      </c>
      <c r="AF1336" s="7" t="n"/>
      <c r="AI1336" s="11" t="n"/>
      <c r="AK1336">
        <f>IF($D1336="","",IF(COUNTIF($D$2:$D1336,$D1336)=1,1,0))</f>
        <v/>
      </c>
      <c r="AL1336">
        <f>IF($AK1336=1,SUMPRODUCT(--($AO$2:$AO$3001&lt;$AO1336))+1,"")</f>
        <v/>
      </c>
      <c r="AM1336">
        <f>IF($D1336="","",IF(OR($R1336=TRUE(),$R1336="TRUE"),1,0))</f>
        <v/>
      </c>
      <c r="AN1336">
        <f>IF($D1336="","",IF($X1336="Yes",1,0))</f>
        <v/>
      </c>
      <c r="AO1336">
        <f>IF($AK1336=1,IFERROR(IF(VALUE($D1336)&lt;100000000,VALUE($D1336),1000000000),IFERROR(IF(VALUE(MID($D1336,2,20))&lt;100000000,VALUE(MID($D1336,2,20)),1000000000),1000000000))+ROW()/100000,"")</f>
        <v/>
      </c>
    </row>
    <row r="1337">
      <c r="F1337" s="11" t="n"/>
      <c r="N1337" s="7">
        <f>IF($D1337="","",M1337*V1337/100)</f>
        <v/>
      </c>
      <c r="O1337" s="7" t="n"/>
      <c r="U1337" s="7" t="n"/>
      <c r="V1337" s="7" t="n"/>
      <c r="Y1337">
        <f>IF($D1337="","",IF($AN1337=1,0,IF($AM1337=1,Settings!$C$6,Settings!$C$7))*100)</f>
        <v/>
      </c>
      <c r="Z1337" s="7">
        <f>IF($D1337="","",V1337*Y1337/100)</f>
        <v/>
      </c>
      <c r="AA1337" s="7">
        <f>IF($D1337="","",V1337-Z1337)</f>
        <v/>
      </c>
      <c r="AB1337" s="7">
        <f>IF($D1337="","",AA1337-N1337)</f>
        <v/>
      </c>
      <c r="AF1337" s="7" t="n"/>
      <c r="AI1337" s="11" t="n"/>
      <c r="AK1337">
        <f>IF($D1337="","",IF(COUNTIF($D$2:$D1337,$D1337)=1,1,0))</f>
        <v/>
      </c>
      <c r="AL1337">
        <f>IF($AK1337=1,SUMPRODUCT(--($AO$2:$AO$3001&lt;$AO1337))+1,"")</f>
        <v/>
      </c>
      <c r="AM1337">
        <f>IF($D1337="","",IF(OR($R1337=TRUE(),$R1337="TRUE"),1,0))</f>
        <v/>
      </c>
      <c r="AN1337">
        <f>IF($D1337="","",IF($X1337="Yes",1,0))</f>
        <v/>
      </c>
      <c r="AO1337">
        <f>IF($AK1337=1,IFERROR(IF(VALUE($D1337)&lt;100000000,VALUE($D1337),1000000000),IFERROR(IF(VALUE(MID($D1337,2,20))&lt;100000000,VALUE(MID($D1337,2,20)),1000000000),1000000000))+ROW()/100000,"")</f>
        <v/>
      </c>
    </row>
    <row r="1338">
      <c r="F1338" s="11" t="n"/>
      <c r="N1338" s="7">
        <f>IF($D1338="","",M1338*V1338/100)</f>
        <v/>
      </c>
      <c r="O1338" s="7" t="n"/>
      <c r="U1338" s="7" t="n"/>
      <c r="V1338" s="7" t="n"/>
      <c r="Y1338">
        <f>IF($D1338="","",IF($AN1338=1,0,IF($AM1338=1,Settings!$C$6,Settings!$C$7))*100)</f>
        <v/>
      </c>
      <c r="Z1338" s="7">
        <f>IF($D1338="","",V1338*Y1338/100)</f>
        <v/>
      </c>
      <c r="AA1338" s="7">
        <f>IF($D1338="","",V1338-Z1338)</f>
        <v/>
      </c>
      <c r="AB1338" s="7">
        <f>IF($D1338="","",AA1338-N1338)</f>
        <v/>
      </c>
      <c r="AF1338" s="7" t="n"/>
      <c r="AI1338" s="11" t="n"/>
      <c r="AK1338">
        <f>IF($D1338="","",IF(COUNTIF($D$2:$D1338,$D1338)=1,1,0))</f>
        <v/>
      </c>
      <c r="AL1338">
        <f>IF($AK1338=1,SUMPRODUCT(--($AO$2:$AO$3001&lt;$AO1338))+1,"")</f>
        <v/>
      </c>
      <c r="AM1338">
        <f>IF($D1338="","",IF(OR($R1338=TRUE(),$R1338="TRUE"),1,0))</f>
        <v/>
      </c>
      <c r="AN1338">
        <f>IF($D1338="","",IF($X1338="Yes",1,0))</f>
        <v/>
      </c>
      <c r="AO1338">
        <f>IF($AK1338=1,IFERROR(IF(VALUE($D1338)&lt;100000000,VALUE($D1338),1000000000),IFERROR(IF(VALUE(MID($D1338,2,20))&lt;100000000,VALUE(MID($D1338,2,20)),1000000000),1000000000))+ROW()/100000,"")</f>
        <v/>
      </c>
    </row>
    <row r="1339">
      <c r="F1339" s="11" t="n"/>
      <c r="N1339" s="7">
        <f>IF($D1339="","",M1339*V1339/100)</f>
        <v/>
      </c>
      <c r="O1339" s="7" t="n"/>
      <c r="U1339" s="7" t="n"/>
      <c r="V1339" s="7" t="n"/>
      <c r="Y1339">
        <f>IF($D1339="","",IF($AN1339=1,0,IF($AM1339=1,Settings!$C$6,Settings!$C$7))*100)</f>
        <v/>
      </c>
      <c r="Z1339" s="7">
        <f>IF($D1339="","",V1339*Y1339/100)</f>
        <v/>
      </c>
      <c r="AA1339" s="7">
        <f>IF($D1339="","",V1339-Z1339)</f>
        <v/>
      </c>
      <c r="AB1339" s="7">
        <f>IF($D1339="","",AA1339-N1339)</f>
        <v/>
      </c>
      <c r="AF1339" s="7" t="n"/>
      <c r="AI1339" s="11" t="n"/>
      <c r="AK1339">
        <f>IF($D1339="","",IF(COUNTIF($D$2:$D1339,$D1339)=1,1,0))</f>
        <v/>
      </c>
      <c r="AL1339">
        <f>IF($AK1339=1,SUMPRODUCT(--($AO$2:$AO$3001&lt;$AO1339))+1,"")</f>
        <v/>
      </c>
      <c r="AM1339">
        <f>IF($D1339="","",IF(OR($R1339=TRUE(),$R1339="TRUE"),1,0))</f>
        <v/>
      </c>
      <c r="AN1339">
        <f>IF($D1339="","",IF($X1339="Yes",1,0))</f>
        <v/>
      </c>
      <c r="AO1339">
        <f>IF($AK1339=1,IFERROR(IF(VALUE($D1339)&lt;100000000,VALUE($D1339),1000000000),IFERROR(IF(VALUE(MID($D1339,2,20))&lt;100000000,VALUE(MID($D1339,2,20)),1000000000),1000000000))+ROW()/100000,"")</f>
        <v/>
      </c>
    </row>
    <row r="1340">
      <c r="F1340" s="11" t="n"/>
      <c r="N1340" s="7">
        <f>IF($D1340="","",M1340*V1340/100)</f>
        <v/>
      </c>
      <c r="O1340" s="7" t="n"/>
      <c r="U1340" s="7" t="n"/>
      <c r="V1340" s="7" t="n"/>
      <c r="Y1340">
        <f>IF($D1340="","",IF($AN1340=1,0,IF($AM1340=1,Settings!$C$6,Settings!$C$7))*100)</f>
        <v/>
      </c>
      <c r="Z1340" s="7">
        <f>IF($D1340="","",V1340*Y1340/100)</f>
        <v/>
      </c>
      <c r="AA1340" s="7">
        <f>IF($D1340="","",V1340-Z1340)</f>
        <v/>
      </c>
      <c r="AB1340" s="7">
        <f>IF($D1340="","",AA1340-N1340)</f>
        <v/>
      </c>
      <c r="AF1340" s="7" t="n"/>
      <c r="AI1340" s="11" t="n"/>
      <c r="AK1340">
        <f>IF($D1340="","",IF(COUNTIF($D$2:$D1340,$D1340)=1,1,0))</f>
        <v/>
      </c>
      <c r="AL1340">
        <f>IF($AK1340=1,SUMPRODUCT(--($AO$2:$AO$3001&lt;$AO1340))+1,"")</f>
        <v/>
      </c>
      <c r="AM1340">
        <f>IF($D1340="","",IF(OR($R1340=TRUE(),$R1340="TRUE"),1,0))</f>
        <v/>
      </c>
      <c r="AN1340">
        <f>IF($D1340="","",IF($X1340="Yes",1,0))</f>
        <v/>
      </c>
      <c r="AO1340">
        <f>IF($AK1340=1,IFERROR(IF(VALUE($D1340)&lt;100000000,VALUE($D1340),1000000000),IFERROR(IF(VALUE(MID($D1340,2,20))&lt;100000000,VALUE(MID($D1340,2,20)),1000000000),1000000000))+ROW()/100000,"")</f>
        <v/>
      </c>
    </row>
    <row r="1341">
      <c r="F1341" s="11" t="n"/>
      <c r="N1341" s="7">
        <f>IF($D1341="","",M1341*V1341/100)</f>
        <v/>
      </c>
      <c r="O1341" s="7" t="n"/>
      <c r="U1341" s="7" t="n"/>
      <c r="V1341" s="7" t="n"/>
      <c r="Y1341">
        <f>IF($D1341="","",IF($AN1341=1,0,IF($AM1341=1,Settings!$C$6,Settings!$C$7))*100)</f>
        <v/>
      </c>
      <c r="Z1341" s="7">
        <f>IF($D1341="","",V1341*Y1341/100)</f>
        <v/>
      </c>
      <c r="AA1341" s="7">
        <f>IF($D1341="","",V1341-Z1341)</f>
        <v/>
      </c>
      <c r="AB1341" s="7">
        <f>IF($D1341="","",AA1341-N1341)</f>
        <v/>
      </c>
      <c r="AF1341" s="7" t="n"/>
      <c r="AI1341" s="11" t="n"/>
      <c r="AK1341">
        <f>IF($D1341="","",IF(COUNTIF($D$2:$D1341,$D1341)=1,1,0))</f>
        <v/>
      </c>
      <c r="AL1341">
        <f>IF($AK1341=1,SUMPRODUCT(--($AO$2:$AO$3001&lt;$AO1341))+1,"")</f>
        <v/>
      </c>
      <c r="AM1341">
        <f>IF($D1341="","",IF(OR($R1341=TRUE(),$R1341="TRUE"),1,0))</f>
        <v/>
      </c>
      <c r="AN1341">
        <f>IF($D1341="","",IF($X1341="Yes",1,0))</f>
        <v/>
      </c>
      <c r="AO1341">
        <f>IF($AK1341=1,IFERROR(IF(VALUE($D1341)&lt;100000000,VALUE($D1341),1000000000),IFERROR(IF(VALUE(MID($D1341,2,20))&lt;100000000,VALUE(MID($D1341,2,20)),1000000000),1000000000))+ROW()/100000,"")</f>
        <v/>
      </c>
    </row>
    <row r="1342">
      <c r="F1342" s="11" t="n"/>
      <c r="N1342" s="7">
        <f>IF($D1342="","",M1342*V1342/100)</f>
        <v/>
      </c>
      <c r="O1342" s="7" t="n"/>
      <c r="U1342" s="7" t="n"/>
      <c r="V1342" s="7" t="n"/>
      <c r="Y1342">
        <f>IF($D1342="","",IF($AN1342=1,0,IF($AM1342=1,Settings!$C$6,Settings!$C$7))*100)</f>
        <v/>
      </c>
      <c r="Z1342" s="7">
        <f>IF($D1342="","",V1342*Y1342/100)</f>
        <v/>
      </c>
      <c r="AA1342" s="7">
        <f>IF($D1342="","",V1342-Z1342)</f>
        <v/>
      </c>
      <c r="AB1342" s="7">
        <f>IF($D1342="","",AA1342-N1342)</f>
        <v/>
      </c>
      <c r="AF1342" s="7" t="n"/>
      <c r="AI1342" s="11" t="n"/>
      <c r="AK1342">
        <f>IF($D1342="","",IF(COUNTIF($D$2:$D1342,$D1342)=1,1,0))</f>
        <v/>
      </c>
      <c r="AL1342">
        <f>IF($AK1342=1,SUMPRODUCT(--($AO$2:$AO$3001&lt;$AO1342))+1,"")</f>
        <v/>
      </c>
      <c r="AM1342">
        <f>IF($D1342="","",IF(OR($R1342=TRUE(),$R1342="TRUE"),1,0))</f>
        <v/>
      </c>
      <c r="AN1342">
        <f>IF($D1342="","",IF($X1342="Yes",1,0))</f>
        <v/>
      </c>
      <c r="AO1342">
        <f>IF($AK1342=1,IFERROR(IF(VALUE($D1342)&lt;100000000,VALUE($D1342),1000000000),IFERROR(IF(VALUE(MID($D1342,2,20))&lt;100000000,VALUE(MID($D1342,2,20)),1000000000),1000000000))+ROW()/100000,"")</f>
        <v/>
      </c>
    </row>
    <row r="1343">
      <c r="F1343" s="11" t="n"/>
      <c r="N1343" s="7">
        <f>IF($D1343="","",M1343*V1343/100)</f>
        <v/>
      </c>
      <c r="O1343" s="7" t="n"/>
      <c r="U1343" s="7" t="n"/>
      <c r="V1343" s="7" t="n"/>
      <c r="Y1343">
        <f>IF($D1343="","",IF($AN1343=1,0,IF($AM1343=1,Settings!$C$6,Settings!$C$7))*100)</f>
        <v/>
      </c>
      <c r="Z1343" s="7">
        <f>IF($D1343="","",V1343*Y1343/100)</f>
        <v/>
      </c>
      <c r="AA1343" s="7">
        <f>IF($D1343="","",V1343-Z1343)</f>
        <v/>
      </c>
      <c r="AB1343" s="7">
        <f>IF($D1343="","",AA1343-N1343)</f>
        <v/>
      </c>
      <c r="AF1343" s="7" t="n"/>
      <c r="AI1343" s="11" t="n"/>
      <c r="AK1343">
        <f>IF($D1343="","",IF(COUNTIF($D$2:$D1343,$D1343)=1,1,0))</f>
        <v/>
      </c>
      <c r="AL1343">
        <f>IF($AK1343=1,SUMPRODUCT(--($AO$2:$AO$3001&lt;$AO1343))+1,"")</f>
        <v/>
      </c>
      <c r="AM1343">
        <f>IF($D1343="","",IF(OR($R1343=TRUE(),$R1343="TRUE"),1,0))</f>
        <v/>
      </c>
      <c r="AN1343">
        <f>IF($D1343="","",IF($X1343="Yes",1,0))</f>
        <v/>
      </c>
      <c r="AO1343">
        <f>IF($AK1343=1,IFERROR(IF(VALUE($D1343)&lt;100000000,VALUE($D1343),1000000000),IFERROR(IF(VALUE(MID($D1343,2,20))&lt;100000000,VALUE(MID($D1343,2,20)),1000000000),1000000000))+ROW()/100000,"")</f>
        <v/>
      </c>
    </row>
    <row r="1344">
      <c r="F1344" s="11" t="n"/>
      <c r="N1344" s="7">
        <f>IF($D1344="","",M1344*V1344/100)</f>
        <v/>
      </c>
      <c r="O1344" s="7" t="n"/>
      <c r="U1344" s="7" t="n"/>
      <c r="V1344" s="7" t="n"/>
      <c r="Y1344">
        <f>IF($D1344="","",IF($AN1344=1,0,IF($AM1344=1,Settings!$C$6,Settings!$C$7))*100)</f>
        <v/>
      </c>
      <c r="Z1344" s="7">
        <f>IF($D1344="","",V1344*Y1344/100)</f>
        <v/>
      </c>
      <c r="AA1344" s="7">
        <f>IF($D1344="","",V1344-Z1344)</f>
        <v/>
      </c>
      <c r="AB1344" s="7">
        <f>IF($D1344="","",AA1344-N1344)</f>
        <v/>
      </c>
      <c r="AF1344" s="7" t="n"/>
      <c r="AI1344" s="11" t="n"/>
      <c r="AK1344">
        <f>IF($D1344="","",IF(COUNTIF($D$2:$D1344,$D1344)=1,1,0))</f>
        <v/>
      </c>
      <c r="AL1344">
        <f>IF($AK1344=1,SUMPRODUCT(--($AO$2:$AO$3001&lt;$AO1344))+1,"")</f>
        <v/>
      </c>
      <c r="AM1344">
        <f>IF($D1344="","",IF(OR($R1344=TRUE(),$R1344="TRUE"),1,0))</f>
        <v/>
      </c>
      <c r="AN1344">
        <f>IF($D1344="","",IF($X1344="Yes",1,0))</f>
        <v/>
      </c>
      <c r="AO1344">
        <f>IF($AK1344=1,IFERROR(IF(VALUE($D1344)&lt;100000000,VALUE($D1344),1000000000),IFERROR(IF(VALUE(MID($D1344,2,20))&lt;100000000,VALUE(MID($D1344,2,20)),1000000000),1000000000))+ROW()/100000,"")</f>
        <v/>
      </c>
    </row>
    <row r="1345">
      <c r="F1345" s="11" t="n"/>
      <c r="N1345" s="7">
        <f>IF($D1345="","",M1345*V1345/100)</f>
        <v/>
      </c>
      <c r="O1345" s="7" t="n"/>
      <c r="U1345" s="7" t="n"/>
      <c r="V1345" s="7" t="n"/>
      <c r="Y1345">
        <f>IF($D1345="","",IF($AN1345=1,0,IF($AM1345=1,Settings!$C$6,Settings!$C$7))*100)</f>
        <v/>
      </c>
      <c r="Z1345" s="7">
        <f>IF($D1345="","",V1345*Y1345/100)</f>
        <v/>
      </c>
      <c r="AA1345" s="7">
        <f>IF($D1345="","",V1345-Z1345)</f>
        <v/>
      </c>
      <c r="AB1345" s="7">
        <f>IF($D1345="","",AA1345-N1345)</f>
        <v/>
      </c>
      <c r="AF1345" s="7" t="n"/>
      <c r="AI1345" s="11" t="n"/>
      <c r="AK1345">
        <f>IF($D1345="","",IF(COUNTIF($D$2:$D1345,$D1345)=1,1,0))</f>
        <v/>
      </c>
      <c r="AL1345">
        <f>IF($AK1345=1,SUMPRODUCT(--($AO$2:$AO$3001&lt;$AO1345))+1,"")</f>
        <v/>
      </c>
      <c r="AM1345">
        <f>IF($D1345="","",IF(OR($R1345=TRUE(),$R1345="TRUE"),1,0))</f>
        <v/>
      </c>
      <c r="AN1345">
        <f>IF($D1345="","",IF($X1345="Yes",1,0))</f>
        <v/>
      </c>
      <c r="AO1345">
        <f>IF($AK1345=1,IFERROR(IF(VALUE($D1345)&lt;100000000,VALUE($D1345),1000000000),IFERROR(IF(VALUE(MID($D1345,2,20))&lt;100000000,VALUE(MID($D1345,2,20)),1000000000),1000000000))+ROW()/100000,"")</f>
        <v/>
      </c>
    </row>
    <row r="1346">
      <c r="F1346" s="11" t="n"/>
      <c r="N1346" s="7">
        <f>IF($D1346="","",M1346*V1346/100)</f>
        <v/>
      </c>
      <c r="O1346" s="7" t="n"/>
      <c r="U1346" s="7" t="n"/>
      <c r="V1346" s="7" t="n"/>
      <c r="Y1346">
        <f>IF($D1346="","",IF($AN1346=1,0,IF($AM1346=1,Settings!$C$6,Settings!$C$7))*100)</f>
        <v/>
      </c>
      <c r="Z1346" s="7">
        <f>IF($D1346="","",V1346*Y1346/100)</f>
        <v/>
      </c>
      <c r="AA1346" s="7">
        <f>IF($D1346="","",V1346-Z1346)</f>
        <v/>
      </c>
      <c r="AB1346" s="7">
        <f>IF($D1346="","",AA1346-N1346)</f>
        <v/>
      </c>
      <c r="AF1346" s="7" t="n"/>
      <c r="AI1346" s="11" t="n"/>
      <c r="AK1346">
        <f>IF($D1346="","",IF(COUNTIF($D$2:$D1346,$D1346)=1,1,0))</f>
        <v/>
      </c>
      <c r="AL1346">
        <f>IF($AK1346=1,SUMPRODUCT(--($AO$2:$AO$3001&lt;$AO1346))+1,"")</f>
        <v/>
      </c>
      <c r="AM1346">
        <f>IF($D1346="","",IF(OR($R1346=TRUE(),$R1346="TRUE"),1,0))</f>
        <v/>
      </c>
      <c r="AN1346">
        <f>IF($D1346="","",IF($X1346="Yes",1,0))</f>
        <v/>
      </c>
      <c r="AO1346">
        <f>IF($AK1346=1,IFERROR(IF(VALUE($D1346)&lt;100000000,VALUE($D1346),1000000000),IFERROR(IF(VALUE(MID($D1346,2,20))&lt;100000000,VALUE(MID($D1346,2,20)),1000000000),1000000000))+ROW()/100000,"")</f>
        <v/>
      </c>
    </row>
    <row r="1347">
      <c r="F1347" s="11" t="n"/>
      <c r="N1347" s="7">
        <f>IF($D1347="","",M1347*V1347/100)</f>
        <v/>
      </c>
      <c r="O1347" s="7" t="n"/>
      <c r="U1347" s="7" t="n"/>
      <c r="V1347" s="7" t="n"/>
      <c r="Y1347">
        <f>IF($D1347="","",IF($AN1347=1,0,IF($AM1347=1,Settings!$C$6,Settings!$C$7))*100)</f>
        <v/>
      </c>
      <c r="Z1347" s="7">
        <f>IF($D1347="","",V1347*Y1347/100)</f>
        <v/>
      </c>
      <c r="AA1347" s="7">
        <f>IF($D1347="","",V1347-Z1347)</f>
        <v/>
      </c>
      <c r="AB1347" s="7">
        <f>IF($D1347="","",AA1347-N1347)</f>
        <v/>
      </c>
      <c r="AF1347" s="7" t="n"/>
      <c r="AI1347" s="11" t="n"/>
      <c r="AK1347">
        <f>IF($D1347="","",IF(COUNTIF($D$2:$D1347,$D1347)=1,1,0))</f>
        <v/>
      </c>
      <c r="AL1347">
        <f>IF($AK1347=1,SUMPRODUCT(--($AO$2:$AO$3001&lt;$AO1347))+1,"")</f>
        <v/>
      </c>
      <c r="AM1347">
        <f>IF($D1347="","",IF(OR($R1347=TRUE(),$R1347="TRUE"),1,0))</f>
        <v/>
      </c>
      <c r="AN1347">
        <f>IF($D1347="","",IF($X1347="Yes",1,0))</f>
        <v/>
      </c>
      <c r="AO1347">
        <f>IF($AK1347=1,IFERROR(IF(VALUE($D1347)&lt;100000000,VALUE($D1347),1000000000),IFERROR(IF(VALUE(MID($D1347,2,20))&lt;100000000,VALUE(MID($D1347,2,20)),1000000000),1000000000))+ROW()/100000,"")</f>
        <v/>
      </c>
    </row>
    <row r="1348">
      <c r="F1348" s="11" t="n"/>
      <c r="N1348" s="7">
        <f>IF($D1348="","",M1348*V1348/100)</f>
        <v/>
      </c>
      <c r="O1348" s="7" t="n"/>
      <c r="U1348" s="7" t="n"/>
      <c r="V1348" s="7" t="n"/>
      <c r="Y1348">
        <f>IF($D1348="","",IF($AN1348=1,0,IF($AM1348=1,Settings!$C$6,Settings!$C$7))*100)</f>
        <v/>
      </c>
      <c r="Z1348" s="7">
        <f>IF($D1348="","",V1348*Y1348/100)</f>
        <v/>
      </c>
      <c r="AA1348" s="7">
        <f>IF($D1348="","",V1348-Z1348)</f>
        <v/>
      </c>
      <c r="AB1348" s="7">
        <f>IF($D1348="","",AA1348-N1348)</f>
        <v/>
      </c>
      <c r="AF1348" s="7" t="n"/>
      <c r="AI1348" s="11" t="n"/>
      <c r="AK1348">
        <f>IF($D1348="","",IF(COUNTIF($D$2:$D1348,$D1348)=1,1,0))</f>
        <v/>
      </c>
      <c r="AL1348">
        <f>IF($AK1348=1,SUMPRODUCT(--($AO$2:$AO$3001&lt;$AO1348))+1,"")</f>
        <v/>
      </c>
      <c r="AM1348">
        <f>IF($D1348="","",IF(OR($R1348=TRUE(),$R1348="TRUE"),1,0))</f>
        <v/>
      </c>
      <c r="AN1348">
        <f>IF($D1348="","",IF($X1348="Yes",1,0))</f>
        <v/>
      </c>
      <c r="AO1348">
        <f>IF($AK1348=1,IFERROR(IF(VALUE($D1348)&lt;100000000,VALUE($D1348),1000000000),IFERROR(IF(VALUE(MID($D1348,2,20))&lt;100000000,VALUE(MID($D1348,2,20)),1000000000),1000000000))+ROW()/100000,"")</f>
        <v/>
      </c>
    </row>
    <row r="1349">
      <c r="F1349" s="11" t="n"/>
      <c r="N1349" s="7">
        <f>IF($D1349="","",M1349*V1349/100)</f>
        <v/>
      </c>
      <c r="O1349" s="7" t="n"/>
      <c r="U1349" s="7" t="n"/>
      <c r="V1349" s="7" t="n"/>
      <c r="Y1349">
        <f>IF($D1349="","",IF($AN1349=1,0,IF($AM1349=1,Settings!$C$6,Settings!$C$7))*100)</f>
        <v/>
      </c>
      <c r="Z1349" s="7">
        <f>IF($D1349="","",V1349*Y1349/100)</f>
        <v/>
      </c>
      <c r="AA1349" s="7">
        <f>IF($D1349="","",V1349-Z1349)</f>
        <v/>
      </c>
      <c r="AB1349" s="7">
        <f>IF($D1349="","",AA1349-N1349)</f>
        <v/>
      </c>
      <c r="AF1349" s="7" t="n"/>
      <c r="AI1349" s="11" t="n"/>
      <c r="AK1349">
        <f>IF($D1349="","",IF(COUNTIF($D$2:$D1349,$D1349)=1,1,0))</f>
        <v/>
      </c>
      <c r="AL1349">
        <f>IF($AK1349=1,SUMPRODUCT(--($AO$2:$AO$3001&lt;$AO1349))+1,"")</f>
        <v/>
      </c>
      <c r="AM1349">
        <f>IF($D1349="","",IF(OR($R1349=TRUE(),$R1349="TRUE"),1,0))</f>
        <v/>
      </c>
      <c r="AN1349">
        <f>IF($D1349="","",IF($X1349="Yes",1,0))</f>
        <v/>
      </c>
      <c r="AO1349">
        <f>IF($AK1349=1,IFERROR(IF(VALUE($D1349)&lt;100000000,VALUE($D1349),1000000000),IFERROR(IF(VALUE(MID($D1349,2,20))&lt;100000000,VALUE(MID($D1349,2,20)),1000000000),1000000000))+ROW()/100000,"")</f>
        <v/>
      </c>
    </row>
    <row r="1350">
      <c r="F1350" s="11" t="n"/>
      <c r="N1350" s="7">
        <f>IF($D1350="","",M1350*V1350/100)</f>
        <v/>
      </c>
      <c r="O1350" s="7" t="n"/>
      <c r="U1350" s="7" t="n"/>
      <c r="V1350" s="7" t="n"/>
      <c r="Y1350">
        <f>IF($D1350="","",IF($AN1350=1,0,IF($AM1350=1,Settings!$C$6,Settings!$C$7))*100)</f>
        <v/>
      </c>
      <c r="Z1350" s="7">
        <f>IF($D1350="","",V1350*Y1350/100)</f>
        <v/>
      </c>
      <c r="AA1350" s="7">
        <f>IF($D1350="","",V1350-Z1350)</f>
        <v/>
      </c>
      <c r="AB1350" s="7">
        <f>IF($D1350="","",AA1350-N1350)</f>
        <v/>
      </c>
      <c r="AF1350" s="7" t="n"/>
      <c r="AI1350" s="11" t="n"/>
      <c r="AK1350">
        <f>IF($D1350="","",IF(COUNTIF($D$2:$D1350,$D1350)=1,1,0))</f>
        <v/>
      </c>
      <c r="AL1350">
        <f>IF($AK1350=1,SUMPRODUCT(--($AO$2:$AO$3001&lt;$AO1350))+1,"")</f>
        <v/>
      </c>
      <c r="AM1350">
        <f>IF($D1350="","",IF(OR($R1350=TRUE(),$R1350="TRUE"),1,0))</f>
        <v/>
      </c>
      <c r="AN1350">
        <f>IF($D1350="","",IF($X1350="Yes",1,0))</f>
        <v/>
      </c>
      <c r="AO1350">
        <f>IF($AK1350=1,IFERROR(IF(VALUE($D1350)&lt;100000000,VALUE($D1350),1000000000),IFERROR(IF(VALUE(MID($D1350,2,20))&lt;100000000,VALUE(MID($D1350,2,20)),1000000000),1000000000))+ROW()/100000,"")</f>
        <v/>
      </c>
    </row>
    <row r="1351">
      <c r="F1351" s="11" t="n"/>
      <c r="N1351" s="7">
        <f>IF($D1351="","",M1351*V1351/100)</f>
        <v/>
      </c>
      <c r="O1351" s="7" t="n"/>
      <c r="U1351" s="7" t="n"/>
      <c r="V1351" s="7" t="n"/>
      <c r="Y1351">
        <f>IF($D1351="","",IF($AN1351=1,0,IF($AM1351=1,Settings!$C$6,Settings!$C$7))*100)</f>
        <v/>
      </c>
      <c r="Z1351" s="7">
        <f>IF($D1351="","",V1351*Y1351/100)</f>
        <v/>
      </c>
      <c r="AA1351" s="7">
        <f>IF($D1351="","",V1351-Z1351)</f>
        <v/>
      </c>
      <c r="AB1351" s="7">
        <f>IF($D1351="","",AA1351-N1351)</f>
        <v/>
      </c>
      <c r="AF1351" s="7" t="n"/>
      <c r="AI1351" s="11" t="n"/>
      <c r="AK1351">
        <f>IF($D1351="","",IF(COUNTIF($D$2:$D1351,$D1351)=1,1,0))</f>
        <v/>
      </c>
      <c r="AL1351">
        <f>IF($AK1351=1,SUMPRODUCT(--($AO$2:$AO$3001&lt;$AO1351))+1,"")</f>
        <v/>
      </c>
      <c r="AM1351">
        <f>IF($D1351="","",IF(OR($R1351=TRUE(),$R1351="TRUE"),1,0))</f>
        <v/>
      </c>
      <c r="AN1351">
        <f>IF($D1351="","",IF($X1351="Yes",1,0))</f>
        <v/>
      </c>
      <c r="AO1351">
        <f>IF($AK1351=1,IFERROR(IF(VALUE($D1351)&lt;100000000,VALUE($D1351),1000000000),IFERROR(IF(VALUE(MID($D1351,2,20))&lt;100000000,VALUE(MID($D1351,2,20)),1000000000),1000000000))+ROW()/100000,"")</f>
        <v/>
      </c>
    </row>
    <row r="1352">
      <c r="F1352" s="11" t="n"/>
      <c r="N1352" s="7">
        <f>IF($D1352="","",M1352*V1352/100)</f>
        <v/>
      </c>
      <c r="O1352" s="7" t="n"/>
      <c r="U1352" s="7" t="n"/>
      <c r="V1352" s="7" t="n"/>
      <c r="Y1352">
        <f>IF($D1352="","",IF($AN1352=1,0,IF($AM1352=1,Settings!$C$6,Settings!$C$7))*100)</f>
        <v/>
      </c>
      <c r="Z1352" s="7">
        <f>IF($D1352="","",V1352*Y1352/100)</f>
        <v/>
      </c>
      <c r="AA1352" s="7">
        <f>IF($D1352="","",V1352-Z1352)</f>
        <v/>
      </c>
      <c r="AB1352" s="7">
        <f>IF($D1352="","",AA1352-N1352)</f>
        <v/>
      </c>
      <c r="AF1352" s="7" t="n"/>
      <c r="AI1352" s="11" t="n"/>
      <c r="AK1352">
        <f>IF($D1352="","",IF(COUNTIF($D$2:$D1352,$D1352)=1,1,0))</f>
        <v/>
      </c>
      <c r="AL1352">
        <f>IF($AK1352=1,SUMPRODUCT(--($AO$2:$AO$3001&lt;$AO1352))+1,"")</f>
        <v/>
      </c>
      <c r="AM1352">
        <f>IF($D1352="","",IF(OR($R1352=TRUE(),$R1352="TRUE"),1,0))</f>
        <v/>
      </c>
      <c r="AN1352">
        <f>IF($D1352="","",IF($X1352="Yes",1,0))</f>
        <v/>
      </c>
      <c r="AO1352">
        <f>IF($AK1352=1,IFERROR(IF(VALUE($D1352)&lt;100000000,VALUE($D1352),1000000000),IFERROR(IF(VALUE(MID($D1352,2,20))&lt;100000000,VALUE(MID($D1352,2,20)),1000000000),1000000000))+ROW()/100000,"")</f>
        <v/>
      </c>
    </row>
    <row r="1353">
      <c r="F1353" s="11" t="n"/>
      <c r="N1353" s="7">
        <f>IF($D1353="","",M1353*V1353/100)</f>
        <v/>
      </c>
      <c r="O1353" s="7" t="n"/>
      <c r="U1353" s="7" t="n"/>
      <c r="V1353" s="7" t="n"/>
      <c r="Y1353">
        <f>IF($D1353="","",IF($AN1353=1,0,IF($AM1353=1,Settings!$C$6,Settings!$C$7))*100)</f>
        <v/>
      </c>
      <c r="Z1353" s="7">
        <f>IF($D1353="","",V1353*Y1353/100)</f>
        <v/>
      </c>
      <c r="AA1353" s="7">
        <f>IF($D1353="","",V1353-Z1353)</f>
        <v/>
      </c>
      <c r="AB1353" s="7">
        <f>IF($D1353="","",AA1353-N1353)</f>
        <v/>
      </c>
      <c r="AF1353" s="7" t="n"/>
      <c r="AI1353" s="11" t="n"/>
      <c r="AK1353">
        <f>IF($D1353="","",IF(COUNTIF($D$2:$D1353,$D1353)=1,1,0))</f>
        <v/>
      </c>
      <c r="AL1353">
        <f>IF($AK1353=1,SUMPRODUCT(--($AO$2:$AO$3001&lt;$AO1353))+1,"")</f>
        <v/>
      </c>
      <c r="AM1353">
        <f>IF($D1353="","",IF(OR($R1353=TRUE(),$R1353="TRUE"),1,0))</f>
        <v/>
      </c>
      <c r="AN1353">
        <f>IF($D1353="","",IF($X1353="Yes",1,0))</f>
        <v/>
      </c>
      <c r="AO1353">
        <f>IF($AK1353=1,IFERROR(IF(VALUE($D1353)&lt;100000000,VALUE($D1353),1000000000),IFERROR(IF(VALUE(MID($D1353,2,20))&lt;100000000,VALUE(MID($D1353,2,20)),1000000000),1000000000))+ROW()/100000,"")</f>
        <v/>
      </c>
    </row>
    <row r="1354">
      <c r="F1354" s="11" t="n"/>
      <c r="N1354" s="7">
        <f>IF($D1354="","",M1354*V1354/100)</f>
        <v/>
      </c>
      <c r="O1354" s="7" t="n"/>
      <c r="U1354" s="7" t="n"/>
      <c r="V1354" s="7" t="n"/>
      <c r="Y1354">
        <f>IF($D1354="","",IF($AN1354=1,0,IF($AM1354=1,Settings!$C$6,Settings!$C$7))*100)</f>
        <v/>
      </c>
      <c r="Z1354" s="7">
        <f>IF($D1354="","",V1354*Y1354/100)</f>
        <v/>
      </c>
      <c r="AA1354" s="7">
        <f>IF($D1354="","",V1354-Z1354)</f>
        <v/>
      </c>
      <c r="AB1354" s="7">
        <f>IF($D1354="","",AA1354-N1354)</f>
        <v/>
      </c>
      <c r="AF1354" s="7" t="n"/>
      <c r="AI1354" s="11" t="n"/>
      <c r="AK1354">
        <f>IF($D1354="","",IF(COUNTIF($D$2:$D1354,$D1354)=1,1,0))</f>
        <v/>
      </c>
      <c r="AL1354">
        <f>IF($AK1354=1,SUMPRODUCT(--($AO$2:$AO$3001&lt;$AO1354))+1,"")</f>
        <v/>
      </c>
      <c r="AM1354">
        <f>IF($D1354="","",IF(OR($R1354=TRUE(),$R1354="TRUE"),1,0))</f>
        <v/>
      </c>
      <c r="AN1354">
        <f>IF($D1354="","",IF($X1354="Yes",1,0))</f>
        <v/>
      </c>
      <c r="AO1354">
        <f>IF($AK1354=1,IFERROR(IF(VALUE($D1354)&lt;100000000,VALUE($D1354),1000000000),IFERROR(IF(VALUE(MID($D1354,2,20))&lt;100000000,VALUE(MID($D1354,2,20)),1000000000),1000000000))+ROW()/100000,"")</f>
        <v/>
      </c>
    </row>
    <row r="1355">
      <c r="F1355" s="11" t="n"/>
      <c r="N1355" s="7">
        <f>IF($D1355="","",M1355*V1355/100)</f>
        <v/>
      </c>
      <c r="O1355" s="7" t="n"/>
      <c r="U1355" s="7" t="n"/>
      <c r="V1355" s="7" t="n"/>
      <c r="Y1355">
        <f>IF($D1355="","",IF($AN1355=1,0,IF($AM1355=1,Settings!$C$6,Settings!$C$7))*100)</f>
        <v/>
      </c>
      <c r="Z1355" s="7">
        <f>IF($D1355="","",V1355*Y1355/100)</f>
        <v/>
      </c>
      <c r="AA1355" s="7">
        <f>IF($D1355="","",V1355-Z1355)</f>
        <v/>
      </c>
      <c r="AB1355" s="7">
        <f>IF($D1355="","",AA1355-N1355)</f>
        <v/>
      </c>
      <c r="AF1355" s="7" t="n"/>
      <c r="AI1355" s="11" t="n"/>
      <c r="AK1355">
        <f>IF($D1355="","",IF(COUNTIF($D$2:$D1355,$D1355)=1,1,0))</f>
        <v/>
      </c>
      <c r="AL1355">
        <f>IF($AK1355=1,SUMPRODUCT(--($AO$2:$AO$3001&lt;$AO1355))+1,"")</f>
        <v/>
      </c>
      <c r="AM1355">
        <f>IF($D1355="","",IF(OR($R1355=TRUE(),$R1355="TRUE"),1,0))</f>
        <v/>
      </c>
      <c r="AN1355">
        <f>IF($D1355="","",IF($X1355="Yes",1,0))</f>
        <v/>
      </c>
      <c r="AO1355">
        <f>IF($AK1355=1,IFERROR(IF(VALUE($D1355)&lt;100000000,VALUE($D1355),1000000000),IFERROR(IF(VALUE(MID($D1355,2,20))&lt;100000000,VALUE(MID($D1355,2,20)),1000000000),1000000000))+ROW()/100000,"")</f>
        <v/>
      </c>
    </row>
    <row r="1356">
      <c r="F1356" s="11" t="n"/>
      <c r="N1356" s="7">
        <f>IF($D1356="","",M1356*V1356/100)</f>
        <v/>
      </c>
      <c r="O1356" s="7" t="n"/>
      <c r="U1356" s="7" t="n"/>
      <c r="V1356" s="7" t="n"/>
      <c r="Y1356">
        <f>IF($D1356="","",IF($AN1356=1,0,IF($AM1356=1,Settings!$C$6,Settings!$C$7))*100)</f>
        <v/>
      </c>
      <c r="Z1356" s="7">
        <f>IF($D1356="","",V1356*Y1356/100)</f>
        <v/>
      </c>
      <c r="AA1356" s="7">
        <f>IF($D1356="","",V1356-Z1356)</f>
        <v/>
      </c>
      <c r="AB1356" s="7">
        <f>IF($D1356="","",AA1356-N1356)</f>
        <v/>
      </c>
      <c r="AF1356" s="7" t="n"/>
      <c r="AI1356" s="11" t="n"/>
      <c r="AK1356">
        <f>IF($D1356="","",IF(COUNTIF($D$2:$D1356,$D1356)=1,1,0))</f>
        <v/>
      </c>
      <c r="AL1356">
        <f>IF($AK1356=1,SUMPRODUCT(--($AO$2:$AO$3001&lt;$AO1356))+1,"")</f>
        <v/>
      </c>
      <c r="AM1356">
        <f>IF($D1356="","",IF(OR($R1356=TRUE(),$R1356="TRUE"),1,0))</f>
        <v/>
      </c>
      <c r="AN1356">
        <f>IF($D1356="","",IF($X1356="Yes",1,0))</f>
        <v/>
      </c>
      <c r="AO1356">
        <f>IF($AK1356=1,IFERROR(IF(VALUE($D1356)&lt;100000000,VALUE($D1356),1000000000),IFERROR(IF(VALUE(MID($D1356,2,20))&lt;100000000,VALUE(MID($D1356,2,20)),1000000000),1000000000))+ROW()/100000,"")</f>
        <v/>
      </c>
    </row>
    <row r="1357">
      <c r="F1357" s="11" t="n"/>
      <c r="N1357" s="7">
        <f>IF($D1357="","",M1357*V1357/100)</f>
        <v/>
      </c>
      <c r="O1357" s="7" t="n"/>
      <c r="U1357" s="7" t="n"/>
      <c r="V1357" s="7" t="n"/>
      <c r="Y1357">
        <f>IF($D1357="","",IF($AN1357=1,0,IF($AM1357=1,Settings!$C$6,Settings!$C$7))*100)</f>
        <v/>
      </c>
      <c r="Z1357" s="7">
        <f>IF($D1357="","",V1357*Y1357/100)</f>
        <v/>
      </c>
      <c r="AA1357" s="7">
        <f>IF($D1357="","",V1357-Z1357)</f>
        <v/>
      </c>
      <c r="AB1357" s="7">
        <f>IF($D1357="","",AA1357-N1357)</f>
        <v/>
      </c>
      <c r="AF1357" s="7" t="n"/>
      <c r="AI1357" s="11" t="n"/>
      <c r="AK1357">
        <f>IF($D1357="","",IF(COUNTIF($D$2:$D1357,$D1357)=1,1,0))</f>
        <v/>
      </c>
      <c r="AL1357">
        <f>IF($AK1357=1,SUMPRODUCT(--($AO$2:$AO$3001&lt;$AO1357))+1,"")</f>
        <v/>
      </c>
      <c r="AM1357">
        <f>IF($D1357="","",IF(OR($R1357=TRUE(),$R1357="TRUE"),1,0))</f>
        <v/>
      </c>
      <c r="AN1357">
        <f>IF($D1357="","",IF($X1357="Yes",1,0))</f>
        <v/>
      </c>
      <c r="AO1357">
        <f>IF($AK1357=1,IFERROR(IF(VALUE($D1357)&lt;100000000,VALUE($D1357),1000000000),IFERROR(IF(VALUE(MID($D1357,2,20))&lt;100000000,VALUE(MID($D1357,2,20)),1000000000),1000000000))+ROW()/100000,"")</f>
        <v/>
      </c>
    </row>
    <row r="1358">
      <c r="F1358" s="11" t="n"/>
      <c r="N1358" s="7">
        <f>IF($D1358="","",M1358*V1358/100)</f>
        <v/>
      </c>
      <c r="O1358" s="7" t="n"/>
      <c r="U1358" s="7" t="n"/>
      <c r="V1358" s="7" t="n"/>
      <c r="Y1358">
        <f>IF($D1358="","",IF($AN1358=1,0,IF($AM1358=1,Settings!$C$6,Settings!$C$7))*100)</f>
        <v/>
      </c>
      <c r="Z1358" s="7">
        <f>IF($D1358="","",V1358*Y1358/100)</f>
        <v/>
      </c>
      <c r="AA1358" s="7">
        <f>IF($D1358="","",V1358-Z1358)</f>
        <v/>
      </c>
      <c r="AB1358" s="7">
        <f>IF($D1358="","",AA1358-N1358)</f>
        <v/>
      </c>
      <c r="AF1358" s="7" t="n"/>
      <c r="AI1358" s="11" t="n"/>
      <c r="AK1358">
        <f>IF($D1358="","",IF(COUNTIF($D$2:$D1358,$D1358)=1,1,0))</f>
        <v/>
      </c>
      <c r="AL1358">
        <f>IF($AK1358=1,SUMPRODUCT(--($AO$2:$AO$3001&lt;$AO1358))+1,"")</f>
        <v/>
      </c>
      <c r="AM1358">
        <f>IF($D1358="","",IF(OR($R1358=TRUE(),$R1358="TRUE"),1,0))</f>
        <v/>
      </c>
      <c r="AN1358">
        <f>IF($D1358="","",IF($X1358="Yes",1,0))</f>
        <v/>
      </c>
      <c r="AO1358">
        <f>IF($AK1358=1,IFERROR(IF(VALUE($D1358)&lt;100000000,VALUE($D1358),1000000000),IFERROR(IF(VALUE(MID($D1358,2,20))&lt;100000000,VALUE(MID($D1358,2,20)),1000000000),1000000000))+ROW()/100000,"")</f>
        <v/>
      </c>
    </row>
    <row r="1359">
      <c r="F1359" s="11" t="n"/>
      <c r="N1359" s="7">
        <f>IF($D1359="","",M1359*V1359/100)</f>
        <v/>
      </c>
      <c r="O1359" s="7" t="n"/>
      <c r="U1359" s="7" t="n"/>
      <c r="V1359" s="7" t="n"/>
      <c r="Y1359">
        <f>IF($D1359="","",IF($AN1359=1,0,IF($AM1359=1,Settings!$C$6,Settings!$C$7))*100)</f>
        <v/>
      </c>
      <c r="Z1359" s="7">
        <f>IF($D1359="","",V1359*Y1359/100)</f>
        <v/>
      </c>
      <c r="AA1359" s="7">
        <f>IF($D1359="","",V1359-Z1359)</f>
        <v/>
      </c>
      <c r="AB1359" s="7">
        <f>IF($D1359="","",AA1359-N1359)</f>
        <v/>
      </c>
      <c r="AF1359" s="7" t="n"/>
      <c r="AI1359" s="11" t="n"/>
      <c r="AK1359">
        <f>IF($D1359="","",IF(COUNTIF($D$2:$D1359,$D1359)=1,1,0))</f>
        <v/>
      </c>
      <c r="AL1359">
        <f>IF($AK1359=1,SUMPRODUCT(--($AO$2:$AO$3001&lt;$AO1359))+1,"")</f>
        <v/>
      </c>
      <c r="AM1359">
        <f>IF($D1359="","",IF(OR($R1359=TRUE(),$R1359="TRUE"),1,0))</f>
        <v/>
      </c>
      <c r="AN1359">
        <f>IF($D1359="","",IF($X1359="Yes",1,0))</f>
        <v/>
      </c>
      <c r="AO1359">
        <f>IF($AK1359=1,IFERROR(IF(VALUE($D1359)&lt;100000000,VALUE($D1359),1000000000),IFERROR(IF(VALUE(MID($D1359,2,20))&lt;100000000,VALUE(MID($D1359,2,20)),1000000000),1000000000))+ROW()/100000,"")</f>
        <v/>
      </c>
    </row>
    <row r="1360">
      <c r="F1360" s="11" t="n"/>
      <c r="N1360" s="7">
        <f>IF($D1360="","",M1360*V1360/100)</f>
        <v/>
      </c>
      <c r="O1360" s="7" t="n"/>
      <c r="U1360" s="7" t="n"/>
      <c r="V1360" s="7" t="n"/>
      <c r="Y1360">
        <f>IF($D1360="","",IF($AN1360=1,0,IF($AM1360=1,Settings!$C$6,Settings!$C$7))*100)</f>
        <v/>
      </c>
      <c r="Z1360" s="7">
        <f>IF($D1360="","",V1360*Y1360/100)</f>
        <v/>
      </c>
      <c r="AA1360" s="7">
        <f>IF($D1360="","",V1360-Z1360)</f>
        <v/>
      </c>
      <c r="AB1360" s="7">
        <f>IF($D1360="","",AA1360-N1360)</f>
        <v/>
      </c>
      <c r="AF1360" s="7" t="n"/>
      <c r="AI1360" s="11" t="n"/>
      <c r="AK1360">
        <f>IF($D1360="","",IF(COUNTIF($D$2:$D1360,$D1360)=1,1,0))</f>
        <v/>
      </c>
      <c r="AL1360">
        <f>IF($AK1360=1,SUMPRODUCT(--($AO$2:$AO$3001&lt;$AO1360))+1,"")</f>
        <v/>
      </c>
      <c r="AM1360">
        <f>IF($D1360="","",IF(OR($R1360=TRUE(),$R1360="TRUE"),1,0))</f>
        <v/>
      </c>
      <c r="AN1360">
        <f>IF($D1360="","",IF($X1360="Yes",1,0))</f>
        <v/>
      </c>
      <c r="AO1360">
        <f>IF($AK1360=1,IFERROR(IF(VALUE($D1360)&lt;100000000,VALUE($D1360),1000000000),IFERROR(IF(VALUE(MID($D1360,2,20))&lt;100000000,VALUE(MID($D1360,2,20)),1000000000),1000000000))+ROW()/100000,"")</f>
        <v/>
      </c>
    </row>
    <row r="1361">
      <c r="F1361" s="11" t="n"/>
      <c r="N1361" s="7">
        <f>IF($D1361="","",M1361*V1361/100)</f>
        <v/>
      </c>
      <c r="O1361" s="7" t="n"/>
      <c r="U1361" s="7" t="n"/>
      <c r="V1361" s="7" t="n"/>
      <c r="Y1361">
        <f>IF($D1361="","",IF($AN1361=1,0,IF($AM1361=1,Settings!$C$6,Settings!$C$7))*100)</f>
        <v/>
      </c>
      <c r="Z1361" s="7">
        <f>IF($D1361="","",V1361*Y1361/100)</f>
        <v/>
      </c>
      <c r="AA1361" s="7">
        <f>IF($D1361="","",V1361-Z1361)</f>
        <v/>
      </c>
      <c r="AB1361" s="7">
        <f>IF($D1361="","",AA1361-N1361)</f>
        <v/>
      </c>
      <c r="AF1361" s="7" t="n"/>
      <c r="AI1361" s="11" t="n"/>
      <c r="AK1361">
        <f>IF($D1361="","",IF(COUNTIF($D$2:$D1361,$D1361)=1,1,0))</f>
        <v/>
      </c>
      <c r="AL1361">
        <f>IF($AK1361=1,SUMPRODUCT(--($AO$2:$AO$3001&lt;$AO1361))+1,"")</f>
        <v/>
      </c>
      <c r="AM1361">
        <f>IF($D1361="","",IF(OR($R1361=TRUE(),$R1361="TRUE"),1,0))</f>
        <v/>
      </c>
      <c r="AN1361">
        <f>IF($D1361="","",IF($X1361="Yes",1,0))</f>
        <v/>
      </c>
      <c r="AO1361">
        <f>IF($AK1361=1,IFERROR(IF(VALUE($D1361)&lt;100000000,VALUE($D1361),1000000000),IFERROR(IF(VALUE(MID($D1361,2,20))&lt;100000000,VALUE(MID($D1361,2,20)),1000000000),1000000000))+ROW()/100000,"")</f>
        <v/>
      </c>
    </row>
    <row r="1362">
      <c r="F1362" s="11" t="n"/>
      <c r="N1362" s="7">
        <f>IF($D1362="","",M1362*V1362/100)</f>
        <v/>
      </c>
      <c r="O1362" s="7" t="n"/>
      <c r="U1362" s="7" t="n"/>
      <c r="V1362" s="7" t="n"/>
      <c r="Y1362">
        <f>IF($D1362="","",IF($AN1362=1,0,IF($AM1362=1,Settings!$C$6,Settings!$C$7))*100)</f>
        <v/>
      </c>
      <c r="Z1362" s="7">
        <f>IF($D1362="","",V1362*Y1362/100)</f>
        <v/>
      </c>
      <c r="AA1362" s="7">
        <f>IF($D1362="","",V1362-Z1362)</f>
        <v/>
      </c>
      <c r="AB1362" s="7">
        <f>IF($D1362="","",AA1362-N1362)</f>
        <v/>
      </c>
      <c r="AF1362" s="7" t="n"/>
      <c r="AI1362" s="11" t="n"/>
      <c r="AK1362">
        <f>IF($D1362="","",IF(COUNTIF($D$2:$D1362,$D1362)=1,1,0))</f>
        <v/>
      </c>
      <c r="AL1362">
        <f>IF($AK1362=1,SUMPRODUCT(--($AO$2:$AO$3001&lt;$AO1362))+1,"")</f>
        <v/>
      </c>
      <c r="AM1362">
        <f>IF($D1362="","",IF(OR($R1362=TRUE(),$R1362="TRUE"),1,0))</f>
        <v/>
      </c>
      <c r="AN1362">
        <f>IF($D1362="","",IF($X1362="Yes",1,0))</f>
        <v/>
      </c>
      <c r="AO1362">
        <f>IF($AK1362=1,IFERROR(IF(VALUE($D1362)&lt;100000000,VALUE($D1362),1000000000),IFERROR(IF(VALUE(MID($D1362,2,20))&lt;100000000,VALUE(MID($D1362,2,20)),1000000000),1000000000))+ROW()/100000,"")</f>
        <v/>
      </c>
    </row>
    <row r="1363">
      <c r="F1363" s="11" t="n"/>
      <c r="N1363" s="7">
        <f>IF($D1363="","",M1363*V1363/100)</f>
        <v/>
      </c>
      <c r="O1363" s="7" t="n"/>
      <c r="U1363" s="7" t="n"/>
      <c r="V1363" s="7" t="n"/>
      <c r="Y1363">
        <f>IF($D1363="","",IF($AN1363=1,0,IF($AM1363=1,Settings!$C$6,Settings!$C$7))*100)</f>
        <v/>
      </c>
      <c r="Z1363" s="7">
        <f>IF($D1363="","",V1363*Y1363/100)</f>
        <v/>
      </c>
      <c r="AA1363" s="7">
        <f>IF($D1363="","",V1363-Z1363)</f>
        <v/>
      </c>
      <c r="AB1363" s="7">
        <f>IF($D1363="","",AA1363-N1363)</f>
        <v/>
      </c>
      <c r="AF1363" s="7" t="n"/>
      <c r="AI1363" s="11" t="n"/>
      <c r="AK1363">
        <f>IF($D1363="","",IF(COUNTIF($D$2:$D1363,$D1363)=1,1,0))</f>
        <v/>
      </c>
      <c r="AL1363">
        <f>IF($AK1363=1,SUMPRODUCT(--($AO$2:$AO$3001&lt;$AO1363))+1,"")</f>
        <v/>
      </c>
      <c r="AM1363">
        <f>IF($D1363="","",IF(OR($R1363=TRUE(),$R1363="TRUE"),1,0))</f>
        <v/>
      </c>
      <c r="AN1363">
        <f>IF($D1363="","",IF($X1363="Yes",1,0))</f>
        <v/>
      </c>
      <c r="AO1363">
        <f>IF($AK1363=1,IFERROR(IF(VALUE($D1363)&lt;100000000,VALUE($D1363),1000000000),IFERROR(IF(VALUE(MID($D1363,2,20))&lt;100000000,VALUE(MID($D1363,2,20)),1000000000),1000000000))+ROW()/100000,"")</f>
        <v/>
      </c>
    </row>
    <row r="1364">
      <c r="F1364" s="11" t="n"/>
      <c r="N1364" s="7">
        <f>IF($D1364="","",M1364*V1364/100)</f>
        <v/>
      </c>
      <c r="O1364" s="7" t="n"/>
      <c r="U1364" s="7" t="n"/>
      <c r="V1364" s="7" t="n"/>
      <c r="Y1364">
        <f>IF($D1364="","",IF($AN1364=1,0,IF($AM1364=1,Settings!$C$6,Settings!$C$7))*100)</f>
        <v/>
      </c>
      <c r="Z1364" s="7">
        <f>IF($D1364="","",V1364*Y1364/100)</f>
        <v/>
      </c>
      <c r="AA1364" s="7">
        <f>IF($D1364="","",V1364-Z1364)</f>
        <v/>
      </c>
      <c r="AB1364" s="7">
        <f>IF($D1364="","",AA1364-N1364)</f>
        <v/>
      </c>
      <c r="AF1364" s="7" t="n"/>
      <c r="AI1364" s="11" t="n"/>
      <c r="AK1364">
        <f>IF($D1364="","",IF(COUNTIF($D$2:$D1364,$D1364)=1,1,0))</f>
        <v/>
      </c>
      <c r="AL1364">
        <f>IF($AK1364=1,SUMPRODUCT(--($AO$2:$AO$3001&lt;$AO1364))+1,"")</f>
        <v/>
      </c>
      <c r="AM1364">
        <f>IF($D1364="","",IF(OR($R1364=TRUE(),$R1364="TRUE"),1,0))</f>
        <v/>
      </c>
      <c r="AN1364">
        <f>IF($D1364="","",IF($X1364="Yes",1,0))</f>
        <v/>
      </c>
      <c r="AO1364">
        <f>IF($AK1364=1,IFERROR(IF(VALUE($D1364)&lt;100000000,VALUE($D1364),1000000000),IFERROR(IF(VALUE(MID($D1364,2,20))&lt;100000000,VALUE(MID($D1364,2,20)),1000000000),1000000000))+ROW()/100000,"")</f>
        <v/>
      </c>
    </row>
    <row r="1365">
      <c r="F1365" s="11" t="n"/>
      <c r="N1365" s="7">
        <f>IF($D1365="","",M1365*V1365/100)</f>
        <v/>
      </c>
      <c r="O1365" s="7" t="n"/>
      <c r="U1365" s="7" t="n"/>
      <c r="V1365" s="7" t="n"/>
      <c r="Y1365">
        <f>IF($D1365="","",IF($AN1365=1,0,IF($AM1365=1,Settings!$C$6,Settings!$C$7))*100)</f>
        <v/>
      </c>
      <c r="Z1365" s="7">
        <f>IF($D1365="","",V1365*Y1365/100)</f>
        <v/>
      </c>
      <c r="AA1365" s="7">
        <f>IF($D1365="","",V1365-Z1365)</f>
        <v/>
      </c>
      <c r="AB1365" s="7">
        <f>IF($D1365="","",AA1365-N1365)</f>
        <v/>
      </c>
      <c r="AF1365" s="7" t="n"/>
      <c r="AI1365" s="11" t="n"/>
      <c r="AK1365">
        <f>IF($D1365="","",IF(COUNTIF($D$2:$D1365,$D1365)=1,1,0))</f>
        <v/>
      </c>
      <c r="AL1365">
        <f>IF($AK1365=1,SUMPRODUCT(--($AO$2:$AO$3001&lt;$AO1365))+1,"")</f>
        <v/>
      </c>
      <c r="AM1365">
        <f>IF($D1365="","",IF(OR($R1365=TRUE(),$R1365="TRUE"),1,0))</f>
        <v/>
      </c>
      <c r="AN1365">
        <f>IF($D1365="","",IF($X1365="Yes",1,0))</f>
        <v/>
      </c>
      <c r="AO1365">
        <f>IF($AK1365=1,IFERROR(IF(VALUE($D1365)&lt;100000000,VALUE($D1365),1000000000),IFERROR(IF(VALUE(MID($D1365,2,20))&lt;100000000,VALUE(MID($D1365,2,20)),1000000000),1000000000))+ROW()/100000,"")</f>
        <v/>
      </c>
    </row>
    <row r="1366">
      <c r="F1366" s="11" t="n"/>
      <c r="N1366" s="7">
        <f>IF($D1366="","",M1366*V1366/100)</f>
        <v/>
      </c>
      <c r="O1366" s="7" t="n"/>
      <c r="U1366" s="7" t="n"/>
      <c r="V1366" s="7" t="n"/>
      <c r="Y1366">
        <f>IF($D1366="","",IF($AN1366=1,0,IF($AM1366=1,Settings!$C$6,Settings!$C$7))*100)</f>
        <v/>
      </c>
      <c r="Z1366" s="7">
        <f>IF($D1366="","",V1366*Y1366/100)</f>
        <v/>
      </c>
      <c r="AA1366" s="7">
        <f>IF($D1366="","",V1366-Z1366)</f>
        <v/>
      </c>
      <c r="AB1366" s="7">
        <f>IF($D1366="","",AA1366-N1366)</f>
        <v/>
      </c>
      <c r="AF1366" s="7" t="n"/>
      <c r="AI1366" s="11" t="n"/>
      <c r="AK1366">
        <f>IF($D1366="","",IF(COUNTIF($D$2:$D1366,$D1366)=1,1,0))</f>
        <v/>
      </c>
      <c r="AL1366">
        <f>IF($AK1366=1,SUMPRODUCT(--($AO$2:$AO$3001&lt;$AO1366))+1,"")</f>
        <v/>
      </c>
      <c r="AM1366">
        <f>IF($D1366="","",IF(OR($R1366=TRUE(),$R1366="TRUE"),1,0))</f>
        <v/>
      </c>
      <c r="AN1366">
        <f>IF($D1366="","",IF($X1366="Yes",1,0))</f>
        <v/>
      </c>
      <c r="AO1366">
        <f>IF($AK1366=1,IFERROR(IF(VALUE($D1366)&lt;100000000,VALUE($D1366),1000000000),IFERROR(IF(VALUE(MID($D1366,2,20))&lt;100000000,VALUE(MID($D1366,2,20)),1000000000),1000000000))+ROW()/100000,"")</f>
        <v/>
      </c>
    </row>
    <row r="1367">
      <c r="F1367" s="11" t="n"/>
      <c r="N1367" s="7">
        <f>IF($D1367="","",M1367*V1367/100)</f>
        <v/>
      </c>
      <c r="O1367" s="7" t="n"/>
      <c r="U1367" s="7" t="n"/>
      <c r="V1367" s="7" t="n"/>
      <c r="Y1367">
        <f>IF($D1367="","",IF($AN1367=1,0,IF($AM1367=1,Settings!$C$6,Settings!$C$7))*100)</f>
        <v/>
      </c>
      <c r="Z1367" s="7">
        <f>IF($D1367="","",V1367*Y1367/100)</f>
        <v/>
      </c>
      <c r="AA1367" s="7">
        <f>IF($D1367="","",V1367-Z1367)</f>
        <v/>
      </c>
      <c r="AB1367" s="7">
        <f>IF($D1367="","",AA1367-N1367)</f>
        <v/>
      </c>
      <c r="AF1367" s="7" t="n"/>
      <c r="AI1367" s="11" t="n"/>
      <c r="AK1367">
        <f>IF($D1367="","",IF(COUNTIF($D$2:$D1367,$D1367)=1,1,0))</f>
        <v/>
      </c>
      <c r="AL1367">
        <f>IF($AK1367=1,SUMPRODUCT(--($AO$2:$AO$3001&lt;$AO1367))+1,"")</f>
        <v/>
      </c>
      <c r="AM1367">
        <f>IF($D1367="","",IF(OR($R1367=TRUE(),$R1367="TRUE"),1,0))</f>
        <v/>
      </c>
      <c r="AN1367">
        <f>IF($D1367="","",IF($X1367="Yes",1,0))</f>
        <v/>
      </c>
      <c r="AO1367">
        <f>IF($AK1367=1,IFERROR(IF(VALUE($D1367)&lt;100000000,VALUE($D1367),1000000000),IFERROR(IF(VALUE(MID($D1367,2,20))&lt;100000000,VALUE(MID($D1367,2,20)),1000000000),1000000000))+ROW()/100000,"")</f>
        <v/>
      </c>
    </row>
    <row r="1368">
      <c r="F1368" s="11" t="n"/>
      <c r="N1368" s="7">
        <f>IF($D1368="","",M1368*V1368/100)</f>
        <v/>
      </c>
      <c r="O1368" s="7" t="n"/>
      <c r="U1368" s="7" t="n"/>
      <c r="V1368" s="7" t="n"/>
      <c r="Y1368">
        <f>IF($D1368="","",IF($AN1368=1,0,IF($AM1368=1,Settings!$C$6,Settings!$C$7))*100)</f>
        <v/>
      </c>
      <c r="Z1368" s="7">
        <f>IF($D1368="","",V1368*Y1368/100)</f>
        <v/>
      </c>
      <c r="AA1368" s="7">
        <f>IF($D1368="","",V1368-Z1368)</f>
        <v/>
      </c>
      <c r="AB1368" s="7">
        <f>IF($D1368="","",AA1368-N1368)</f>
        <v/>
      </c>
      <c r="AF1368" s="7" t="n"/>
      <c r="AI1368" s="11" t="n"/>
      <c r="AK1368">
        <f>IF($D1368="","",IF(COUNTIF($D$2:$D1368,$D1368)=1,1,0))</f>
        <v/>
      </c>
      <c r="AL1368">
        <f>IF($AK1368=1,SUMPRODUCT(--($AO$2:$AO$3001&lt;$AO1368))+1,"")</f>
        <v/>
      </c>
      <c r="AM1368">
        <f>IF($D1368="","",IF(OR($R1368=TRUE(),$R1368="TRUE"),1,0))</f>
        <v/>
      </c>
      <c r="AN1368">
        <f>IF($D1368="","",IF($X1368="Yes",1,0))</f>
        <v/>
      </c>
      <c r="AO1368">
        <f>IF($AK1368=1,IFERROR(IF(VALUE($D1368)&lt;100000000,VALUE($D1368),1000000000),IFERROR(IF(VALUE(MID($D1368,2,20))&lt;100000000,VALUE(MID($D1368,2,20)),1000000000),1000000000))+ROW()/100000,"")</f>
        <v/>
      </c>
    </row>
    <row r="1369">
      <c r="F1369" s="11" t="n"/>
      <c r="N1369" s="7">
        <f>IF($D1369="","",M1369*V1369/100)</f>
        <v/>
      </c>
      <c r="O1369" s="7" t="n"/>
      <c r="U1369" s="7" t="n"/>
      <c r="V1369" s="7" t="n"/>
      <c r="Y1369">
        <f>IF($D1369="","",IF($AN1369=1,0,IF($AM1369=1,Settings!$C$6,Settings!$C$7))*100)</f>
        <v/>
      </c>
      <c r="Z1369" s="7">
        <f>IF($D1369="","",V1369*Y1369/100)</f>
        <v/>
      </c>
      <c r="AA1369" s="7">
        <f>IF($D1369="","",V1369-Z1369)</f>
        <v/>
      </c>
      <c r="AB1369" s="7">
        <f>IF($D1369="","",AA1369-N1369)</f>
        <v/>
      </c>
      <c r="AF1369" s="7" t="n"/>
      <c r="AI1369" s="11" t="n"/>
      <c r="AK1369">
        <f>IF($D1369="","",IF(COUNTIF($D$2:$D1369,$D1369)=1,1,0))</f>
        <v/>
      </c>
      <c r="AL1369">
        <f>IF($AK1369=1,SUMPRODUCT(--($AO$2:$AO$3001&lt;$AO1369))+1,"")</f>
        <v/>
      </c>
      <c r="AM1369">
        <f>IF($D1369="","",IF(OR($R1369=TRUE(),$R1369="TRUE"),1,0))</f>
        <v/>
      </c>
      <c r="AN1369">
        <f>IF($D1369="","",IF($X1369="Yes",1,0))</f>
        <v/>
      </c>
      <c r="AO1369">
        <f>IF($AK1369=1,IFERROR(IF(VALUE($D1369)&lt;100000000,VALUE($D1369),1000000000),IFERROR(IF(VALUE(MID($D1369,2,20))&lt;100000000,VALUE(MID($D1369,2,20)),1000000000),1000000000))+ROW()/100000,"")</f>
        <v/>
      </c>
    </row>
    <row r="1370">
      <c r="F1370" s="11" t="n"/>
      <c r="N1370" s="7">
        <f>IF($D1370="","",M1370*V1370/100)</f>
        <v/>
      </c>
      <c r="O1370" s="7" t="n"/>
      <c r="U1370" s="7" t="n"/>
      <c r="V1370" s="7" t="n"/>
      <c r="Y1370">
        <f>IF($D1370="","",IF($AN1370=1,0,IF($AM1370=1,Settings!$C$6,Settings!$C$7))*100)</f>
        <v/>
      </c>
      <c r="Z1370" s="7">
        <f>IF($D1370="","",V1370*Y1370/100)</f>
        <v/>
      </c>
      <c r="AA1370" s="7">
        <f>IF($D1370="","",V1370-Z1370)</f>
        <v/>
      </c>
      <c r="AB1370" s="7">
        <f>IF($D1370="","",AA1370-N1370)</f>
        <v/>
      </c>
      <c r="AF1370" s="7" t="n"/>
      <c r="AI1370" s="11" t="n"/>
      <c r="AK1370">
        <f>IF($D1370="","",IF(COUNTIF($D$2:$D1370,$D1370)=1,1,0))</f>
        <v/>
      </c>
      <c r="AL1370">
        <f>IF($AK1370=1,SUMPRODUCT(--($AO$2:$AO$3001&lt;$AO1370))+1,"")</f>
        <v/>
      </c>
      <c r="AM1370">
        <f>IF($D1370="","",IF(OR($R1370=TRUE(),$R1370="TRUE"),1,0))</f>
        <v/>
      </c>
      <c r="AN1370">
        <f>IF($D1370="","",IF($X1370="Yes",1,0))</f>
        <v/>
      </c>
      <c r="AO1370">
        <f>IF($AK1370=1,IFERROR(IF(VALUE($D1370)&lt;100000000,VALUE($D1370),1000000000),IFERROR(IF(VALUE(MID($D1370,2,20))&lt;100000000,VALUE(MID($D1370,2,20)),1000000000),1000000000))+ROW()/100000,"")</f>
        <v/>
      </c>
    </row>
    <row r="1371">
      <c r="F1371" s="11" t="n"/>
      <c r="N1371" s="7">
        <f>IF($D1371="","",M1371*V1371/100)</f>
        <v/>
      </c>
      <c r="O1371" s="7" t="n"/>
      <c r="U1371" s="7" t="n"/>
      <c r="V1371" s="7" t="n"/>
      <c r="Y1371">
        <f>IF($D1371="","",IF($AN1371=1,0,IF($AM1371=1,Settings!$C$6,Settings!$C$7))*100)</f>
        <v/>
      </c>
      <c r="Z1371" s="7">
        <f>IF($D1371="","",V1371*Y1371/100)</f>
        <v/>
      </c>
      <c r="AA1371" s="7">
        <f>IF($D1371="","",V1371-Z1371)</f>
        <v/>
      </c>
      <c r="AB1371" s="7">
        <f>IF($D1371="","",AA1371-N1371)</f>
        <v/>
      </c>
      <c r="AF1371" s="7" t="n"/>
      <c r="AI1371" s="11" t="n"/>
      <c r="AK1371">
        <f>IF($D1371="","",IF(COUNTIF($D$2:$D1371,$D1371)=1,1,0))</f>
        <v/>
      </c>
      <c r="AL1371">
        <f>IF($AK1371=1,SUMPRODUCT(--($AO$2:$AO$3001&lt;$AO1371))+1,"")</f>
        <v/>
      </c>
      <c r="AM1371">
        <f>IF($D1371="","",IF(OR($R1371=TRUE(),$R1371="TRUE"),1,0))</f>
        <v/>
      </c>
      <c r="AN1371">
        <f>IF($D1371="","",IF($X1371="Yes",1,0))</f>
        <v/>
      </c>
      <c r="AO1371">
        <f>IF($AK1371=1,IFERROR(IF(VALUE($D1371)&lt;100000000,VALUE($D1371),1000000000),IFERROR(IF(VALUE(MID($D1371,2,20))&lt;100000000,VALUE(MID($D1371,2,20)),1000000000),1000000000))+ROW()/100000,"")</f>
        <v/>
      </c>
    </row>
    <row r="1372">
      <c r="F1372" s="11" t="n"/>
      <c r="N1372" s="7">
        <f>IF($D1372="","",M1372*V1372/100)</f>
        <v/>
      </c>
      <c r="O1372" s="7" t="n"/>
      <c r="U1372" s="7" t="n"/>
      <c r="V1372" s="7" t="n"/>
      <c r="Y1372">
        <f>IF($D1372="","",IF($AN1372=1,0,IF($AM1372=1,Settings!$C$6,Settings!$C$7))*100)</f>
        <v/>
      </c>
      <c r="Z1372" s="7">
        <f>IF($D1372="","",V1372*Y1372/100)</f>
        <v/>
      </c>
      <c r="AA1372" s="7">
        <f>IF($D1372="","",V1372-Z1372)</f>
        <v/>
      </c>
      <c r="AB1372" s="7">
        <f>IF($D1372="","",AA1372-N1372)</f>
        <v/>
      </c>
      <c r="AF1372" s="7" t="n"/>
      <c r="AI1372" s="11" t="n"/>
      <c r="AK1372">
        <f>IF($D1372="","",IF(COUNTIF($D$2:$D1372,$D1372)=1,1,0))</f>
        <v/>
      </c>
      <c r="AL1372">
        <f>IF($AK1372=1,SUMPRODUCT(--($AO$2:$AO$3001&lt;$AO1372))+1,"")</f>
        <v/>
      </c>
      <c r="AM1372">
        <f>IF($D1372="","",IF(OR($R1372=TRUE(),$R1372="TRUE"),1,0))</f>
        <v/>
      </c>
      <c r="AN1372">
        <f>IF($D1372="","",IF($X1372="Yes",1,0))</f>
        <v/>
      </c>
      <c r="AO1372">
        <f>IF($AK1372=1,IFERROR(IF(VALUE($D1372)&lt;100000000,VALUE($D1372),1000000000),IFERROR(IF(VALUE(MID($D1372,2,20))&lt;100000000,VALUE(MID($D1372,2,20)),1000000000),1000000000))+ROW()/100000,"")</f>
        <v/>
      </c>
    </row>
    <row r="1373">
      <c r="F1373" s="11" t="n"/>
      <c r="N1373" s="7">
        <f>IF($D1373="","",M1373*V1373/100)</f>
        <v/>
      </c>
      <c r="O1373" s="7" t="n"/>
      <c r="U1373" s="7" t="n"/>
      <c r="V1373" s="7" t="n"/>
      <c r="Y1373">
        <f>IF($D1373="","",IF($AN1373=1,0,IF($AM1373=1,Settings!$C$6,Settings!$C$7))*100)</f>
        <v/>
      </c>
      <c r="Z1373" s="7">
        <f>IF($D1373="","",V1373*Y1373/100)</f>
        <v/>
      </c>
      <c r="AA1373" s="7">
        <f>IF($D1373="","",V1373-Z1373)</f>
        <v/>
      </c>
      <c r="AB1373" s="7">
        <f>IF($D1373="","",AA1373-N1373)</f>
        <v/>
      </c>
      <c r="AF1373" s="7" t="n"/>
      <c r="AI1373" s="11" t="n"/>
      <c r="AK1373">
        <f>IF($D1373="","",IF(COUNTIF($D$2:$D1373,$D1373)=1,1,0))</f>
        <v/>
      </c>
      <c r="AL1373">
        <f>IF($AK1373=1,SUMPRODUCT(--($AO$2:$AO$3001&lt;$AO1373))+1,"")</f>
        <v/>
      </c>
      <c r="AM1373">
        <f>IF($D1373="","",IF(OR($R1373=TRUE(),$R1373="TRUE"),1,0))</f>
        <v/>
      </c>
      <c r="AN1373">
        <f>IF($D1373="","",IF($X1373="Yes",1,0))</f>
        <v/>
      </c>
      <c r="AO1373">
        <f>IF($AK1373=1,IFERROR(IF(VALUE($D1373)&lt;100000000,VALUE($D1373),1000000000),IFERROR(IF(VALUE(MID($D1373,2,20))&lt;100000000,VALUE(MID($D1373,2,20)),1000000000),1000000000))+ROW()/100000,"")</f>
        <v/>
      </c>
    </row>
    <row r="1374">
      <c r="F1374" s="11" t="n"/>
      <c r="N1374" s="7">
        <f>IF($D1374="","",M1374*V1374/100)</f>
        <v/>
      </c>
      <c r="O1374" s="7" t="n"/>
      <c r="U1374" s="7" t="n"/>
      <c r="V1374" s="7" t="n"/>
      <c r="Y1374">
        <f>IF($D1374="","",IF($AN1374=1,0,IF($AM1374=1,Settings!$C$6,Settings!$C$7))*100)</f>
        <v/>
      </c>
      <c r="Z1374" s="7">
        <f>IF($D1374="","",V1374*Y1374/100)</f>
        <v/>
      </c>
      <c r="AA1374" s="7">
        <f>IF($D1374="","",V1374-Z1374)</f>
        <v/>
      </c>
      <c r="AB1374" s="7">
        <f>IF($D1374="","",AA1374-N1374)</f>
        <v/>
      </c>
      <c r="AF1374" s="7" t="n"/>
      <c r="AI1374" s="11" t="n"/>
      <c r="AK1374">
        <f>IF($D1374="","",IF(COUNTIF($D$2:$D1374,$D1374)=1,1,0))</f>
        <v/>
      </c>
      <c r="AL1374">
        <f>IF($AK1374=1,SUMPRODUCT(--($AO$2:$AO$3001&lt;$AO1374))+1,"")</f>
        <v/>
      </c>
      <c r="AM1374">
        <f>IF($D1374="","",IF(OR($R1374=TRUE(),$R1374="TRUE"),1,0))</f>
        <v/>
      </c>
      <c r="AN1374">
        <f>IF($D1374="","",IF($X1374="Yes",1,0))</f>
        <v/>
      </c>
      <c r="AO1374">
        <f>IF($AK1374=1,IFERROR(IF(VALUE($D1374)&lt;100000000,VALUE($D1374),1000000000),IFERROR(IF(VALUE(MID($D1374,2,20))&lt;100000000,VALUE(MID($D1374,2,20)),1000000000),1000000000))+ROW()/100000,"")</f>
        <v/>
      </c>
    </row>
    <row r="1375">
      <c r="F1375" s="11" t="n"/>
      <c r="N1375" s="7">
        <f>IF($D1375="","",M1375*V1375/100)</f>
        <v/>
      </c>
      <c r="O1375" s="7" t="n"/>
      <c r="U1375" s="7" t="n"/>
      <c r="V1375" s="7" t="n"/>
      <c r="Y1375">
        <f>IF($D1375="","",IF($AN1375=1,0,IF($AM1375=1,Settings!$C$6,Settings!$C$7))*100)</f>
        <v/>
      </c>
      <c r="Z1375" s="7">
        <f>IF($D1375="","",V1375*Y1375/100)</f>
        <v/>
      </c>
      <c r="AA1375" s="7">
        <f>IF($D1375="","",V1375-Z1375)</f>
        <v/>
      </c>
      <c r="AB1375" s="7">
        <f>IF($D1375="","",AA1375-N1375)</f>
        <v/>
      </c>
      <c r="AF1375" s="7" t="n"/>
      <c r="AI1375" s="11" t="n"/>
      <c r="AK1375">
        <f>IF($D1375="","",IF(COUNTIF($D$2:$D1375,$D1375)=1,1,0))</f>
        <v/>
      </c>
      <c r="AL1375">
        <f>IF($AK1375=1,SUMPRODUCT(--($AO$2:$AO$3001&lt;$AO1375))+1,"")</f>
        <v/>
      </c>
      <c r="AM1375">
        <f>IF($D1375="","",IF(OR($R1375=TRUE(),$R1375="TRUE"),1,0))</f>
        <v/>
      </c>
      <c r="AN1375">
        <f>IF($D1375="","",IF($X1375="Yes",1,0))</f>
        <v/>
      </c>
      <c r="AO1375">
        <f>IF($AK1375=1,IFERROR(IF(VALUE($D1375)&lt;100000000,VALUE($D1375),1000000000),IFERROR(IF(VALUE(MID($D1375,2,20))&lt;100000000,VALUE(MID($D1375,2,20)),1000000000),1000000000))+ROW()/100000,"")</f>
        <v/>
      </c>
    </row>
    <row r="1376">
      <c r="F1376" s="11" t="n"/>
      <c r="N1376" s="7">
        <f>IF($D1376="","",M1376*V1376/100)</f>
        <v/>
      </c>
      <c r="O1376" s="7" t="n"/>
      <c r="U1376" s="7" t="n"/>
      <c r="V1376" s="7" t="n"/>
      <c r="Y1376">
        <f>IF($D1376="","",IF($AN1376=1,0,IF($AM1376=1,Settings!$C$6,Settings!$C$7))*100)</f>
        <v/>
      </c>
      <c r="Z1376" s="7">
        <f>IF($D1376="","",V1376*Y1376/100)</f>
        <v/>
      </c>
      <c r="AA1376" s="7">
        <f>IF($D1376="","",V1376-Z1376)</f>
        <v/>
      </c>
      <c r="AB1376" s="7">
        <f>IF($D1376="","",AA1376-N1376)</f>
        <v/>
      </c>
      <c r="AF1376" s="7" t="n"/>
      <c r="AI1376" s="11" t="n"/>
      <c r="AK1376">
        <f>IF($D1376="","",IF(COUNTIF($D$2:$D1376,$D1376)=1,1,0))</f>
        <v/>
      </c>
      <c r="AL1376">
        <f>IF($AK1376=1,SUMPRODUCT(--($AO$2:$AO$3001&lt;$AO1376))+1,"")</f>
        <v/>
      </c>
      <c r="AM1376">
        <f>IF($D1376="","",IF(OR($R1376=TRUE(),$R1376="TRUE"),1,0))</f>
        <v/>
      </c>
      <c r="AN1376">
        <f>IF($D1376="","",IF($X1376="Yes",1,0))</f>
        <v/>
      </c>
      <c r="AO1376">
        <f>IF($AK1376=1,IFERROR(IF(VALUE($D1376)&lt;100000000,VALUE($D1376),1000000000),IFERROR(IF(VALUE(MID($D1376,2,20))&lt;100000000,VALUE(MID($D1376,2,20)),1000000000),1000000000))+ROW()/100000,"")</f>
        <v/>
      </c>
    </row>
    <row r="1377">
      <c r="F1377" s="11" t="n"/>
      <c r="N1377" s="7">
        <f>IF($D1377="","",M1377*V1377/100)</f>
        <v/>
      </c>
      <c r="O1377" s="7" t="n"/>
      <c r="U1377" s="7" t="n"/>
      <c r="V1377" s="7" t="n"/>
      <c r="Y1377">
        <f>IF($D1377="","",IF($AN1377=1,0,IF($AM1377=1,Settings!$C$6,Settings!$C$7))*100)</f>
        <v/>
      </c>
      <c r="Z1377" s="7">
        <f>IF($D1377="","",V1377*Y1377/100)</f>
        <v/>
      </c>
      <c r="AA1377" s="7">
        <f>IF($D1377="","",V1377-Z1377)</f>
        <v/>
      </c>
      <c r="AB1377" s="7">
        <f>IF($D1377="","",AA1377-N1377)</f>
        <v/>
      </c>
      <c r="AF1377" s="7" t="n"/>
      <c r="AI1377" s="11" t="n"/>
      <c r="AK1377">
        <f>IF($D1377="","",IF(COUNTIF($D$2:$D1377,$D1377)=1,1,0))</f>
        <v/>
      </c>
      <c r="AL1377">
        <f>IF($AK1377=1,SUMPRODUCT(--($AO$2:$AO$3001&lt;$AO1377))+1,"")</f>
        <v/>
      </c>
      <c r="AM1377">
        <f>IF($D1377="","",IF(OR($R1377=TRUE(),$R1377="TRUE"),1,0))</f>
        <v/>
      </c>
      <c r="AN1377">
        <f>IF($D1377="","",IF($X1377="Yes",1,0))</f>
        <v/>
      </c>
      <c r="AO1377">
        <f>IF($AK1377=1,IFERROR(IF(VALUE($D1377)&lt;100000000,VALUE($D1377),1000000000),IFERROR(IF(VALUE(MID($D1377,2,20))&lt;100000000,VALUE(MID($D1377,2,20)),1000000000),1000000000))+ROW()/100000,"")</f>
        <v/>
      </c>
    </row>
    <row r="1378">
      <c r="F1378" s="11" t="n"/>
      <c r="N1378" s="7">
        <f>IF($D1378="","",M1378*V1378/100)</f>
        <v/>
      </c>
      <c r="O1378" s="7" t="n"/>
      <c r="U1378" s="7" t="n"/>
      <c r="V1378" s="7" t="n"/>
      <c r="Y1378">
        <f>IF($D1378="","",IF($AN1378=1,0,IF($AM1378=1,Settings!$C$6,Settings!$C$7))*100)</f>
        <v/>
      </c>
      <c r="Z1378" s="7">
        <f>IF($D1378="","",V1378*Y1378/100)</f>
        <v/>
      </c>
      <c r="AA1378" s="7">
        <f>IF($D1378="","",V1378-Z1378)</f>
        <v/>
      </c>
      <c r="AB1378" s="7">
        <f>IF($D1378="","",AA1378-N1378)</f>
        <v/>
      </c>
      <c r="AF1378" s="7" t="n"/>
      <c r="AI1378" s="11" t="n"/>
      <c r="AK1378">
        <f>IF($D1378="","",IF(COUNTIF($D$2:$D1378,$D1378)=1,1,0))</f>
        <v/>
      </c>
      <c r="AL1378">
        <f>IF($AK1378=1,SUMPRODUCT(--($AO$2:$AO$3001&lt;$AO1378))+1,"")</f>
        <v/>
      </c>
      <c r="AM1378">
        <f>IF($D1378="","",IF(OR($R1378=TRUE(),$R1378="TRUE"),1,0))</f>
        <v/>
      </c>
      <c r="AN1378">
        <f>IF($D1378="","",IF($X1378="Yes",1,0))</f>
        <v/>
      </c>
      <c r="AO1378">
        <f>IF($AK1378=1,IFERROR(IF(VALUE($D1378)&lt;100000000,VALUE($D1378),1000000000),IFERROR(IF(VALUE(MID($D1378,2,20))&lt;100000000,VALUE(MID($D1378,2,20)),1000000000),1000000000))+ROW()/100000,"")</f>
        <v/>
      </c>
    </row>
    <row r="1379">
      <c r="F1379" s="11" t="n"/>
      <c r="N1379" s="7">
        <f>IF($D1379="","",M1379*V1379/100)</f>
        <v/>
      </c>
      <c r="O1379" s="7" t="n"/>
      <c r="U1379" s="7" t="n"/>
      <c r="V1379" s="7" t="n"/>
      <c r="Y1379">
        <f>IF($D1379="","",IF($AN1379=1,0,IF($AM1379=1,Settings!$C$6,Settings!$C$7))*100)</f>
        <v/>
      </c>
      <c r="Z1379" s="7">
        <f>IF($D1379="","",V1379*Y1379/100)</f>
        <v/>
      </c>
      <c r="AA1379" s="7">
        <f>IF($D1379="","",V1379-Z1379)</f>
        <v/>
      </c>
      <c r="AB1379" s="7">
        <f>IF($D1379="","",AA1379-N1379)</f>
        <v/>
      </c>
      <c r="AF1379" s="7" t="n"/>
      <c r="AI1379" s="11" t="n"/>
      <c r="AK1379">
        <f>IF($D1379="","",IF(COUNTIF($D$2:$D1379,$D1379)=1,1,0))</f>
        <v/>
      </c>
      <c r="AL1379">
        <f>IF($AK1379=1,SUMPRODUCT(--($AO$2:$AO$3001&lt;$AO1379))+1,"")</f>
        <v/>
      </c>
      <c r="AM1379">
        <f>IF($D1379="","",IF(OR($R1379=TRUE(),$R1379="TRUE"),1,0))</f>
        <v/>
      </c>
      <c r="AN1379">
        <f>IF($D1379="","",IF($X1379="Yes",1,0))</f>
        <v/>
      </c>
      <c r="AO1379">
        <f>IF($AK1379=1,IFERROR(IF(VALUE($D1379)&lt;100000000,VALUE($D1379),1000000000),IFERROR(IF(VALUE(MID($D1379,2,20))&lt;100000000,VALUE(MID($D1379,2,20)),1000000000),1000000000))+ROW()/100000,"")</f>
        <v/>
      </c>
    </row>
    <row r="1380">
      <c r="F1380" s="11" t="n"/>
      <c r="N1380" s="7">
        <f>IF($D1380="","",M1380*V1380/100)</f>
        <v/>
      </c>
      <c r="O1380" s="7" t="n"/>
      <c r="U1380" s="7" t="n"/>
      <c r="V1380" s="7" t="n"/>
      <c r="Y1380">
        <f>IF($D1380="","",IF($AN1380=1,0,IF($AM1380=1,Settings!$C$6,Settings!$C$7))*100)</f>
        <v/>
      </c>
      <c r="Z1380" s="7">
        <f>IF($D1380="","",V1380*Y1380/100)</f>
        <v/>
      </c>
      <c r="AA1380" s="7">
        <f>IF($D1380="","",V1380-Z1380)</f>
        <v/>
      </c>
      <c r="AB1380" s="7">
        <f>IF($D1380="","",AA1380-N1380)</f>
        <v/>
      </c>
      <c r="AF1380" s="7" t="n"/>
      <c r="AI1380" s="11" t="n"/>
      <c r="AK1380">
        <f>IF($D1380="","",IF(COUNTIF($D$2:$D1380,$D1380)=1,1,0))</f>
        <v/>
      </c>
      <c r="AL1380">
        <f>IF($AK1380=1,SUMPRODUCT(--($AO$2:$AO$3001&lt;$AO1380))+1,"")</f>
        <v/>
      </c>
      <c r="AM1380">
        <f>IF($D1380="","",IF(OR($R1380=TRUE(),$R1380="TRUE"),1,0))</f>
        <v/>
      </c>
      <c r="AN1380">
        <f>IF($D1380="","",IF($X1380="Yes",1,0))</f>
        <v/>
      </c>
      <c r="AO1380">
        <f>IF($AK1380=1,IFERROR(IF(VALUE($D1380)&lt;100000000,VALUE($D1380),1000000000),IFERROR(IF(VALUE(MID($D1380,2,20))&lt;100000000,VALUE(MID($D1380,2,20)),1000000000),1000000000))+ROW()/100000,"")</f>
        <v/>
      </c>
    </row>
    <row r="1381">
      <c r="F1381" s="11" t="n"/>
      <c r="N1381" s="7">
        <f>IF($D1381="","",M1381*V1381/100)</f>
        <v/>
      </c>
      <c r="O1381" s="7" t="n"/>
      <c r="U1381" s="7" t="n"/>
      <c r="V1381" s="7" t="n"/>
      <c r="Y1381">
        <f>IF($D1381="","",IF($AN1381=1,0,IF($AM1381=1,Settings!$C$6,Settings!$C$7))*100)</f>
        <v/>
      </c>
      <c r="Z1381" s="7">
        <f>IF($D1381="","",V1381*Y1381/100)</f>
        <v/>
      </c>
      <c r="AA1381" s="7">
        <f>IF($D1381="","",V1381-Z1381)</f>
        <v/>
      </c>
      <c r="AB1381" s="7">
        <f>IF($D1381="","",AA1381-N1381)</f>
        <v/>
      </c>
      <c r="AF1381" s="7" t="n"/>
      <c r="AI1381" s="11" t="n"/>
      <c r="AK1381">
        <f>IF($D1381="","",IF(COUNTIF($D$2:$D1381,$D1381)=1,1,0))</f>
        <v/>
      </c>
      <c r="AL1381">
        <f>IF($AK1381=1,SUMPRODUCT(--($AO$2:$AO$3001&lt;$AO1381))+1,"")</f>
        <v/>
      </c>
      <c r="AM1381">
        <f>IF($D1381="","",IF(OR($R1381=TRUE(),$R1381="TRUE"),1,0))</f>
        <v/>
      </c>
      <c r="AN1381">
        <f>IF($D1381="","",IF($X1381="Yes",1,0))</f>
        <v/>
      </c>
      <c r="AO1381">
        <f>IF($AK1381=1,IFERROR(IF(VALUE($D1381)&lt;100000000,VALUE($D1381),1000000000),IFERROR(IF(VALUE(MID($D1381,2,20))&lt;100000000,VALUE(MID($D1381,2,20)),1000000000),1000000000))+ROW()/100000,"")</f>
        <v/>
      </c>
    </row>
    <row r="1382">
      <c r="F1382" s="11" t="n"/>
      <c r="N1382" s="7">
        <f>IF($D1382="","",M1382*V1382/100)</f>
        <v/>
      </c>
      <c r="O1382" s="7" t="n"/>
      <c r="U1382" s="7" t="n"/>
      <c r="V1382" s="7" t="n"/>
      <c r="Y1382">
        <f>IF($D1382="","",IF($AN1382=1,0,IF($AM1382=1,Settings!$C$6,Settings!$C$7))*100)</f>
        <v/>
      </c>
      <c r="Z1382" s="7">
        <f>IF($D1382="","",V1382*Y1382/100)</f>
        <v/>
      </c>
      <c r="AA1382" s="7">
        <f>IF($D1382="","",V1382-Z1382)</f>
        <v/>
      </c>
      <c r="AB1382" s="7">
        <f>IF($D1382="","",AA1382-N1382)</f>
        <v/>
      </c>
      <c r="AF1382" s="7" t="n"/>
      <c r="AI1382" s="11" t="n"/>
      <c r="AK1382">
        <f>IF($D1382="","",IF(COUNTIF($D$2:$D1382,$D1382)=1,1,0))</f>
        <v/>
      </c>
      <c r="AL1382">
        <f>IF($AK1382=1,SUMPRODUCT(--($AO$2:$AO$3001&lt;$AO1382))+1,"")</f>
        <v/>
      </c>
      <c r="AM1382">
        <f>IF($D1382="","",IF(OR($R1382=TRUE(),$R1382="TRUE"),1,0))</f>
        <v/>
      </c>
      <c r="AN1382">
        <f>IF($D1382="","",IF($X1382="Yes",1,0))</f>
        <v/>
      </c>
      <c r="AO1382">
        <f>IF($AK1382=1,IFERROR(IF(VALUE($D1382)&lt;100000000,VALUE($D1382),1000000000),IFERROR(IF(VALUE(MID($D1382,2,20))&lt;100000000,VALUE(MID($D1382,2,20)),1000000000),1000000000))+ROW()/100000,"")</f>
        <v/>
      </c>
    </row>
    <row r="1383">
      <c r="F1383" s="11" t="n"/>
      <c r="N1383" s="7">
        <f>IF($D1383="","",M1383*V1383/100)</f>
        <v/>
      </c>
      <c r="O1383" s="7" t="n"/>
      <c r="U1383" s="7" t="n"/>
      <c r="V1383" s="7" t="n"/>
      <c r="Y1383">
        <f>IF($D1383="","",IF($AN1383=1,0,IF($AM1383=1,Settings!$C$6,Settings!$C$7))*100)</f>
        <v/>
      </c>
      <c r="Z1383" s="7">
        <f>IF($D1383="","",V1383*Y1383/100)</f>
        <v/>
      </c>
      <c r="AA1383" s="7">
        <f>IF($D1383="","",V1383-Z1383)</f>
        <v/>
      </c>
      <c r="AB1383" s="7">
        <f>IF($D1383="","",AA1383-N1383)</f>
        <v/>
      </c>
      <c r="AF1383" s="7" t="n"/>
      <c r="AI1383" s="11" t="n"/>
      <c r="AK1383">
        <f>IF($D1383="","",IF(COUNTIF($D$2:$D1383,$D1383)=1,1,0))</f>
        <v/>
      </c>
      <c r="AL1383">
        <f>IF($AK1383=1,SUMPRODUCT(--($AO$2:$AO$3001&lt;$AO1383))+1,"")</f>
        <v/>
      </c>
      <c r="AM1383">
        <f>IF($D1383="","",IF(OR($R1383=TRUE(),$R1383="TRUE"),1,0))</f>
        <v/>
      </c>
      <c r="AN1383">
        <f>IF($D1383="","",IF($X1383="Yes",1,0))</f>
        <v/>
      </c>
      <c r="AO1383">
        <f>IF($AK1383=1,IFERROR(IF(VALUE($D1383)&lt;100000000,VALUE($D1383),1000000000),IFERROR(IF(VALUE(MID($D1383,2,20))&lt;100000000,VALUE(MID($D1383,2,20)),1000000000),1000000000))+ROW()/100000,"")</f>
        <v/>
      </c>
    </row>
    <row r="1384">
      <c r="F1384" s="11" t="n"/>
      <c r="N1384" s="7">
        <f>IF($D1384="","",M1384*V1384/100)</f>
        <v/>
      </c>
      <c r="O1384" s="7" t="n"/>
      <c r="U1384" s="7" t="n"/>
      <c r="V1384" s="7" t="n"/>
      <c r="Y1384">
        <f>IF($D1384="","",IF($AN1384=1,0,IF($AM1384=1,Settings!$C$6,Settings!$C$7))*100)</f>
        <v/>
      </c>
      <c r="Z1384" s="7">
        <f>IF($D1384="","",V1384*Y1384/100)</f>
        <v/>
      </c>
      <c r="AA1384" s="7">
        <f>IF($D1384="","",V1384-Z1384)</f>
        <v/>
      </c>
      <c r="AB1384" s="7">
        <f>IF($D1384="","",AA1384-N1384)</f>
        <v/>
      </c>
      <c r="AF1384" s="7" t="n"/>
      <c r="AI1384" s="11" t="n"/>
      <c r="AK1384">
        <f>IF($D1384="","",IF(COUNTIF($D$2:$D1384,$D1384)=1,1,0))</f>
        <v/>
      </c>
      <c r="AL1384">
        <f>IF($AK1384=1,SUMPRODUCT(--($AO$2:$AO$3001&lt;$AO1384))+1,"")</f>
        <v/>
      </c>
      <c r="AM1384">
        <f>IF($D1384="","",IF(OR($R1384=TRUE(),$R1384="TRUE"),1,0))</f>
        <v/>
      </c>
      <c r="AN1384">
        <f>IF($D1384="","",IF($X1384="Yes",1,0))</f>
        <v/>
      </c>
      <c r="AO1384">
        <f>IF($AK1384=1,IFERROR(IF(VALUE($D1384)&lt;100000000,VALUE($D1384),1000000000),IFERROR(IF(VALUE(MID($D1384,2,20))&lt;100000000,VALUE(MID($D1384,2,20)),1000000000),1000000000))+ROW()/100000,"")</f>
        <v/>
      </c>
    </row>
    <row r="1385">
      <c r="F1385" s="11" t="n"/>
      <c r="N1385" s="7">
        <f>IF($D1385="","",M1385*V1385/100)</f>
        <v/>
      </c>
      <c r="O1385" s="7" t="n"/>
      <c r="U1385" s="7" t="n"/>
      <c r="V1385" s="7" t="n"/>
      <c r="Y1385">
        <f>IF($D1385="","",IF($AN1385=1,0,IF($AM1385=1,Settings!$C$6,Settings!$C$7))*100)</f>
        <v/>
      </c>
      <c r="Z1385" s="7">
        <f>IF($D1385="","",V1385*Y1385/100)</f>
        <v/>
      </c>
      <c r="AA1385" s="7">
        <f>IF($D1385="","",V1385-Z1385)</f>
        <v/>
      </c>
      <c r="AB1385" s="7">
        <f>IF($D1385="","",AA1385-N1385)</f>
        <v/>
      </c>
      <c r="AF1385" s="7" t="n"/>
      <c r="AI1385" s="11" t="n"/>
      <c r="AK1385">
        <f>IF($D1385="","",IF(COUNTIF($D$2:$D1385,$D1385)=1,1,0))</f>
        <v/>
      </c>
      <c r="AL1385">
        <f>IF($AK1385=1,SUMPRODUCT(--($AO$2:$AO$3001&lt;$AO1385))+1,"")</f>
        <v/>
      </c>
      <c r="AM1385">
        <f>IF($D1385="","",IF(OR($R1385=TRUE(),$R1385="TRUE"),1,0))</f>
        <v/>
      </c>
      <c r="AN1385">
        <f>IF($D1385="","",IF($X1385="Yes",1,0))</f>
        <v/>
      </c>
      <c r="AO1385">
        <f>IF($AK1385=1,IFERROR(IF(VALUE($D1385)&lt;100000000,VALUE($D1385),1000000000),IFERROR(IF(VALUE(MID($D1385,2,20))&lt;100000000,VALUE(MID($D1385,2,20)),1000000000),1000000000))+ROW()/100000,"")</f>
        <v/>
      </c>
    </row>
    <row r="1386">
      <c r="F1386" s="11" t="n"/>
      <c r="N1386" s="7">
        <f>IF($D1386="","",M1386*V1386/100)</f>
        <v/>
      </c>
      <c r="O1386" s="7" t="n"/>
      <c r="U1386" s="7" t="n"/>
      <c r="V1386" s="7" t="n"/>
      <c r="Y1386">
        <f>IF($D1386="","",IF($AN1386=1,0,IF($AM1386=1,Settings!$C$6,Settings!$C$7))*100)</f>
        <v/>
      </c>
      <c r="Z1386" s="7">
        <f>IF($D1386="","",V1386*Y1386/100)</f>
        <v/>
      </c>
      <c r="AA1386" s="7">
        <f>IF($D1386="","",V1386-Z1386)</f>
        <v/>
      </c>
      <c r="AB1386" s="7">
        <f>IF($D1386="","",AA1386-N1386)</f>
        <v/>
      </c>
      <c r="AF1386" s="7" t="n"/>
      <c r="AI1386" s="11" t="n"/>
      <c r="AK1386">
        <f>IF($D1386="","",IF(COUNTIF($D$2:$D1386,$D1386)=1,1,0))</f>
        <v/>
      </c>
      <c r="AL1386">
        <f>IF($AK1386=1,SUMPRODUCT(--($AO$2:$AO$3001&lt;$AO1386))+1,"")</f>
        <v/>
      </c>
      <c r="AM1386">
        <f>IF($D1386="","",IF(OR($R1386=TRUE(),$R1386="TRUE"),1,0))</f>
        <v/>
      </c>
      <c r="AN1386">
        <f>IF($D1386="","",IF($X1386="Yes",1,0))</f>
        <v/>
      </c>
      <c r="AO1386">
        <f>IF($AK1386=1,IFERROR(IF(VALUE($D1386)&lt;100000000,VALUE($D1386),1000000000),IFERROR(IF(VALUE(MID($D1386,2,20))&lt;100000000,VALUE(MID($D1386,2,20)),1000000000),1000000000))+ROW()/100000,"")</f>
        <v/>
      </c>
    </row>
    <row r="1387">
      <c r="F1387" s="11" t="n"/>
      <c r="N1387" s="7">
        <f>IF($D1387="","",M1387*V1387/100)</f>
        <v/>
      </c>
      <c r="O1387" s="7" t="n"/>
      <c r="U1387" s="7" t="n"/>
      <c r="V1387" s="7" t="n"/>
      <c r="Y1387">
        <f>IF($D1387="","",IF($AN1387=1,0,IF($AM1387=1,Settings!$C$6,Settings!$C$7))*100)</f>
        <v/>
      </c>
      <c r="Z1387" s="7">
        <f>IF($D1387="","",V1387*Y1387/100)</f>
        <v/>
      </c>
      <c r="AA1387" s="7">
        <f>IF($D1387="","",V1387-Z1387)</f>
        <v/>
      </c>
      <c r="AB1387" s="7">
        <f>IF($D1387="","",AA1387-N1387)</f>
        <v/>
      </c>
      <c r="AF1387" s="7" t="n"/>
      <c r="AI1387" s="11" t="n"/>
      <c r="AK1387">
        <f>IF($D1387="","",IF(COUNTIF($D$2:$D1387,$D1387)=1,1,0))</f>
        <v/>
      </c>
      <c r="AL1387">
        <f>IF($AK1387=1,SUMPRODUCT(--($AO$2:$AO$3001&lt;$AO1387))+1,"")</f>
        <v/>
      </c>
      <c r="AM1387">
        <f>IF($D1387="","",IF(OR($R1387=TRUE(),$R1387="TRUE"),1,0))</f>
        <v/>
      </c>
      <c r="AN1387">
        <f>IF($D1387="","",IF($X1387="Yes",1,0))</f>
        <v/>
      </c>
      <c r="AO1387">
        <f>IF($AK1387=1,IFERROR(IF(VALUE($D1387)&lt;100000000,VALUE($D1387),1000000000),IFERROR(IF(VALUE(MID($D1387,2,20))&lt;100000000,VALUE(MID($D1387,2,20)),1000000000),1000000000))+ROW()/100000,"")</f>
        <v/>
      </c>
    </row>
    <row r="1388">
      <c r="F1388" s="11" t="n"/>
      <c r="N1388" s="7">
        <f>IF($D1388="","",M1388*V1388/100)</f>
        <v/>
      </c>
      <c r="O1388" s="7" t="n"/>
      <c r="U1388" s="7" t="n"/>
      <c r="V1388" s="7" t="n"/>
      <c r="Y1388">
        <f>IF($D1388="","",IF($AN1388=1,0,IF($AM1388=1,Settings!$C$6,Settings!$C$7))*100)</f>
        <v/>
      </c>
      <c r="Z1388" s="7">
        <f>IF($D1388="","",V1388*Y1388/100)</f>
        <v/>
      </c>
      <c r="AA1388" s="7">
        <f>IF($D1388="","",V1388-Z1388)</f>
        <v/>
      </c>
      <c r="AB1388" s="7">
        <f>IF($D1388="","",AA1388-N1388)</f>
        <v/>
      </c>
      <c r="AF1388" s="7" t="n"/>
      <c r="AI1388" s="11" t="n"/>
      <c r="AK1388">
        <f>IF($D1388="","",IF(COUNTIF($D$2:$D1388,$D1388)=1,1,0))</f>
        <v/>
      </c>
      <c r="AL1388">
        <f>IF($AK1388=1,SUMPRODUCT(--($AO$2:$AO$3001&lt;$AO1388))+1,"")</f>
        <v/>
      </c>
      <c r="AM1388">
        <f>IF($D1388="","",IF(OR($R1388=TRUE(),$R1388="TRUE"),1,0))</f>
        <v/>
      </c>
      <c r="AN1388">
        <f>IF($D1388="","",IF($X1388="Yes",1,0))</f>
        <v/>
      </c>
      <c r="AO1388">
        <f>IF($AK1388=1,IFERROR(IF(VALUE($D1388)&lt;100000000,VALUE($D1388),1000000000),IFERROR(IF(VALUE(MID($D1388,2,20))&lt;100000000,VALUE(MID($D1388,2,20)),1000000000),1000000000))+ROW()/100000,"")</f>
        <v/>
      </c>
    </row>
    <row r="1389">
      <c r="F1389" s="11" t="n"/>
      <c r="N1389" s="7">
        <f>IF($D1389="","",M1389*V1389/100)</f>
        <v/>
      </c>
      <c r="O1389" s="7" t="n"/>
      <c r="U1389" s="7" t="n"/>
      <c r="V1389" s="7" t="n"/>
      <c r="Y1389">
        <f>IF($D1389="","",IF($AN1389=1,0,IF($AM1389=1,Settings!$C$6,Settings!$C$7))*100)</f>
        <v/>
      </c>
      <c r="Z1389" s="7">
        <f>IF($D1389="","",V1389*Y1389/100)</f>
        <v/>
      </c>
      <c r="AA1389" s="7">
        <f>IF($D1389="","",V1389-Z1389)</f>
        <v/>
      </c>
      <c r="AB1389" s="7">
        <f>IF($D1389="","",AA1389-N1389)</f>
        <v/>
      </c>
      <c r="AF1389" s="7" t="n"/>
      <c r="AI1389" s="11" t="n"/>
      <c r="AK1389">
        <f>IF($D1389="","",IF(COUNTIF($D$2:$D1389,$D1389)=1,1,0))</f>
        <v/>
      </c>
      <c r="AL1389">
        <f>IF($AK1389=1,SUMPRODUCT(--($AO$2:$AO$3001&lt;$AO1389))+1,"")</f>
        <v/>
      </c>
      <c r="AM1389">
        <f>IF($D1389="","",IF(OR($R1389=TRUE(),$R1389="TRUE"),1,0))</f>
        <v/>
      </c>
      <c r="AN1389">
        <f>IF($D1389="","",IF($X1389="Yes",1,0))</f>
        <v/>
      </c>
      <c r="AO1389">
        <f>IF($AK1389=1,IFERROR(IF(VALUE($D1389)&lt;100000000,VALUE($D1389),1000000000),IFERROR(IF(VALUE(MID($D1389,2,20))&lt;100000000,VALUE(MID($D1389,2,20)),1000000000),1000000000))+ROW()/100000,"")</f>
        <v/>
      </c>
    </row>
    <row r="1390">
      <c r="F1390" s="11" t="n"/>
      <c r="N1390" s="7">
        <f>IF($D1390="","",M1390*V1390/100)</f>
        <v/>
      </c>
      <c r="O1390" s="7" t="n"/>
      <c r="U1390" s="7" t="n"/>
      <c r="V1390" s="7" t="n"/>
      <c r="Y1390">
        <f>IF($D1390="","",IF($AN1390=1,0,IF($AM1390=1,Settings!$C$6,Settings!$C$7))*100)</f>
        <v/>
      </c>
      <c r="Z1390" s="7">
        <f>IF($D1390="","",V1390*Y1390/100)</f>
        <v/>
      </c>
      <c r="AA1390" s="7">
        <f>IF($D1390="","",V1390-Z1390)</f>
        <v/>
      </c>
      <c r="AB1390" s="7">
        <f>IF($D1390="","",AA1390-N1390)</f>
        <v/>
      </c>
      <c r="AF1390" s="7" t="n"/>
      <c r="AI1390" s="11" t="n"/>
      <c r="AK1390">
        <f>IF($D1390="","",IF(COUNTIF($D$2:$D1390,$D1390)=1,1,0))</f>
        <v/>
      </c>
      <c r="AL1390">
        <f>IF($AK1390=1,SUMPRODUCT(--($AO$2:$AO$3001&lt;$AO1390))+1,"")</f>
        <v/>
      </c>
      <c r="AM1390">
        <f>IF($D1390="","",IF(OR($R1390=TRUE(),$R1390="TRUE"),1,0))</f>
        <v/>
      </c>
      <c r="AN1390">
        <f>IF($D1390="","",IF($X1390="Yes",1,0))</f>
        <v/>
      </c>
      <c r="AO1390">
        <f>IF($AK1390=1,IFERROR(IF(VALUE($D1390)&lt;100000000,VALUE($D1390),1000000000),IFERROR(IF(VALUE(MID($D1390,2,20))&lt;100000000,VALUE(MID($D1390,2,20)),1000000000),1000000000))+ROW()/100000,"")</f>
        <v/>
      </c>
    </row>
    <row r="1391">
      <c r="F1391" s="11" t="n"/>
      <c r="N1391" s="7">
        <f>IF($D1391="","",M1391*V1391/100)</f>
        <v/>
      </c>
      <c r="O1391" s="7" t="n"/>
      <c r="U1391" s="7" t="n"/>
      <c r="V1391" s="7" t="n"/>
      <c r="Y1391">
        <f>IF($D1391="","",IF($AN1391=1,0,IF($AM1391=1,Settings!$C$6,Settings!$C$7))*100)</f>
        <v/>
      </c>
      <c r="Z1391" s="7">
        <f>IF($D1391="","",V1391*Y1391/100)</f>
        <v/>
      </c>
      <c r="AA1391" s="7">
        <f>IF($D1391="","",V1391-Z1391)</f>
        <v/>
      </c>
      <c r="AB1391" s="7">
        <f>IF($D1391="","",AA1391-N1391)</f>
        <v/>
      </c>
      <c r="AF1391" s="7" t="n"/>
      <c r="AI1391" s="11" t="n"/>
      <c r="AK1391">
        <f>IF($D1391="","",IF(COUNTIF($D$2:$D1391,$D1391)=1,1,0))</f>
        <v/>
      </c>
      <c r="AL1391">
        <f>IF($AK1391=1,SUMPRODUCT(--($AO$2:$AO$3001&lt;$AO1391))+1,"")</f>
        <v/>
      </c>
      <c r="AM1391">
        <f>IF($D1391="","",IF(OR($R1391=TRUE(),$R1391="TRUE"),1,0))</f>
        <v/>
      </c>
      <c r="AN1391">
        <f>IF($D1391="","",IF($X1391="Yes",1,0))</f>
        <v/>
      </c>
      <c r="AO1391">
        <f>IF($AK1391=1,IFERROR(IF(VALUE($D1391)&lt;100000000,VALUE($D1391),1000000000),IFERROR(IF(VALUE(MID($D1391,2,20))&lt;100000000,VALUE(MID($D1391,2,20)),1000000000),1000000000))+ROW()/100000,"")</f>
        <v/>
      </c>
    </row>
    <row r="1392">
      <c r="F1392" s="11" t="n"/>
      <c r="N1392" s="7">
        <f>IF($D1392="","",M1392*V1392/100)</f>
        <v/>
      </c>
      <c r="O1392" s="7" t="n"/>
      <c r="U1392" s="7" t="n"/>
      <c r="V1392" s="7" t="n"/>
      <c r="Y1392">
        <f>IF($D1392="","",IF($AN1392=1,0,IF($AM1392=1,Settings!$C$6,Settings!$C$7))*100)</f>
        <v/>
      </c>
      <c r="Z1392" s="7">
        <f>IF($D1392="","",V1392*Y1392/100)</f>
        <v/>
      </c>
      <c r="AA1392" s="7">
        <f>IF($D1392="","",V1392-Z1392)</f>
        <v/>
      </c>
      <c r="AB1392" s="7">
        <f>IF($D1392="","",AA1392-N1392)</f>
        <v/>
      </c>
      <c r="AF1392" s="7" t="n"/>
      <c r="AI1392" s="11" t="n"/>
      <c r="AK1392">
        <f>IF($D1392="","",IF(COUNTIF($D$2:$D1392,$D1392)=1,1,0))</f>
        <v/>
      </c>
      <c r="AL1392">
        <f>IF($AK1392=1,SUMPRODUCT(--($AO$2:$AO$3001&lt;$AO1392))+1,"")</f>
        <v/>
      </c>
      <c r="AM1392">
        <f>IF($D1392="","",IF(OR($R1392=TRUE(),$R1392="TRUE"),1,0))</f>
        <v/>
      </c>
      <c r="AN1392">
        <f>IF($D1392="","",IF($X1392="Yes",1,0))</f>
        <v/>
      </c>
      <c r="AO1392">
        <f>IF($AK1392=1,IFERROR(IF(VALUE($D1392)&lt;100000000,VALUE($D1392),1000000000),IFERROR(IF(VALUE(MID($D1392,2,20))&lt;100000000,VALUE(MID($D1392,2,20)),1000000000),1000000000))+ROW()/100000,"")</f>
        <v/>
      </c>
    </row>
    <row r="1393">
      <c r="F1393" s="11" t="n"/>
      <c r="N1393" s="7">
        <f>IF($D1393="","",M1393*V1393/100)</f>
        <v/>
      </c>
      <c r="O1393" s="7" t="n"/>
      <c r="U1393" s="7" t="n"/>
      <c r="V1393" s="7" t="n"/>
      <c r="Y1393">
        <f>IF($D1393="","",IF($AN1393=1,0,IF($AM1393=1,Settings!$C$6,Settings!$C$7))*100)</f>
        <v/>
      </c>
      <c r="Z1393" s="7">
        <f>IF($D1393="","",V1393*Y1393/100)</f>
        <v/>
      </c>
      <c r="AA1393" s="7">
        <f>IF($D1393="","",V1393-Z1393)</f>
        <v/>
      </c>
      <c r="AB1393" s="7">
        <f>IF($D1393="","",AA1393-N1393)</f>
        <v/>
      </c>
      <c r="AF1393" s="7" t="n"/>
      <c r="AI1393" s="11" t="n"/>
      <c r="AK1393">
        <f>IF($D1393="","",IF(COUNTIF($D$2:$D1393,$D1393)=1,1,0))</f>
        <v/>
      </c>
      <c r="AL1393">
        <f>IF($AK1393=1,SUMPRODUCT(--($AO$2:$AO$3001&lt;$AO1393))+1,"")</f>
        <v/>
      </c>
      <c r="AM1393">
        <f>IF($D1393="","",IF(OR($R1393=TRUE(),$R1393="TRUE"),1,0))</f>
        <v/>
      </c>
      <c r="AN1393">
        <f>IF($D1393="","",IF($X1393="Yes",1,0))</f>
        <v/>
      </c>
      <c r="AO1393">
        <f>IF($AK1393=1,IFERROR(IF(VALUE($D1393)&lt;100000000,VALUE($D1393),1000000000),IFERROR(IF(VALUE(MID($D1393,2,20))&lt;100000000,VALUE(MID($D1393,2,20)),1000000000),1000000000))+ROW()/100000,"")</f>
        <v/>
      </c>
    </row>
    <row r="1394">
      <c r="F1394" s="11" t="n"/>
      <c r="N1394" s="7">
        <f>IF($D1394="","",M1394*V1394/100)</f>
        <v/>
      </c>
      <c r="O1394" s="7" t="n"/>
      <c r="U1394" s="7" t="n"/>
      <c r="V1394" s="7" t="n"/>
      <c r="Y1394">
        <f>IF($D1394="","",IF($AN1394=1,0,IF($AM1394=1,Settings!$C$6,Settings!$C$7))*100)</f>
        <v/>
      </c>
      <c r="Z1394" s="7">
        <f>IF($D1394="","",V1394*Y1394/100)</f>
        <v/>
      </c>
      <c r="AA1394" s="7">
        <f>IF($D1394="","",V1394-Z1394)</f>
        <v/>
      </c>
      <c r="AB1394" s="7">
        <f>IF($D1394="","",AA1394-N1394)</f>
        <v/>
      </c>
      <c r="AF1394" s="7" t="n"/>
      <c r="AI1394" s="11" t="n"/>
      <c r="AK1394">
        <f>IF($D1394="","",IF(COUNTIF($D$2:$D1394,$D1394)=1,1,0))</f>
        <v/>
      </c>
      <c r="AL1394">
        <f>IF($AK1394=1,SUMPRODUCT(--($AO$2:$AO$3001&lt;$AO1394))+1,"")</f>
        <v/>
      </c>
      <c r="AM1394">
        <f>IF($D1394="","",IF(OR($R1394=TRUE(),$R1394="TRUE"),1,0))</f>
        <v/>
      </c>
      <c r="AN1394">
        <f>IF($D1394="","",IF($X1394="Yes",1,0))</f>
        <v/>
      </c>
      <c r="AO1394">
        <f>IF($AK1394=1,IFERROR(IF(VALUE($D1394)&lt;100000000,VALUE($D1394),1000000000),IFERROR(IF(VALUE(MID($D1394,2,20))&lt;100000000,VALUE(MID($D1394,2,20)),1000000000),1000000000))+ROW()/100000,"")</f>
        <v/>
      </c>
    </row>
    <row r="1395">
      <c r="F1395" s="11" t="n"/>
      <c r="N1395" s="7">
        <f>IF($D1395="","",M1395*V1395/100)</f>
        <v/>
      </c>
      <c r="O1395" s="7" t="n"/>
      <c r="U1395" s="7" t="n"/>
      <c r="V1395" s="7" t="n"/>
      <c r="Y1395">
        <f>IF($D1395="","",IF($AN1395=1,0,IF($AM1395=1,Settings!$C$6,Settings!$C$7))*100)</f>
        <v/>
      </c>
      <c r="Z1395" s="7">
        <f>IF($D1395="","",V1395*Y1395/100)</f>
        <v/>
      </c>
      <c r="AA1395" s="7">
        <f>IF($D1395="","",V1395-Z1395)</f>
        <v/>
      </c>
      <c r="AB1395" s="7">
        <f>IF($D1395="","",AA1395-N1395)</f>
        <v/>
      </c>
      <c r="AF1395" s="7" t="n"/>
      <c r="AI1395" s="11" t="n"/>
      <c r="AK1395">
        <f>IF($D1395="","",IF(COUNTIF($D$2:$D1395,$D1395)=1,1,0))</f>
        <v/>
      </c>
      <c r="AL1395">
        <f>IF($AK1395=1,SUMPRODUCT(--($AO$2:$AO$3001&lt;$AO1395))+1,"")</f>
        <v/>
      </c>
      <c r="AM1395">
        <f>IF($D1395="","",IF(OR($R1395=TRUE(),$R1395="TRUE"),1,0))</f>
        <v/>
      </c>
      <c r="AN1395">
        <f>IF($D1395="","",IF($X1395="Yes",1,0))</f>
        <v/>
      </c>
      <c r="AO1395">
        <f>IF($AK1395=1,IFERROR(IF(VALUE($D1395)&lt;100000000,VALUE($D1395),1000000000),IFERROR(IF(VALUE(MID($D1395,2,20))&lt;100000000,VALUE(MID($D1395,2,20)),1000000000),1000000000))+ROW()/100000,"")</f>
        <v/>
      </c>
    </row>
    <row r="1396">
      <c r="F1396" s="11" t="n"/>
      <c r="N1396" s="7">
        <f>IF($D1396="","",M1396*V1396/100)</f>
        <v/>
      </c>
      <c r="O1396" s="7" t="n"/>
      <c r="U1396" s="7" t="n"/>
      <c r="V1396" s="7" t="n"/>
      <c r="Y1396">
        <f>IF($D1396="","",IF($AN1396=1,0,IF($AM1396=1,Settings!$C$6,Settings!$C$7))*100)</f>
        <v/>
      </c>
      <c r="Z1396" s="7">
        <f>IF($D1396="","",V1396*Y1396/100)</f>
        <v/>
      </c>
      <c r="AA1396" s="7">
        <f>IF($D1396="","",V1396-Z1396)</f>
        <v/>
      </c>
      <c r="AB1396" s="7">
        <f>IF($D1396="","",AA1396-N1396)</f>
        <v/>
      </c>
      <c r="AF1396" s="7" t="n"/>
      <c r="AI1396" s="11" t="n"/>
      <c r="AK1396">
        <f>IF($D1396="","",IF(COUNTIF($D$2:$D1396,$D1396)=1,1,0))</f>
        <v/>
      </c>
      <c r="AL1396">
        <f>IF($AK1396=1,SUMPRODUCT(--($AO$2:$AO$3001&lt;$AO1396))+1,"")</f>
        <v/>
      </c>
      <c r="AM1396">
        <f>IF($D1396="","",IF(OR($R1396=TRUE(),$R1396="TRUE"),1,0))</f>
        <v/>
      </c>
      <c r="AN1396">
        <f>IF($D1396="","",IF($X1396="Yes",1,0))</f>
        <v/>
      </c>
      <c r="AO1396">
        <f>IF($AK1396=1,IFERROR(IF(VALUE($D1396)&lt;100000000,VALUE($D1396),1000000000),IFERROR(IF(VALUE(MID($D1396,2,20))&lt;100000000,VALUE(MID($D1396,2,20)),1000000000),1000000000))+ROW()/100000,"")</f>
        <v/>
      </c>
    </row>
    <row r="1397">
      <c r="F1397" s="11" t="n"/>
      <c r="N1397" s="7">
        <f>IF($D1397="","",M1397*V1397/100)</f>
        <v/>
      </c>
      <c r="O1397" s="7" t="n"/>
      <c r="U1397" s="7" t="n"/>
      <c r="V1397" s="7" t="n"/>
      <c r="Y1397">
        <f>IF($D1397="","",IF($AN1397=1,0,IF($AM1397=1,Settings!$C$6,Settings!$C$7))*100)</f>
        <v/>
      </c>
      <c r="Z1397" s="7">
        <f>IF($D1397="","",V1397*Y1397/100)</f>
        <v/>
      </c>
      <c r="AA1397" s="7">
        <f>IF($D1397="","",V1397-Z1397)</f>
        <v/>
      </c>
      <c r="AB1397" s="7">
        <f>IF($D1397="","",AA1397-N1397)</f>
        <v/>
      </c>
      <c r="AF1397" s="7" t="n"/>
      <c r="AI1397" s="11" t="n"/>
      <c r="AK1397">
        <f>IF($D1397="","",IF(COUNTIF($D$2:$D1397,$D1397)=1,1,0))</f>
        <v/>
      </c>
      <c r="AL1397">
        <f>IF($AK1397=1,SUMPRODUCT(--($AO$2:$AO$3001&lt;$AO1397))+1,"")</f>
        <v/>
      </c>
      <c r="AM1397">
        <f>IF($D1397="","",IF(OR($R1397=TRUE(),$R1397="TRUE"),1,0))</f>
        <v/>
      </c>
      <c r="AN1397">
        <f>IF($D1397="","",IF($X1397="Yes",1,0))</f>
        <v/>
      </c>
      <c r="AO1397">
        <f>IF($AK1397=1,IFERROR(IF(VALUE($D1397)&lt;100000000,VALUE($D1397),1000000000),IFERROR(IF(VALUE(MID($D1397,2,20))&lt;100000000,VALUE(MID($D1397,2,20)),1000000000),1000000000))+ROW()/100000,"")</f>
        <v/>
      </c>
    </row>
    <row r="1398">
      <c r="F1398" s="11" t="n"/>
      <c r="N1398" s="7">
        <f>IF($D1398="","",M1398*V1398/100)</f>
        <v/>
      </c>
      <c r="O1398" s="7" t="n"/>
      <c r="U1398" s="7" t="n"/>
      <c r="V1398" s="7" t="n"/>
      <c r="Y1398">
        <f>IF($D1398="","",IF($AN1398=1,0,IF($AM1398=1,Settings!$C$6,Settings!$C$7))*100)</f>
        <v/>
      </c>
      <c r="Z1398" s="7">
        <f>IF($D1398="","",V1398*Y1398/100)</f>
        <v/>
      </c>
      <c r="AA1398" s="7">
        <f>IF($D1398="","",V1398-Z1398)</f>
        <v/>
      </c>
      <c r="AB1398" s="7">
        <f>IF($D1398="","",AA1398-N1398)</f>
        <v/>
      </c>
      <c r="AF1398" s="7" t="n"/>
      <c r="AI1398" s="11" t="n"/>
      <c r="AK1398">
        <f>IF($D1398="","",IF(COUNTIF($D$2:$D1398,$D1398)=1,1,0))</f>
        <v/>
      </c>
      <c r="AL1398">
        <f>IF($AK1398=1,SUMPRODUCT(--($AO$2:$AO$3001&lt;$AO1398))+1,"")</f>
        <v/>
      </c>
      <c r="AM1398">
        <f>IF($D1398="","",IF(OR($R1398=TRUE(),$R1398="TRUE"),1,0))</f>
        <v/>
      </c>
      <c r="AN1398">
        <f>IF($D1398="","",IF($X1398="Yes",1,0))</f>
        <v/>
      </c>
      <c r="AO1398">
        <f>IF($AK1398=1,IFERROR(IF(VALUE($D1398)&lt;100000000,VALUE($D1398),1000000000),IFERROR(IF(VALUE(MID($D1398,2,20))&lt;100000000,VALUE(MID($D1398,2,20)),1000000000),1000000000))+ROW()/100000,"")</f>
        <v/>
      </c>
    </row>
    <row r="1399">
      <c r="F1399" s="11" t="n"/>
      <c r="N1399" s="7">
        <f>IF($D1399="","",M1399*V1399/100)</f>
        <v/>
      </c>
      <c r="O1399" s="7" t="n"/>
      <c r="U1399" s="7" t="n"/>
      <c r="V1399" s="7" t="n"/>
      <c r="Y1399">
        <f>IF($D1399="","",IF($AN1399=1,0,IF($AM1399=1,Settings!$C$6,Settings!$C$7))*100)</f>
        <v/>
      </c>
      <c r="Z1399" s="7">
        <f>IF($D1399="","",V1399*Y1399/100)</f>
        <v/>
      </c>
      <c r="AA1399" s="7">
        <f>IF($D1399="","",V1399-Z1399)</f>
        <v/>
      </c>
      <c r="AB1399" s="7">
        <f>IF($D1399="","",AA1399-N1399)</f>
        <v/>
      </c>
      <c r="AF1399" s="7" t="n"/>
      <c r="AI1399" s="11" t="n"/>
      <c r="AK1399">
        <f>IF($D1399="","",IF(COUNTIF($D$2:$D1399,$D1399)=1,1,0))</f>
        <v/>
      </c>
      <c r="AL1399">
        <f>IF($AK1399=1,SUMPRODUCT(--($AO$2:$AO$3001&lt;$AO1399))+1,"")</f>
        <v/>
      </c>
      <c r="AM1399">
        <f>IF($D1399="","",IF(OR($R1399=TRUE(),$R1399="TRUE"),1,0))</f>
        <v/>
      </c>
      <c r="AN1399">
        <f>IF($D1399="","",IF($X1399="Yes",1,0))</f>
        <v/>
      </c>
      <c r="AO1399">
        <f>IF($AK1399=1,IFERROR(IF(VALUE($D1399)&lt;100000000,VALUE($D1399),1000000000),IFERROR(IF(VALUE(MID($D1399,2,20))&lt;100000000,VALUE(MID($D1399,2,20)),1000000000),1000000000))+ROW()/100000,"")</f>
        <v/>
      </c>
    </row>
    <row r="1400">
      <c r="F1400" s="11" t="n"/>
      <c r="N1400" s="7">
        <f>IF($D1400="","",M1400*V1400/100)</f>
        <v/>
      </c>
      <c r="O1400" s="7" t="n"/>
      <c r="U1400" s="7" t="n"/>
      <c r="V1400" s="7" t="n"/>
      <c r="Y1400">
        <f>IF($D1400="","",IF($AN1400=1,0,IF($AM1400=1,Settings!$C$6,Settings!$C$7))*100)</f>
        <v/>
      </c>
      <c r="Z1400" s="7">
        <f>IF($D1400="","",V1400*Y1400/100)</f>
        <v/>
      </c>
      <c r="AA1400" s="7">
        <f>IF($D1400="","",V1400-Z1400)</f>
        <v/>
      </c>
      <c r="AB1400" s="7">
        <f>IF($D1400="","",AA1400-N1400)</f>
        <v/>
      </c>
      <c r="AF1400" s="7" t="n"/>
      <c r="AI1400" s="11" t="n"/>
      <c r="AK1400">
        <f>IF($D1400="","",IF(COUNTIF($D$2:$D1400,$D1400)=1,1,0))</f>
        <v/>
      </c>
      <c r="AL1400">
        <f>IF($AK1400=1,SUMPRODUCT(--($AO$2:$AO$3001&lt;$AO1400))+1,"")</f>
        <v/>
      </c>
      <c r="AM1400">
        <f>IF($D1400="","",IF(OR($R1400=TRUE(),$R1400="TRUE"),1,0))</f>
        <v/>
      </c>
      <c r="AN1400">
        <f>IF($D1400="","",IF($X1400="Yes",1,0))</f>
        <v/>
      </c>
      <c r="AO1400">
        <f>IF($AK1400=1,IFERROR(IF(VALUE($D1400)&lt;100000000,VALUE($D1400),1000000000),IFERROR(IF(VALUE(MID($D1400,2,20))&lt;100000000,VALUE(MID($D1400,2,20)),1000000000),1000000000))+ROW()/100000,"")</f>
        <v/>
      </c>
    </row>
    <row r="1401">
      <c r="F1401" s="11" t="n"/>
      <c r="N1401" s="7">
        <f>IF($D1401="","",M1401*V1401/100)</f>
        <v/>
      </c>
      <c r="O1401" s="7" t="n"/>
      <c r="U1401" s="7" t="n"/>
      <c r="V1401" s="7" t="n"/>
      <c r="Y1401">
        <f>IF($D1401="","",IF($AN1401=1,0,IF($AM1401=1,Settings!$C$6,Settings!$C$7))*100)</f>
        <v/>
      </c>
      <c r="Z1401" s="7">
        <f>IF($D1401="","",V1401*Y1401/100)</f>
        <v/>
      </c>
      <c r="AA1401" s="7">
        <f>IF($D1401="","",V1401-Z1401)</f>
        <v/>
      </c>
      <c r="AB1401" s="7">
        <f>IF($D1401="","",AA1401-N1401)</f>
        <v/>
      </c>
      <c r="AF1401" s="7" t="n"/>
      <c r="AI1401" s="11" t="n"/>
      <c r="AK1401">
        <f>IF($D1401="","",IF(COUNTIF($D$2:$D1401,$D1401)=1,1,0))</f>
        <v/>
      </c>
      <c r="AL1401">
        <f>IF($AK1401=1,SUMPRODUCT(--($AO$2:$AO$3001&lt;$AO1401))+1,"")</f>
        <v/>
      </c>
      <c r="AM1401">
        <f>IF($D1401="","",IF(OR($R1401=TRUE(),$R1401="TRUE"),1,0))</f>
        <v/>
      </c>
      <c r="AN1401">
        <f>IF($D1401="","",IF($X1401="Yes",1,0))</f>
        <v/>
      </c>
      <c r="AO1401">
        <f>IF($AK1401=1,IFERROR(IF(VALUE($D1401)&lt;100000000,VALUE($D1401),1000000000),IFERROR(IF(VALUE(MID($D1401,2,20))&lt;100000000,VALUE(MID($D1401,2,20)),1000000000),1000000000))+ROW()/100000,"")</f>
        <v/>
      </c>
    </row>
    <row r="1402">
      <c r="F1402" s="11" t="n"/>
      <c r="N1402" s="7">
        <f>IF($D1402="","",M1402*V1402/100)</f>
        <v/>
      </c>
      <c r="O1402" s="7" t="n"/>
      <c r="U1402" s="7" t="n"/>
      <c r="V1402" s="7" t="n"/>
      <c r="Y1402">
        <f>IF($D1402="","",IF($AN1402=1,0,IF($AM1402=1,Settings!$C$6,Settings!$C$7))*100)</f>
        <v/>
      </c>
      <c r="Z1402" s="7">
        <f>IF($D1402="","",V1402*Y1402/100)</f>
        <v/>
      </c>
      <c r="AA1402" s="7">
        <f>IF($D1402="","",V1402-Z1402)</f>
        <v/>
      </c>
      <c r="AB1402" s="7">
        <f>IF($D1402="","",AA1402-N1402)</f>
        <v/>
      </c>
      <c r="AF1402" s="7" t="n"/>
      <c r="AI1402" s="11" t="n"/>
      <c r="AK1402">
        <f>IF($D1402="","",IF(COUNTIF($D$2:$D1402,$D1402)=1,1,0))</f>
        <v/>
      </c>
      <c r="AL1402">
        <f>IF($AK1402=1,SUMPRODUCT(--($AO$2:$AO$3001&lt;$AO1402))+1,"")</f>
        <v/>
      </c>
      <c r="AM1402">
        <f>IF($D1402="","",IF(OR($R1402=TRUE(),$R1402="TRUE"),1,0))</f>
        <v/>
      </c>
      <c r="AN1402">
        <f>IF($D1402="","",IF($X1402="Yes",1,0))</f>
        <v/>
      </c>
      <c r="AO1402">
        <f>IF($AK1402=1,IFERROR(IF(VALUE($D1402)&lt;100000000,VALUE($D1402),1000000000),IFERROR(IF(VALUE(MID($D1402,2,20))&lt;100000000,VALUE(MID($D1402,2,20)),1000000000),1000000000))+ROW()/100000,"")</f>
        <v/>
      </c>
    </row>
    <row r="1403">
      <c r="F1403" s="11" t="n"/>
      <c r="N1403" s="7">
        <f>IF($D1403="","",M1403*V1403/100)</f>
        <v/>
      </c>
      <c r="O1403" s="7" t="n"/>
      <c r="U1403" s="7" t="n"/>
      <c r="V1403" s="7" t="n"/>
      <c r="Y1403">
        <f>IF($D1403="","",IF($AN1403=1,0,IF($AM1403=1,Settings!$C$6,Settings!$C$7))*100)</f>
        <v/>
      </c>
      <c r="Z1403" s="7">
        <f>IF($D1403="","",V1403*Y1403/100)</f>
        <v/>
      </c>
      <c r="AA1403" s="7">
        <f>IF($D1403="","",V1403-Z1403)</f>
        <v/>
      </c>
      <c r="AB1403" s="7">
        <f>IF($D1403="","",AA1403-N1403)</f>
        <v/>
      </c>
      <c r="AF1403" s="7" t="n"/>
      <c r="AI1403" s="11" t="n"/>
      <c r="AK1403">
        <f>IF($D1403="","",IF(COUNTIF($D$2:$D1403,$D1403)=1,1,0))</f>
        <v/>
      </c>
      <c r="AL1403">
        <f>IF($AK1403=1,SUMPRODUCT(--($AO$2:$AO$3001&lt;$AO1403))+1,"")</f>
        <v/>
      </c>
      <c r="AM1403">
        <f>IF($D1403="","",IF(OR($R1403=TRUE(),$R1403="TRUE"),1,0))</f>
        <v/>
      </c>
      <c r="AN1403">
        <f>IF($D1403="","",IF($X1403="Yes",1,0))</f>
        <v/>
      </c>
      <c r="AO1403">
        <f>IF($AK1403=1,IFERROR(IF(VALUE($D1403)&lt;100000000,VALUE($D1403),1000000000),IFERROR(IF(VALUE(MID($D1403,2,20))&lt;100000000,VALUE(MID($D1403,2,20)),1000000000),1000000000))+ROW()/100000,"")</f>
        <v/>
      </c>
    </row>
    <row r="1404">
      <c r="F1404" s="11" t="n"/>
      <c r="N1404" s="7">
        <f>IF($D1404="","",M1404*V1404/100)</f>
        <v/>
      </c>
      <c r="O1404" s="7" t="n"/>
      <c r="U1404" s="7" t="n"/>
      <c r="V1404" s="7" t="n"/>
      <c r="Y1404">
        <f>IF($D1404="","",IF($AN1404=1,0,IF($AM1404=1,Settings!$C$6,Settings!$C$7))*100)</f>
        <v/>
      </c>
      <c r="Z1404" s="7">
        <f>IF($D1404="","",V1404*Y1404/100)</f>
        <v/>
      </c>
      <c r="AA1404" s="7">
        <f>IF($D1404="","",V1404-Z1404)</f>
        <v/>
      </c>
      <c r="AB1404" s="7">
        <f>IF($D1404="","",AA1404-N1404)</f>
        <v/>
      </c>
      <c r="AF1404" s="7" t="n"/>
      <c r="AI1404" s="11" t="n"/>
      <c r="AK1404">
        <f>IF($D1404="","",IF(COUNTIF($D$2:$D1404,$D1404)=1,1,0))</f>
        <v/>
      </c>
      <c r="AL1404">
        <f>IF($AK1404=1,SUMPRODUCT(--($AO$2:$AO$3001&lt;$AO1404))+1,"")</f>
        <v/>
      </c>
      <c r="AM1404">
        <f>IF($D1404="","",IF(OR($R1404=TRUE(),$R1404="TRUE"),1,0))</f>
        <v/>
      </c>
      <c r="AN1404">
        <f>IF($D1404="","",IF($X1404="Yes",1,0))</f>
        <v/>
      </c>
      <c r="AO1404">
        <f>IF($AK1404=1,IFERROR(IF(VALUE($D1404)&lt;100000000,VALUE($D1404),1000000000),IFERROR(IF(VALUE(MID($D1404,2,20))&lt;100000000,VALUE(MID($D1404,2,20)),1000000000),1000000000))+ROW()/100000,"")</f>
        <v/>
      </c>
    </row>
    <row r="1405">
      <c r="F1405" s="11" t="n"/>
      <c r="N1405" s="7">
        <f>IF($D1405="","",M1405*V1405/100)</f>
        <v/>
      </c>
      <c r="O1405" s="7" t="n"/>
      <c r="U1405" s="7" t="n"/>
      <c r="V1405" s="7" t="n"/>
      <c r="Y1405">
        <f>IF($D1405="","",IF($AN1405=1,0,IF($AM1405=1,Settings!$C$6,Settings!$C$7))*100)</f>
        <v/>
      </c>
      <c r="Z1405" s="7">
        <f>IF($D1405="","",V1405*Y1405/100)</f>
        <v/>
      </c>
      <c r="AA1405" s="7">
        <f>IF($D1405="","",V1405-Z1405)</f>
        <v/>
      </c>
      <c r="AB1405" s="7">
        <f>IF($D1405="","",AA1405-N1405)</f>
        <v/>
      </c>
      <c r="AF1405" s="7" t="n"/>
      <c r="AI1405" s="11" t="n"/>
      <c r="AK1405">
        <f>IF($D1405="","",IF(COUNTIF($D$2:$D1405,$D1405)=1,1,0))</f>
        <v/>
      </c>
      <c r="AL1405">
        <f>IF($AK1405=1,SUMPRODUCT(--($AO$2:$AO$3001&lt;$AO1405))+1,"")</f>
        <v/>
      </c>
      <c r="AM1405">
        <f>IF($D1405="","",IF(OR($R1405=TRUE(),$R1405="TRUE"),1,0))</f>
        <v/>
      </c>
      <c r="AN1405">
        <f>IF($D1405="","",IF($X1405="Yes",1,0))</f>
        <v/>
      </c>
      <c r="AO1405">
        <f>IF($AK1405=1,IFERROR(IF(VALUE($D1405)&lt;100000000,VALUE($D1405),1000000000),IFERROR(IF(VALUE(MID($D1405,2,20))&lt;100000000,VALUE(MID($D1405,2,20)),1000000000),1000000000))+ROW()/100000,"")</f>
        <v/>
      </c>
    </row>
    <row r="1406">
      <c r="F1406" s="11" t="n"/>
      <c r="N1406" s="7">
        <f>IF($D1406="","",M1406*V1406/100)</f>
        <v/>
      </c>
      <c r="O1406" s="7" t="n"/>
      <c r="U1406" s="7" t="n"/>
      <c r="V1406" s="7" t="n"/>
      <c r="Y1406">
        <f>IF($D1406="","",IF($AN1406=1,0,IF($AM1406=1,Settings!$C$6,Settings!$C$7))*100)</f>
        <v/>
      </c>
      <c r="Z1406" s="7">
        <f>IF($D1406="","",V1406*Y1406/100)</f>
        <v/>
      </c>
      <c r="AA1406" s="7">
        <f>IF($D1406="","",V1406-Z1406)</f>
        <v/>
      </c>
      <c r="AB1406" s="7">
        <f>IF($D1406="","",AA1406-N1406)</f>
        <v/>
      </c>
      <c r="AF1406" s="7" t="n"/>
      <c r="AI1406" s="11" t="n"/>
      <c r="AK1406">
        <f>IF($D1406="","",IF(COUNTIF($D$2:$D1406,$D1406)=1,1,0))</f>
        <v/>
      </c>
      <c r="AL1406">
        <f>IF($AK1406=1,SUMPRODUCT(--($AO$2:$AO$3001&lt;$AO1406))+1,"")</f>
        <v/>
      </c>
      <c r="AM1406">
        <f>IF($D1406="","",IF(OR($R1406=TRUE(),$R1406="TRUE"),1,0))</f>
        <v/>
      </c>
      <c r="AN1406">
        <f>IF($D1406="","",IF($X1406="Yes",1,0))</f>
        <v/>
      </c>
      <c r="AO1406">
        <f>IF($AK1406=1,IFERROR(IF(VALUE($D1406)&lt;100000000,VALUE($D1406),1000000000),IFERROR(IF(VALUE(MID($D1406,2,20))&lt;100000000,VALUE(MID($D1406,2,20)),1000000000),1000000000))+ROW()/100000,"")</f>
        <v/>
      </c>
    </row>
    <row r="1407">
      <c r="F1407" s="11" t="n"/>
      <c r="N1407" s="7">
        <f>IF($D1407="","",M1407*V1407/100)</f>
        <v/>
      </c>
      <c r="O1407" s="7" t="n"/>
      <c r="U1407" s="7" t="n"/>
      <c r="V1407" s="7" t="n"/>
      <c r="Y1407">
        <f>IF($D1407="","",IF($AN1407=1,0,IF($AM1407=1,Settings!$C$6,Settings!$C$7))*100)</f>
        <v/>
      </c>
      <c r="Z1407" s="7">
        <f>IF($D1407="","",V1407*Y1407/100)</f>
        <v/>
      </c>
      <c r="AA1407" s="7">
        <f>IF($D1407="","",V1407-Z1407)</f>
        <v/>
      </c>
      <c r="AB1407" s="7">
        <f>IF($D1407="","",AA1407-N1407)</f>
        <v/>
      </c>
      <c r="AF1407" s="7" t="n"/>
      <c r="AI1407" s="11" t="n"/>
      <c r="AK1407">
        <f>IF($D1407="","",IF(COUNTIF($D$2:$D1407,$D1407)=1,1,0))</f>
        <v/>
      </c>
      <c r="AL1407">
        <f>IF($AK1407=1,SUMPRODUCT(--($AO$2:$AO$3001&lt;$AO1407))+1,"")</f>
        <v/>
      </c>
      <c r="AM1407">
        <f>IF($D1407="","",IF(OR($R1407=TRUE(),$R1407="TRUE"),1,0))</f>
        <v/>
      </c>
      <c r="AN1407">
        <f>IF($D1407="","",IF($X1407="Yes",1,0))</f>
        <v/>
      </c>
      <c r="AO1407">
        <f>IF($AK1407=1,IFERROR(IF(VALUE($D1407)&lt;100000000,VALUE($D1407),1000000000),IFERROR(IF(VALUE(MID($D1407,2,20))&lt;100000000,VALUE(MID($D1407,2,20)),1000000000),1000000000))+ROW()/100000,"")</f>
        <v/>
      </c>
    </row>
    <row r="1408">
      <c r="F1408" s="11" t="n"/>
      <c r="N1408" s="7">
        <f>IF($D1408="","",M1408*V1408/100)</f>
        <v/>
      </c>
      <c r="O1408" s="7" t="n"/>
      <c r="U1408" s="7" t="n"/>
      <c r="V1408" s="7" t="n"/>
      <c r="Y1408">
        <f>IF($D1408="","",IF($AN1408=1,0,IF($AM1408=1,Settings!$C$6,Settings!$C$7))*100)</f>
        <v/>
      </c>
      <c r="Z1408" s="7">
        <f>IF($D1408="","",V1408*Y1408/100)</f>
        <v/>
      </c>
      <c r="AA1408" s="7">
        <f>IF($D1408="","",V1408-Z1408)</f>
        <v/>
      </c>
      <c r="AB1408" s="7">
        <f>IF($D1408="","",AA1408-N1408)</f>
        <v/>
      </c>
      <c r="AF1408" s="7" t="n"/>
      <c r="AI1408" s="11" t="n"/>
      <c r="AK1408">
        <f>IF($D1408="","",IF(COUNTIF($D$2:$D1408,$D1408)=1,1,0))</f>
        <v/>
      </c>
      <c r="AL1408">
        <f>IF($AK1408=1,SUMPRODUCT(--($AO$2:$AO$3001&lt;$AO1408))+1,"")</f>
        <v/>
      </c>
      <c r="AM1408">
        <f>IF($D1408="","",IF(OR($R1408=TRUE(),$R1408="TRUE"),1,0))</f>
        <v/>
      </c>
      <c r="AN1408">
        <f>IF($D1408="","",IF($X1408="Yes",1,0))</f>
        <v/>
      </c>
      <c r="AO1408">
        <f>IF($AK1408=1,IFERROR(IF(VALUE($D1408)&lt;100000000,VALUE($D1408),1000000000),IFERROR(IF(VALUE(MID($D1408,2,20))&lt;100000000,VALUE(MID($D1408,2,20)),1000000000),1000000000))+ROW()/100000,"")</f>
        <v/>
      </c>
    </row>
    <row r="1409">
      <c r="F1409" s="11" t="n"/>
      <c r="N1409" s="7">
        <f>IF($D1409="","",M1409*V1409/100)</f>
        <v/>
      </c>
      <c r="O1409" s="7" t="n"/>
      <c r="U1409" s="7" t="n"/>
      <c r="V1409" s="7" t="n"/>
      <c r="Y1409">
        <f>IF($D1409="","",IF($AN1409=1,0,IF($AM1409=1,Settings!$C$6,Settings!$C$7))*100)</f>
        <v/>
      </c>
      <c r="Z1409" s="7">
        <f>IF($D1409="","",V1409*Y1409/100)</f>
        <v/>
      </c>
      <c r="AA1409" s="7">
        <f>IF($D1409="","",V1409-Z1409)</f>
        <v/>
      </c>
      <c r="AB1409" s="7">
        <f>IF($D1409="","",AA1409-N1409)</f>
        <v/>
      </c>
      <c r="AF1409" s="7" t="n"/>
      <c r="AI1409" s="11" t="n"/>
      <c r="AK1409">
        <f>IF($D1409="","",IF(COUNTIF($D$2:$D1409,$D1409)=1,1,0))</f>
        <v/>
      </c>
      <c r="AL1409">
        <f>IF($AK1409=1,SUMPRODUCT(--($AO$2:$AO$3001&lt;$AO1409))+1,"")</f>
        <v/>
      </c>
      <c r="AM1409">
        <f>IF($D1409="","",IF(OR($R1409=TRUE(),$R1409="TRUE"),1,0))</f>
        <v/>
      </c>
      <c r="AN1409">
        <f>IF($D1409="","",IF($X1409="Yes",1,0))</f>
        <v/>
      </c>
      <c r="AO1409">
        <f>IF($AK1409=1,IFERROR(IF(VALUE($D1409)&lt;100000000,VALUE($D1409),1000000000),IFERROR(IF(VALUE(MID($D1409,2,20))&lt;100000000,VALUE(MID($D1409,2,20)),1000000000),1000000000))+ROW()/100000,"")</f>
        <v/>
      </c>
    </row>
    <row r="1410">
      <c r="F1410" s="11" t="n"/>
      <c r="N1410" s="7">
        <f>IF($D1410="","",M1410*V1410/100)</f>
        <v/>
      </c>
      <c r="O1410" s="7" t="n"/>
      <c r="U1410" s="7" t="n"/>
      <c r="V1410" s="7" t="n"/>
      <c r="Y1410">
        <f>IF($D1410="","",IF($AN1410=1,0,IF($AM1410=1,Settings!$C$6,Settings!$C$7))*100)</f>
        <v/>
      </c>
      <c r="Z1410" s="7">
        <f>IF($D1410="","",V1410*Y1410/100)</f>
        <v/>
      </c>
      <c r="AA1410" s="7">
        <f>IF($D1410="","",V1410-Z1410)</f>
        <v/>
      </c>
      <c r="AB1410" s="7">
        <f>IF($D1410="","",AA1410-N1410)</f>
        <v/>
      </c>
      <c r="AF1410" s="7" t="n"/>
      <c r="AI1410" s="11" t="n"/>
      <c r="AK1410">
        <f>IF($D1410="","",IF(COUNTIF($D$2:$D1410,$D1410)=1,1,0))</f>
        <v/>
      </c>
      <c r="AL1410">
        <f>IF($AK1410=1,SUMPRODUCT(--($AO$2:$AO$3001&lt;$AO1410))+1,"")</f>
        <v/>
      </c>
      <c r="AM1410">
        <f>IF($D1410="","",IF(OR($R1410=TRUE(),$R1410="TRUE"),1,0))</f>
        <v/>
      </c>
      <c r="AN1410">
        <f>IF($D1410="","",IF($X1410="Yes",1,0))</f>
        <v/>
      </c>
      <c r="AO1410">
        <f>IF($AK1410=1,IFERROR(IF(VALUE($D1410)&lt;100000000,VALUE($D1410),1000000000),IFERROR(IF(VALUE(MID($D1410,2,20))&lt;100000000,VALUE(MID($D1410,2,20)),1000000000),1000000000))+ROW()/100000,"")</f>
        <v/>
      </c>
    </row>
    <row r="1411">
      <c r="F1411" s="11" t="n"/>
      <c r="N1411" s="7">
        <f>IF($D1411="","",M1411*V1411/100)</f>
        <v/>
      </c>
      <c r="O1411" s="7" t="n"/>
      <c r="U1411" s="7" t="n"/>
      <c r="V1411" s="7" t="n"/>
      <c r="Y1411">
        <f>IF($D1411="","",IF($AN1411=1,0,IF($AM1411=1,Settings!$C$6,Settings!$C$7))*100)</f>
        <v/>
      </c>
      <c r="Z1411" s="7">
        <f>IF($D1411="","",V1411*Y1411/100)</f>
        <v/>
      </c>
      <c r="AA1411" s="7">
        <f>IF($D1411="","",V1411-Z1411)</f>
        <v/>
      </c>
      <c r="AB1411" s="7">
        <f>IF($D1411="","",AA1411-N1411)</f>
        <v/>
      </c>
      <c r="AF1411" s="7" t="n"/>
      <c r="AI1411" s="11" t="n"/>
      <c r="AK1411">
        <f>IF($D1411="","",IF(COUNTIF($D$2:$D1411,$D1411)=1,1,0))</f>
        <v/>
      </c>
      <c r="AL1411">
        <f>IF($AK1411=1,SUMPRODUCT(--($AO$2:$AO$3001&lt;$AO1411))+1,"")</f>
        <v/>
      </c>
      <c r="AM1411">
        <f>IF($D1411="","",IF(OR($R1411=TRUE(),$R1411="TRUE"),1,0))</f>
        <v/>
      </c>
      <c r="AN1411">
        <f>IF($D1411="","",IF($X1411="Yes",1,0))</f>
        <v/>
      </c>
      <c r="AO1411">
        <f>IF($AK1411=1,IFERROR(IF(VALUE($D1411)&lt;100000000,VALUE($D1411),1000000000),IFERROR(IF(VALUE(MID($D1411,2,20))&lt;100000000,VALUE(MID($D1411,2,20)),1000000000),1000000000))+ROW()/100000,"")</f>
        <v/>
      </c>
    </row>
    <row r="1412">
      <c r="F1412" s="11" t="n"/>
      <c r="N1412" s="7">
        <f>IF($D1412="","",M1412*V1412/100)</f>
        <v/>
      </c>
      <c r="O1412" s="7" t="n"/>
      <c r="U1412" s="7" t="n"/>
      <c r="V1412" s="7" t="n"/>
      <c r="Y1412">
        <f>IF($D1412="","",IF($AN1412=1,0,IF($AM1412=1,Settings!$C$6,Settings!$C$7))*100)</f>
        <v/>
      </c>
      <c r="Z1412" s="7">
        <f>IF($D1412="","",V1412*Y1412/100)</f>
        <v/>
      </c>
      <c r="AA1412" s="7">
        <f>IF($D1412="","",V1412-Z1412)</f>
        <v/>
      </c>
      <c r="AB1412" s="7">
        <f>IF($D1412="","",AA1412-N1412)</f>
        <v/>
      </c>
      <c r="AF1412" s="7" t="n"/>
      <c r="AI1412" s="11" t="n"/>
      <c r="AK1412">
        <f>IF($D1412="","",IF(COUNTIF($D$2:$D1412,$D1412)=1,1,0))</f>
        <v/>
      </c>
      <c r="AL1412">
        <f>IF($AK1412=1,SUMPRODUCT(--($AO$2:$AO$3001&lt;$AO1412))+1,"")</f>
        <v/>
      </c>
      <c r="AM1412">
        <f>IF($D1412="","",IF(OR($R1412=TRUE(),$R1412="TRUE"),1,0))</f>
        <v/>
      </c>
      <c r="AN1412">
        <f>IF($D1412="","",IF($X1412="Yes",1,0))</f>
        <v/>
      </c>
      <c r="AO1412">
        <f>IF($AK1412=1,IFERROR(IF(VALUE($D1412)&lt;100000000,VALUE($D1412),1000000000),IFERROR(IF(VALUE(MID($D1412,2,20))&lt;100000000,VALUE(MID($D1412,2,20)),1000000000),1000000000))+ROW()/100000,"")</f>
        <v/>
      </c>
    </row>
    <row r="1413">
      <c r="F1413" s="11" t="n"/>
      <c r="N1413" s="7">
        <f>IF($D1413="","",M1413*V1413/100)</f>
        <v/>
      </c>
      <c r="O1413" s="7" t="n"/>
      <c r="U1413" s="7" t="n"/>
      <c r="V1413" s="7" t="n"/>
      <c r="Y1413">
        <f>IF($D1413="","",IF($AN1413=1,0,IF($AM1413=1,Settings!$C$6,Settings!$C$7))*100)</f>
        <v/>
      </c>
      <c r="Z1413" s="7">
        <f>IF($D1413="","",V1413*Y1413/100)</f>
        <v/>
      </c>
      <c r="AA1413" s="7">
        <f>IF($D1413="","",V1413-Z1413)</f>
        <v/>
      </c>
      <c r="AB1413" s="7">
        <f>IF($D1413="","",AA1413-N1413)</f>
        <v/>
      </c>
      <c r="AF1413" s="7" t="n"/>
      <c r="AI1413" s="11" t="n"/>
      <c r="AK1413">
        <f>IF($D1413="","",IF(COUNTIF($D$2:$D1413,$D1413)=1,1,0))</f>
        <v/>
      </c>
      <c r="AL1413">
        <f>IF($AK1413=1,SUMPRODUCT(--($AO$2:$AO$3001&lt;$AO1413))+1,"")</f>
        <v/>
      </c>
      <c r="AM1413">
        <f>IF($D1413="","",IF(OR($R1413=TRUE(),$R1413="TRUE"),1,0))</f>
        <v/>
      </c>
      <c r="AN1413">
        <f>IF($D1413="","",IF($X1413="Yes",1,0))</f>
        <v/>
      </c>
      <c r="AO1413">
        <f>IF($AK1413=1,IFERROR(IF(VALUE($D1413)&lt;100000000,VALUE($D1413),1000000000),IFERROR(IF(VALUE(MID($D1413,2,20))&lt;100000000,VALUE(MID($D1413,2,20)),1000000000),1000000000))+ROW()/100000,"")</f>
        <v/>
      </c>
    </row>
    <row r="1414">
      <c r="F1414" s="11" t="n"/>
      <c r="N1414" s="7">
        <f>IF($D1414="","",M1414*V1414/100)</f>
        <v/>
      </c>
      <c r="O1414" s="7" t="n"/>
      <c r="U1414" s="7" t="n"/>
      <c r="V1414" s="7" t="n"/>
      <c r="Y1414">
        <f>IF($D1414="","",IF($AN1414=1,0,IF($AM1414=1,Settings!$C$6,Settings!$C$7))*100)</f>
        <v/>
      </c>
      <c r="Z1414" s="7">
        <f>IF($D1414="","",V1414*Y1414/100)</f>
        <v/>
      </c>
      <c r="AA1414" s="7">
        <f>IF($D1414="","",V1414-Z1414)</f>
        <v/>
      </c>
      <c r="AB1414" s="7">
        <f>IF($D1414="","",AA1414-N1414)</f>
        <v/>
      </c>
      <c r="AF1414" s="7" t="n"/>
      <c r="AI1414" s="11" t="n"/>
      <c r="AK1414">
        <f>IF($D1414="","",IF(COUNTIF($D$2:$D1414,$D1414)=1,1,0))</f>
        <v/>
      </c>
      <c r="AL1414">
        <f>IF($AK1414=1,SUMPRODUCT(--($AO$2:$AO$3001&lt;$AO1414))+1,"")</f>
        <v/>
      </c>
      <c r="AM1414">
        <f>IF($D1414="","",IF(OR($R1414=TRUE(),$R1414="TRUE"),1,0))</f>
        <v/>
      </c>
      <c r="AN1414">
        <f>IF($D1414="","",IF($X1414="Yes",1,0))</f>
        <v/>
      </c>
      <c r="AO1414">
        <f>IF($AK1414=1,IFERROR(IF(VALUE($D1414)&lt;100000000,VALUE($D1414),1000000000),IFERROR(IF(VALUE(MID($D1414,2,20))&lt;100000000,VALUE(MID($D1414,2,20)),1000000000),1000000000))+ROW()/100000,"")</f>
        <v/>
      </c>
    </row>
    <row r="1415">
      <c r="F1415" s="11" t="n"/>
      <c r="N1415" s="7">
        <f>IF($D1415="","",M1415*V1415/100)</f>
        <v/>
      </c>
      <c r="O1415" s="7" t="n"/>
      <c r="U1415" s="7" t="n"/>
      <c r="V1415" s="7" t="n"/>
      <c r="Y1415">
        <f>IF($D1415="","",IF($AN1415=1,0,IF($AM1415=1,Settings!$C$6,Settings!$C$7))*100)</f>
        <v/>
      </c>
      <c r="Z1415" s="7">
        <f>IF($D1415="","",V1415*Y1415/100)</f>
        <v/>
      </c>
      <c r="AA1415" s="7">
        <f>IF($D1415="","",V1415-Z1415)</f>
        <v/>
      </c>
      <c r="AB1415" s="7">
        <f>IF($D1415="","",AA1415-N1415)</f>
        <v/>
      </c>
      <c r="AF1415" s="7" t="n"/>
      <c r="AI1415" s="11" t="n"/>
      <c r="AK1415">
        <f>IF($D1415="","",IF(COUNTIF($D$2:$D1415,$D1415)=1,1,0))</f>
        <v/>
      </c>
      <c r="AL1415">
        <f>IF($AK1415=1,SUMPRODUCT(--($AO$2:$AO$3001&lt;$AO1415))+1,"")</f>
        <v/>
      </c>
      <c r="AM1415">
        <f>IF($D1415="","",IF(OR($R1415=TRUE(),$R1415="TRUE"),1,0))</f>
        <v/>
      </c>
      <c r="AN1415">
        <f>IF($D1415="","",IF($X1415="Yes",1,0))</f>
        <v/>
      </c>
      <c r="AO1415">
        <f>IF($AK1415=1,IFERROR(IF(VALUE($D1415)&lt;100000000,VALUE($D1415),1000000000),IFERROR(IF(VALUE(MID($D1415,2,20))&lt;100000000,VALUE(MID($D1415,2,20)),1000000000),1000000000))+ROW()/100000,"")</f>
        <v/>
      </c>
    </row>
    <row r="1416">
      <c r="F1416" s="11" t="n"/>
      <c r="N1416" s="7">
        <f>IF($D1416="","",M1416*V1416/100)</f>
        <v/>
      </c>
      <c r="O1416" s="7" t="n"/>
      <c r="U1416" s="7" t="n"/>
      <c r="V1416" s="7" t="n"/>
      <c r="Y1416">
        <f>IF($D1416="","",IF($AN1416=1,0,IF($AM1416=1,Settings!$C$6,Settings!$C$7))*100)</f>
        <v/>
      </c>
      <c r="Z1416" s="7">
        <f>IF($D1416="","",V1416*Y1416/100)</f>
        <v/>
      </c>
      <c r="AA1416" s="7">
        <f>IF($D1416="","",V1416-Z1416)</f>
        <v/>
      </c>
      <c r="AB1416" s="7">
        <f>IF($D1416="","",AA1416-N1416)</f>
        <v/>
      </c>
      <c r="AF1416" s="7" t="n"/>
      <c r="AI1416" s="11" t="n"/>
      <c r="AK1416">
        <f>IF($D1416="","",IF(COUNTIF($D$2:$D1416,$D1416)=1,1,0))</f>
        <v/>
      </c>
      <c r="AL1416">
        <f>IF($AK1416=1,SUMPRODUCT(--($AO$2:$AO$3001&lt;$AO1416))+1,"")</f>
        <v/>
      </c>
      <c r="AM1416">
        <f>IF($D1416="","",IF(OR($R1416=TRUE(),$R1416="TRUE"),1,0))</f>
        <v/>
      </c>
      <c r="AN1416">
        <f>IF($D1416="","",IF($X1416="Yes",1,0))</f>
        <v/>
      </c>
      <c r="AO1416">
        <f>IF($AK1416=1,IFERROR(IF(VALUE($D1416)&lt;100000000,VALUE($D1416),1000000000),IFERROR(IF(VALUE(MID($D1416,2,20))&lt;100000000,VALUE(MID($D1416,2,20)),1000000000),1000000000))+ROW()/100000,"")</f>
        <v/>
      </c>
    </row>
    <row r="1417">
      <c r="F1417" s="11" t="n"/>
      <c r="N1417" s="7">
        <f>IF($D1417="","",M1417*V1417/100)</f>
        <v/>
      </c>
      <c r="O1417" s="7" t="n"/>
      <c r="U1417" s="7" t="n"/>
      <c r="V1417" s="7" t="n"/>
      <c r="Y1417">
        <f>IF($D1417="","",IF($AN1417=1,0,IF($AM1417=1,Settings!$C$6,Settings!$C$7))*100)</f>
        <v/>
      </c>
      <c r="Z1417" s="7">
        <f>IF($D1417="","",V1417*Y1417/100)</f>
        <v/>
      </c>
      <c r="AA1417" s="7">
        <f>IF($D1417="","",V1417-Z1417)</f>
        <v/>
      </c>
      <c r="AB1417" s="7">
        <f>IF($D1417="","",AA1417-N1417)</f>
        <v/>
      </c>
      <c r="AF1417" s="7" t="n"/>
      <c r="AI1417" s="11" t="n"/>
      <c r="AK1417">
        <f>IF($D1417="","",IF(COUNTIF($D$2:$D1417,$D1417)=1,1,0))</f>
        <v/>
      </c>
      <c r="AL1417">
        <f>IF($AK1417=1,SUMPRODUCT(--($AO$2:$AO$3001&lt;$AO1417))+1,"")</f>
        <v/>
      </c>
      <c r="AM1417">
        <f>IF($D1417="","",IF(OR($R1417=TRUE(),$R1417="TRUE"),1,0))</f>
        <v/>
      </c>
      <c r="AN1417">
        <f>IF($D1417="","",IF($X1417="Yes",1,0))</f>
        <v/>
      </c>
      <c r="AO1417">
        <f>IF($AK1417=1,IFERROR(IF(VALUE($D1417)&lt;100000000,VALUE($D1417),1000000000),IFERROR(IF(VALUE(MID($D1417,2,20))&lt;100000000,VALUE(MID($D1417,2,20)),1000000000),1000000000))+ROW()/100000,"")</f>
        <v/>
      </c>
    </row>
    <row r="1418">
      <c r="F1418" s="11" t="n"/>
      <c r="N1418" s="7">
        <f>IF($D1418="","",M1418*V1418/100)</f>
        <v/>
      </c>
      <c r="O1418" s="7" t="n"/>
      <c r="U1418" s="7" t="n"/>
      <c r="V1418" s="7" t="n"/>
      <c r="Y1418">
        <f>IF($D1418="","",IF($AN1418=1,0,IF($AM1418=1,Settings!$C$6,Settings!$C$7))*100)</f>
        <v/>
      </c>
      <c r="Z1418" s="7">
        <f>IF($D1418="","",V1418*Y1418/100)</f>
        <v/>
      </c>
      <c r="AA1418" s="7">
        <f>IF($D1418="","",V1418-Z1418)</f>
        <v/>
      </c>
      <c r="AB1418" s="7">
        <f>IF($D1418="","",AA1418-N1418)</f>
        <v/>
      </c>
      <c r="AF1418" s="7" t="n"/>
      <c r="AI1418" s="11" t="n"/>
      <c r="AK1418">
        <f>IF($D1418="","",IF(COUNTIF($D$2:$D1418,$D1418)=1,1,0))</f>
        <v/>
      </c>
      <c r="AL1418">
        <f>IF($AK1418=1,SUMPRODUCT(--($AO$2:$AO$3001&lt;$AO1418))+1,"")</f>
        <v/>
      </c>
      <c r="AM1418">
        <f>IF($D1418="","",IF(OR($R1418=TRUE(),$R1418="TRUE"),1,0))</f>
        <v/>
      </c>
      <c r="AN1418">
        <f>IF($D1418="","",IF($X1418="Yes",1,0))</f>
        <v/>
      </c>
      <c r="AO1418">
        <f>IF($AK1418=1,IFERROR(IF(VALUE($D1418)&lt;100000000,VALUE($D1418),1000000000),IFERROR(IF(VALUE(MID($D1418,2,20))&lt;100000000,VALUE(MID($D1418,2,20)),1000000000),1000000000))+ROW()/100000,"")</f>
        <v/>
      </c>
    </row>
    <row r="1419">
      <c r="F1419" s="11" t="n"/>
      <c r="N1419" s="7">
        <f>IF($D1419="","",M1419*V1419/100)</f>
        <v/>
      </c>
      <c r="O1419" s="7" t="n"/>
      <c r="U1419" s="7" t="n"/>
      <c r="V1419" s="7" t="n"/>
      <c r="Y1419">
        <f>IF($D1419="","",IF($AN1419=1,0,IF($AM1419=1,Settings!$C$6,Settings!$C$7))*100)</f>
        <v/>
      </c>
      <c r="Z1419" s="7">
        <f>IF($D1419="","",V1419*Y1419/100)</f>
        <v/>
      </c>
      <c r="AA1419" s="7">
        <f>IF($D1419="","",V1419-Z1419)</f>
        <v/>
      </c>
      <c r="AB1419" s="7">
        <f>IF($D1419="","",AA1419-N1419)</f>
        <v/>
      </c>
      <c r="AF1419" s="7" t="n"/>
      <c r="AI1419" s="11" t="n"/>
      <c r="AK1419">
        <f>IF($D1419="","",IF(COUNTIF($D$2:$D1419,$D1419)=1,1,0))</f>
        <v/>
      </c>
      <c r="AL1419">
        <f>IF($AK1419=1,SUMPRODUCT(--($AO$2:$AO$3001&lt;$AO1419))+1,"")</f>
        <v/>
      </c>
      <c r="AM1419">
        <f>IF($D1419="","",IF(OR($R1419=TRUE(),$R1419="TRUE"),1,0))</f>
        <v/>
      </c>
      <c r="AN1419">
        <f>IF($D1419="","",IF($X1419="Yes",1,0))</f>
        <v/>
      </c>
      <c r="AO1419">
        <f>IF($AK1419=1,IFERROR(IF(VALUE($D1419)&lt;100000000,VALUE($D1419),1000000000),IFERROR(IF(VALUE(MID($D1419,2,20))&lt;100000000,VALUE(MID($D1419,2,20)),1000000000),1000000000))+ROW()/100000,"")</f>
        <v/>
      </c>
    </row>
    <row r="1420">
      <c r="F1420" s="11" t="n"/>
      <c r="N1420" s="7">
        <f>IF($D1420="","",M1420*V1420/100)</f>
        <v/>
      </c>
      <c r="O1420" s="7" t="n"/>
      <c r="U1420" s="7" t="n"/>
      <c r="V1420" s="7" t="n"/>
      <c r="Y1420">
        <f>IF($D1420="","",IF($AN1420=1,0,IF($AM1420=1,Settings!$C$6,Settings!$C$7))*100)</f>
        <v/>
      </c>
      <c r="Z1420" s="7">
        <f>IF($D1420="","",V1420*Y1420/100)</f>
        <v/>
      </c>
      <c r="AA1420" s="7">
        <f>IF($D1420="","",V1420-Z1420)</f>
        <v/>
      </c>
      <c r="AB1420" s="7">
        <f>IF($D1420="","",AA1420-N1420)</f>
        <v/>
      </c>
      <c r="AF1420" s="7" t="n"/>
      <c r="AI1420" s="11" t="n"/>
      <c r="AK1420">
        <f>IF($D1420="","",IF(COUNTIF($D$2:$D1420,$D1420)=1,1,0))</f>
        <v/>
      </c>
      <c r="AL1420">
        <f>IF($AK1420=1,SUMPRODUCT(--($AO$2:$AO$3001&lt;$AO1420))+1,"")</f>
        <v/>
      </c>
      <c r="AM1420">
        <f>IF($D1420="","",IF(OR($R1420=TRUE(),$R1420="TRUE"),1,0))</f>
        <v/>
      </c>
      <c r="AN1420">
        <f>IF($D1420="","",IF($X1420="Yes",1,0))</f>
        <v/>
      </c>
      <c r="AO1420">
        <f>IF($AK1420=1,IFERROR(IF(VALUE($D1420)&lt;100000000,VALUE($D1420),1000000000),IFERROR(IF(VALUE(MID($D1420,2,20))&lt;100000000,VALUE(MID($D1420,2,20)),1000000000),1000000000))+ROW()/100000,"")</f>
        <v/>
      </c>
    </row>
    <row r="1421">
      <c r="F1421" s="11" t="n"/>
      <c r="N1421" s="7">
        <f>IF($D1421="","",M1421*V1421/100)</f>
        <v/>
      </c>
      <c r="O1421" s="7" t="n"/>
      <c r="U1421" s="7" t="n"/>
      <c r="V1421" s="7" t="n"/>
      <c r="Y1421">
        <f>IF($D1421="","",IF($AN1421=1,0,IF($AM1421=1,Settings!$C$6,Settings!$C$7))*100)</f>
        <v/>
      </c>
      <c r="Z1421" s="7">
        <f>IF($D1421="","",V1421*Y1421/100)</f>
        <v/>
      </c>
      <c r="AA1421" s="7">
        <f>IF($D1421="","",V1421-Z1421)</f>
        <v/>
      </c>
      <c r="AB1421" s="7">
        <f>IF($D1421="","",AA1421-N1421)</f>
        <v/>
      </c>
      <c r="AF1421" s="7" t="n"/>
      <c r="AI1421" s="11" t="n"/>
      <c r="AK1421">
        <f>IF($D1421="","",IF(COUNTIF($D$2:$D1421,$D1421)=1,1,0))</f>
        <v/>
      </c>
      <c r="AL1421">
        <f>IF($AK1421=1,SUMPRODUCT(--($AO$2:$AO$3001&lt;$AO1421))+1,"")</f>
        <v/>
      </c>
      <c r="AM1421">
        <f>IF($D1421="","",IF(OR($R1421=TRUE(),$R1421="TRUE"),1,0))</f>
        <v/>
      </c>
      <c r="AN1421">
        <f>IF($D1421="","",IF($X1421="Yes",1,0))</f>
        <v/>
      </c>
      <c r="AO1421">
        <f>IF($AK1421=1,IFERROR(IF(VALUE($D1421)&lt;100000000,VALUE($D1421),1000000000),IFERROR(IF(VALUE(MID($D1421,2,20))&lt;100000000,VALUE(MID($D1421,2,20)),1000000000),1000000000))+ROW()/100000,"")</f>
        <v/>
      </c>
    </row>
    <row r="1422">
      <c r="F1422" s="11" t="n"/>
      <c r="N1422" s="7">
        <f>IF($D1422="","",M1422*V1422/100)</f>
        <v/>
      </c>
      <c r="O1422" s="7" t="n"/>
      <c r="U1422" s="7" t="n"/>
      <c r="V1422" s="7" t="n"/>
      <c r="Y1422">
        <f>IF($D1422="","",IF($AN1422=1,0,IF($AM1422=1,Settings!$C$6,Settings!$C$7))*100)</f>
        <v/>
      </c>
      <c r="Z1422" s="7">
        <f>IF($D1422="","",V1422*Y1422/100)</f>
        <v/>
      </c>
      <c r="AA1422" s="7">
        <f>IF($D1422="","",V1422-Z1422)</f>
        <v/>
      </c>
      <c r="AB1422" s="7">
        <f>IF($D1422="","",AA1422-N1422)</f>
        <v/>
      </c>
      <c r="AF1422" s="7" t="n"/>
      <c r="AI1422" s="11" t="n"/>
      <c r="AK1422">
        <f>IF($D1422="","",IF(COUNTIF($D$2:$D1422,$D1422)=1,1,0))</f>
        <v/>
      </c>
      <c r="AL1422">
        <f>IF($AK1422=1,SUMPRODUCT(--($AO$2:$AO$3001&lt;$AO1422))+1,"")</f>
        <v/>
      </c>
      <c r="AM1422">
        <f>IF($D1422="","",IF(OR($R1422=TRUE(),$R1422="TRUE"),1,0))</f>
        <v/>
      </c>
      <c r="AN1422">
        <f>IF($D1422="","",IF($X1422="Yes",1,0))</f>
        <v/>
      </c>
      <c r="AO1422">
        <f>IF($AK1422=1,IFERROR(IF(VALUE($D1422)&lt;100000000,VALUE($D1422),1000000000),IFERROR(IF(VALUE(MID($D1422,2,20))&lt;100000000,VALUE(MID($D1422,2,20)),1000000000),1000000000))+ROW()/100000,"")</f>
        <v/>
      </c>
    </row>
    <row r="1423">
      <c r="F1423" s="11" t="n"/>
      <c r="N1423" s="7">
        <f>IF($D1423="","",M1423*V1423/100)</f>
        <v/>
      </c>
      <c r="O1423" s="7" t="n"/>
      <c r="U1423" s="7" t="n"/>
      <c r="V1423" s="7" t="n"/>
      <c r="Y1423">
        <f>IF($D1423="","",IF($AN1423=1,0,IF($AM1423=1,Settings!$C$6,Settings!$C$7))*100)</f>
        <v/>
      </c>
      <c r="Z1423" s="7">
        <f>IF($D1423="","",V1423*Y1423/100)</f>
        <v/>
      </c>
      <c r="AA1423" s="7">
        <f>IF($D1423="","",V1423-Z1423)</f>
        <v/>
      </c>
      <c r="AB1423" s="7">
        <f>IF($D1423="","",AA1423-N1423)</f>
        <v/>
      </c>
      <c r="AF1423" s="7" t="n"/>
      <c r="AI1423" s="11" t="n"/>
      <c r="AK1423">
        <f>IF($D1423="","",IF(COUNTIF($D$2:$D1423,$D1423)=1,1,0))</f>
        <v/>
      </c>
      <c r="AL1423">
        <f>IF($AK1423=1,SUMPRODUCT(--($AO$2:$AO$3001&lt;$AO1423))+1,"")</f>
        <v/>
      </c>
      <c r="AM1423">
        <f>IF($D1423="","",IF(OR($R1423=TRUE(),$R1423="TRUE"),1,0))</f>
        <v/>
      </c>
      <c r="AN1423">
        <f>IF($D1423="","",IF($X1423="Yes",1,0))</f>
        <v/>
      </c>
      <c r="AO1423">
        <f>IF($AK1423=1,IFERROR(IF(VALUE($D1423)&lt;100000000,VALUE($D1423),1000000000),IFERROR(IF(VALUE(MID($D1423,2,20))&lt;100000000,VALUE(MID($D1423,2,20)),1000000000),1000000000))+ROW()/100000,"")</f>
        <v/>
      </c>
    </row>
    <row r="1424">
      <c r="F1424" s="11" t="n"/>
      <c r="N1424" s="7">
        <f>IF($D1424="","",M1424*V1424/100)</f>
        <v/>
      </c>
      <c r="O1424" s="7" t="n"/>
      <c r="U1424" s="7" t="n"/>
      <c r="V1424" s="7" t="n"/>
      <c r="Y1424">
        <f>IF($D1424="","",IF($AN1424=1,0,IF($AM1424=1,Settings!$C$6,Settings!$C$7))*100)</f>
        <v/>
      </c>
      <c r="Z1424" s="7">
        <f>IF($D1424="","",V1424*Y1424/100)</f>
        <v/>
      </c>
      <c r="AA1424" s="7">
        <f>IF($D1424="","",V1424-Z1424)</f>
        <v/>
      </c>
      <c r="AB1424" s="7">
        <f>IF($D1424="","",AA1424-N1424)</f>
        <v/>
      </c>
      <c r="AF1424" s="7" t="n"/>
      <c r="AI1424" s="11" t="n"/>
      <c r="AK1424">
        <f>IF($D1424="","",IF(COUNTIF($D$2:$D1424,$D1424)=1,1,0))</f>
        <v/>
      </c>
      <c r="AL1424">
        <f>IF($AK1424=1,SUMPRODUCT(--($AO$2:$AO$3001&lt;$AO1424))+1,"")</f>
        <v/>
      </c>
      <c r="AM1424">
        <f>IF($D1424="","",IF(OR($R1424=TRUE(),$R1424="TRUE"),1,0))</f>
        <v/>
      </c>
      <c r="AN1424">
        <f>IF($D1424="","",IF($X1424="Yes",1,0))</f>
        <v/>
      </c>
      <c r="AO1424">
        <f>IF($AK1424=1,IFERROR(IF(VALUE($D1424)&lt;100000000,VALUE($D1424),1000000000),IFERROR(IF(VALUE(MID($D1424,2,20))&lt;100000000,VALUE(MID($D1424,2,20)),1000000000),1000000000))+ROW()/100000,"")</f>
        <v/>
      </c>
    </row>
    <row r="1425">
      <c r="F1425" s="11" t="n"/>
      <c r="N1425" s="7">
        <f>IF($D1425="","",M1425*V1425/100)</f>
        <v/>
      </c>
      <c r="O1425" s="7" t="n"/>
      <c r="U1425" s="7" t="n"/>
      <c r="V1425" s="7" t="n"/>
      <c r="Y1425">
        <f>IF($D1425="","",IF($AN1425=1,0,IF($AM1425=1,Settings!$C$6,Settings!$C$7))*100)</f>
        <v/>
      </c>
      <c r="Z1425" s="7">
        <f>IF($D1425="","",V1425*Y1425/100)</f>
        <v/>
      </c>
      <c r="AA1425" s="7">
        <f>IF($D1425="","",V1425-Z1425)</f>
        <v/>
      </c>
      <c r="AB1425" s="7">
        <f>IF($D1425="","",AA1425-N1425)</f>
        <v/>
      </c>
      <c r="AF1425" s="7" t="n"/>
      <c r="AI1425" s="11" t="n"/>
      <c r="AK1425">
        <f>IF($D1425="","",IF(COUNTIF($D$2:$D1425,$D1425)=1,1,0))</f>
        <v/>
      </c>
      <c r="AL1425">
        <f>IF($AK1425=1,SUMPRODUCT(--($AO$2:$AO$3001&lt;$AO1425))+1,"")</f>
        <v/>
      </c>
      <c r="AM1425">
        <f>IF($D1425="","",IF(OR($R1425=TRUE(),$R1425="TRUE"),1,0))</f>
        <v/>
      </c>
      <c r="AN1425">
        <f>IF($D1425="","",IF($X1425="Yes",1,0))</f>
        <v/>
      </c>
      <c r="AO1425">
        <f>IF($AK1425=1,IFERROR(IF(VALUE($D1425)&lt;100000000,VALUE($D1425),1000000000),IFERROR(IF(VALUE(MID($D1425,2,20))&lt;100000000,VALUE(MID($D1425,2,20)),1000000000),1000000000))+ROW()/100000,"")</f>
        <v/>
      </c>
    </row>
    <row r="1426">
      <c r="F1426" s="11" t="n"/>
      <c r="N1426" s="7">
        <f>IF($D1426="","",M1426*V1426/100)</f>
        <v/>
      </c>
      <c r="O1426" s="7" t="n"/>
      <c r="U1426" s="7" t="n"/>
      <c r="V1426" s="7" t="n"/>
      <c r="Y1426">
        <f>IF($D1426="","",IF($AN1426=1,0,IF($AM1426=1,Settings!$C$6,Settings!$C$7))*100)</f>
        <v/>
      </c>
      <c r="Z1426" s="7">
        <f>IF($D1426="","",V1426*Y1426/100)</f>
        <v/>
      </c>
      <c r="AA1426" s="7">
        <f>IF($D1426="","",V1426-Z1426)</f>
        <v/>
      </c>
      <c r="AB1426" s="7">
        <f>IF($D1426="","",AA1426-N1426)</f>
        <v/>
      </c>
      <c r="AF1426" s="7" t="n"/>
      <c r="AI1426" s="11" t="n"/>
      <c r="AK1426">
        <f>IF($D1426="","",IF(COUNTIF($D$2:$D1426,$D1426)=1,1,0))</f>
        <v/>
      </c>
      <c r="AL1426">
        <f>IF($AK1426=1,SUMPRODUCT(--($AO$2:$AO$3001&lt;$AO1426))+1,"")</f>
        <v/>
      </c>
      <c r="AM1426">
        <f>IF($D1426="","",IF(OR($R1426=TRUE(),$R1426="TRUE"),1,0))</f>
        <v/>
      </c>
      <c r="AN1426">
        <f>IF($D1426="","",IF($X1426="Yes",1,0))</f>
        <v/>
      </c>
      <c r="AO1426">
        <f>IF($AK1426=1,IFERROR(IF(VALUE($D1426)&lt;100000000,VALUE($D1426),1000000000),IFERROR(IF(VALUE(MID($D1426,2,20))&lt;100000000,VALUE(MID($D1426,2,20)),1000000000),1000000000))+ROW()/100000,"")</f>
        <v/>
      </c>
    </row>
    <row r="1427">
      <c r="F1427" s="11" t="n"/>
      <c r="N1427" s="7">
        <f>IF($D1427="","",M1427*V1427/100)</f>
        <v/>
      </c>
      <c r="O1427" s="7" t="n"/>
      <c r="U1427" s="7" t="n"/>
      <c r="V1427" s="7" t="n"/>
      <c r="Y1427">
        <f>IF($D1427="","",IF($AN1427=1,0,IF($AM1427=1,Settings!$C$6,Settings!$C$7))*100)</f>
        <v/>
      </c>
      <c r="Z1427" s="7">
        <f>IF($D1427="","",V1427*Y1427/100)</f>
        <v/>
      </c>
      <c r="AA1427" s="7">
        <f>IF($D1427="","",V1427-Z1427)</f>
        <v/>
      </c>
      <c r="AB1427" s="7">
        <f>IF($D1427="","",AA1427-N1427)</f>
        <v/>
      </c>
      <c r="AF1427" s="7" t="n"/>
      <c r="AI1427" s="11" t="n"/>
      <c r="AK1427">
        <f>IF($D1427="","",IF(COUNTIF($D$2:$D1427,$D1427)=1,1,0))</f>
        <v/>
      </c>
      <c r="AL1427">
        <f>IF($AK1427=1,SUMPRODUCT(--($AO$2:$AO$3001&lt;$AO1427))+1,"")</f>
        <v/>
      </c>
      <c r="AM1427">
        <f>IF($D1427="","",IF(OR($R1427=TRUE(),$R1427="TRUE"),1,0))</f>
        <v/>
      </c>
      <c r="AN1427">
        <f>IF($D1427="","",IF($X1427="Yes",1,0))</f>
        <v/>
      </c>
      <c r="AO1427">
        <f>IF($AK1427=1,IFERROR(IF(VALUE($D1427)&lt;100000000,VALUE($D1427),1000000000),IFERROR(IF(VALUE(MID($D1427,2,20))&lt;100000000,VALUE(MID($D1427,2,20)),1000000000),1000000000))+ROW()/100000,"")</f>
        <v/>
      </c>
    </row>
    <row r="1428">
      <c r="F1428" s="11" t="n"/>
      <c r="N1428" s="7">
        <f>IF($D1428="","",M1428*V1428/100)</f>
        <v/>
      </c>
      <c r="O1428" s="7" t="n"/>
      <c r="U1428" s="7" t="n"/>
      <c r="V1428" s="7" t="n"/>
      <c r="Y1428">
        <f>IF($D1428="","",IF($AN1428=1,0,IF($AM1428=1,Settings!$C$6,Settings!$C$7))*100)</f>
        <v/>
      </c>
      <c r="Z1428" s="7">
        <f>IF($D1428="","",V1428*Y1428/100)</f>
        <v/>
      </c>
      <c r="AA1428" s="7">
        <f>IF($D1428="","",V1428-Z1428)</f>
        <v/>
      </c>
      <c r="AB1428" s="7">
        <f>IF($D1428="","",AA1428-N1428)</f>
        <v/>
      </c>
      <c r="AF1428" s="7" t="n"/>
      <c r="AI1428" s="11" t="n"/>
      <c r="AK1428">
        <f>IF($D1428="","",IF(COUNTIF($D$2:$D1428,$D1428)=1,1,0))</f>
        <v/>
      </c>
      <c r="AL1428">
        <f>IF($AK1428=1,SUMPRODUCT(--($AO$2:$AO$3001&lt;$AO1428))+1,"")</f>
        <v/>
      </c>
      <c r="AM1428">
        <f>IF($D1428="","",IF(OR($R1428=TRUE(),$R1428="TRUE"),1,0))</f>
        <v/>
      </c>
      <c r="AN1428">
        <f>IF($D1428="","",IF($X1428="Yes",1,0))</f>
        <v/>
      </c>
      <c r="AO1428">
        <f>IF($AK1428=1,IFERROR(IF(VALUE($D1428)&lt;100000000,VALUE($D1428),1000000000),IFERROR(IF(VALUE(MID($D1428,2,20))&lt;100000000,VALUE(MID($D1428,2,20)),1000000000),1000000000))+ROW()/100000,"")</f>
        <v/>
      </c>
    </row>
    <row r="1429">
      <c r="F1429" s="11" t="n"/>
      <c r="N1429" s="7">
        <f>IF($D1429="","",M1429*V1429/100)</f>
        <v/>
      </c>
      <c r="O1429" s="7" t="n"/>
      <c r="U1429" s="7" t="n"/>
      <c r="V1429" s="7" t="n"/>
      <c r="Y1429">
        <f>IF($D1429="","",IF($AN1429=1,0,IF($AM1429=1,Settings!$C$6,Settings!$C$7))*100)</f>
        <v/>
      </c>
      <c r="Z1429" s="7">
        <f>IF($D1429="","",V1429*Y1429/100)</f>
        <v/>
      </c>
      <c r="AA1429" s="7">
        <f>IF($D1429="","",V1429-Z1429)</f>
        <v/>
      </c>
      <c r="AB1429" s="7">
        <f>IF($D1429="","",AA1429-N1429)</f>
        <v/>
      </c>
      <c r="AF1429" s="7" t="n"/>
      <c r="AI1429" s="11" t="n"/>
      <c r="AK1429">
        <f>IF($D1429="","",IF(COUNTIF($D$2:$D1429,$D1429)=1,1,0))</f>
        <v/>
      </c>
      <c r="AL1429">
        <f>IF($AK1429=1,SUMPRODUCT(--($AO$2:$AO$3001&lt;$AO1429))+1,"")</f>
        <v/>
      </c>
      <c r="AM1429">
        <f>IF($D1429="","",IF(OR($R1429=TRUE(),$R1429="TRUE"),1,0))</f>
        <v/>
      </c>
      <c r="AN1429">
        <f>IF($D1429="","",IF($X1429="Yes",1,0))</f>
        <v/>
      </c>
      <c r="AO1429">
        <f>IF($AK1429=1,IFERROR(IF(VALUE($D1429)&lt;100000000,VALUE($D1429),1000000000),IFERROR(IF(VALUE(MID($D1429,2,20))&lt;100000000,VALUE(MID($D1429,2,20)),1000000000),1000000000))+ROW()/100000,"")</f>
        <v/>
      </c>
    </row>
    <row r="1430">
      <c r="F1430" s="11" t="n"/>
      <c r="N1430" s="7">
        <f>IF($D1430="","",M1430*V1430/100)</f>
        <v/>
      </c>
      <c r="O1430" s="7" t="n"/>
      <c r="U1430" s="7" t="n"/>
      <c r="V1430" s="7" t="n"/>
      <c r="Y1430">
        <f>IF($D1430="","",IF($AN1430=1,0,IF($AM1430=1,Settings!$C$6,Settings!$C$7))*100)</f>
        <v/>
      </c>
      <c r="Z1430" s="7">
        <f>IF($D1430="","",V1430*Y1430/100)</f>
        <v/>
      </c>
      <c r="AA1430" s="7">
        <f>IF($D1430="","",V1430-Z1430)</f>
        <v/>
      </c>
      <c r="AB1430" s="7">
        <f>IF($D1430="","",AA1430-N1430)</f>
        <v/>
      </c>
      <c r="AF1430" s="7" t="n"/>
      <c r="AI1430" s="11" t="n"/>
      <c r="AK1430">
        <f>IF($D1430="","",IF(COUNTIF($D$2:$D1430,$D1430)=1,1,0))</f>
        <v/>
      </c>
      <c r="AL1430">
        <f>IF($AK1430=1,SUMPRODUCT(--($AO$2:$AO$3001&lt;$AO1430))+1,"")</f>
        <v/>
      </c>
      <c r="AM1430">
        <f>IF($D1430="","",IF(OR($R1430=TRUE(),$R1430="TRUE"),1,0))</f>
        <v/>
      </c>
      <c r="AN1430">
        <f>IF($D1430="","",IF($X1430="Yes",1,0))</f>
        <v/>
      </c>
      <c r="AO1430">
        <f>IF($AK1430=1,IFERROR(IF(VALUE($D1430)&lt;100000000,VALUE($D1430),1000000000),IFERROR(IF(VALUE(MID($D1430,2,20))&lt;100000000,VALUE(MID($D1430,2,20)),1000000000),1000000000))+ROW()/100000,"")</f>
        <v/>
      </c>
    </row>
    <row r="1431">
      <c r="F1431" s="11" t="n"/>
      <c r="N1431" s="7">
        <f>IF($D1431="","",M1431*V1431/100)</f>
        <v/>
      </c>
      <c r="O1431" s="7" t="n"/>
      <c r="U1431" s="7" t="n"/>
      <c r="V1431" s="7" t="n"/>
      <c r="Y1431">
        <f>IF($D1431="","",IF($AN1431=1,0,IF($AM1431=1,Settings!$C$6,Settings!$C$7))*100)</f>
        <v/>
      </c>
      <c r="Z1431" s="7">
        <f>IF($D1431="","",V1431*Y1431/100)</f>
        <v/>
      </c>
      <c r="AA1431" s="7">
        <f>IF($D1431="","",V1431-Z1431)</f>
        <v/>
      </c>
      <c r="AB1431" s="7">
        <f>IF($D1431="","",AA1431-N1431)</f>
        <v/>
      </c>
      <c r="AF1431" s="7" t="n"/>
      <c r="AI1431" s="11" t="n"/>
      <c r="AK1431">
        <f>IF($D1431="","",IF(COUNTIF($D$2:$D1431,$D1431)=1,1,0))</f>
        <v/>
      </c>
      <c r="AL1431">
        <f>IF($AK1431=1,SUMPRODUCT(--($AO$2:$AO$3001&lt;$AO1431))+1,"")</f>
        <v/>
      </c>
      <c r="AM1431">
        <f>IF($D1431="","",IF(OR($R1431=TRUE(),$R1431="TRUE"),1,0))</f>
        <v/>
      </c>
      <c r="AN1431">
        <f>IF($D1431="","",IF($X1431="Yes",1,0))</f>
        <v/>
      </c>
      <c r="AO1431">
        <f>IF($AK1431=1,IFERROR(IF(VALUE($D1431)&lt;100000000,VALUE($D1431),1000000000),IFERROR(IF(VALUE(MID($D1431,2,20))&lt;100000000,VALUE(MID($D1431,2,20)),1000000000),1000000000))+ROW()/100000,"")</f>
        <v/>
      </c>
    </row>
    <row r="1432">
      <c r="F1432" s="11" t="n"/>
      <c r="N1432" s="7">
        <f>IF($D1432="","",M1432*V1432/100)</f>
        <v/>
      </c>
      <c r="O1432" s="7" t="n"/>
      <c r="U1432" s="7" t="n"/>
      <c r="V1432" s="7" t="n"/>
      <c r="Y1432">
        <f>IF($D1432="","",IF($AN1432=1,0,IF($AM1432=1,Settings!$C$6,Settings!$C$7))*100)</f>
        <v/>
      </c>
      <c r="Z1432" s="7">
        <f>IF($D1432="","",V1432*Y1432/100)</f>
        <v/>
      </c>
      <c r="AA1432" s="7">
        <f>IF($D1432="","",V1432-Z1432)</f>
        <v/>
      </c>
      <c r="AB1432" s="7">
        <f>IF($D1432="","",AA1432-N1432)</f>
        <v/>
      </c>
      <c r="AF1432" s="7" t="n"/>
      <c r="AI1432" s="11" t="n"/>
      <c r="AK1432">
        <f>IF($D1432="","",IF(COUNTIF($D$2:$D1432,$D1432)=1,1,0))</f>
        <v/>
      </c>
      <c r="AL1432">
        <f>IF($AK1432=1,SUMPRODUCT(--($AO$2:$AO$3001&lt;$AO1432))+1,"")</f>
        <v/>
      </c>
      <c r="AM1432">
        <f>IF($D1432="","",IF(OR($R1432=TRUE(),$R1432="TRUE"),1,0))</f>
        <v/>
      </c>
      <c r="AN1432">
        <f>IF($D1432="","",IF($X1432="Yes",1,0))</f>
        <v/>
      </c>
      <c r="AO1432">
        <f>IF($AK1432=1,IFERROR(IF(VALUE($D1432)&lt;100000000,VALUE($D1432),1000000000),IFERROR(IF(VALUE(MID($D1432,2,20))&lt;100000000,VALUE(MID($D1432,2,20)),1000000000),1000000000))+ROW()/100000,"")</f>
        <v/>
      </c>
    </row>
    <row r="1433">
      <c r="F1433" s="11" t="n"/>
      <c r="N1433" s="7">
        <f>IF($D1433="","",M1433*V1433/100)</f>
        <v/>
      </c>
      <c r="O1433" s="7" t="n"/>
      <c r="U1433" s="7" t="n"/>
      <c r="V1433" s="7" t="n"/>
      <c r="Y1433">
        <f>IF($D1433="","",IF($AN1433=1,0,IF($AM1433=1,Settings!$C$6,Settings!$C$7))*100)</f>
        <v/>
      </c>
      <c r="Z1433" s="7">
        <f>IF($D1433="","",V1433*Y1433/100)</f>
        <v/>
      </c>
      <c r="AA1433" s="7">
        <f>IF($D1433="","",V1433-Z1433)</f>
        <v/>
      </c>
      <c r="AB1433" s="7">
        <f>IF($D1433="","",AA1433-N1433)</f>
        <v/>
      </c>
      <c r="AF1433" s="7" t="n"/>
      <c r="AI1433" s="11" t="n"/>
      <c r="AK1433">
        <f>IF($D1433="","",IF(COUNTIF($D$2:$D1433,$D1433)=1,1,0))</f>
        <v/>
      </c>
      <c r="AL1433">
        <f>IF($AK1433=1,SUMPRODUCT(--($AO$2:$AO$3001&lt;$AO1433))+1,"")</f>
        <v/>
      </c>
      <c r="AM1433">
        <f>IF($D1433="","",IF(OR($R1433=TRUE(),$R1433="TRUE"),1,0))</f>
        <v/>
      </c>
      <c r="AN1433">
        <f>IF($D1433="","",IF($X1433="Yes",1,0))</f>
        <v/>
      </c>
      <c r="AO1433">
        <f>IF($AK1433=1,IFERROR(IF(VALUE($D1433)&lt;100000000,VALUE($D1433),1000000000),IFERROR(IF(VALUE(MID($D1433,2,20))&lt;100000000,VALUE(MID($D1433,2,20)),1000000000),1000000000))+ROW()/100000,"")</f>
        <v/>
      </c>
    </row>
    <row r="1434">
      <c r="F1434" s="11" t="n"/>
      <c r="N1434" s="7">
        <f>IF($D1434="","",M1434*V1434/100)</f>
        <v/>
      </c>
      <c r="O1434" s="7" t="n"/>
      <c r="U1434" s="7" t="n"/>
      <c r="V1434" s="7" t="n"/>
      <c r="Y1434">
        <f>IF($D1434="","",IF($AN1434=1,0,IF($AM1434=1,Settings!$C$6,Settings!$C$7))*100)</f>
        <v/>
      </c>
      <c r="Z1434" s="7">
        <f>IF($D1434="","",V1434*Y1434/100)</f>
        <v/>
      </c>
      <c r="AA1434" s="7">
        <f>IF($D1434="","",V1434-Z1434)</f>
        <v/>
      </c>
      <c r="AB1434" s="7">
        <f>IF($D1434="","",AA1434-N1434)</f>
        <v/>
      </c>
      <c r="AF1434" s="7" t="n"/>
      <c r="AI1434" s="11" t="n"/>
      <c r="AK1434">
        <f>IF($D1434="","",IF(COUNTIF($D$2:$D1434,$D1434)=1,1,0))</f>
        <v/>
      </c>
      <c r="AL1434">
        <f>IF($AK1434=1,SUMPRODUCT(--($AO$2:$AO$3001&lt;$AO1434))+1,"")</f>
        <v/>
      </c>
      <c r="AM1434">
        <f>IF($D1434="","",IF(OR($R1434=TRUE(),$R1434="TRUE"),1,0))</f>
        <v/>
      </c>
      <c r="AN1434">
        <f>IF($D1434="","",IF($X1434="Yes",1,0))</f>
        <v/>
      </c>
      <c r="AO1434">
        <f>IF($AK1434=1,IFERROR(IF(VALUE($D1434)&lt;100000000,VALUE($D1434),1000000000),IFERROR(IF(VALUE(MID($D1434,2,20))&lt;100000000,VALUE(MID($D1434,2,20)),1000000000),1000000000))+ROW()/100000,"")</f>
        <v/>
      </c>
    </row>
    <row r="1435">
      <c r="F1435" s="11" t="n"/>
      <c r="N1435" s="7">
        <f>IF($D1435="","",M1435*V1435/100)</f>
        <v/>
      </c>
      <c r="O1435" s="7" t="n"/>
      <c r="U1435" s="7" t="n"/>
      <c r="V1435" s="7" t="n"/>
      <c r="Y1435">
        <f>IF($D1435="","",IF($AN1435=1,0,IF($AM1435=1,Settings!$C$6,Settings!$C$7))*100)</f>
        <v/>
      </c>
      <c r="Z1435" s="7">
        <f>IF($D1435="","",V1435*Y1435/100)</f>
        <v/>
      </c>
      <c r="AA1435" s="7">
        <f>IF($D1435="","",V1435-Z1435)</f>
        <v/>
      </c>
      <c r="AB1435" s="7">
        <f>IF($D1435="","",AA1435-N1435)</f>
        <v/>
      </c>
      <c r="AF1435" s="7" t="n"/>
      <c r="AI1435" s="11" t="n"/>
      <c r="AK1435">
        <f>IF($D1435="","",IF(COUNTIF($D$2:$D1435,$D1435)=1,1,0))</f>
        <v/>
      </c>
      <c r="AL1435">
        <f>IF($AK1435=1,SUMPRODUCT(--($AO$2:$AO$3001&lt;$AO1435))+1,"")</f>
        <v/>
      </c>
      <c r="AM1435">
        <f>IF($D1435="","",IF(OR($R1435=TRUE(),$R1435="TRUE"),1,0))</f>
        <v/>
      </c>
      <c r="AN1435">
        <f>IF($D1435="","",IF($X1435="Yes",1,0))</f>
        <v/>
      </c>
      <c r="AO1435">
        <f>IF($AK1435=1,IFERROR(IF(VALUE($D1435)&lt;100000000,VALUE($D1435),1000000000),IFERROR(IF(VALUE(MID($D1435,2,20))&lt;100000000,VALUE(MID($D1435,2,20)),1000000000),1000000000))+ROW()/100000,"")</f>
        <v/>
      </c>
    </row>
    <row r="1436">
      <c r="F1436" s="11" t="n"/>
      <c r="N1436" s="7">
        <f>IF($D1436="","",M1436*V1436/100)</f>
        <v/>
      </c>
      <c r="O1436" s="7" t="n"/>
      <c r="U1436" s="7" t="n"/>
      <c r="V1436" s="7" t="n"/>
      <c r="Y1436">
        <f>IF($D1436="","",IF($AN1436=1,0,IF($AM1436=1,Settings!$C$6,Settings!$C$7))*100)</f>
        <v/>
      </c>
      <c r="Z1436" s="7">
        <f>IF($D1436="","",V1436*Y1436/100)</f>
        <v/>
      </c>
      <c r="AA1436" s="7">
        <f>IF($D1436="","",V1436-Z1436)</f>
        <v/>
      </c>
      <c r="AB1436" s="7">
        <f>IF($D1436="","",AA1436-N1436)</f>
        <v/>
      </c>
      <c r="AF1436" s="7" t="n"/>
      <c r="AI1436" s="11" t="n"/>
      <c r="AK1436">
        <f>IF($D1436="","",IF(COUNTIF($D$2:$D1436,$D1436)=1,1,0))</f>
        <v/>
      </c>
      <c r="AL1436">
        <f>IF($AK1436=1,SUMPRODUCT(--($AO$2:$AO$3001&lt;$AO1436))+1,"")</f>
        <v/>
      </c>
      <c r="AM1436">
        <f>IF($D1436="","",IF(OR($R1436=TRUE(),$R1436="TRUE"),1,0))</f>
        <v/>
      </c>
      <c r="AN1436">
        <f>IF($D1436="","",IF($X1436="Yes",1,0))</f>
        <v/>
      </c>
      <c r="AO1436">
        <f>IF($AK1436=1,IFERROR(IF(VALUE($D1436)&lt;100000000,VALUE($D1436),1000000000),IFERROR(IF(VALUE(MID($D1436,2,20))&lt;100000000,VALUE(MID($D1436,2,20)),1000000000),1000000000))+ROW()/100000,"")</f>
        <v/>
      </c>
    </row>
    <row r="1437">
      <c r="F1437" s="11" t="n"/>
      <c r="N1437" s="7">
        <f>IF($D1437="","",M1437*V1437/100)</f>
        <v/>
      </c>
      <c r="O1437" s="7" t="n"/>
      <c r="U1437" s="7" t="n"/>
      <c r="V1437" s="7" t="n"/>
      <c r="Y1437">
        <f>IF($D1437="","",IF($AN1437=1,0,IF($AM1437=1,Settings!$C$6,Settings!$C$7))*100)</f>
        <v/>
      </c>
      <c r="Z1437" s="7">
        <f>IF($D1437="","",V1437*Y1437/100)</f>
        <v/>
      </c>
      <c r="AA1437" s="7">
        <f>IF($D1437="","",V1437-Z1437)</f>
        <v/>
      </c>
      <c r="AB1437" s="7">
        <f>IF($D1437="","",AA1437-N1437)</f>
        <v/>
      </c>
      <c r="AF1437" s="7" t="n"/>
      <c r="AI1437" s="11" t="n"/>
      <c r="AK1437">
        <f>IF($D1437="","",IF(COUNTIF($D$2:$D1437,$D1437)=1,1,0))</f>
        <v/>
      </c>
      <c r="AL1437">
        <f>IF($AK1437=1,SUMPRODUCT(--($AO$2:$AO$3001&lt;$AO1437))+1,"")</f>
        <v/>
      </c>
      <c r="AM1437">
        <f>IF($D1437="","",IF(OR($R1437=TRUE(),$R1437="TRUE"),1,0))</f>
        <v/>
      </c>
      <c r="AN1437">
        <f>IF($D1437="","",IF($X1437="Yes",1,0))</f>
        <v/>
      </c>
      <c r="AO1437">
        <f>IF($AK1437=1,IFERROR(IF(VALUE($D1437)&lt;100000000,VALUE($D1437),1000000000),IFERROR(IF(VALUE(MID($D1437,2,20))&lt;100000000,VALUE(MID($D1437,2,20)),1000000000),1000000000))+ROW()/100000,"")</f>
        <v/>
      </c>
    </row>
    <row r="1438">
      <c r="F1438" s="11" t="n"/>
      <c r="N1438" s="7">
        <f>IF($D1438="","",M1438*V1438/100)</f>
        <v/>
      </c>
      <c r="O1438" s="7" t="n"/>
      <c r="U1438" s="7" t="n"/>
      <c r="V1438" s="7" t="n"/>
      <c r="Y1438">
        <f>IF($D1438="","",IF($AN1438=1,0,IF($AM1438=1,Settings!$C$6,Settings!$C$7))*100)</f>
        <v/>
      </c>
      <c r="Z1438" s="7">
        <f>IF($D1438="","",V1438*Y1438/100)</f>
        <v/>
      </c>
      <c r="AA1438" s="7">
        <f>IF($D1438="","",V1438-Z1438)</f>
        <v/>
      </c>
      <c r="AB1438" s="7">
        <f>IF($D1438="","",AA1438-N1438)</f>
        <v/>
      </c>
      <c r="AF1438" s="7" t="n"/>
      <c r="AI1438" s="11" t="n"/>
      <c r="AK1438">
        <f>IF($D1438="","",IF(COUNTIF($D$2:$D1438,$D1438)=1,1,0))</f>
        <v/>
      </c>
      <c r="AL1438">
        <f>IF($AK1438=1,SUMPRODUCT(--($AO$2:$AO$3001&lt;$AO1438))+1,"")</f>
        <v/>
      </c>
      <c r="AM1438">
        <f>IF($D1438="","",IF(OR($R1438=TRUE(),$R1438="TRUE"),1,0))</f>
        <v/>
      </c>
      <c r="AN1438">
        <f>IF($D1438="","",IF($X1438="Yes",1,0))</f>
        <v/>
      </c>
      <c r="AO1438">
        <f>IF($AK1438=1,IFERROR(IF(VALUE($D1438)&lt;100000000,VALUE($D1438),1000000000),IFERROR(IF(VALUE(MID($D1438,2,20))&lt;100000000,VALUE(MID($D1438,2,20)),1000000000),1000000000))+ROW()/100000,"")</f>
        <v/>
      </c>
    </row>
    <row r="1439">
      <c r="F1439" s="11" t="n"/>
      <c r="N1439" s="7">
        <f>IF($D1439="","",M1439*V1439/100)</f>
        <v/>
      </c>
      <c r="O1439" s="7" t="n"/>
      <c r="U1439" s="7" t="n"/>
      <c r="V1439" s="7" t="n"/>
      <c r="Y1439">
        <f>IF($D1439="","",IF($AN1439=1,0,IF($AM1439=1,Settings!$C$6,Settings!$C$7))*100)</f>
        <v/>
      </c>
      <c r="Z1439" s="7">
        <f>IF($D1439="","",V1439*Y1439/100)</f>
        <v/>
      </c>
      <c r="AA1439" s="7">
        <f>IF($D1439="","",V1439-Z1439)</f>
        <v/>
      </c>
      <c r="AB1439" s="7">
        <f>IF($D1439="","",AA1439-N1439)</f>
        <v/>
      </c>
      <c r="AF1439" s="7" t="n"/>
      <c r="AI1439" s="11" t="n"/>
      <c r="AK1439">
        <f>IF($D1439="","",IF(COUNTIF($D$2:$D1439,$D1439)=1,1,0))</f>
        <v/>
      </c>
      <c r="AL1439">
        <f>IF($AK1439=1,SUMPRODUCT(--($AO$2:$AO$3001&lt;$AO1439))+1,"")</f>
        <v/>
      </c>
      <c r="AM1439">
        <f>IF($D1439="","",IF(OR($R1439=TRUE(),$R1439="TRUE"),1,0))</f>
        <v/>
      </c>
      <c r="AN1439">
        <f>IF($D1439="","",IF($X1439="Yes",1,0))</f>
        <v/>
      </c>
      <c r="AO1439">
        <f>IF($AK1439=1,IFERROR(IF(VALUE($D1439)&lt;100000000,VALUE($D1439),1000000000),IFERROR(IF(VALUE(MID($D1439,2,20))&lt;100000000,VALUE(MID($D1439,2,20)),1000000000),1000000000))+ROW()/100000,"")</f>
        <v/>
      </c>
    </row>
    <row r="1440">
      <c r="F1440" s="11" t="n"/>
      <c r="N1440" s="7">
        <f>IF($D1440="","",M1440*V1440/100)</f>
        <v/>
      </c>
      <c r="O1440" s="7" t="n"/>
      <c r="U1440" s="7" t="n"/>
      <c r="V1440" s="7" t="n"/>
      <c r="Y1440">
        <f>IF($D1440="","",IF($AN1440=1,0,IF($AM1440=1,Settings!$C$6,Settings!$C$7))*100)</f>
        <v/>
      </c>
      <c r="Z1440" s="7">
        <f>IF($D1440="","",V1440*Y1440/100)</f>
        <v/>
      </c>
      <c r="AA1440" s="7">
        <f>IF($D1440="","",V1440-Z1440)</f>
        <v/>
      </c>
      <c r="AB1440" s="7">
        <f>IF($D1440="","",AA1440-N1440)</f>
        <v/>
      </c>
      <c r="AF1440" s="7" t="n"/>
      <c r="AI1440" s="11" t="n"/>
      <c r="AK1440">
        <f>IF($D1440="","",IF(COUNTIF($D$2:$D1440,$D1440)=1,1,0))</f>
        <v/>
      </c>
      <c r="AL1440">
        <f>IF($AK1440=1,SUMPRODUCT(--($AO$2:$AO$3001&lt;$AO1440))+1,"")</f>
        <v/>
      </c>
      <c r="AM1440">
        <f>IF($D1440="","",IF(OR($R1440=TRUE(),$R1440="TRUE"),1,0))</f>
        <v/>
      </c>
      <c r="AN1440">
        <f>IF($D1440="","",IF($X1440="Yes",1,0))</f>
        <v/>
      </c>
      <c r="AO1440">
        <f>IF($AK1440=1,IFERROR(IF(VALUE($D1440)&lt;100000000,VALUE($D1440),1000000000),IFERROR(IF(VALUE(MID($D1440,2,20))&lt;100000000,VALUE(MID($D1440,2,20)),1000000000),1000000000))+ROW()/100000,"")</f>
        <v/>
      </c>
    </row>
    <row r="1441">
      <c r="F1441" s="11" t="n"/>
      <c r="N1441" s="7">
        <f>IF($D1441="","",M1441*V1441/100)</f>
        <v/>
      </c>
      <c r="O1441" s="7" t="n"/>
      <c r="U1441" s="7" t="n"/>
      <c r="V1441" s="7" t="n"/>
      <c r="Y1441">
        <f>IF($D1441="","",IF($AN1441=1,0,IF($AM1441=1,Settings!$C$6,Settings!$C$7))*100)</f>
        <v/>
      </c>
      <c r="Z1441" s="7">
        <f>IF($D1441="","",V1441*Y1441/100)</f>
        <v/>
      </c>
      <c r="AA1441" s="7">
        <f>IF($D1441="","",V1441-Z1441)</f>
        <v/>
      </c>
      <c r="AB1441" s="7">
        <f>IF($D1441="","",AA1441-N1441)</f>
        <v/>
      </c>
      <c r="AF1441" s="7" t="n"/>
      <c r="AI1441" s="11" t="n"/>
      <c r="AK1441">
        <f>IF($D1441="","",IF(COUNTIF($D$2:$D1441,$D1441)=1,1,0))</f>
        <v/>
      </c>
      <c r="AL1441">
        <f>IF($AK1441=1,SUMPRODUCT(--($AO$2:$AO$3001&lt;$AO1441))+1,"")</f>
        <v/>
      </c>
      <c r="AM1441">
        <f>IF($D1441="","",IF(OR($R1441=TRUE(),$R1441="TRUE"),1,0))</f>
        <v/>
      </c>
      <c r="AN1441">
        <f>IF($D1441="","",IF($X1441="Yes",1,0))</f>
        <v/>
      </c>
      <c r="AO1441">
        <f>IF($AK1441=1,IFERROR(IF(VALUE($D1441)&lt;100000000,VALUE($D1441),1000000000),IFERROR(IF(VALUE(MID($D1441,2,20))&lt;100000000,VALUE(MID($D1441,2,20)),1000000000),1000000000))+ROW()/100000,"")</f>
        <v/>
      </c>
    </row>
    <row r="1442">
      <c r="F1442" s="11" t="n"/>
      <c r="N1442" s="7">
        <f>IF($D1442="","",M1442*V1442/100)</f>
        <v/>
      </c>
      <c r="O1442" s="7" t="n"/>
      <c r="U1442" s="7" t="n"/>
      <c r="V1442" s="7" t="n"/>
      <c r="Y1442">
        <f>IF($D1442="","",IF($AN1442=1,0,IF($AM1442=1,Settings!$C$6,Settings!$C$7))*100)</f>
        <v/>
      </c>
      <c r="Z1442" s="7">
        <f>IF($D1442="","",V1442*Y1442/100)</f>
        <v/>
      </c>
      <c r="AA1442" s="7">
        <f>IF($D1442="","",V1442-Z1442)</f>
        <v/>
      </c>
      <c r="AB1442" s="7">
        <f>IF($D1442="","",AA1442-N1442)</f>
        <v/>
      </c>
      <c r="AF1442" s="7" t="n"/>
      <c r="AI1442" s="11" t="n"/>
      <c r="AK1442">
        <f>IF($D1442="","",IF(COUNTIF($D$2:$D1442,$D1442)=1,1,0))</f>
        <v/>
      </c>
      <c r="AL1442">
        <f>IF($AK1442=1,SUMPRODUCT(--($AO$2:$AO$3001&lt;$AO1442))+1,"")</f>
        <v/>
      </c>
      <c r="AM1442">
        <f>IF($D1442="","",IF(OR($R1442=TRUE(),$R1442="TRUE"),1,0))</f>
        <v/>
      </c>
      <c r="AN1442">
        <f>IF($D1442="","",IF($X1442="Yes",1,0))</f>
        <v/>
      </c>
      <c r="AO1442">
        <f>IF($AK1442=1,IFERROR(IF(VALUE($D1442)&lt;100000000,VALUE($D1442),1000000000),IFERROR(IF(VALUE(MID($D1442,2,20))&lt;100000000,VALUE(MID($D1442,2,20)),1000000000),1000000000))+ROW()/100000,"")</f>
        <v/>
      </c>
    </row>
    <row r="1443">
      <c r="F1443" s="11" t="n"/>
      <c r="N1443" s="7">
        <f>IF($D1443="","",M1443*V1443/100)</f>
        <v/>
      </c>
      <c r="O1443" s="7" t="n"/>
      <c r="U1443" s="7" t="n"/>
      <c r="V1443" s="7" t="n"/>
      <c r="Y1443">
        <f>IF($D1443="","",IF($AN1443=1,0,IF($AM1443=1,Settings!$C$6,Settings!$C$7))*100)</f>
        <v/>
      </c>
      <c r="Z1443" s="7">
        <f>IF($D1443="","",V1443*Y1443/100)</f>
        <v/>
      </c>
      <c r="AA1443" s="7">
        <f>IF($D1443="","",V1443-Z1443)</f>
        <v/>
      </c>
      <c r="AB1443" s="7">
        <f>IF($D1443="","",AA1443-N1443)</f>
        <v/>
      </c>
      <c r="AF1443" s="7" t="n"/>
      <c r="AI1443" s="11" t="n"/>
      <c r="AK1443">
        <f>IF($D1443="","",IF(COUNTIF($D$2:$D1443,$D1443)=1,1,0))</f>
        <v/>
      </c>
      <c r="AL1443">
        <f>IF($AK1443=1,SUMPRODUCT(--($AO$2:$AO$3001&lt;$AO1443))+1,"")</f>
        <v/>
      </c>
      <c r="AM1443">
        <f>IF($D1443="","",IF(OR($R1443=TRUE(),$R1443="TRUE"),1,0))</f>
        <v/>
      </c>
      <c r="AN1443">
        <f>IF($D1443="","",IF($X1443="Yes",1,0))</f>
        <v/>
      </c>
      <c r="AO1443">
        <f>IF($AK1443=1,IFERROR(IF(VALUE($D1443)&lt;100000000,VALUE($D1443),1000000000),IFERROR(IF(VALUE(MID($D1443,2,20))&lt;100000000,VALUE(MID($D1443,2,20)),1000000000),1000000000))+ROW()/100000,"")</f>
        <v/>
      </c>
    </row>
    <row r="1444">
      <c r="F1444" s="11" t="n"/>
      <c r="N1444" s="7">
        <f>IF($D1444="","",M1444*V1444/100)</f>
        <v/>
      </c>
      <c r="O1444" s="7" t="n"/>
      <c r="U1444" s="7" t="n"/>
      <c r="V1444" s="7" t="n"/>
      <c r="Y1444">
        <f>IF($D1444="","",IF($AN1444=1,0,IF($AM1444=1,Settings!$C$6,Settings!$C$7))*100)</f>
        <v/>
      </c>
      <c r="Z1444" s="7">
        <f>IF($D1444="","",V1444*Y1444/100)</f>
        <v/>
      </c>
      <c r="AA1444" s="7">
        <f>IF($D1444="","",V1444-Z1444)</f>
        <v/>
      </c>
      <c r="AB1444" s="7">
        <f>IF($D1444="","",AA1444-N1444)</f>
        <v/>
      </c>
      <c r="AF1444" s="7" t="n"/>
      <c r="AI1444" s="11" t="n"/>
      <c r="AK1444">
        <f>IF($D1444="","",IF(COUNTIF($D$2:$D1444,$D1444)=1,1,0))</f>
        <v/>
      </c>
      <c r="AL1444">
        <f>IF($AK1444=1,SUMPRODUCT(--($AO$2:$AO$3001&lt;$AO1444))+1,"")</f>
        <v/>
      </c>
      <c r="AM1444">
        <f>IF($D1444="","",IF(OR($R1444=TRUE(),$R1444="TRUE"),1,0))</f>
        <v/>
      </c>
      <c r="AN1444">
        <f>IF($D1444="","",IF($X1444="Yes",1,0))</f>
        <v/>
      </c>
      <c r="AO1444">
        <f>IF($AK1444=1,IFERROR(IF(VALUE($D1444)&lt;100000000,VALUE($D1444),1000000000),IFERROR(IF(VALUE(MID($D1444,2,20))&lt;100000000,VALUE(MID($D1444,2,20)),1000000000),1000000000))+ROW()/100000,"")</f>
        <v/>
      </c>
    </row>
    <row r="1445">
      <c r="F1445" s="11" t="n"/>
      <c r="N1445" s="7">
        <f>IF($D1445="","",M1445*V1445/100)</f>
        <v/>
      </c>
      <c r="O1445" s="7" t="n"/>
      <c r="U1445" s="7" t="n"/>
      <c r="V1445" s="7" t="n"/>
      <c r="Y1445">
        <f>IF($D1445="","",IF($AN1445=1,0,IF($AM1445=1,Settings!$C$6,Settings!$C$7))*100)</f>
        <v/>
      </c>
      <c r="Z1445" s="7">
        <f>IF($D1445="","",V1445*Y1445/100)</f>
        <v/>
      </c>
      <c r="AA1445" s="7">
        <f>IF($D1445="","",V1445-Z1445)</f>
        <v/>
      </c>
      <c r="AB1445" s="7">
        <f>IF($D1445="","",AA1445-N1445)</f>
        <v/>
      </c>
      <c r="AF1445" s="7" t="n"/>
      <c r="AI1445" s="11" t="n"/>
      <c r="AK1445">
        <f>IF($D1445="","",IF(COUNTIF($D$2:$D1445,$D1445)=1,1,0))</f>
        <v/>
      </c>
      <c r="AL1445">
        <f>IF($AK1445=1,SUMPRODUCT(--($AO$2:$AO$3001&lt;$AO1445))+1,"")</f>
        <v/>
      </c>
      <c r="AM1445">
        <f>IF($D1445="","",IF(OR($R1445=TRUE(),$R1445="TRUE"),1,0))</f>
        <v/>
      </c>
      <c r="AN1445">
        <f>IF($D1445="","",IF($X1445="Yes",1,0))</f>
        <v/>
      </c>
      <c r="AO1445">
        <f>IF($AK1445=1,IFERROR(IF(VALUE($D1445)&lt;100000000,VALUE($D1445),1000000000),IFERROR(IF(VALUE(MID($D1445,2,20))&lt;100000000,VALUE(MID($D1445,2,20)),1000000000),1000000000))+ROW()/100000,"")</f>
        <v/>
      </c>
    </row>
    <row r="1446">
      <c r="F1446" s="11" t="n"/>
      <c r="N1446" s="7">
        <f>IF($D1446="","",M1446*V1446/100)</f>
        <v/>
      </c>
      <c r="O1446" s="7" t="n"/>
      <c r="U1446" s="7" t="n"/>
      <c r="V1446" s="7" t="n"/>
      <c r="Y1446">
        <f>IF($D1446="","",IF($AN1446=1,0,IF($AM1446=1,Settings!$C$6,Settings!$C$7))*100)</f>
        <v/>
      </c>
      <c r="Z1446" s="7">
        <f>IF($D1446="","",V1446*Y1446/100)</f>
        <v/>
      </c>
      <c r="AA1446" s="7">
        <f>IF($D1446="","",V1446-Z1446)</f>
        <v/>
      </c>
      <c r="AB1446" s="7">
        <f>IF($D1446="","",AA1446-N1446)</f>
        <v/>
      </c>
      <c r="AF1446" s="7" t="n"/>
      <c r="AI1446" s="11" t="n"/>
      <c r="AK1446">
        <f>IF($D1446="","",IF(COUNTIF($D$2:$D1446,$D1446)=1,1,0))</f>
        <v/>
      </c>
      <c r="AL1446">
        <f>IF($AK1446=1,SUMPRODUCT(--($AO$2:$AO$3001&lt;$AO1446))+1,"")</f>
        <v/>
      </c>
      <c r="AM1446">
        <f>IF($D1446="","",IF(OR($R1446=TRUE(),$R1446="TRUE"),1,0))</f>
        <v/>
      </c>
      <c r="AN1446">
        <f>IF($D1446="","",IF($X1446="Yes",1,0))</f>
        <v/>
      </c>
      <c r="AO1446">
        <f>IF($AK1446=1,IFERROR(IF(VALUE($D1446)&lt;100000000,VALUE($D1446),1000000000),IFERROR(IF(VALUE(MID($D1446,2,20))&lt;100000000,VALUE(MID($D1446,2,20)),1000000000),1000000000))+ROW()/100000,"")</f>
        <v/>
      </c>
    </row>
    <row r="1447">
      <c r="F1447" s="11" t="n"/>
      <c r="N1447" s="7">
        <f>IF($D1447="","",M1447*V1447/100)</f>
        <v/>
      </c>
      <c r="O1447" s="7" t="n"/>
      <c r="U1447" s="7" t="n"/>
      <c r="V1447" s="7" t="n"/>
      <c r="Y1447">
        <f>IF($D1447="","",IF($AN1447=1,0,IF($AM1447=1,Settings!$C$6,Settings!$C$7))*100)</f>
        <v/>
      </c>
      <c r="Z1447" s="7">
        <f>IF($D1447="","",V1447*Y1447/100)</f>
        <v/>
      </c>
      <c r="AA1447" s="7">
        <f>IF($D1447="","",V1447-Z1447)</f>
        <v/>
      </c>
      <c r="AB1447" s="7">
        <f>IF($D1447="","",AA1447-N1447)</f>
        <v/>
      </c>
      <c r="AF1447" s="7" t="n"/>
      <c r="AI1447" s="11" t="n"/>
      <c r="AK1447">
        <f>IF($D1447="","",IF(COUNTIF($D$2:$D1447,$D1447)=1,1,0))</f>
        <v/>
      </c>
      <c r="AL1447">
        <f>IF($AK1447=1,SUMPRODUCT(--($AO$2:$AO$3001&lt;$AO1447))+1,"")</f>
        <v/>
      </c>
      <c r="AM1447">
        <f>IF($D1447="","",IF(OR($R1447=TRUE(),$R1447="TRUE"),1,0))</f>
        <v/>
      </c>
      <c r="AN1447">
        <f>IF($D1447="","",IF($X1447="Yes",1,0))</f>
        <v/>
      </c>
      <c r="AO1447">
        <f>IF($AK1447=1,IFERROR(IF(VALUE($D1447)&lt;100000000,VALUE($D1447),1000000000),IFERROR(IF(VALUE(MID($D1447,2,20))&lt;100000000,VALUE(MID($D1447,2,20)),1000000000),1000000000))+ROW()/100000,"")</f>
        <v/>
      </c>
    </row>
    <row r="1448">
      <c r="F1448" s="11" t="n"/>
      <c r="N1448" s="7">
        <f>IF($D1448="","",M1448*V1448/100)</f>
        <v/>
      </c>
      <c r="O1448" s="7" t="n"/>
      <c r="U1448" s="7" t="n"/>
      <c r="V1448" s="7" t="n"/>
      <c r="Y1448">
        <f>IF($D1448="","",IF($AN1448=1,0,IF($AM1448=1,Settings!$C$6,Settings!$C$7))*100)</f>
        <v/>
      </c>
      <c r="Z1448" s="7">
        <f>IF($D1448="","",V1448*Y1448/100)</f>
        <v/>
      </c>
      <c r="AA1448" s="7">
        <f>IF($D1448="","",V1448-Z1448)</f>
        <v/>
      </c>
      <c r="AB1448" s="7">
        <f>IF($D1448="","",AA1448-N1448)</f>
        <v/>
      </c>
      <c r="AF1448" s="7" t="n"/>
      <c r="AI1448" s="11" t="n"/>
      <c r="AK1448">
        <f>IF($D1448="","",IF(COUNTIF($D$2:$D1448,$D1448)=1,1,0))</f>
        <v/>
      </c>
      <c r="AL1448">
        <f>IF($AK1448=1,SUMPRODUCT(--($AO$2:$AO$3001&lt;$AO1448))+1,"")</f>
        <v/>
      </c>
      <c r="AM1448">
        <f>IF($D1448="","",IF(OR($R1448=TRUE(),$R1448="TRUE"),1,0))</f>
        <v/>
      </c>
      <c r="AN1448">
        <f>IF($D1448="","",IF($X1448="Yes",1,0))</f>
        <v/>
      </c>
      <c r="AO1448">
        <f>IF($AK1448=1,IFERROR(IF(VALUE($D1448)&lt;100000000,VALUE($D1448),1000000000),IFERROR(IF(VALUE(MID($D1448,2,20))&lt;100000000,VALUE(MID($D1448,2,20)),1000000000),1000000000))+ROW()/100000,"")</f>
        <v/>
      </c>
    </row>
    <row r="1449">
      <c r="F1449" s="11" t="n"/>
      <c r="N1449" s="7">
        <f>IF($D1449="","",M1449*V1449/100)</f>
        <v/>
      </c>
      <c r="O1449" s="7" t="n"/>
      <c r="U1449" s="7" t="n"/>
      <c r="V1449" s="7" t="n"/>
      <c r="Y1449">
        <f>IF($D1449="","",IF($AN1449=1,0,IF($AM1449=1,Settings!$C$6,Settings!$C$7))*100)</f>
        <v/>
      </c>
      <c r="Z1449" s="7">
        <f>IF($D1449="","",V1449*Y1449/100)</f>
        <v/>
      </c>
      <c r="AA1449" s="7">
        <f>IF($D1449="","",V1449-Z1449)</f>
        <v/>
      </c>
      <c r="AB1449" s="7">
        <f>IF($D1449="","",AA1449-N1449)</f>
        <v/>
      </c>
      <c r="AF1449" s="7" t="n"/>
      <c r="AI1449" s="11" t="n"/>
      <c r="AK1449">
        <f>IF($D1449="","",IF(COUNTIF($D$2:$D1449,$D1449)=1,1,0))</f>
        <v/>
      </c>
      <c r="AL1449">
        <f>IF($AK1449=1,SUMPRODUCT(--($AO$2:$AO$3001&lt;$AO1449))+1,"")</f>
        <v/>
      </c>
      <c r="AM1449">
        <f>IF($D1449="","",IF(OR($R1449=TRUE(),$R1449="TRUE"),1,0))</f>
        <v/>
      </c>
      <c r="AN1449">
        <f>IF($D1449="","",IF($X1449="Yes",1,0))</f>
        <v/>
      </c>
      <c r="AO1449">
        <f>IF($AK1449=1,IFERROR(IF(VALUE($D1449)&lt;100000000,VALUE($D1449),1000000000),IFERROR(IF(VALUE(MID($D1449,2,20))&lt;100000000,VALUE(MID($D1449,2,20)),1000000000),1000000000))+ROW()/100000,"")</f>
        <v/>
      </c>
    </row>
    <row r="1450">
      <c r="F1450" s="11" t="n"/>
      <c r="N1450" s="7">
        <f>IF($D1450="","",M1450*V1450/100)</f>
        <v/>
      </c>
      <c r="O1450" s="7" t="n"/>
      <c r="U1450" s="7" t="n"/>
      <c r="V1450" s="7" t="n"/>
      <c r="Y1450">
        <f>IF($D1450="","",IF($AN1450=1,0,IF($AM1450=1,Settings!$C$6,Settings!$C$7))*100)</f>
        <v/>
      </c>
      <c r="Z1450" s="7">
        <f>IF($D1450="","",V1450*Y1450/100)</f>
        <v/>
      </c>
      <c r="AA1450" s="7">
        <f>IF($D1450="","",V1450-Z1450)</f>
        <v/>
      </c>
      <c r="AB1450" s="7">
        <f>IF($D1450="","",AA1450-N1450)</f>
        <v/>
      </c>
      <c r="AF1450" s="7" t="n"/>
      <c r="AI1450" s="11" t="n"/>
      <c r="AK1450">
        <f>IF($D1450="","",IF(COUNTIF($D$2:$D1450,$D1450)=1,1,0))</f>
        <v/>
      </c>
      <c r="AL1450">
        <f>IF($AK1450=1,SUMPRODUCT(--($AO$2:$AO$3001&lt;$AO1450))+1,"")</f>
        <v/>
      </c>
      <c r="AM1450">
        <f>IF($D1450="","",IF(OR($R1450=TRUE(),$R1450="TRUE"),1,0))</f>
        <v/>
      </c>
      <c r="AN1450">
        <f>IF($D1450="","",IF($X1450="Yes",1,0))</f>
        <v/>
      </c>
      <c r="AO1450">
        <f>IF($AK1450=1,IFERROR(IF(VALUE($D1450)&lt;100000000,VALUE($D1450),1000000000),IFERROR(IF(VALUE(MID($D1450,2,20))&lt;100000000,VALUE(MID($D1450,2,20)),1000000000),1000000000))+ROW()/100000,"")</f>
        <v/>
      </c>
    </row>
    <row r="1451">
      <c r="F1451" s="11" t="n"/>
      <c r="N1451" s="7">
        <f>IF($D1451="","",M1451*V1451/100)</f>
        <v/>
      </c>
      <c r="O1451" s="7" t="n"/>
      <c r="U1451" s="7" t="n"/>
      <c r="V1451" s="7" t="n"/>
      <c r="Y1451">
        <f>IF($D1451="","",IF($AN1451=1,0,IF($AM1451=1,Settings!$C$6,Settings!$C$7))*100)</f>
        <v/>
      </c>
      <c r="Z1451" s="7">
        <f>IF($D1451="","",V1451*Y1451/100)</f>
        <v/>
      </c>
      <c r="AA1451" s="7">
        <f>IF($D1451="","",V1451-Z1451)</f>
        <v/>
      </c>
      <c r="AB1451" s="7">
        <f>IF($D1451="","",AA1451-N1451)</f>
        <v/>
      </c>
      <c r="AF1451" s="7" t="n"/>
      <c r="AI1451" s="11" t="n"/>
      <c r="AK1451">
        <f>IF($D1451="","",IF(COUNTIF($D$2:$D1451,$D1451)=1,1,0))</f>
        <v/>
      </c>
      <c r="AL1451">
        <f>IF($AK1451=1,SUMPRODUCT(--($AO$2:$AO$3001&lt;$AO1451))+1,"")</f>
        <v/>
      </c>
      <c r="AM1451">
        <f>IF($D1451="","",IF(OR($R1451=TRUE(),$R1451="TRUE"),1,0))</f>
        <v/>
      </c>
      <c r="AN1451">
        <f>IF($D1451="","",IF($X1451="Yes",1,0))</f>
        <v/>
      </c>
      <c r="AO1451">
        <f>IF($AK1451=1,IFERROR(IF(VALUE($D1451)&lt;100000000,VALUE($D1451),1000000000),IFERROR(IF(VALUE(MID($D1451,2,20))&lt;100000000,VALUE(MID($D1451,2,20)),1000000000),1000000000))+ROW()/100000,"")</f>
        <v/>
      </c>
    </row>
    <row r="1452">
      <c r="F1452" s="11" t="n"/>
      <c r="N1452" s="7">
        <f>IF($D1452="","",M1452*V1452/100)</f>
        <v/>
      </c>
      <c r="O1452" s="7" t="n"/>
      <c r="U1452" s="7" t="n"/>
      <c r="V1452" s="7" t="n"/>
      <c r="Y1452">
        <f>IF($D1452="","",IF($AN1452=1,0,IF($AM1452=1,Settings!$C$6,Settings!$C$7))*100)</f>
        <v/>
      </c>
      <c r="Z1452" s="7">
        <f>IF($D1452="","",V1452*Y1452/100)</f>
        <v/>
      </c>
      <c r="AA1452" s="7">
        <f>IF($D1452="","",V1452-Z1452)</f>
        <v/>
      </c>
      <c r="AB1452" s="7">
        <f>IF($D1452="","",AA1452-N1452)</f>
        <v/>
      </c>
      <c r="AF1452" s="7" t="n"/>
      <c r="AI1452" s="11" t="n"/>
      <c r="AK1452">
        <f>IF($D1452="","",IF(COUNTIF($D$2:$D1452,$D1452)=1,1,0))</f>
        <v/>
      </c>
      <c r="AL1452">
        <f>IF($AK1452=1,SUMPRODUCT(--($AO$2:$AO$3001&lt;$AO1452))+1,"")</f>
        <v/>
      </c>
      <c r="AM1452">
        <f>IF($D1452="","",IF(OR($R1452=TRUE(),$R1452="TRUE"),1,0))</f>
        <v/>
      </c>
      <c r="AN1452">
        <f>IF($D1452="","",IF($X1452="Yes",1,0))</f>
        <v/>
      </c>
      <c r="AO1452">
        <f>IF($AK1452=1,IFERROR(IF(VALUE($D1452)&lt;100000000,VALUE($D1452),1000000000),IFERROR(IF(VALUE(MID($D1452,2,20))&lt;100000000,VALUE(MID($D1452,2,20)),1000000000),1000000000))+ROW()/100000,"")</f>
        <v/>
      </c>
    </row>
    <row r="1453">
      <c r="F1453" s="11" t="n"/>
      <c r="N1453" s="7">
        <f>IF($D1453="","",M1453*V1453/100)</f>
        <v/>
      </c>
      <c r="O1453" s="7" t="n"/>
      <c r="U1453" s="7" t="n"/>
      <c r="V1453" s="7" t="n"/>
      <c r="Y1453">
        <f>IF($D1453="","",IF($AN1453=1,0,IF($AM1453=1,Settings!$C$6,Settings!$C$7))*100)</f>
        <v/>
      </c>
      <c r="Z1453" s="7">
        <f>IF($D1453="","",V1453*Y1453/100)</f>
        <v/>
      </c>
      <c r="AA1453" s="7">
        <f>IF($D1453="","",V1453-Z1453)</f>
        <v/>
      </c>
      <c r="AB1453" s="7">
        <f>IF($D1453="","",AA1453-N1453)</f>
        <v/>
      </c>
      <c r="AF1453" s="7" t="n"/>
      <c r="AI1453" s="11" t="n"/>
      <c r="AK1453">
        <f>IF($D1453="","",IF(COUNTIF($D$2:$D1453,$D1453)=1,1,0))</f>
        <v/>
      </c>
      <c r="AL1453">
        <f>IF($AK1453=1,SUMPRODUCT(--($AO$2:$AO$3001&lt;$AO1453))+1,"")</f>
        <v/>
      </c>
      <c r="AM1453">
        <f>IF($D1453="","",IF(OR($R1453=TRUE(),$R1453="TRUE"),1,0))</f>
        <v/>
      </c>
      <c r="AN1453">
        <f>IF($D1453="","",IF($X1453="Yes",1,0))</f>
        <v/>
      </c>
      <c r="AO1453">
        <f>IF($AK1453=1,IFERROR(IF(VALUE($D1453)&lt;100000000,VALUE($D1453),1000000000),IFERROR(IF(VALUE(MID($D1453,2,20))&lt;100000000,VALUE(MID($D1453,2,20)),1000000000),1000000000))+ROW()/100000,"")</f>
        <v/>
      </c>
    </row>
    <row r="1454">
      <c r="F1454" s="11" t="n"/>
      <c r="N1454" s="7">
        <f>IF($D1454="","",M1454*V1454/100)</f>
        <v/>
      </c>
      <c r="O1454" s="7" t="n"/>
      <c r="U1454" s="7" t="n"/>
      <c r="V1454" s="7" t="n"/>
      <c r="Y1454">
        <f>IF($D1454="","",IF($AN1454=1,0,IF($AM1454=1,Settings!$C$6,Settings!$C$7))*100)</f>
        <v/>
      </c>
      <c r="Z1454" s="7">
        <f>IF($D1454="","",V1454*Y1454/100)</f>
        <v/>
      </c>
      <c r="AA1454" s="7">
        <f>IF($D1454="","",V1454-Z1454)</f>
        <v/>
      </c>
      <c r="AB1454" s="7">
        <f>IF($D1454="","",AA1454-N1454)</f>
        <v/>
      </c>
      <c r="AF1454" s="7" t="n"/>
      <c r="AI1454" s="11" t="n"/>
      <c r="AK1454">
        <f>IF($D1454="","",IF(COUNTIF($D$2:$D1454,$D1454)=1,1,0))</f>
        <v/>
      </c>
      <c r="AL1454">
        <f>IF($AK1454=1,SUMPRODUCT(--($AO$2:$AO$3001&lt;$AO1454))+1,"")</f>
        <v/>
      </c>
      <c r="AM1454">
        <f>IF($D1454="","",IF(OR($R1454=TRUE(),$R1454="TRUE"),1,0))</f>
        <v/>
      </c>
      <c r="AN1454">
        <f>IF($D1454="","",IF($X1454="Yes",1,0))</f>
        <v/>
      </c>
      <c r="AO1454">
        <f>IF($AK1454=1,IFERROR(IF(VALUE($D1454)&lt;100000000,VALUE($D1454),1000000000),IFERROR(IF(VALUE(MID($D1454,2,20))&lt;100000000,VALUE(MID($D1454,2,20)),1000000000),1000000000))+ROW()/100000,"")</f>
        <v/>
      </c>
    </row>
    <row r="1455">
      <c r="F1455" s="11" t="n"/>
      <c r="N1455" s="7">
        <f>IF($D1455="","",M1455*V1455/100)</f>
        <v/>
      </c>
      <c r="O1455" s="7" t="n"/>
      <c r="U1455" s="7" t="n"/>
      <c r="V1455" s="7" t="n"/>
      <c r="Y1455">
        <f>IF($D1455="","",IF($AN1455=1,0,IF($AM1455=1,Settings!$C$6,Settings!$C$7))*100)</f>
        <v/>
      </c>
      <c r="Z1455" s="7">
        <f>IF($D1455="","",V1455*Y1455/100)</f>
        <v/>
      </c>
      <c r="AA1455" s="7">
        <f>IF($D1455="","",V1455-Z1455)</f>
        <v/>
      </c>
      <c r="AB1455" s="7">
        <f>IF($D1455="","",AA1455-N1455)</f>
        <v/>
      </c>
      <c r="AF1455" s="7" t="n"/>
      <c r="AI1455" s="11" t="n"/>
      <c r="AK1455">
        <f>IF($D1455="","",IF(COUNTIF($D$2:$D1455,$D1455)=1,1,0))</f>
        <v/>
      </c>
      <c r="AL1455">
        <f>IF($AK1455=1,SUMPRODUCT(--($AO$2:$AO$3001&lt;$AO1455))+1,"")</f>
        <v/>
      </c>
      <c r="AM1455">
        <f>IF($D1455="","",IF(OR($R1455=TRUE(),$R1455="TRUE"),1,0))</f>
        <v/>
      </c>
      <c r="AN1455">
        <f>IF($D1455="","",IF($X1455="Yes",1,0))</f>
        <v/>
      </c>
      <c r="AO1455">
        <f>IF($AK1455=1,IFERROR(IF(VALUE($D1455)&lt;100000000,VALUE($D1455),1000000000),IFERROR(IF(VALUE(MID($D1455,2,20))&lt;100000000,VALUE(MID($D1455,2,20)),1000000000),1000000000))+ROW()/100000,"")</f>
        <v/>
      </c>
    </row>
    <row r="1456">
      <c r="F1456" s="11" t="n"/>
      <c r="N1456" s="7">
        <f>IF($D1456="","",M1456*V1456/100)</f>
        <v/>
      </c>
      <c r="O1456" s="7" t="n"/>
      <c r="U1456" s="7" t="n"/>
      <c r="V1456" s="7" t="n"/>
      <c r="Y1456">
        <f>IF($D1456="","",IF($AN1456=1,0,IF($AM1456=1,Settings!$C$6,Settings!$C$7))*100)</f>
        <v/>
      </c>
      <c r="Z1456" s="7">
        <f>IF($D1456="","",V1456*Y1456/100)</f>
        <v/>
      </c>
      <c r="AA1456" s="7">
        <f>IF($D1456="","",V1456-Z1456)</f>
        <v/>
      </c>
      <c r="AB1456" s="7">
        <f>IF($D1456="","",AA1456-N1456)</f>
        <v/>
      </c>
      <c r="AF1456" s="7" t="n"/>
      <c r="AI1456" s="11" t="n"/>
      <c r="AK1456">
        <f>IF($D1456="","",IF(COUNTIF($D$2:$D1456,$D1456)=1,1,0))</f>
        <v/>
      </c>
      <c r="AL1456">
        <f>IF($AK1456=1,SUMPRODUCT(--($AO$2:$AO$3001&lt;$AO1456))+1,"")</f>
        <v/>
      </c>
      <c r="AM1456">
        <f>IF($D1456="","",IF(OR($R1456=TRUE(),$R1456="TRUE"),1,0))</f>
        <v/>
      </c>
      <c r="AN1456">
        <f>IF($D1456="","",IF($X1456="Yes",1,0))</f>
        <v/>
      </c>
      <c r="AO1456">
        <f>IF($AK1456=1,IFERROR(IF(VALUE($D1456)&lt;100000000,VALUE($D1456),1000000000),IFERROR(IF(VALUE(MID($D1456,2,20))&lt;100000000,VALUE(MID($D1456,2,20)),1000000000),1000000000))+ROW()/100000,"")</f>
        <v/>
      </c>
    </row>
    <row r="1457">
      <c r="F1457" s="11" t="n"/>
      <c r="N1457" s="7">
        <f>IF($D1457="","",M1457*V1457/100)</f>
        <v/>
      </c>
      <c r="O1457" s="7" t="n"/>
      <c r="U1457" s="7" t="n"/>
      <c r="V1457" s="7" t="n"/>
      <c r="Y1457">
        <f>IF($D1457="","",IF($AN1457=1,0,IF($AM1457=1,Settings!$C$6,Settings!$C$7))*100)</f>
        <v/>
      </c>
      <c r="Z1457" s="7">
        <f>IF($D1457="","",V1457*Y1457/100)</f>
        <v/>
      </c>
      <c r="AA1457" s="7">
        <f>IF($D1457="","",V1457-Z1457)</f>
        <v/>
      </c>
      <c r="AB1457" s="7">
        <f>IF($D1457="","",AA1457-N1457)</f>
        <v/>
      </c>
      <c r="AF1457" s="7" t="n"/>
      <c r="AI1457" s="11" t="n"/>
      <c r="AK1457">
        <f>IF($D1457="","",IF(COUNTIF($D$2:$D1457,$D1457)=1,1,0))</f>
        <v/>
      </c>
      <c r="AL1457">
        <f>IF($AK1457=1,SUMPRODUCT(--($AO$2:$AO$3001&lt;$AO1457))+1,"")</f>
        <v/>
      </c>
      <c r="AM1457">
        <f>IF($D1457="","",IF(OR($R1457=TRUE(),$R1457="TRUE"),1,0))</f>
        <v/>
      </c>
      <c r="AN1457">
        <f>IF($D1457="","",IF($X1457="Yes",1,0))</f>
        <v/>
      </c>
      <c r="AO1457">
        <f>IF($AK1457=1,IFERROR(IF(VALUE($D1457)&lt;100000000,VALUE($D1457),1000000000),IFERROR(IF(VALUE(MID($D1457,2,20))&lt;100000000,VALUE(MID($D1457,2,20)),1000000000),1000000000))+ROW()/100000,"")</f>
        <v/>
      </c>
    </row>
    <row r="1458">
      <c r="F1458" s="11" t="n"/>
      <c r="N1458" s="7">
        <f>IF($D1458="","",M1458*V1458/100)</f>
        <v/>
      </c>
      <c r="O1458" s="7" t="n"/>
      <c r="U1458" s="7" t="n"/>
      <c r="V1458" s="7" t="n"/>
      <c r="Y1458">
        <f>IF($D1458="","",IF($AN1458=1,0,IF($AM1458=1,Settings!$C$6,Settings!$C$7))*100)</f>
        <v/>
      </c>
      <c r="Z1458" s="7">
        <f>IF($D1458="","",V1458*Y1458/100)</f>
        <v/>
      </c>
      <c r="AA1458" s="7">
        <f>IF($D1458="","",V1458-Z1458)</f>
        <v/>
      </c>
      <c r="AB1458" s="7">
        <f>IF($D1458="","",AA1458-N1458)</f>
        <v/>
      </c>
      <c r="AF1458" s="7" t="n"/>
      <c r="AI1458" s="11" t="n"/>
      <c r="AK1458">
        <f>IF($D1458="","",IF(COUNTIF($D$2:$D1458,$D1458)=1,1,0))</f>
        <v/>
      </c>
      <c r="AL1458">
        <f>IF($AK1458=1,SUMPRODUCT(--($AO$2:$AO$3001&lt;$AO1458))+1,"")</f>
        <v/>
      </c>
      <c r="AM1458">
        <f>IF($D1458="","",IF(OR($R1458=TRUE(),$R1458="TRUE"),1,0))</f>
        <v/>
      </c>
      <c r="AN1458">
        <f>IF($D1458="","",IF($X1458="Yes",1,0))</f>
        <v/>
      </c>
      <c r="AO1458">
        <f>IF($AK1458=1,IFERROR(IF(VALUE($D1458)&lt;100000000,VALUE($D1458),1000000000),IFERROR(IF(VALUE(MID($D1458,2,20))&lt;100000000,VALUE(MID($D1458,2,20)),1000000000),1000000000))+ROW()/100000,"")</f>
        <v/>
      </c>
    </row>
    <row r="1459">
      <c r="F1459" s="11" t="n"/>
      <c r="N1459" s="7">
        <f>IF($D1459="","",M1459*V1459/100)</f>
        <v/>
      </c>
      <c r="O1459" s="7" t="n"/>
      <c r="U1459" s="7" t="n"/>
      <c r="V1459" s="7" t="n"/>
      <c r="Y1459">
        <f>IF($D1459="","",IF($AN1459=1,0,IF($AM1459=1,Settings!$C$6,Settings!$C$7))*100)</f>
        <v/>
      </c>
      <c r="Z1459" s="7">
        <f>IF($D1459="","",V1459*Y1459/100)</f>
        <v/>
      </c>
      <c r="AA1459" s="7">
        <f>IF($D1459="","",V1459-Z1459)</f>
        <v/>
      </c>
      <c r="AB1459" s="7">
        <f>IF($D1459="","",AA1459-N1459)</f>
        <v/>
      </c>
      <c r="AF1459" s="7" t="n"/>
      <c r="AI1459" s="11" t="n"/>
      <c r="AK1459">
        <f>IF($D1459="","",IF(COUNTIF($D$2:$D1459,$D1459)=1,1,0))</f>
        <v/>
      </c>
      <c r="AL1459">
        <f>IF($AK1459=1,SUMPRODUCT(--($AO$2:$AO$3001&lt;$AO1459))+1,"")</f>
        <v/>
      </c>
      <c r="AM1459">
        <f>IF($D1459="","",IF(OR($R1459=TRUE(),$R1459="TRUE"),1,0))</f>
        <v/>
      </c>
      <c r="AN1459">
        <f>IF($D1459="","",IF($X1459="Yes",1,0))</f>
        <v/>
      </c>
      <c r="AO1459">
        <f>IF($AK1459=1,IFERROR(IF(VALUE($D1459)&lt;100000000,VALUE($D1459),1000000000),IFERROR(IF(VALUE(MID($D1459,2,20))&lt;100000000,VALUE(MID($D1459,2,20)),1000000000),1000000000))+ROW()/100000,"")</f>
        <v/>
      </c>
    </row>
    <row r="1460">
      <c r="F1460" s="11" t="n"/>
      <c r="N1460" s="7">
        <f>IF($D1460="","",M1460*V1460/100)</f>
        <v/>
      </c>
      <c r="O1460" s="7" t="n"/>
      <c r="U1460" s="7" t="n"/>
      <c r="V1460" s="7" t="n"/>
      <c r="Y1460">
        <f>IF($D1460="","",IF($AN1460=1,0,IF($AM1460=1,Settings!$C$6,Settings!$C$7))*100)</f>
        <v/>
      </c>
      <c r="Z1460" s="7">
        <f>IF($D1460="","",V1460*Y1460/100)</f>
        <v/>
      </c>
      <c r="AA1460" s="7">
        <f>IF($D1460="","",V1460-Z1460)</f>
        <v/>
      </c>
      <c r="AB1460" s="7">
        <f>IF($D1460="","",AA1460-N1460)</f>
        <v/>
      </c>
      <c r="AF1460" s="7" t="n"/>
      <c r="AI1460" s="11" t="n"/>
      <c r="AK1460">
        <f>IF($D1460="","",IF(COUNTIF($D$2:$D1460,$D1460)=1,1,0))</f>
        <v/>
      </c>
      <c r="AL1460">
        <f>IF($AK1460=1,SUMPRODUCT(--($AO$2:$AO$3001&lt;$AO1460))+1,"")</f>
        <v/>
      </c>
      <c r="AM1460">
        <f>IF($D1460="","",IF(OR($R1460=TRUE(),$R1460="TRUE"),1,0))</f>
        <v/>
      </c>
      <c r="AN1460">
        <f>IF($D1460="","",IF($X1460="Yes",1,0))</f>
        <v/>
      </c>
      <c r="AO1460">
        <f>IF($AK1460=1,IFERROR(IF(VALUE($D1460)&lt;100000000,VALUE($D1460),1000000000),IFERROR(IF(VALUE(MID($D1460,2,20))&lt;100000000,VALUE(MID($D1460,2,20)),1000000000),1000000000))+ROW()/100000,"")</f>
        <v/>
      </c>
    </row>
    <row r="1461">
      <c r="F1461" s="11" t="n"/>
      <c r="N1461" s="7">
        <f>IF($D1461="","",M1461*V1461/100)</f>
        <v/>
      </c>
      <c r="O1461" s="7" t="n"/>
      <c r="U1461" s="7" t="n"/>
      <c r="V1461" s="7" t="n"/>
      <c r="Y1461">
        <f>IF($D1461="","",IF($AN1461=1,0,IF($AM1461=1,Settings!$C$6,Settings!$C$7))*100)</f>
        <v/>
      </c>
      <c r="Z1461" s="7">
        <f>IF($D1461="","",V1461*Y1461/100)</f>
        <v/>
      </c>
      <c r="AA1461" s="7">
        <f>IF($D1461="","",V1461-Z1461)</f>
        <v/>
      </c>
      <c r="AB1461" s="7">
        <f>IF($D1461="","",AA1461-N1461)</f>
        <v/>
      </c>
      <c r="AF1461" s="7" t="n"/>
      <c r="AI1461" s="11" t="n"/>
      <c r="AK1461">
        <f>IF($D1461="","",IF(COUNTIF($D$2:$D1461,$D1461)=1,1,0))</f>
        <v/>
      </c>
      <c r="AL1461">
        <f>IF($AK1461=1,SUMPRODUCT(--($AO$2:$AO$3001&lt;$AO1461))+1,"")</f>
        <v/>
      </c>
      <c r="AM1461">
        <f>IF($D1461="","",IF(OR($R1461=TRUE(),$R1461="TRUE"),1,0))</f>
        <v/>
      </c>
      <c r="AN1461">
        <f>IF($D1461="","",IF($X1461="Yes",1,0))</f>
        <v/>
      </c>
      <c r="AO1461">
        <f>IF($AK1461=1,IFERROR(IF(VALUE($D1461)&lt;100000000,VALUE($D1461),1000000000),IFERROR(IF(VALUE(MID($D1461,2,20))&lt;100000000,VALUE(MID($D1461,2,20)),1000000000),1000000000))+ROW()/100000,"")</f>
        <v/>
      </c>
    </row>
    <row r="1462">
      <c r="F1462" s="11" t="n"/>
      <c r="N1462" s="7">
        <f>IF($D1462="","",M1462*V1462/100)</f>
        <v/>
      </c>
      <c r="O1462" s="7" t="n"/>
      <c r="U1462" s="7" t="n"/>
      <c r="V1462" s="7" t="n"/>
      <c r="Y1462">
        <f>IF($D1462="","",IF($AN1462=1,0,IF($AM1462=1,Settings!$C$6,Settings!$C$7))*100)</f>
        <v/>
      </c>
      <c r="Z1462" s="7">
        <f>IF($D1462="","",V1462*Y1462/100)</f>
        <v/>
      </c>
      <c r="AA1462" s="7">
        <f>IF($D1462="","",V1462-Z1462)</f>
        <v/>
      </c>
      <c r="AB1462" s="7">
        <f>IF($D1462="","",AA1462-N1462)</f>
        <v/>
      </c>
      <c r="AF1462" s="7" t="n"/>
      <c r="AI1462" s="11" t="n"/>
      <c r="AK1462">
        <f>IF($D1462="","",IF(COUNTIF($D$2:$D1462,$D1462)=1,1,0))</f>
        <v/>
      </c>
      <c r="AL1462">
        <f>IF($AK1462=1,SUMPRODUCT(--($AO$2:$AO$3001&lt;$AO1462))+1,"")</f>
        <v/>
      </c>
      <c r="AM1462">
        <f>IF($D1462="","",IF(OR($R1462=TRUE(),$R1462="TRUE"),1,0))</f>
        <v/>
      </c>
      <c r="AN1462">
        <f>IF($D1462="","",IF($X1462="Yes",1,0))</f>
        <v/>
      </c>
      <c r="AO1462">
        <f>IF($AK1462=1,IFERROR(IF(VALUE($D1462)&lt;100000000,VALUE($D1462),1000000000),IFERROR(IF(VALUE(MID($D1462,2,20))&lt;100000000,VALUE(MID($D1462,2,20)),1000000000),1000000000))+ROW()/100000,"")</f>
        <v/>
      </c>
    </row>
    <row r="1463">
      <c r="F1463" s="11" t="n"/>
      <c r="N1463" s="7">
        <f>IF($D1463="","",M1463*V1463/100)</f>
        <v/>
      </c>
      <c r="O1463" s="7" t="n"/>
      <c r="U1463" s="7" t="n"/>
      <c r="V1463" s="7" t="n"/>
      <c r="Y1463">
        <f>IF($D1463="","",IF($AN1463=1,0,IF($AM1463=1,Settings!$C$6,Settings!$C$7))*100)</f>
        <v/>
      </c>
      <c r="Z1463" s="7">
        <f>IF($D1463="","",V1463*Y1463/100)</f>
        <v/>
      </c>
      <c r="AA1463" s="7">
        <f>IF($D1463="","",V1463-Z1463)</f>
        <v/>
      </c>
      <c r="AB1463" s="7">
        <f>IF($D1463="","",AA1463-N1463)</f>
        <v/>
      </c>
      <c r="AF1463" s="7" t="n"/>
      <c r="AI1463" s="11" t="n"/>
      <c r="AK1463">
        <f>IF($D1463="","",IF(COUNTIF($D$2:$D1463,$D1463)=1,1,0))</f>
        <v/>
      </c>
      <c r="AL1463">
        <f>IF($AK1463=1,SUMPRODUCT(--($AO$2:$AO$3001&lt;$AO1463))+1,"")</f>
        <v/>
      </c>
      <c r="AM1463">
        <f>IF($D1463="","",IF(OR($R1463=TRUE(),$R1463="TRUE"),1,0))</f>
        <v/>
      </c>
      <c r="AN1463">
        <f>IF($D1463="","",IF($X1463="Yes",1,0))</f>
        <v/>
      </c>
      <c r="AO1463">
        <f>IF($AK1463=1,IFERROR(IF(VALUE($D1463)&lt;100000000,VALUE($D1463),1000000000),IFERROR(IF(VALUE(MID($D1463,2,20))&lt;100000000,VALUE(MID($D1463,2,20)),1000000000),1000000000))+ROW()/100000,"")</f>
        <v/>
      </c>
    </row>
    <row r="1464">
      <c r="F1464" s="11" t="n"/>
      <c r="N1464" s="7">
        <f>IF($D1464="","",M1464*V1464/100)</f>
        <v/>
      </c>
      <c r="O1464" s="7" t="n"/>
      <c r="U1464" s="7" t="n"/>
      <c r="V1464" s="7" t="n"/>
      <c r="Y1464">
        <f>IF($D1464="","",IF($AN1464=1,0,IF($AM1464=1,Settings!$C$6,Settings!$C$7))*100)</f>
        <v/>
      </c>
      <c r="Z1464" s="7">
        <f>IF($D1464="","",V1464*Y1464/100)</f>
        <v/>
      </c>
      <c r="AA1464" s="7">
        <f>IF($D1464="","",V1464-Z1464)</f>
        <v/>
      </c>
      <c r="AB1464" s="7">
        <f>IF($D1464="","",AA1464-N1464)</f>
        <v/>
      </c>
      <c r="AF1464" s="7" t="n"/>
      <c r="AI1464" s="11" t="n"/>
      <c r="AK1464">
        <f>IF($D1464="","",IF(COUNTIF($D$2:$D1464,$D1464)=1,1,0))</f>
        <v/>
      </c>
      <c r="AL1464">
        <f>IF($AK1464=1,SUMPRODUCT(--($AO$2:$AO$3001&lt;$AO1464))+1,"")</f>
        <v/>
      </c>
      <c r="AM1464">
        <f>IF($D1464="","",IF(OR($R1464=TRUE(),$R1464="TRUE"),1,0))</f>
        <v/>
      </c>
      <c r="AN1464">
        <f>IF($D1464="","",IF($X1464="Yes",1,0))</f>
        <v/>
      </c>
      <c r="AO1464">
        <f>IF($AK1464=1,IFERROR(IF(VALUE($D1464)&lt;100000000,VALUE($D1464),1000000000),IFERROR(IF(VALUE(MID($D1464,2,20))&lt;100000000,VALUE(MID($D1464,2,20)),1000000000),1000000000))+ROW()/100000,"")</f>
        <v/>
      </c>
    </row>
    <row r="1465">
      <c r="F1465" s="11" t="n"/>
      <c r="N1465" s="7">
        <f>IF($D1465="","",M1465*V1465/100)</f>
        <v/>
      </c>
      <c r="O1465" s="7" t="n"/>
      <c r="U1465" s="7" t="n"/>
      <c r="V1465" s="7" t="n"/>
      <c r="Y1465">
        <f>IF($D1465="","",IF($AN1465=1,0,IF($AM1465=1,Settings!$C$6,Settings!$C$7))*100)</f>
        <v/>
      </c>
      <c r="Z1465" s="7">
        <f>IF($D1465="","",V1465*Y1465/100)</f>
        <v/>
      </c>
      <c r="AA1465" s="7">
        <f>IF($D1465="","",V1465-Z1465)</f>
        <v/>
      </c>
      <c r="AB1465" s="7">
        <f>IF($D1465="","",AA1465-N1465)</f>
        <v/>
      </c>
      <c r="AF1465" s="7" t="n"/>
      <c r="AI1465" s="11" t="n"/>
      <c r="AK1465">
        <f>IF($D1465="","",IF(COUNTIF($D$2:$D1465,$D1465)=1,1,0))</f>
        <v/>
      </c>
      <c r="AL1465">
        <f>IF($AK1465=1,SUMPRODUCT(--($AO$2:$AO$3001&lt;$AO1465))+1,"")</f>
        <v/>
      </c>
      <c r="AM1465">
        <f>IF($D1465="","",IF(OR($R1465=TRUE(),$R1465="TRUE"),1,0))</f>
        <v/>
      </c>
      <c r="AN1465">
        <f>IF($D1465="","",IF($X1465="Yes",1,0))</f>
        <v/>
      </c>
      <c r="AO1465">
        <f>IF($AK1465=1,IFERROR(IF(VALUE($D1465)&lt;100000000,VALUE($D1465),1000000000),IFERROR(IF(VALUE(MID($D1465,2,20))&lt;100000000,VALUE(MID($D1465,2,20)),1000000000),1000000000))+ROW()/100000,"")</f>
        <v/>
      </c>
    </row>
    <row r="1466">
      <c r="F1466" s="11" t="n"/>
      <c r="N1466" s="7">
        <f>IF($D1466="","",M1466*V1466/100)</f>
        <v/>
      </c>
      <c r="O1466" s="7" t="n"/>
      <c r="U1466" s="7" t="n"/>
      <c r="V1466" s="7" t="n"/>
      <c r="Y1466">
        <f>IF($D1466="","",IF($AN1466=1,0,IF($AM1466=1,Settings!$C$6,Settings!$C$7))*100)</f>
        <v/>
      </c>
      <c r="Z1466" s="7">
        <f>IF($D1466="","",V1466*Y1466/100)</f>
        <v/>
      </c>
      <c r="AA1466" s="7">
        <f>IF($D1466="","",V1466-Z1466)</f>
        <v/>
      </c>
      <c r="AB1466" s="7">
        <f>IF($D1466="","",AA1466-N1466)</f>
        <v/>
      </c>
      <c r="AF1466" s="7" t="n"/>
      <c r="AI1466" s="11" t="n"/>
      <c r="AK1466">
        <f>IF($D1466="","",IF(COUNTIF($D$2:$D1466,$D1466)=1,1,0))</f>
        <v/>
      </c>
      <c r="AL1466">
        <f>IF($AK1466=1,SUMPRODUCT(--($AO$2:$AO$3001&lt;$AO1466))+1,"")</f>
        <v/>
      </c>
      <c r="AM1466">
        <f>IF($D1466="","",IF(OR($R1466=TRUE(),$R1466="TRUE"),1,0))</f>
        <v/>
      </c>
      <c r="AN1466">
        <f>IF($D1466="","",IF($X1466="Yes",1,0))</f>
        <v/>
      </c>
      <c r="AO1466">
        <f>IF($AK1466=1,IFERROR(IF(VALUE($D1466)&lt;100000000,VALUE($D1466),1000000000),IFERROR(IF(VALUE(MID($D1466,2,20))&lt;100000000,VALUE(MID($D1466,2,20)),1000000000),1000000000))+ROW()/100000,"")</f>
        <v/>
      </c>
    </row>
    <row r="1467">
      <c r="F1467" s="11" t="n"/>
      <c r="N1467" s="7">
        <f>IF($D1467="","",M1467*V1467/100)</f>
        <v/>
      </c>
      <c r="O1467" s="7" t="n"/>
      <c r="U1467" s="7" t="n"/>
      <c r="V1467" s="7" t="n"/>
      <c r="Y1467">
        <f>IF($D1467="","",IF($AN1467=1,0,IF($AM1467=1,Settings!$C$6,Settings!$C$7))*100)</f>
        <v/>
      </c>
      <c r="Z1467" s="7">
        <f>IF($D1467="","",V1467*Y1467/100)</f>
        <v/>
      </c>
      <c r="AA1467" s="7">
        <f>IF($D1467="","",V1467-Z1467)</f>
        <v/>
      </c>
      <c r="AB1467" s="7">
        <f>IF($D1467="","",AA1467-N1467)</f>
        <v/>
      </c>
      <c r="AF1467" s="7" t="n"/>
      <c r="AI1467" s="11" t="n"/>
      <c r="AK1467">
        <f>IF($D1467="","",IF(COUNTIF($D$2:$D1467,$D1467)=1,1,0))</f>
        <v/>
      </c>
      <c r="AL1467">
        <f>IF($AK1467=1,SUMPRODUCT(--($AO$2:$AO$3001&lt;$AO1467))+1,"")</f>
        <v/>
      </c>
      <c r="AM1467">
        <f>IF($D1467="","",IF(OR($R1467=TRUE(),$R1467="TRUE"),1,0))</f>
        <v/>
      </c>
      <c r="AN1467">
        <f>IF($D1467="","",IF($X1467="Yes",1,0))</f>
        <v/>
      </c>
      <c r="AO1467">
        <f>IF($AK1467=1,IFERROR(IF(VALUE($D1467)&lt;100000000,VALUE($D1467),1000000000),IFERROR(IF(VALUE(MID($D1467,2,20))&lt;100000000,VALUE(MID($D1467,2,20)),1000000000),1000000000))+ROW()/100000,"")</f>
        <v/>
      </c>
    </row>
    <row r="1468">
      <c r="F1468" s="11" t="n"/>
      <c r="N1468" s="7">
        <f>IF($D1468="","",M1468*V1468/100)</f>
        <v/>
      </c>
      <c r="O1468" s="7" t="n"/>
      <c r="U1468" s="7" t="n"/>
      <c r="V1468" s="7" t="n"/>
      <c r="Y1468">
        <f>IF($D1468="","",IF($AN1468=1,0,IF($AM1468=1,Settings!$C$6,Settings!$C$7))*100)</f>
        <v/>
      </c>
      <c r="Z1468" s="7">
        <f>IF($D1468="","",V1468*Y1468/100)</f>
        <v/>
      </c>
      <c r="AA1468" s="7">
        <f>IF($D1468="","",V1468-Z1468)</f>
        <v/>
      </c>
      <c r="AB1468" s="7">
        <f>IF($D1468="","",AA1468-N1468)</f>
        <v/>
      </c>
      <c r="AF1468" s="7" t="n"/>
      <c r="AI1468" s="11" t="n"/>
      <c r="AK1468">
        <f>IF($D1468="","",IF(COUNTIF($D$2:$D1468,$D1468)=1,1,0))</f>
        <v/>
      </c>
      <c r="AL1468">
        <f>IF($AK1468=1,SUMPRODUCT(--($AO$2:$AO$3001&lt;$AO1468))+1,"")</f>
        <v/>
      </c>
      <c r="AM1468">
        <f>IF($D1468="","",IF(OR($R1468=TRUE(),$R1468="TRUE"),1,0))</f>
        <v/>
      </c>
      <c r="AN1468">
        <f>IF($D1468="","",IF($X1468="Yes",1,0))</f>
        <v/>
      </c>
      <c r="AO1468">
        <f>IF($AK1468=1,IFERROR(IF(VALUE($D1468)&lt;100000000,VALUE($D1468),1000000000),IFERROR(IF(VALUE(MID($D1468,2,20))&lt;100000000,VALUE(MID($D1468,2,20)),1000000000),1000000000))+ROW()/100000,"")</f>
        <v/>
      </c>
    </row>
    <row r="1469">
      <c r="F1469" s="11" t="n"/>
      <c r="N1469" s="7">
        <f>IF($D1469="","",M1469*V1469/100)</f>
        <v/>
      </c>
      <c r="O1469" s="7" t="n"/>
      <c r="U1469" s="7" t="n"/>
      <c r="V1469" s="7" t="n"/>
      <c r="Y1469">
        <f>IF($D1469="","",IF($AN1469=1,0,IF($AM1469=1,Settings!$C$6,Settings!$C$7))*100)</f>
        <v/>
      </c>
      <c r="Z1469" s="7">
        <f>IF($D1469="","",V1469*Y1469/100)</f>
        <v/>
      </c>
      <c r="AA1469" s="7">
        <f>IF($D1469="","",V1469-Z1469)</f>
        <v/>
      </c>
      <c r="AB1469" s="7">
        <f>IF($D1469="","",AA1469-N1469)</f>
        <v/>
      </c>
      <c r="AF1469" s="7" t="n"/>
      <c r="AI1469" s="11" t="n"/>
      <c r="AK1469">
        <f>IF($D1469="","",IF(COUNTIF($D$2:$D1469,$D1469)=1,1,0))</f>
        <v/>
      </c>
      <c r="AL1469">
        <f>IF($AK1469=1,SUMPRODUCT(--($AO$2:$AO$3001&lt;$AO1469))+1,"")</f>
        <v/>
      </c>
      <c r="AM1469">
        <f>IF($D1469="","",IF(OR($R1469=TRUE(),$R1469="TRUE"),1,0))</f>
        <v/>
      </c>
      <c r="AN1469">
        <f>IF($D1469="","",IF($X1469="Yes",1,0))</f>
        <v/>
      </c>
      <c r="AO1469">
        <f>IF($AK1469=1,IFERROR(IF(VALUE($D1469)&lt;100000000,VALUE($D1469),1000000000),IFERROR(IF(VALUE(MID($D1469,2,20))&lt;100000000,VALUE(MID($D1469,2,20)),1000000000),1000000000))+ROW()/100000,"")</f>
        <v/>
      </c>
    </row>
    <row r="1470">
      <c r="F1470" s="11" t="n"/>
      <c r="N1470" s="7">
        <f>IF($D1470="","",M1470*V1470/100)</f>
        <v/>
      </c>
      <c r="O1470" s="7" t="n"/>
      <c r="U1470" s="7" t="n"/>
      <c r="V1470" s="7" t="n"/>
      <c r="Y1470">
        <f>IF($D1470="","",IF($AN1470=1,0,IF($AM1470=1,Settings!$C$6,Settings!$C$7))*100)</f>
        <v/>
      </c>
      <c r="Z1470" s="7">
        <f>IF($D1470="","",V1470*Y1470/100)</f>
        <v/>
      </c>
      <c r="AA1470" s="7">
        <f>IF($D1470="","",V1470-Z1470)</f>
        <v/>
      </c>
      <c r="AB1470" s="7">
        <f>IF($D1470="","",AA1470-N1470)</f>
        <v/>
      </c>
      <c r="AF1470" s="7" t="n"/>
      <c r="AI1470" s="11" t="n"/>
      <c r="AK1470">
        <f>IF($D1470="","",IF(COUNTIF($D$2:$D1470,$D1470)=1,1,0))</f>
        <v/>
      </c>
      <c r="AL1470">
        <f>IF($AK1470=1,SUMPRODUCT(--($AO$2:$AO$3001&lt;$AO1470))+1,"")</f>
        <v/>
      </c>
      <c r="AM1470">
        <f>IF($D1470="","",IF(OR($R1470=TRUE(),$R1470="TRUE"),1,0))</f>
        <v/>
      </c>
      <c r="AN1470">
        <f>IF($D1470="","",IF($X1470="Yes",1,0))</f>
        <v/>
      </c>
      <c r="AO1470">
        <f>IF($AK1470=1,IFERROR(IF(VALUE($D1470)&lt;100000000,VALUE($D1470),1000000000),IFERROR(IF(VALUE(MID($D1470,2,20))&lt;100000000,VALUE(MID($D1470,2,20)),1000000000),1000000000))+ROW()/100000,"")</f>
        <v/>
      </c>
    </row>
    <row r="1471">
      <c r="F1471" s="11" t="n"/>
      <c r="N1471" s="7">
        <f>IF($D1471="","",M1471*V1471/100)</f>
        <v/>
      </c>
      <c r="O1471" s="7" t="n"/>
      <c r="U1471" s="7" t="n"/>
      <c r="V1471" s="7" t="n"/>
      <c r="Y1471">
        <f>IF($D1471="","",IF($AN1471=1,0,IF($AM1471=1,Settings!$C$6,Settings!$C$7))*100)</f>
        <v/>
      </c>
      <c r="Z1471" s="7">
        <f>IF($D1471="","",V1471*Y1471/100)</f>
        <v/>
      </c>
      <c r="AA1471" s="7">
        <f>IF($D1471="","",V1471-Z1471)</f>
        <v/>
      </c>
      <c r="AB1471" s="7">
        <f>IF($D1471="","",AA1471-N1471)</f>
        <v/>
      </c>
      <c r="AF1471" s="7" t="n"/>
      <c r="AI1471" s="11" t="n"/>
      <c r="AK1471">
        <f>IF($D1471="","",IF(COUNTIF($D$2:$D1471,$D1471)=1,1,0))</f>
        <v/>
      </c>
      <c r="AL1471">
        <f>IF($AK1471=1,SUMPRODUCT(--($AO$2:$AO$3001&lt;$AO1471))+1,"")</f>
        <v/>
      </c>
      <c r="AM1471">
        <f>IF($D1471="","",IF(OR($R1471=TRUE(),$R1471="TRUE"),1,0))</f>
        <v/>
      </c>
      <c r="AN1471">
        <f>IF($D1471="","",IF($X1471="Yes",1,0))</f>
        <v/>
      </c>
      <c r="AO1471">
        <f>IF($AK1471=1,IFERROR(IF(VALUE($D1471)&lt;100000000,VALUE($D1471),1000000000),IFERROR(IF(VALUE(MID($D1471,2,20))&lt;100000000,VALUE(MID($D1471,2,20)),1000000000),1000000000))+ROW()/100000,"")</f>
        <v/>
      </c>
    </row>
    <row r="1472">
      <c r="F1472" s="11" t="n"/>
      <c r="N1472" s="7">
        <f>IF($D1472="","",M1472*V1472/100)</f>
        <v/>
      </c>
      <c r="O1472" s="7" t="n"/>
      <c r="U1472" s="7" t="n"/>
      <c r="V1472" s="7" t="n"/>
      <c r="Y1472">
        <f>IF($D1472="","",IF($AN1472=1,0,IF($AM1472=1,Settings!$C$6,Settings!$C$7))*100)</f>
        <v/>
      </c>
      <c r="Z1472" s="7">
        <f>IF($D1472="","",V1472*Y1472/100)</f>
        <v/>
      </c>
      <c r="AA1472" s="7">
        <f>IF($D1472="","",V1472-Z1472)</f>
        <v/>
      </c>
      <c r="AB1472" s="7">
        <f>IF($D1472="","",AA1472-N1472)</f>
        <v/>
      </c>
      <c r="AF1472" s="7" t="n"/>
      <c r="AI1472" s="11" t="n"/>
      <c r="AK1472">
        <f>IF($D1472="","",IF(COUNTIF($D$2:$D1472,$D1472)=1,1,0))</f>
        <v/>
      </c>
      <c r="AL1472">
        <f>IF($AK1472=1,SUMPRODUCT(--($AO$2:$AO$3001&lt;$AO1472))+1,"")</f>
        <v/>
      </c>
      <c r="AM1472">
        <f>IF($D1472="","",IF(OR($R1472=TRUE(),$R1472="TRUE"),1,0))</f>
        <v/>
      </c>
      <c r="AN1472">
        <f>IF($D1472="","",IF($X1472="Yes",1,0))</f>
        <v/>
      </c>
      <c r="AO1472">
        <f>IF($AK1472=1,IFERROR(IF(VALUE($D1472)&lt;100000000,VALUE($D1472),1000000000),IFERROR(IF(VALUE(MID($D1472,2,20))&lt;100000000,VALUE(MID($D1472,2,20)),1000000000),1000000000))+ROW()/100000,"")</f>
        <v/>
      </c>
    </row>
    <row r="1473">
      <c r="F1473" s="11" t="n"/>
      <c r="N1473" s="7">
        <f>IF($D1473="","",M1473*V1473/100)</f>
        <v/>
      </c>
      <c r="O1473" s="7" t="n"/>
      <c r="U1473" s="7" t="n"/>
      <c r="V1473" s="7" t="n"/>
      <c r="Y1473">
        <f>IF($D1473="","",IF($AN1473=1,0,IF($AM1473=1,Settings!$C$6,Settings!$C$7))*100)</f>
        <v/>
      </c>
      <c r="Z1473" s="7">
        <f>IF($D1473="","",V1473*Y1473/100)</f>
        <v/>
      </c>
      <c r="AA1473" s="7">
        <f>IF($D1473="","",V1473-Z1473)</f>
        <v/>
      </c>
      <c r="AB1473" s="7">
        <f>IF($D1473="","",AA1473-N1473)</f>
        <v/>
      </c>
      <c r="AF1473" s="7" t="n"/>
      <c r="AI1473" s="11" t="n"/>
      <c r="AK1473">
        <f>IF($D1473="","",IF(COUNTIF($D$2:$D1473,$D1473)=1,1,0))</f>
        <v/>
      </c>
      <c r="AL1473">
        <f>IF($AK1473=1,SUMPRODUCT(--($AO$2:$AO$3001&lt;$AO1473))+1,"")</f>
        <v/>
      </c>
      <c r="AM1473">
        <f>IF($D1473="","",IF(OR($R1473=TRUE(),$R1473="TRUE"),1,0))</f>
        <v/>
      </c>
      <c r="AN1473">
        <f>IF($D1473="","",IF($X1473="Yes",1,0))</f>
        <v/>
      </c>
      <c r="AO1473">
        <f>IF($AK1473=1,IFERROR(IF(VALUE($D1473)&lt;100000000,VALUE($D1473),1000000000),IFERROR(IF(VALUE(MID($D1473,2,20))&lt;100000000,VALUE(MID($D1473,2,20)),1000000000),1000000000))+ROW()/100000,"")</f>
        <v/>
      </c>
    </row>
    <row r="1474">
      <c r="F1474" s="11" t="n"/>
      <c r="N1474" s="7">
        <f>IF($D1474="","",M1474*V1474/100)</f>
        <v/>
      </c>
      <c r="O1474" s="7" t="n"/>
      <c r="U1474" s="7" t="n"/>
      <c r="V1474" s="7" t="n"/>
      <c r="Y1474">
        <f>IF($D1474="","",IF($AN1474=1,0,IF($AM1474=1,Settings!$C$6,Settings!$C$7))*100)</f>
        <v/>
      </c>
      <c r="Z1474" s="7">
        <f>IF($D1474="","",V1474*Y1474/100)</f>
        <v/>
      </c>
      <c r="AA1474" s="7">
        <f>IF($D1474="","",V1474-Z1474)</f>
        <v/>
      </c>
      <c r="AB1474" s="7">
        <f>IF($D1474="","",AA1474-N1474)</f>
        <v/>
      </c>
      <c r="AF1474" s="7" t="n"/>
      <c r="AI1474" s="11" t="n"/>
      <c r="AK1474">
        <f>IF($D1474="","",IF(COUNTIF($D$2:$D1474,$D1474)=1,1,0))</f>
        <v/>
      </c>
      <c r="AL1474">
        <f>IF($AK1474=1,SUMPRODUCT(--($AO$2:$AO$3001&lt;$AO1474))+1,"")</f>
        <v/>
      </c>
      <c r="AM1474">
        <f>IF($D1474="","",IF(OR($R1474=TRUE(),$R1474="TRUE"),1,0))</f>
        <v/>
      </c>
      <c r="AN1474">
        <f>IF($D1474="","",IF($X1474="Yes",1,0))</f>
        <v/>
      </c>
      <c r="AO1474">
        <f>IF($AK1474=1,IFERROR(IF(VALUE($D1474)&lt;100000000,VALUE($D1474),1000000000),IFERROR(IF(VALUE(MID($D1474,2,20))&lt;100000000,VALUE(MID($D1474,2,20)),1000000000),1000000000))+ROW()/100000,"")</f>
        <v/>
      </c>
    </row>
    <row r="1475">
      <c r="F1475" s="11" t="n"/>
      <c r="N1475" s="7">
        <f>IF($D1475="","",M1475*V1475/100)</f>
        <v/>
      </c>
      <c r="O1475" s="7" t="n"/>
      <c r="U1475" s="7" t="n"/>
      <c r="V1475" s="7" t="n"/>
      <c r="Y1475">
        <f>IF($D1475="","",IF($AN1475=1,0,IF($AM1475=1,Settings!$C$6,Settings!$C$7))*100)</f>
        <v/>
      </c>
      <c r="Z1475" s="7">
        <f>IF($D1475="","",V1475*Y1475/100)</f>
        <v/>
      </c>
      <c r="AA1475" s="7">
        <f>IF($D1475="","",V1475-Z1475)</f>
        <v/>
      </c>
      <c r="AB1475" s="7">
        <f>IF($D1475="","",AA1475-N1475)</f>
        <v/>
      </c>
      <c r="AF1475" s="7" t="n"/>
      <c r="AI1475" s="11" t="n"/>
      <c r="AK1475">
        <f>IF($D1475="","",IF(COUNTIF($D$2:$D1475,$D1475)=1,1,0))</f>
        <v/>
      </c>
      <c r="AL1475">
        <f>IF($AK1475=1,SUMPRODUCT(--($AO$2:$AO$3001&lt;$AO1475))+1,"")</f>
        <v/>
      </c>
      <c r="AM1475">
        <f>IF($D1475="","",IF(OR($R1475=TRUE(),$R1475="TRUE"),1,0))</f>
        <v/>
      </c>
      <c r="AN1475">
        <f>IF($D1475="","",IF($X1475="Yes",1,0))</f>
        <v/>
      </c>
      <c r="AO1475">
        <f>IF($AK1475=1,IFERROR(IF(VALUE($D1475)&lt;100000000,VALUE($D1475),1000000000),IFERROR(IF(VALUE(MID($D1475,2,20))&lt;100000000,VALUE(MID($D1475,2,20)),1000000000),1000000000))+ROW()/100000,"")</f>
        <v/>
      </c>
    </row>
    <row r="1476">
      <c r="F1476" s="11" t="n"/>
      <c r="N1476" s="7">
        <f>IF($D1476="","",M1476*V1476/100)</f>
        <v/>
      </c>
      <c r="O1476" s="7" t="n"/>
      <c r="U1476" s="7" t="n"/>
      <c r="V1476" s="7" t="n"/>
      <c r="Y1476">
        <f>IF($D1476="","",IF($AN1476=1,0,IF($AM1476=1,Settings!$C$6,Settings!$C$7))*100)</f>
        <v/>
      </c>
      <c r="Z1476" s="7">
        <f>IF($D1476="","",V1476*Y1476/100)</f>
        <v/>
      </c>
      <c r="AA1476" s="7">
        <f>IF($D1476="","",V1476-Z1476)</f>
        <v/>
      </c>
      <c r="AB1476" s="7">
        <f>IF($D1476="","",AA1476-N1476)</f>
        <v/>
      </c>
      <c r="AF1476" s="7" t="n"/>
      <c r="AI1476" s="11" t="n"/>
      <c r="AK1476">
        <f>IF($D1476="","",IF(COUNTIF($D$2:$D1476,$D1476)=1,1,0))</f>
        <v/>
      </c>
      <c r="AL1476">
        <f>IF($AK1476=1,SUMPRODUCT(--($AO$2:$AO$3001&lt;$AO1476))+1,"")</f>
        <v/>
      </c>
      <c r="AM1476">
        <f>IF($D1476="","",IF(OR($R1476=TRUE(),$R1476="TRUE"),1,0))</f>
        <v/>
      </c>
      <c r="AN1476">
        <f>IF($D1476="","",IF($X1476="Yes",1,0))</f>
        <v/>
      </c>
      <c r="AO1476">
        <f>IF($AK1476=1,IFERROR(IF(VALUE($D1476)&lt;100000000,VALUE($D1476),1000000000),IFERROR(IF(VALUE(MID($D1476,2,20))&lt;100000000,VALUE(MID($D1476,2,20)),1000000000),1000000000))+ROW()/100000,"")</f>
        <v/>
      </c>
    </row>
    <row r="1477">
      <c r="F1477" s="11" t="n"/>
      <c r="N1477" s="7">
        <f>IF($D1477="","",M1477*V1477/100)</f>
        <v/>
      </c>
      <c r="O1477" s="7" t="n"/>
      <c r="U1477" s="7" t="n"/>
      <c r="V1477" s="7" t="n"/>
      <c r="Y1477">
        <f>IF($D1477="","",IF($AN1477=1,0,IF($AM1477=1,Settings!$C$6,Settings!$C$7))*100)</f>
        <v/>
      </c>
      <c r="Z1477" s="7">
        <f>IF($D1477="","",V1477*Y1477/100)</f>
        <v/>
      </c>
      <c r="AA1477" s="7">
        <f>IF($D1477="","",V1477-Z1477)</f>
        <v/>
      </c>
      <c r="AB1477" s="7">
        <f>IF($D1477="","",AA1477-N1477)</f>
        <v/>
      </c>
      <c r="AF1477" s="7" t="n"/>
      <c r="AI1477" s="11" t="n"/>
      <c r="AK1477">
        <f>IF($D1477="","",IF(COUNTIF($D$2:$D1477,$D1477)=1,1,0))</f>
        <v/>
      </c>
      <c r="AL1477">
        <f>IF($AK1477=1,SUMPRODUCT(--($AO$2:$AO$3001&lt;$AO1477))+1,"")</f>
        <v/>
      </c>
      <c r="AM1477">
        <f>IF($D1477="","",IF(OR($R1477=TRUE(),$R1477="TRUE"),1,0))</f>
        <v/>
      </c>
      <c r="AN1477">
        <f>IF($D1477="","",IF($X1477="Yes",1,0))</f>
        <v/>
      </c>
      <c r="AO1477">
        <f>IF($AK1477=1,IFERROR(IF(VALUE($D1477)&lt;100000000,VALUE($D1477),1000000000),IFERROR(IF(VALUE(MID($D1477,2,20))&lt;100000000,VALUE(MID($D1477,2,20)),1000000000),1000000000))+ROW()/100000,"")</f>
        <v/>
      </c>
    </row>
    <row r="1478">
      <c r="F1478" s="11" t="n"/>
      <c r="N1478" s="7">
        <f>IF($D1478="","",M1478*V1478/100)</f>
        <v/>
      </c>
      <c r="O1478" s="7" t="n"/>
      <c r="U1478" s="7" t="n"/>
      <c r="V1478" s="7" t="n"/>
      <c r="Y1478">
        <f>IF($D1478="","",IF($AN1478=1,0,IF($AM1478=1,Settings!$C$6,Settings!$C$7))*100)</f>
        <v/>
      </c>
      <c r="Z1478" s="7">
        <f>IF($D1478="","",V1478*Y1478/100)</f>
        <v/>
      </c>
      <c r="AA1478" s="7">
        <f>IF($D1478="","",V1478-Z1478)</f>
        <v/>
      </c>
      <c r="AB1478" s="7">
        <f>IF($D1478="","",AA1478-N1478)</f>
        <v/>
      </c>
      <c r="AF1478" s="7" t="n"/>
      <c r="AI1478" s="11" t="n"/>
      <c r="AK1478">
        <f>IF($D1478="","",IF(COUNTIF($D$2:$D1478,$D1478)=1,1,0))</f>
        <v/>
      </c>
      <c r="AL1478">
        <f>IF($AK1478=1,SUMPRODUCT(--($AO$2:$AO$3001&lt;$AO1478))+1,"")</f>
        <v/>
      </c>
      <c r="AM1478">
        <f>IF($D1478="","",IF(OR($R1478=TRUE(),$R1478="TRUE"),1,0))</f>
        <v/>
      </c>
      <c r="AN1478">
        <f>IF($D1478="","",IF($X1478="Yes",1,0))</f>
        <v/>
      </c>
      <c r="AO1478">
        <f>IF($AK1478=1,IFERROR(IF(VALUE($D1478)&lt;100000000,VALUE($D1478),1000000000),IFERROR(IF(VALUE(MID($D1478,2,20))&lt;100000000,VALUE(MID($D1478,2,20)),1000000000),1000000000))+ROW()/100000,"")</f>
        <v/>
      </c>
    </row>
    <row r="1479">
      <c r="F1479" s="11" t="n"/>
      <c r="N1479" s="7">
        <f>IF($D1479="","",M1479*V1479/100)</f>
        <v/>
      </c>
      <c r="O1479" s="7" t="n"/>
      <c r="U1479" s="7" t="n"/>
      <c r="V1479" s="7" t="n"/>
      <c r="Y1479">
        <f>IF($D1479="","",IF($AN1479=1,0,IF($AM1479=1,Settings!$C$6,Settings!$C$7))*100)</f>
        <v/>
      </c>
      <c r="Z1479" s="7">
        <f>IF($D1479="","",V1479*Y1479/100)</f>
        <v/>
      </c>
      <c r="AA1479" s="7">
        <f>IF($D1479="","",V1479-Z1479)</f>
        <v/>
      </c>
      <c r="AB1479" s="7">
        <f>IF($D1479="","",AA1479-N1479)</f>
        <v/>
      </c>
      <c r="AF1479" s="7" t="n"/>
      <c r="AI1479" s="11" t="n"/>
      <c r="AK1479">
        <f>IF($D1479="","",IF(COUNTIF($D$2:$D1479,$D1479)=1,1,0))</f>
        <v/>
      </c>
      <c r="AL1479">
        <f>IF($AK1479=1,SUMPRODUCT(--($AO$2:$AO$3001&lt;$AO1479))+1,"")</f>
        <v/>
      </c>
      <c r="AM1479">
        <f>IF($D1479="","",IF(OR($R1479=TRUE(),$R1479="TRUE"),1,0))</f>
        <v/>
      </c>
      <c r="AN1479">
        <f>IF($D1479="","",IF($X1479="Yes",1,0))</f>
        <v/>
      </c>
      <c r="AO1479">
        <f>IF($AK1479=1,IFERROR(IF(VALUE($D1479)&lt;100000000,VALUE($D1479),1000000000),IFERROR(IF(VALUE(MID($D1479,2,20))&lt;100000000,VALUE(MID($D1479,2,20)),1000000000),1000000000))+ROW()/100000,"")</f>
        <v/>
      </c>
    </row>
    <row r="1480">
      <c r="F1480" s="11" t="n"/>
      <c r="N1480" s="7">
        <f>IF($D1480="","",M1480*V1480/100)</f>
        <v/>
      </c>
      <c r="O1480" s="7" t="n"/>
      <c r="U1480" s="7" t="n"/>
      <c r="V1480" s="7" t="n"/>
      <c r="Y1480">
        <f>IF($D1480="","",IF($AN1480=1,0,IF($AM1480=1,Settings!$C$6,Settings!$C$7))*100)</f>
        <v/>
      </c>
      <c r="Z1480" s="7">
        <f>IF($D1480="","",V1480*Y1480/100)</f>
        <v/>
      </c>
      <c r="AA1480" s="7">
        <f>IF($D1480="","",V1480-Z1480)</f>
        <v/>
      </c>
      <c r="AB1480" s="7">
        <f>IF($D1480="","",AA1480-N1480)</f>
        <v/>
      </c>
      <c r="AF1480" s="7" t="n"/>
      <c r="AI1480" s="11" t="n"/>
      <c r="AK1480">
        <f>IF($D1480="","",IF(COUNTIF($D$2:$D1480,$D1480)=1,1,0))</f>
        <v/>
      </c>
      <c r="AL1480">
        <f>IF($AK1480=1,SUMPRODUCT(--($AO$2:$AO$3001&lt;$AO1480))+1,"")</f>
        <v/>
      </c>
      <c r="AM1480">
        <f>IF($D1480="","",IF(OR($R1480=TRUE(),$R1480="TRUE"),1,0))</f>
        <v/>
      </c>
      <c r="AN1480">
        <f>IF($D1480="","",IF($X1480="Yes",1,0))</f>
        <v/>
      </c>
      <c r="AO1480">
        <f>IF($AK1480=1,IFERROR(IF(VALUE($D1480)&lt;100000000,VALUE($D1480),1000000000),IFERROR(IF(VALUE(MID($D1480,2,20))&lt;100000000,VALUE(MID($D1480,2,20)),1000000000),1000000000))+ROW()/100000,"")</f>
        <v/>
      </c>
    </row>
    <row r="1481">
      <c r="F1481" s="11" t="n"/>
      <c r="N1481" s="7">
        <f>IF($D1481="","",M1481*V1481/100)</f>
        <v/>
      </c>
      <c r="O1481" s="7" t="n"/>
      <c r="U1481" s="7" t="n"/>
      <c r="V1481" s="7" t="n"/>
      <c r="Y1481">
        <f>IF($D1481="","",IF($AN1481=1,0,IF($AM1481=1,Settings!$C$6,Settings!$C$7))*100)</f>
        <v/>
      </c>
      <c r="Z1481" s="7">
        <f>IF($D1481="","",V1481*Y1481/100)</f>
        <v/>
      </c>
      <c r="AA1481" s="7">
        <f>IF($D1481="","",V1481-Z1481)</f>
        <v/>
      </c>
      <c r="AB1481" s="7">
        <f>IF($D1481="","",AA1481-N1481)</f>
        <v/>
      </c>
      <c r="AF1481" s="7" t="n"/>
      <c r="AI1481" s="11" t="n"/>
      <c r="AK1481">
        <f>IF($D1481="","",IF(COUNTIF($D$2:$D1481,$D1481)=1,1,0))</f>
        <v/>
      </c>
      <c r="AL1481">
        <f>IF($AK1481=1,SUMPRODUCT(--($AO$2:$AO$3001&lt;$AO1481))+1,"")</f>
        <v/>
      </c>
      <c r="AM1481">
        <f>IF($D1481="","",IF(OR($R1481=TRUE(),$R1481="TRUE"),1,0))</f>
        <v/>
      </c>
      <c r="AN1481">
        <f>IF($D1481="","",IF($X1481="Yes",1,0))</f>
        <v/>
      </c>
      <c r="AO1481">
        <f>IF($AK1481=1,IFERROR(IF(VALUE($D1481)&lt;100000000,VALUE($D1481),1000000000),IFERROR(IF(VALUE(MID($D1481,2,20))&lt;100000000,VALUE(MID($D1481,2,20)),1000000000),1000000000))+ROW()/100000,"")</f>
        <v/>
      </c>
    </row>
    <row r="1482">
      <c r="F1482" s="11" t="n"/>
      <c r="N1482" s="7">
        <f>IF($D1482="","",M1482*V1482/100)</f>
        <v/>
      </c>
      <c r="O1482" s="7" t="n"/>
      <c r="U1482" s="7" t="n"/>
      <c r="V1482" s="7" t="n"/>
      <c r="Y1482">
        <f>IF($D1482="","",IF($AN1482=1,0,IF($AM1482=1,Settings!$C$6,Settings!$C$7))*100)</f>
        <v/>
      </c>
      <c r="Z1482" s="7">
        <f>IF($D1482="","",V1482*Y1482/100)</f>
        <v/>
      </c>
      <c r="AA1482" s="7">
        <f>IF($D1482="","",V1482-Z1482)</f>
        <v/>
      </c>
      <c r="AB1482" s="7">
        <f>IF($D1482="","",AA1482-N1482)</f>
        <v/>
      </c>
      <c r="AF1482" s="7" t="n"/>
      <c r="AI1482" s="11" t="n"/>
      <c r="AK1482">
        <f>IF($D1482="","",IF(COUNTIF($D$2:$D1482,$D1482)=1,1,0))</f>
        <v/>
      </c>
      <c r="AL1482">
        <f>IF($AK1482=1,SUMPRODUCT(--($AO$2:$AO$3001&lt;$AO1482))+1,"")</f>
        <v/>
      </c>
      <c r="AM1482">
        <f>IF($D1482="","",IF(OR($R1482=TRUE(),$R1482="TRUE"),1,0))</f>
        <v/>
      </c>
      <c r="AN1482">
        <f>IF($D1482="","",IF($X1482="Yes",1,0))</f>
        <v/>
      </c>
      <c r="AO1482">
        <f>IF($AK1482=1,IFERROR(IF(VALUE($D1482)&lt;100000000,VALUE($D1482),1000000000),IFERROR(IF(VALUE(MID($D1482,2,20))&lt;100000000,VALUE(MID($D1482,2,20)),1000000000),1000000000))+ROW()/100000,"")</f>
        <v/>
      </c>
    </row>
    <row r="1483">
      <c r="F1483" s="11" t="n"/>
      <c r="N1483" s="7">
        <f>IF($D1483="","",M1483*V1483/100)</f>
        <v/>
      </c>
      <c r="O1483" s="7" t="n"/>
      <c r="U1483" s="7" t="n"/>
      <c r="V1483" s="7" t="n"/>
      <c r="Y1483">
        <f>IF($D1483="","",IF($AN1483=1,0,IF($AM1483=1,Settings!$C$6,Settings!$C$7))*100)</f>
        <v/>
      </c>
      <c r="Z1483" s="7">
        <f>IF($D1483="","",V1483*Y1483/100)</f>
        <v/>
      </c>
      <c r="AA1483" s="7">
        <f>IF($D1483="","",V1483-Z1483)</f>
        <v/>
      </c>
      <c r="AB1483" s="7">
        <f>IF($D1483="","",AA1483-N1483)</f>
        <v/>
      </c>
      <c r="AF1483" s="7" t="n"/>
      <c r="AI1483" s="11" t="n"/>
      <c r="AK1483">
        <f>IF($D1483="","",IF(COUNTIF($D$2:$D1483,$D1483)=1,1,0))</f>
        <v/>
      </c>
      <c r="AL1483">
        <f>IF($AK1483=1,SUMPRODUCT(--($AO$2:$AO$3001&lt;$AO1483))+1,"")</f>
        <v/>
      </c>
      <c r="AM1483">
        <f>IF($D1483="","",IF(OR($R1483=TRUE(),$R1483="TRUE"),1,0))</f>
        <v/>
      </c>
      <c r="AN1483">
        <f>IF($D1483="","",IF($X1483="Yes",1,0))</f>
        <v/>
      </c>
      <c r="AO1483">
        <f>IF($AK1483=1,IFERROR(IF(VALUE($D1483)&lt;100000000,VALUE($D1483),1000000000),IFERROR(IF(VALUE(MID($D1483,2,20))&lt;100000000,VALUE(MID($D1483,2,20)),1000000000),1000000000))+ROW()/100000,"")</f>
        <v/>
      </c>
    </row>
    <row r="1484">
      <c r="F1484" s="11" t="n"/>
      <c r="N1484" s="7">
        <f>IF($D1484="","",M1484*V1484/100)</f>
        <v/>
      </c>
      <c r="O1484" s="7" t="n"/>
      <c r="U1484" s="7" t="n"/>
      <c r="V1484" s="7" t="n"/>
      <c r="Y1484">
        <f>IF($D1484="","",IF($AN1484=1,0,IF($AM1484=1,Settings!$C$6,Settings!$C$7))*100)</f>
        <v/>
      </c>
      <c r="Z1484" s="7">
        <f>IF($D1484="","",V1484*Y1484/100)</f>
        <v/>
      </c>
      <c r="AA1484" s="7">
        <f>IF($D1484="","",V1484-Z1484)</f>
        <v/>
      </c>
      <c r="AB1484" s="7">
        <f>IF($D1484="","",AA1484-N1484)</f>
        <v/>
      </c>
      <c r="AF1484" s="7" t="n"/>
      <c r="AI1484" s="11" t="n"/>
      <c r="AK1484">
        <f>IF($D1484="","",IF(COUNTIF($D$2:$D1484,$D1484)=1,1,0))</f>
        <v/>
      </c>
      <c r="AL1484">
        <f>IF($AK1484=1,SUMPRODUCT(--($AO$2:$AO$3001&lt;$AO1484))+1,"")</f>
        <v/>
      </c>
      <c r="AM1484">
        <f>IF($D1484="","",IF(OR($R1484=TRUE(),$R1484="TRUE"),1,0))</f>
        <v/>
      </c>
      <c r="AN1484">
        <f>IF($D1484="","",IF($X1484="Yes",1,0))</f>
        <v/>
      </c>
      <c r="AO1484">
        <f>IF($AK1484=1,IFERROR(IF(VALUE($D1484)&lt;100000000,VALUE($D1484),1000000000),IFERROR(IF(VALUE(MID($D1484,2,20))&lt;100000000,VALUE(MID($D1484,2,20)),1000000000),1000000000))+ROW()/100000,"")</f>
        <v/>
      </c>
    </row>
    <row r="1485">
      <c r="F1485" s="11" t="n"/>
      <c r="N1485" s="7">
        <f>IF($D1485="","",M1485*V1485/100)</f>
        <v/>
      </c>
      <c r="O1485" s="7" t="n"/>
      <c r="U1485" s="7" t="n"/>
      <c r="V1485" s="7" t="n"/>
      <c r="Y1485">
        <f>IF($D1485="","",IF($AN1485=1,0,IF($AM1485=1,Settings!$C$6,Settings!$C$7))*100)</f>
        <v/>
      </c>
      <c r="Z1485" s="7">
        <f>IF($D1485="","",V1485*Y1485/100)</f>
        <v/>
      </c>
      <c r="AA1485" s="7">
        <f>IF($D1485="","",V1485-Z1485)</f>
        <v/>
      </c>
      <c r="AB1485" s="7">
        <f>IF($D1485="","",AA1485-N1485)</f>
        <v/>
      </c>
      <c r="AF1485" s="7" t="n"/>
      <c r="AI1485" s="11" t="n"/>
      <c r="AK1485">
        <f>IF($D1485="","",IF(COUNTIF($D$2:$D1485,$D1485)=1,1,0))</f>
        <v/>
      </c>
      <c r="AL1485">
        <f>IF($AK1485=1,SUMPRODUCT(--($AO$2:$AO$3001&lt;$AO1485))+1,"")</f>
        <v/>
      </c>
      <c r="AM1485">
        <f>IF($D1485="","",IF(OR($R1485=TRUE(),$R1485="TRUE"),1,0))</f>
        <v/>
      </c>
      <c r="AN1485">
        <f>IF($D1485="","",IF($X1485="Yes",1,0))</f>
        <v/>
      </c>
      <c r="AO1485">
        <f>IF($AK1485=1,IFERROR(IF(VALUE($D1485)&lt;100000000,VALUE($D1485),1000000000),IFERROR(IF(VALUE(MID($D1485,2,20))&lt;100000000,VALUE(MID($D1485,2,20)),1000000000),1000000000))+ROW()/100000,"")</f>
        <v/>
      </c>
    </row>
    <row r="1486">
      <c r="F1486" s="11" t="n"/>
      <c r="N1486" s="7">
        <f>IF($D1486="","",M1486*V1486/100)</f>
        <v/>
      </c>
      <c r="O1486" s="7" t="n"/>
      <c r="U1486" s="7" t="n"/>
      <c r="V1486" s="7" t="n"/>
      <c r="Y1486">
        <f>IF($D1486="","",IF($AN1486=1,0,IF($AM1486=1,Settings!$C$6,Settings!$C$7))*100)</f>
        <v/>
      </c>
      <c r="Z1486" s="7">
        <f>IF($D1486="","",V1486*Y1486/100)</f>
        <v/>
      </c>
      <c r="AA1486" s="7">
        <f>IF($D1486="","",V1486-Z1486)</f>
        <v/>
      </c>
      <c r="AB1486" s="7">
        <f>IF($D1486="","",AA1486-N1486)</f>
        <v/>
      </c>
      <c r="AF1486" s="7" t="n"/>
      <c r="AI1486" s="11" t="n"/>
      <c r="AK1486">
        <f>IF($D1486="","",IF(COUNTIF($D$2:$D1486,$D1486)=1,1,0))</f>
        <v/>
      </c>
      <c r="AL1486">
        <f>IF($AK1486=1,SUMPRODUCT(--($AO$2:$AO$3001&lt;$AO1486))+1,"")</f>
        <v/>
      </c>
      <c r="AM1486">
        <f>IF($D1486="","",IF(OR($R1486=TRUE(),$R1486="TRUE"),1,0))</f>
        <v/>
      </c>
      <c r="AN1486">
        <f>IF($D1486="","",IF($X1486="Yes",1,0))</f>
        <v/>
      </c>
      <c r="AO1486">
        <f>IF($AK1486=1,IFERROR(IF(VALUE($D1486)&lt;100000000,VALUE($D1486),1000000000),IFERROR(IF(VALUE(MID($D1486,2,20))&lt;100000000,VALUE(MID($D1486,2,20)),1000000000),1000000000))+ROW()/100000,"")</f>
        <v/>
      </c>
    </row>
    <row r="1487">
      <c r="F1487" s="11" t="n"/>
      <c r="N1487" s="7">
        <f>IF($D1487="","",M1487*V1487/100)</f>
        <v/>
      </c>
      <c r="O1487" s="7" t="n"/>
      <c r="U1487" s="7" t="n"/>
      <c r="V1487" s="7" t="n"/>
      <c r="Y1487">
        <f>IF($D1487="","",IF($AN1487=1,0,IF($AM1487=1,Settings!$C$6,Settings!$C$7))*100)</f>
        <v/>
      </c>
      <c r="Z1487" s="7">
        <f>IF($D1487="","",V1487*Y1487/100)</f>
        <v/>
      </c>
      <c r="AA1487" s="7">
        <f>IF($D1487="","",V1487-Z1487)</f>
        <v/>
      </c>
      <c r="AB1487" s="7">
        <f>IF($D1487="","",AA1487-N1487)</f>
        <v/>
      </c>
      <c r="AF1487" s="7" t="n"/>
      <c r="AI1487" s="11" t="n"/>
      <c r="AK1487">
        <f>IF($D1487="","",IF(COUNTIF($D$2:$D1487,$D1487)=1,1,0))</f>
        <v/>
      </c>
      <c r="AL1487">
        <f>IF($AK1487=1,SUMPRODUCT(--($AO$2:$AO$3001&lt;$AO1487))+1,"")</f>
        <v/>
      </c>
      <c r="AM1487">
        <f>IF($D1487="","",IF(OR($R1487=TRUE(),$R1487="TRUE"),1,0))</f>
        <v/>
      </c>
      <c r="AN1487">
        <f>IF($D1487="","",IF($X1487="Yes",1,0))</f>
        <v/>
      </c>
      <c r="AO1487">
        <f>IF($AK1487=1,IFERROR(IF(VALUE($D1487)&lt;100000000,VALUE($D1487),1000000000),IFERROR(IF(VALUE(MID($D1487,2,20))&lt;100000000,VALUE(MID($D1487,2,20)),1000000000),1000000000))+ROW()/100000,"")</f>
        <v/>
      </c>
    </row>
    <row r="1488">
      <c r="F1488" s="11" t="n"/>
      <c r="N1488" s="7">
        <f>IF($D1488="","",M1488*V1488/100)</f>
        <v/>
      </c>
      <c r="O1488" s="7" t="n"/>
      <c r="U1488" s="7" t="n"/>
      <c r="V1488" s="7" t="n"/>
      <c r="Y1488">
        <f>IF($D1488="","",IF($AN1488=1,0,IF($AM1488=1,Settings!$C$6,Settings!$C$7))*100)</f>
        <v/>
      </c>
      <c r="Z1488" s="7">
        <f>IF($D1488="","",V1488*Y1488/100)</f>
        <v/>
      </c>
      <c r="AA1488" s="7">
        <f>IF($D1488="","",V1488-Z1488)</f>
        <v/>
      </c>
      <c r="AB1488" s="7">
        <f>IF($D1488="","",AA1488-N1488)</f>
        <v/>
      </c>
      <c r="AF1488" s="7" t="n"/>
      <c r="AI1488" s="11" t="n"/>
      <c r="AK1488">
        <f>IF($D1488="","",IF(COUNTIF($D$2:$D1488,$D1488)=1,1,0))</f>
        <v/>
      </c>
      <c r="AL1488">
        <f>IF($AK1488=1,SUMPRODUCT(--($AO$2:$AO$3001&lt;$AO1488))+1,"")</f>
        <v/>
      </c>
      <c r="AM1488">
        <f>IF($D1488="","",IF(OR($R1488=TRUE(),$R1488="TRUE"),1,0))</f>
        <v/>
      </c>
      <c r="AN1488">
        <f>IF($D1488="","",IF($X1488="Yes",1,0))</f>
        <v/>
      </c>
      <c r="AO1488">
        <f>IF($AK1488=1,IFERROR(IF(VALUE($D1488)&lt;100000000,VALUE($D1488),1000000000),IFERROR(IF(VALUE(MID($D1488,2,20))&lt;100000000,VALUE(MID($D1488,2,20)),1000000000),1000000000))+ROW()/100000,"")</f>
        <v/>
      </c>
    </row>
    <row r="1489">
      <c r="F1489" s="11" t="n"/>
      <c r="N1489" s="7">
        <f>IF($D1489="","",M1489*V1489/100)</f>
        <v/>
      </c>
      <c r="O1489" s="7" t="n"/>
      <c r="U1489" s="7" t="n"/>
      <c r="V1489" s="7" t="n"/>
      <c r="Y1489">
        <f>IF($D1489="","",IF($AN1489=1,0,IF($AM1489=1,Settings!$C$6,Settings!$C$7))*100)</f>
        <v/>
      </c>
      <c r="Z1489" s="7">
        <f>IF($D1489="","",V1489*Y1489/100)</f>
        <v/>
      </c>
      <c r="AA1489" s="7">
        <f>IF($D1489="","",V1489-Z1489)</f>
        <v/>
      </c>
      <c r="AB1489" s="7">
        <f>IF($D1489="","",AA1489-N1489)</f>
        <v/>
      </c>
      <c r="AF1489" s="7" t="n"/>
      <c r="AI1489" s="11" t="n"/>
      <c r="AK1489">
        <f>IF($D1489="","",IF(COUNTIF($D$2:$D1489,$D1489)=1,1,0))</f>
        <v/>
      </c>
      <c r="AL1489">
        <f>IF($AK1489=1,SUMPRODUCT(--($AO$2:$AO$3001&lt;$AO1489))+1,"")</f>
        <v/>
      </c>
      <c r="AM1489">
        <f>IF($D1489="","",IF(OR($R1489=TRUE(),$R1489="TRUE"),1,0))</f>
        <v/>
      </c>
      <c r="AN1489">
        <f>IF($D1489="","",IF($X1489="Yes",1,0))</f>
        <v/>
      </c>
      <c r="AO1489">
        <f>IF($AK1489=1,IFERROR(IF(VALUE($D1489)&lt;100000000,VALUE($D1489),1000000000),IFERROR(IF(VALUE(MID($D1489,2,20))&lt;100000000,VALUE(MID($D1489,2,20)),1000000000),1000000000))+ROW()/100000,"")</f>
        <v/>
      </c>
    </row>
    <row r="1490">
      <c r="F1490" s="11" t="n"/>
      <c r="N1490" s="7">
        <f>IF($D1490="","",M1490*V1490/100)</f>
        <v/>
      </c>
      <c r="O1490" s="7" t="n"/>
      <c r="U1490" s="7" t="n"/>
      <c r="V1490" s="7" t="n"/>
      <c r="Y1490">
        <f>IF($D1490="","",IF($AN1490=1,0,IF($AM1490=1,Settings!$C$6,Settings!$C$7))*100)</f>
        <v/>
      </c>
      <c r="Z1490" s="7">
        <f>IF($D1490="","",V1490*Y1490/100)</f>
        <v/>
      </c>
      <c r="AA1490" s="7">
        <f>IF($D1490="","",V1490-Z1490)</f>
        <v/>
      </c>
      <c r="AB1490" s="7">
        <f>IF($D1490="","",AA1490-N1490)</f>
        <v/>
      </c>
      <c r="AF1490" s="7" t="n"/>
      <c r="AI1490" s="11" t="n"/>
      <c r="AK1490">
        <f>IF($D1490="","",IF(COUNTIF($D$2:$D1490,$D1490)=1,1,0))</f>
        <v/>
      </c>
      <c r="AL1490">
        <f>IF($AK1490=1,SUMPRODUCT(--($AO$2:$AO$3001&lt;$AO1490))+1,"")</f>
        <v/>
      </c>
      <c r="AM1490">
        <f>IF($D1490="","",IF(OR($R1490=TRUE(),$R1490="TRUE"),1,0))</f>
        <v/>
      </c>
      <c r="AN1490">
        <f>IF($D1490="","",IF($X1490="Yes",1,0))</f>
        <v/>
      </c>
      <c r="AO1490">
        <f>IF($AK1490=1,IFERROR(IF(VALUE($D1490)&lt;100000000,VALUE($D1490),1000000000),IFERROR(IF(VALUE(MID($D1490,2,20))&lt;100000000,VALUE(MID($D1490,2,20)),1000000000),1000000000))+ROW()/100000,"")</f>
        <v/>
      </c>
    </row>
    <row r="1491">
      <c r="F1491" s="11" t="n"/>
      <c r="N1491" s="7">
        <f>IF($D1491="","",M1491*V1491/100)</f>
        <v/>
      </c>
      <c r="O1491" s="7" t="n"/>
      <c r="U1491" s="7" t="n"/>
      <c r="V1491" s="7" t="n"/>
      <c r="Y1491">
        <f>IF($D1491="","",IF($AN1491=1,0,IF($AM1491=1,Settings!$C$6,Settings!$C$7))*100)</f>
        <v/>
      </c>
      <c r="Z1491" s="7">
        <f>IF($D1491="","",V1491*Y1491/100)</f>
        <v/>
      </c>
      <c r="AA1491" s="7">
        <f>IF($D1491="","",V1491-Z1491)</f>
        <v/>
      </c>
      <c r="AB1491" s="7">
        <f>IF($D1491="","",AA1491-N1491)</f>
        <v/>
      </c>
      <c r="AF1491" s="7" t="n"/>
      <c r="AI1491" s="11" t="n"/>
      <c r="AK1491">
        <f>IF($D1491="","",IF(COUNTIF($D$2:$D1491,$D1491)=1,1,0))</f>
        <v/>
      </c>
      <c r="AL1491">
        <f>IF($AK1491=1,SUMPRODUCT(--($AO$2:$AO$3001&lt;$AO1491))+1,"")</f>
        <v/>
      </c>
      <c r="AM1491">
        <f>IF($D1491="","",IF(OR($R1491=TRUE(),$R1491="TRUE"),1,0))</f>
        <v/>
      </c>
      <c r="AN1491">
        <f>IF($D1491="","",IF($X1491="Yes",1,0))</f>
        <v/>
      </c>
      <c r="AO1491">
        <f>IF($AK1491=1,IFERROR(IF(VALUE($D1491)&lt;100000000,VALUE($D1491),1000000000),IFERROR(IF(VALUE(MID($D1491,2,20))&lt;100000000,VALUE(MID($D1491,2,20)),1000000000),1000000000))+ROW()/100000,"")</f>
        <v/>
      </c>
    </row>
    <row r="1492">
      <c r="F1492" s="11" t="n"/>
      <c r="N1492" s="7">
        <f>IF($D1492="","",M1492*V1492/100)</f>
        <v/>
      </c>
      <c r="O1492" s="7" t="n"/>
      <c r="U1492" s="7" t="n"/>
      <c r="V1492" s="7" t="n"/>
      <c r="Y1492">
        <f>IF($D1492="","",IF($AN1492=1,0,IF($AM1492=1,Settings!$C$6,Settings!$C$7))*100)</f>
        <v/>
      </c>
      <c r="Z1492" s="7">
        <f>IF($D1492="","",V1492*Y1492/100)</f>
        <v/>
      </c>
      <c r="AA1492" s="7">
        <f>IF($D1492="","",V1492-Z1492)</f>
        <v/>
      </c>
      <c r="AB1492" s="7">
        <f>IF($D1492="","",AA1492-N1492)</f>
        <v/>
      </c>
      <c r="AF1492" s="7" t="n"/>
      <c r="AI1492" s="11" t="n"/>
      <c r="AK1492">
        <f>IF($D1492="","",IF(COUNTIF($D$2:$D1492,$D1492)=1,1,0))</f>
        <v/>
      </c>
      <c r="AL1492">
        <f>IF($AK1492=1,SUMPRODUCT(--($AO$2:$AO$3001&lt;$AO1492))+1,"")</f>
        <v/>
      </c>
      <c r="AM1492">
        <f>IF($D1492="","",IF(OR($R1492=TRUE(),$R1492="TRUE"),1,0))</f>
        <v/>
      </c>
      <c r="AN1492">
        <f>IF($D1492="","",IF($X1492="Yes",1,0))</f>
        <v/>
      </c>
      <c r="AO1492">
        <f>IF($AK1492=1,IFERROR(IF(VALUE($D1492)&lt;100000000,VALUE($D1492),1000000000),IFERROR(IF(VALUE(MID($D1492,2,20))&lt;100000000,VALUE(MID($D1492,2,20)),1000000000),1000000000))+ROW()/100000,"")</f>
        <v/>
      </c>
    </row>
    <row r="1493">
      <c r="F1493" s="11" t="n"/>
      <c r="N1493" s="7">
        <f>IF($D1493="","",M1493*V1493/100)</f>
        <v/>
      </c>
      <c r="O1493" s="7" t="n"/>
      <c r="U1493" s="7" t="n"/>
      <c r="V1493" s="7" t="n"/>
      <c r="Y1493">
        <f>IF($D1493="","",IF($AN1493=1,0,IF($AM1493=1,Settings!$C$6,Settings!$C$7))*100)</f>
        <v/>
      </c>
      <c r="Z1493" s="7">
        <f>IF($D1493="","",V1493*Y1493/100)</f>
        <v/>
      </c>
      <c r="AA1493" s="7">
        <f>IF($D1493="","",V1493-Z1493)</f>
        <v/>
      </c>
      <c r="AB1493" s="7">
        <f>IF($D1493="","",AA1493-N1493)</f>
        <v/>
      </c>
      <c r="AF1493" s="7" t="n"/>
      <c r="AI1493" s="11" t="n"/>
      <c r="AK1493">
        <f>IF($D1493="","",IF(COUNTIF($D$2:$D1493,$D1493)=1,1,0))</f>
        <v/>
      </c>
      <c r="AL1493">
        <f>IF($AK1493=1,SUMPRODUCT(--($AO$2:$AO$3001&lt;$AO1493))+1,"")</f>
        <v/>
      </c>
      <c r="AM1493">
        <f>IF($D1493="","",IF(OR($R1493=TRUE(),$R1493="TRUE"),1,0))</f>
        <v/>
      </c>
      <c r="AN1493">
        <f>IF($D1493="","",IF($X1493="Yes",1,0))</f>
        <v/>
      </c>
      <c r="AO1493">
        <f>IF($AK1493=1,IFERROR(IF(VALUE($D1493)&lt;100000000,VALUE($D1493),1000000000),IFERROR(IF(VALUE(MID($D1493,2,20))&lt;100000000,VALUE(MID($D1493,2,20)),1000000000),1000000000))+ROW()/100000,"")</f>
        <v/>
      </c>
    </row>
    <row r="1494">
      <c r="F1494" s="11" t="n"/>
      <c r="N1494" s="7">
        <f>IF($D1494="","",M1494*V1494/100)</f>
        <v/>
      </c>
      <c r="O1494" s="7" t="n"/>
      <c r="U1494" s="7" t="n"/>
      <c r="V1494" s="7" t="n"/>
      <c r="Y1494">
        <f>IF($D1494="","",IF($AN1494=1,0,IF($AM1494=1,Settings!$C$6,Settings!$C$7))*100)</f>
        <v/>
      </c>
      <c r="Z1494" s="7">
        <f>IF($D1494="","",V1494*Y1494/100)</f>
        <v/>
      </c>
      <c r="AA1494" s="7">
        <f>IF($D1494="","",V1494-Z1494)</f>
        <v/>
      </c>
      <c r="AB1494" s="7">
        <f>IF($D1494="","",AA1494-N1494)</f>
        <v/>
      </c>
      <c r="AF1494" s="7" t="n"/>
      <c r="AI1494" s="11" t="n"/>
      <c r="AK1494">
        <f>IF($D1494="","",IF(COUNTIF($D$2:$D1494,$D1494)=1,1,0))</f>
        <v/>
      </c>
      <c r="AL1494">
        <f>IF($AK1494=1,SUMPRODUCT(--($AO$2:$AO$3001&lt;$AO1494))+1,"")</f>
        <v/>
      </c>
      <c r="AM1494">
        <f>IF($D1494="","",IF(OR($R1494=TRUE(),$R1494="TRUE"),1,0))</f>
        <v/>
      </c>
      <c r="AN1494">
        <f>IF($D1494="","",IF($X1494="Yes",1,0))</f>
        <v/>
      </c>
      <c r="AO1494">
        <f>IF($AK1494=1,IFERROR(IF(VALUE($D1494)&lt;100000000,VALUE($D1494),1000000000),IFERROR(IF(VALUE(MID($D1494,2,20))&lt;100000000,VALUE(MID($D1494,2,20)),1000000000),1000000000))+ROW()/100000,"")</f>
        <v/>
      </c>
    </row>
    <row r="1495">
      <c r="F1495" s="11" t="n"/>
      <c r="N1495" s="7">
        <f>IF($D1495="","",M1495*V1495/100)</f>
        <v/>
      </c>
      <c r="O1495" s="7" t="n"/>
      <c r="U1495" s="7" t="n"/>
      <c r="V1495" s="7" t="n"/>
      <c r="Y1495">
        <f>IF($D1495="","",IF($AN1495=1,0,IF($AM1495=1,Settings!$C$6,Settings!$C$7))*100)</f>
        <v/>
      </c>
      <c r="Z1495" s="7">
        <f>IF($D1495="","",V1495*Y1495/100)</f>
        <v/>
      </c>
      <c r="AA1495" s="7">
        <f>IF($D1495="","",V1495-Z1495)</f>
        <v/>
      </c>
      <c r="AB1495" s="7">
        <f>IF($D1495="","",AA1495-N1495)</f>
        <v/>
      </c>
      <c r="AF1495" s="7" t="n"/>
      <c r="AI1495" s="11" t="n"/>
      <c r="AK1495">
        <f>IF($D1495="","",IF(COUNTIF($D$2:$D1495,$D1495)=1,1,0))</f>
        <v/>
      </c>
      <c r="AL1495">
        <f>IF($AK1495=1,SUMPRODUCT(--($AO$2:$AO$3001&lt;$AO1495))+1,"")</f>
        <v/>
      </c>
      <c r="AM1495">
        <f>IF($D1495="","",IF(OR($R1495=TRUE(),$R1495="TRUE"),1,0))</f>
        <v/>
      </c>
      <c r="AN1495">
        <f>IF($D1495="","",IF($X1495="Yes",1,0))</f>
        <v/>
      </c>
      <c r="AO1495">
        <f>IF($AK1495=1,IFERROR(IF(VALUE($D1495)&lt;100000000,VALUE($D1495),1000000000),IFERROR(IF(VALUE(MID($D1495,2,20))&lt;100000000,VALUE(MID($D1495,2,20)),1000000000),1000000000))+ROW()/100000,"")</f>
        <v/>
      </c>
    </row>
    <row r="1496">
      <c r="F1496" s="11" t="n"/>
      <c r="N1496" s="7">
        <f>IF($D1496="","",M1496*V1496/100)</f>
        <v/>
      </c>
      <c r="O1496" s="7" t="n"/>
      <c r="U1496" s="7" t="n"/>
      <c r="V1496" s="7" t="n"/>
      <c r="Y1496">
        <f>IF($D1496="","",IF($AN1496=1,0,IF($AM1496=1,Settings!$C$6,Settings!$C$7))*100)</f>
        <v/>
      </c>
      <c r="Z1496" s="7">
        <f>IF($D1496="","",V1496*Y1496/100)</f>
        <v/>
      </c>
      <c r="AA1496" s="7">
        <f>IF($D1496="","",V1496-Z1496)</f>
        <v/>
      </c>
      <c r="AB1496" s="7">
        <f>IF($D1496="","",AA1496-N1496)</f>
        <v/>
      </c>
      <c r="AF1496" s="7" t="n"/>
      <c r="AI1496" s="11" t="n"/>
      <c r="AK1496">
        <f>IF($D1496="","",IF(COUNTIF($D$2:$D1496,$D1496)=1,1,0))</f>
        <v/>
      </c>
      <c r="AL1496">
        <f>IF($AK1496=1,SUMPRODUCT(--($AO$2:$AO$3001&lt;$AO1496))+1,"")</f>
        <v/>
      </c>
      <c r="AM1496">
        <f>IF($D1496="","",IF(OR($R1496=TRUE(),$R1496="TRUE"),1,0))</f>
        <v/>
      </c>
      <c r="AN1496">
        <f>IF($D1496="","",IF($X1496="Yes",1,0))</f>
        <v/>
      </c>
      <c r="AO1496">
        <f>IF($AK1496=1,IFERROR(IF(VALUE($D1496)&lt;100000000,VALUE($D1496),1000000000),IFERROR(IF(VALUE(MID($D1496,2,20))&lt;100000000,VALUE(MID($D1496,2,20)),1000000000),1000000000))+ROW()/100000,"")</f>
        <v/>
      </c>
    </row>
    <row r="1497">
      <c r="F1497" s="11" t="n"/>
      <c r="N1497" s="7">
        <f>IF($D1497="","",M1497*V1497/100)</f>
        <v/>
      </c>
      <c r="O1497" s="7" t="n"/>
      <c r="U1497" s="7" t="n"/>
      <c r="V1497" s="7" t="n"/>
      <c r="Y1497">
        <f>IF($D1497="","",IF($AN1497=1,0,IF($AM1497=1,Settings!$C$6,Settings!$C$7))*100)</f>
        <v/>
      </c>
      <c r="Z1497" s="7">
        <f>IF($D1497="","",V1497*Y1497/100)</f>
        <v/>
      </c>
      <c r="AA1497" s="7">
        <f>IF($D1497="","",V1497-Z1497)</f>
        <v/>
      </c>
      <c r="AB1497" s="7">
        <f>IF($D1497="","",AA1497-N1497)</f>
        <v/>
      </c>
      <c r="AF1497" s="7" t="n"/>
      <c r="AI1497" s="11" t="n"/>
      <c r="AK1497">
        <f>IF($D1497="","",IF(COUNTIF($D$2:$D1497,$D1497)=1,1,0))</f>
        <v/>
      </c>
      <c r="AL1497">
        <f>IF($AK1497=1,SUMPRODUCT(--($AO$2:$AO$3001&lt;$AO1497))+1,"")</f>
        <v/>
      </c>
      <c r="AM1497">
        <f>IF($D1497="","",IF(OR($R1497=TRUE(),$R1497="TRUE"),1,0))</f>
        <v/>
      </c>
      <c r="AN1497">
        <f>IF($D1497="","",IF($X1497="Yes",1,0))</f>
        <v/>
      </c>
      <c r="AO1497">
        <f>IF($AK1497=1,IFERROR(IF(VALUE($D1497)&lt;100000000,VALUE($D1497),1000000000),IFERROR(IF(VALUE(MID($D1497,2,20))&lt;100000000,VALUE(MID($D1497,2,20)),1000000000),1000000000))+ROW()/100000,"")</f>
        <v/>
      </c>
    </row>
    <row r="1498">
      <c r="F1498" s="11" t="n"/>
      <c r="N1498" s="7">
        <f>IF($D1498="","",M1498*V1498/100)</f>
        <v/>
      </c>
      <c r="O1498" s="7" t="n"/>
      <c r="U1498" s="7" t="n"/>
      <c r="V1498" s="7" t="n"/>
      <c r="Y1498">
        <f>IF($D1498="","",IF($AN1498=1,0,IF($AM1498=1,Settings!$C$6,Settings!$C$7))*100)</f>
        <v/>
      </c>
      <c r="Z1498" s="7">
        <f>IF($D1498="","",V1498*Y1498/100)</f>
        <v/>
      </c>
      <c r="AA1498" s="7">
        <f>IF($D1498="","",V1498-Z1498)</f>
        <v/>
      </c>
      <c r="AB1498" s="7">
        <f>IF($D1498="","",AA1498-N1498)</f>
        <v/>
      </c>
      <c r="AF1498" s="7" t="n"/>
      <c r="AI1498" s="11" t="n"/>
      <c r="AK1498">
        <f>IF($D1498="","",IF(COUNTIF($D$2:$D1498,$D1498)=1,1,0))</f>
        <v/>
      </c>
      <c r="AL1498">
        <f>IF($AK1498=1,SUMPRODUCT(--($AO$2:$AO$3001&lt;$AO1498))+1,"")</f>
        <v/>
      </c>
      <c r="AM1498">
        <f>IF($D1498="","",IF(OR($R1498=TRUE(),$R1498="TRUE"),1,0))</f>
        <v/>
      </c>
      <c r="AN1498">
        <f>IF($D1498="","",IF($X1498="Yes",1,0))</f>
        <v/>
      </c>
      <c r="AO1498">
        <f>IF($AK1498=1,IFERROR(IF(VALUE($D1498)&lt;100000000,VALUE($D1498),1000000000),IFERROR(IF(VALUE(MID($D1498,2,20))&lt;100000000,VALUE(MID($D1498,2,20)),1000000000),1000000000))+ROW()/100000,"")</f>
        <v/>
      </c>
    </row>
    <row r="1499">
      <c r="F1499" s="11" t="n"/>
      <c r="N1499" s="7">
        <f>IF($D1499="","",M1499*V1499/100)</f>
        <v/>
      </c>
      <c r="O1499" s="7" t="n"/>
      <c r="U1499" s="7" t="n"/>
      <c r="V1499" s="7" t="n"/>
      <c r="Y1499">
        <f>IF($D1499="","",IF($AN1499=1,0,IF($AM1499=1,Settings!$C$6,Settings!$C$7))*100)</f>
        <v/>
      </c>
      <c r="Z1499" s="7">
        <f>IF($D1499="","",V1499*Y1499/100)</f>
        <v/>
      </c>
      <c r="AA1499" s="7">
        <f>IF($D1499="","",V1499-Z1499)</f>
        <v/>
      </c>
      <c r="AB1499" s="7">
        <f>IF($D1499="","",AA1499-N1499)</f>
        <v/>
      </c>
      <c r="AF1499" s="7" t="n"/>
      <c r="AI1499" s="11" t="n"/>
      <c r="AK1499">
        <f>IF($D1499="","",IF(COUNTIF($D$2:$D1499,$D1499)=1,1,0))</f>
        <v/>
      </c>
      <c r="AL1499">
        <f>IF($AK1499=1,SUMPRODUCT(--($AO$2:$AO$3001&lt;$AO1499))+1,"")</f>
        <v/>
      </c>
      <c r="AM1499">
        <f>IF($D1499="","",IF(OR($R1499=TRUE(),$R1499="TRUE"),1,0))</f>
        <v/>
      </c>
      <c r="AN1499">
        <f>IF($D1499="","",IF($X1499="Yes",1,0))</f>
        <v/>
      </c>
      <c r="AO1499">
        <f>IF($AK1499=1,IFERROR(IF(VALUE($D1499)&lt;100000000,VALUE($D1499),1000000000),IFERROR(IF(VALUE(MID($D1499,2,20))&lt;100000000,VALUE(MID($D1499,2,20)),1000000000),1000000000))+ROW()/100000,"")</f>
        <v/>
      </c>
    </row>
    <row r="1500">
      <c r="F1500" s="11" t="n"/>
      <c r="N1500" s="7">
        <f>IF($D1500="","",M1500*V1500/100)</f>
        <v/>
      </c>
      <c r="O1500" s="7" t="n"/>
      <c r="U1500" s="7" t="n"/>
      <c r="V1500" s="7" t="n"/>
      <c r="Y1500">
        <f>IF($D1500="","",IF($AN1500=1,0,IF($AM1500=1,Settings!$C$6,Settings!$C$7))*100)</f>
        <v/>
      </c>
      <c r="Z1500" s="7">
        <f>IF($D1500="","",V1500*Y1500/100)</f>
        <v/>
      </c>
      <c r="AA1500" s="7">
        <f>IF($D1500="","",V1500-Z1500)</f>
        <v/>
      </c>
      <c r="AB1500" s="7">
        <f>IF($D1500="","",AA1500-N1500)</f>
        <v/>
      </c>
      <c r="AF1500" s="7" t="n"/>
      <c r="AI1500" s="11" t="n"/>
      <c r="AK1500">
        <f>IF($D1500="","",IF(COUNTIF($D$2:$D1500,$D1500)=1,1,0))</f>
        <v/>
      </c>
      <c r="AL1500">
        <f>IF($AK1500=1,SUMPRODUCT(--($AO$2:$AO$3001&lt;$AO1500))+1,"")</f>
        <v/>
      </c>
      <c r="AM1500">
        <f>IF($D1500="","",IF(OR($R1500=TRUE(),$R1500="TRUE"),1,0))</f>
        <v/>
      </c>
      <c r="AN1500">
        <f>IF($D1500="","",IF($X1500="Yes",1,0))</f>
        <v/>
      </c>
      <c r="AO1500">
        <f>IF($AK1500=1,IFERROR(IF(VALUE($D1500)&lt;100000000,VALUE($D1500),1000000000),IFERROR(IF(VALUE(MID($D1500,2,20))&lt;100000000,VALUE(MID($D1500,2,20)),1000000000),1000000000))+ROW()/100000,"")</f>
        <v/>
      </c>
    </row>
    <row r="1501">
      <c r="F1501" s="11" t="n"/>
      <c r="N1501" s="7">
        <f>IF($D1501="","",M1501*V1501/100)</f>
        <v/>
      </c>
      <c r="O1501" s="7" t="n"/>
      <c r="U1501" s="7" t="n"/>
      <c r="V1501" s="7" t="n"/>
      <c r="Y1501">
        <f>IF($D1501="","",IF($AN1501=1,0,IF($AM1501=1,Settings!$C$6,Settings!$C$7))*100)</f>
        <v/>
      </c>
      <c r="Z1501" s="7">
        <f>IF($D1501="","",V1501*Y1501/100)</f>
        <v/>
      </c>
      <c r="AA1501" s="7">
        <f>IF($D1501="","",V1501-Z1501)</f>
        <v/>
      </c>
      <c r="AB1501" s="7">
        <f>IF($D1501="","",AA1501-N1501)</f>
        <v/>
      </c>
      <c r="AF1501" s="7" t="n"/>
      <c r="AI1501" s="11" t="n"/>
      <c r="AK1501">
        <f>IF($D1501="","",IF(COUNTIF($D$2:$D1501,$D1501)=1,1,0))</f>
        <v/>
      </c>
      <c r="AL1501">
        <f>IF($AK1501=1,SUMPRODUCT(--($AO$2:$AO$3001&lt;$AO1501))+1,"")</f>
        <v/>
      </c>
      <c r="AM1501">
        <f>IF($D1501="","",IF(OR($R1501=TRUE(),$R1501="TRUE"),1,0))</f>
        <v/>
      </c>
      <c r="AN1501">
        <f>IF($D1501="","",IF($X1501="Yes",1,0))</f>
        <v/>
      </c>
      <c r="AO1501">
        <f>IF($AK1501=1,IFERROR(IF(VALUE($D1501)&lt;100000000,VALUE($D1501),1000000000),IFERROR(IF(VALUE(MID($D1501,2,20))&lt;100000000,VALUE(MID($D1501,2,20)),1000000000),1000000000))+ROW()/100000,"")</f>
        <v/>
      </c>
    </row>
    <row r="1502">
      <c r="F1502" s="11" t="n"/>
      <c r="N1502" s="7">
        <f>IF($D1502="","",M1502*V1502/100)</f>
        <v/>
      </c>
      <c r="O1502" s="7" t="n"/>
      <c r="U1502" s="7" t="n"/>
      <c r="V1502" s="7" t="n"/>
      <c r="Y1502">
        <f>IF($D1502="","",IF($AN1502=1,0,IF($AM1502=1,Settings!$C$6,Settings!$C$7))*100)</f>
        <v/>
      </c>
      <c r="Z1502" s="7">
        <f>IF($D1502="","",V1502*Y1502/100)</f>
        <v/>
      </c>
      <c r="AA1502" s="7">
        <f>IF($D1502="","",V1502-Z1502)</f>
        <v/>
      </c>
      <c r="AB1502" s="7">
        <f>IF($D1502="","",AA1502-N1502)</f>
        <v/>
      </c>
      <c r="AF1502" s="7" t="n"/>
      <c r="AI1502" s="11" t="n"/>
      <c r="AK1502">
        <f>IF($D1502="","",IF(COUNTIF($D$2:$D1502,$D1502)=1,1,0))</f>
        <v/>
      </c>
      <c r="AL1502">
        <f>IF($AK1502=1,SUMPRODUCT(--($AO$2:$AO$3001&lt;$AO1502))+1,"")</f>
        <v/>
      </c>
      <c r="AM1502">
        <f>IF($D1502="","",IF(OR($R1502=TRUE(),$R1502="TRUE"),1,0))</f>
        <v/>
      </c>
      <c r="AN1502">
        <f>IF($D1502="","",IF($X1502="Yes",1,0))</f>
        <v/>
      </c>
      <c r="AO1502">
        <f>IF($AK1502=1,IFERROR(IF(VALUE($D1502)&lt;100000000,VALUE($D1502),1000000000),IFERROR(IF(VALUE(MID($D1502,2,20))&lt;100000000,VALUE(MID($D1502,2,20)),1000000000),1000000000))+ROW()/100000,"")</f>
        <v/>
      </c>
    </row>
    <row r="1503">
      <c r="F1503" s="11" t="n"/>
      <c r="N1503" s="7">
        <f>IF($D1503="","",M1503*V1503/100)</f>
        <v/>
      </c>
      <c r="O1503" s="7" t="n"/>
      <c r="U1503" s="7" t="n"/>
      <c r="V1503" s="7" t="n"/>
      <c r="Y1503">
        <f>IF($D1503="","",IF($AN1503=1,0,IF($AM1503=1,Settings!$C$6,Settings!$C$7))*100)</f>
        <v/>
      </c>
      <c r="Z1503" s="7">
        <f>IF($D1503="","",V1503*Y1503/100)</f>
        <v/>
      </c>
      <c r="AA1503" s="7">
        <f>IF($D1503="","",V1503-Z1503)</f>
        <v/>
      </c>
      <c r="AB1503" s="7">
        <f>IF($D1503="","",AA1503-N1503)</f>
        <v/>
      </c>
      <c r="AF1503" s="7" t="n"/>
      <c r="AI1503" s="11" t="n"/>
      <c r="AK1503">
        <f>IF($D1503="","",IF(COUNTIF($D$2:$D1503,$D1503)=1,1,0))</f>
        <v/>
      </c>
      <c r="AL1503">
        <f>IF($AK1503=1,SUMPRODUCT(--($AO$2:$AO$3001&lt;$AO1503))+1,"")</f>
        <v/>
      </c>
      <c r="AM1503">
        <f>IF($D1503="","",IF(OR($R1503=TRUE(),$R1503="TRUE"),1,0))</f>
        <v/>
      </c>
      <c r="AN1503">
        <f>IF($D1503="","",IF($X1503="Yes",1,0))</f>
        <v/>
      </c>
      <c r="AO1503">
        <f>IF($AK1503=1,IFERROR(IF(VALUE($D1503)&lt;100000000,VALUE($D1503),1000000000),IFERROR(IF(VALUE(MID($D1503,2,20))&lt;100000000,VALUE(MID($D1503,2,20)),1000000000),1000000000))+ROW()/100000,"")</f>
        <v/>
      </c>
    </row>
    <row r="1504">
      <c r="F1504" s="11" t="n"/>
      <c r="N1504" s="7">
        <f>IF($D1504="","",M1504*V1504/100)</f>
        <v/>
      </c>
      <c r="O1504" s="7" t="n"/>
      <c r="U1504" s="7" t="n"/>
      <c r="V1504" s="7" t="n"/>
      <c r="Y1504">
        <f>IF($D1504="","",IF($AN1504=1,0,IF($AM1504=1,Settings!$C$6,Settings!$C$7))*100)</f>
        <v/>
      </c>
      <c r="Z1504" s="7">
        <f>IF($D1504="","",V1504*Y1504/100)</f>
        <v/>
      </c>
      <c r="AA1504" s="7">
        <f>IF($D1504="","",V1504-Z1504)</f>
        <v/>
      </c>
      <c r="AB1504" s="7">
        <f>IF($D1504="","",AA1504-N1504)</f>
        <v/>
      </c>
      <c r="AF1504" s="7" t="n"/>
      <c r="AI1504" s="11" t="n"/>
      <c r="AK1504">
        <f>IF($D1504="","",IF(COUNTIF($D$2:$D1504,$D1504)=1,1,0))</f>
        <v/>
      </c>
      <c r="AL1504">
        <f>IF($AK1504=1,SUMPRODUCT(--($AO$2:$AO$3001&lt;$AO1504))+1,"")</f>
        <v/>
      </c>
      <c r="AM1504">
        <f>IF($D1504="","",IF(OR($R1504=TRUE(),$R1504="TRUE"),1,0))</f>
        <v/>
      </c>
      <c r="AN1504">
        <f>IF($D1504="","",IF($X1504="Yes",1,0))</f>
        <v/>
      </c>
      <c r="AO1504">
        <f>IF($AK1504=1,IFERROR(IF(VALUE($D1504)&lt;100000000,VALUE($D1504),1000000000),IFERROR(IF(VALUE(MID($D1504,2,20))&lt;100000000,VALUE(MID($D1504,2,20)),1000000000),1000000000))+ROW()/100000,"")</f>
        <v/>
      </c>
    </row>
    <row r="1505">
      <c r="F1505" s="11" t="n"/>
      <c r="N1505" s="7">
        <f>IF($D1505="","",M1505*V1505/100)</f>
        <v/>
      </c>
      <c r="O1505" s="7" t="n"/>
      <c r="U1505" s="7" t="n"/>
      <c r="V1505" s="7" t="n"/>
      <c r="Y1505">
        <f>IF($D1505="","",IF($AN1505=1,0,IF($AM1505=1,Settings!$C$6,Settings!$C$7))*100)</f>
        <v/>
      </c>
      <c r="Z1505" s="7">
        <f>IF($D1505="","",V1505*Y1505/100)</f>
        <v/>
      </c>
      <c r="AA1505" s="7">
        <f>IF($D1505="","",V1505-Z1505)</f>
        <v/>
      </c>
      <c r="AB1505" s="7">
        <f>IF($D1505="","",AA1505-N1505)</f>
        <v/>
      </c>
      <c r="AF1505" s="7" t="n"/>
      <c r="AI1505" s="11" t="n"/>
      <c r="AK1505">
        <f>IF($D1505="","",IF(COUNTIF($D$2:$D1505,$D1505)=1,1,0))</f>
        <v/>
      </c>
      <c r="AL1505">
        <f>IF($AK1505=1,SUMPRODUCT(--($AO$2:$AO$3001&lt;$AO1505))+1,"")</f>
        <v/>
      </c>
      <c r="AM1505">
        <f>IF($D1505="","",IF(OR($R1505=TRUE(),$R1505="TRUE"),1,0))</f>
        <v/>
      </c>
      <c r="AN1505">
        <f>IF($D1505="","",IF($X1505="Yes",1,0))</f>
        <v/>
      </c>
      <c r="AO1505">
        <f>IF($AK1505=1,IFERROR(IF(VALUE($D1505)&lt;100000000,VALUE($D1505),1000000000),IFERROR(IF(VALUE(MID($D1505,2,20))&lt;100000000,VALUE(MID($D1505,2,20)),1000000000),1000000000))+ROW()/100000,"")</f>
        <v/>
      </c>
    </row>
    <row r="1506">
      <c r="F1506" s="11" t="n"/>
      <c r="N1506" s="7">
        <f>IF($D1506="","",M1506*V1506/100)</f>
        <v/>
      </c>
      <c r="O1506" s="7" t="n"/>
      <c r="U1506" s="7" t="n"/>
      <c r="V1506" s="7" t="n"/>
      <c r="Y1506">
        <f>IF($D1506="","",IF($AN1506=1,0,IF($AM1506=1,Settings!$C$6,Settings!$C$7))*100)</f>
        <v/>
      </c>
      <c r="Z1506" s="7">
        <f>IF($D1506="","",V1506*Y1506/100)</f>
        <v/>
      </c>
      <c r="AA1506" s="7">
        <f>IF($D1506="","",V1506-Z1506)</f>
        <v/>
      </c>
      <c r="AB1506" s="7">
        <f>IF($D1506="","",AA1506-N1506)</f>
        <v/>
      </c>
      <c r="AF1506" s="7" t="n"/>
      <c r="AI1506" s="11" t="n"/>
      <c r="AK1506">
        <f>IF($D1506="","",IF(COUNTIF($D$2:$D1506,$D1506)=1,1,0))</f>
        <v/>
      </c>
      <c r="AL1506">
        <f>IF($AK1506=1,SUMPRODUCT(--($AO$2:$AO$3001&lt;$AO1506))+1,"")</f>
        <v/>
      </c>
      <c r="AM1506">
        <f>IF($D1506="","",IF(OR($R1506=TRUE(),$R1506="TRUE"),1,0))</f>
        <v/>
      </c>
      <c r="AN1506">
        <f>IF($D1506="","",IF($X1506="Yes",1,0))</f>
        <v/>
      </c>
      <c r="AO1506">
        <f>IF($AK1506=1,IFERROR(IF(VALUE($D1506)&lt;100000000,VALUE($D1506),1000000000),IFERROR(IF(VALUE(MID($D1506,2,20))&lt;100000000,VALUE(MID($D1506,2,20)),1000000000),1000000000))+ROW()/100000,"")</f>
        <v/>
      </c>
    </row>
    <row r="1507">
      <c r="F1507" s="11" t="n"/>
      <c r="N1507" s="7">
        <f>IF($D1507="","",M1507*V1507/100)</f>
        <v/>
      </c>
      <c r="O1507" s="7" t="n"/>
      <c r="U1507" s="7" t="n"/>
      <c r="V1507" s="7" t="n"/>
      <c r="Y1507">
        <f>IF($D1507="","",IF($AN1507=1,0,IF($AM1507=1,Settings!$C$6,Settings!$C$7))*100)</f>
        <v/>
      </c>
      <c r="Z1507" s="7">
        <f>IF($D1507="","",V1507*Y1507/100)</f>
        <v/>
      </c>
      <c r="AA1507" s="7">
        <f>IF($D1507="","",V1507-Z1507)</f>
        <v/>
      </c>
      <c r="AB1507" s="7">
        <f>IF($D1507="","",AA1507-N1507)</f>
        <v/>
      </c>
      <c r="AF1507" s="7" t="n"/>
      <c r="AI1507" s="11" t="n"/>
      <c r="AK1507">
        <f>IF($D1507="","",IF(COUNTIF($D$2:$D1507,$D1507)=1,1,0))</f>
        <v/>
      </c>
      <c r="AL1507">
        <f>IF($AK1507=1,SUMPRODUCT(--($AO$2:$AO$3001&lt;$AO1507))+1,"")</f>
        <v/>
      </c>
      <c r="AM1507">
        <f>IF($D1507="","",IF(OR($R1507=TRUE(),$R1507="TRUE"),1,0))</f>
        <v/>
      </c>
      <c r="AN1507">
        <f>IF($D1507="","",IF($X1507="Yes",1,0))</f>
        <v/>
      </c>
      <c r="AO1507">
        <f>IF($AK1507=1,IFERROR(IF(VALUE($D1507)&lt;100000000,VALUE($D1507),1000000000),IFERROR(IF(VALUE(MID($D1507,2,20))&lt;100000000,VALUE(MID($D1507,2,20)),1000000000),1000000000))+ROW()/100000,"")</f>
        <v/>
      </c>
    </row>
    <row r="1508">
      <c r="F1508" s="11" t="n"/>
      <c r="N1508" s="7">
        <f>IF($D1508="","",M1508*V1508/100)</f>
        <v/>
      </c>
      <c r="O1508" s="7" t="n"/>
      <c r="U1508" s="7" t="n"/>
      <c r="V1508" s="7" t="n"/>
      <c r="Y1508">
        <f>IF($D1508="","",IF($AN1508=1,0,IF($AM1508=1,Settings!$C$6,Settings!$C$7))*100)</f>
        <v/>
      </c>
      <c r="Z1508" s="7">
        <f>IF($D1508="","",V1508*Y1508/100)</f>
        <v/>
      </c>
      <c r="AA1508" s="7">
        <f>IF($D1508="","",V1508-Z1508)</f>
        <v/>
      </c>
      <c r="AB1508" s="7">
        <f>IF($D1508="","",AA1508-N1508)</f>
        <v/>
      </c>
      <c r="AF1508" s="7" t="n"/>
      <c r="AI1508" s="11" t="n"/>
      <c r="AK1508">
        <f>IF($D1508="","",IF(COUNTIF($D$2:$D1508,$D1508)=1,1,0))</f>
        <v/>
      </c>
      <c r="AL1508">
        <f>IF($AK1508=1,SUMPRODUCT(--($AO$2:$AO$3001&lt;$AO1508))+1,"")</f>
        <v/>
      </c>
      <c r="AM1508">
        <f>IF($D1508="","",IF(OR($R1508=TRUE(),$R1508="TRUE"),1,0))</f>
        <v/>
      </c>
      <c r="AN1508">
        <f>IF($D1508="","",IF($X1508="Yes",1,0))</f>
        <v/>
      </c>
      <c r="AO1508">
        <f>IF($AK1508=1,IFERROR(IF(VALUE($D1508)&lt;100000000,VALUE($D1508),1000000000),IFERROR(IF(VALUE(MID($D1508,2,20))&lt;100000000,VALUE(MID($D1508,2,20)),1000000000),1000000000))+ROW()/100000,"")</f>
        <v/>
      </c>
    </row>
    <row r="1509">
      <c r="F1509" s="11" t="n"/>
      <c r="N1509" s="7">
        <f>IF($D1509="","",M1509*V1509/100)</f>
        <v/>
      </c>
      <c r="O1509" s="7" t="n"/>
      <c r="U1509" s="7" t="n"/>
      <c r="V1509" s="7" t="n"/>
      <c r="Y1509">
        <f>IF($D1509="","",IF($AN1509=1,0,IF($AM1509=1,Settings!$C$6,Settings!$C$7))*100)</f>
        <v/>
      </c>
      <c r="Z1509" s="7">
        <f>IF($D1509="","",V1509*Y1509/100)</f>
        <v/>
      </c>
      <c r="AA1509" s="7">
        <f>IF($D1509="","",V1509-Z1509)</f>
        <v/>
      </c>
      <c r="AB1509" s="7">
        <f>IF($D1509="","",AA1509-N1509)</f>
        <v/>
      </c>
      <c r="AF1509" s="7" t="n"/>
      <c r="AI1509" s="11" t="n"/>
      <c r="AK1509">
        <f>IF($D1509="","",IF(COUNTIF($D$2:$D1509,$D1509)=1,1,0))</f>
        <v/>
      </c>
      <c r="AL1509">
        <f>IF($AK1509=1,SUMPRODUCT(--($AO$2:$AO$3001&lt;$AO1509))+1,"")</f>
        <v/>
      </c>
      <c r="AM1509">
        <f>IF($D1509="","",IF(OR($R1509=TRUE(),$R1509="TRUE"),1,0))</f>
        <v/>
      </c>
      <c r="AN1509">
        <f>IF($D1509="","",IF($X1509="Yes",1,0))</f>
        <v/>
      </c>
      <c r="AO1509">
        <f>IF($AK1509=1,IFERROR(IF(VALUE($D1509)&lt;100000000,VALUE($D1509),1000000000),IFERROR(IF(VALUE(MID($D1509,2,20))&lt;100000000,VALUE(MID($D1509,2,20)),1000000000),1000000000))+ROW()/100000,"")</f>
        <v/>
      </c>
    </row>
    <row r="1510">
      <c r="F1510" s="11" t="n"/>
      <c r="N1510" s="7">
        <f>IF($D1510="","",M1510*V1510/100)</f>
        <v/>
      </c>
      <c r="O1510" s="7" t="n"/>
      <c r="U1510" s="7" t="n"/>
      <c r="V1510" s="7" t="n"/>
      <c r="Y1510">
        <f>IF($D1510="","",IF($AN1510=1,0,IF($AM1510=1,Settings!$C$6,Settings!$C$7))*100)</f>
        <v/>
      </c>
      <c r="Z1510" s="7">
        <f>IF($D1510="","",V1510*Y1510/100)</f>
        <v/>
      </c>
      <c r="AA1510" s="7">
        <f>IF($D1510="","",V1510-Z1510)</f>
        <v/>
      </c>
      <c r="AB1510" s="7">
        <f>IF($D1510="","",AA1510-N1510)</f>
        <v/>
      </c>
      <c r="AF1510" s="7" t="n"/>
      <c r="AI1510" s="11" t="n"/>
      <c r="AK1510">
        <f>IF($D1510="","",IF(COUNTIF($D$2:$D1510,$D1510)=1,1,0))</f>
        <v/>
      </c>
      <c r="AL1510">
        <f>IF($AK1510=1,SUMPRODUCT(--($AO$2:$AO$3001&lt;$AO1510))+1,"")</f>
        <v/>
      </c>
      <c r="AM1510">
        <f>IF($D1510="","",IF(OR($R1510=TRUE(),$R1510="TRUE"),1,0))</f>
        <v/>
      </c>
      <c r="AN1510">
        <f>IF($D1510="","",IF($X1510="Yes",1,0))</f>
        <v/>
      </c>
      <c r="AO1510">
        <f>IF($AK1510=1,IFERROR(IF(VALUE($D1510)&lt;100000000,VALUE($D1510),1000000000),IFERROR(IF(VALUE(MID($D1510,2,20))&lt;100000000,VALUE(MID($D1510,2,20)),1000000000),1000000000))+ROW()/100000,"")</f>
        <v/>
      </c>
    </row>
    <row r="1511">
      <c r="F1511" s="11" t="n"/>
      <c r="N1511" s="7">
        <f>IF($D1511="","",M1511*V1511/100)</f>
        <v/>
      </c>
      <c r="O1511" s="7" t="n"/>
      <c r="U1511" s="7" t="n"/>
      <c r="V1511" s="7" t="n"/>
      <c r="Y1511">
        <f>IF($D1511="","",IF($AN1511=1,0,IF($AM1511=1,Settings!$C$6,Settings!$C$7))*100)</f>
        <v/>
      </c>
      <c r="Z1511" s="7">
        <f>IF($D1511="","",V1511*Y1511/100)</f>
        <v/>
      </c>
      <c r="AA1511" s="7">
        <f>IF($D1511="","",V1511-Z1511)</f>
        <v/>
      </c>
      <c r="AB1511" s="7">
        <f>IF($D1511="","",AA1511-N1511)</f>
        <v/>
      </c>
      <c r="AF1511" s="7" t="n"/>
      <c r="AI1511" s="11" t="n"/>
      <c r="AK1511">
        <f>IF($D1511="","",IF(COUNTIF($D$2:$D1511,$D1511)=1,1,0))</f>
        <v/>
      </c>
      <c r="AL1511">
        <f>IF($AK1511=1,SUMPRODUCT(--($AO$2:$AO$3001&lt;$AO1511))+1,"")</f>
        <v/>
      </c>
      <c r="AM1511">
        <f>IF($D1511="","",IF(OR($R1511=TRUE(),$R1511="TRUE"),1,0))</f>
        <v/>
      </c>
      <c r="AN1511">
        <f>IF($D1511="","",IF($X1511="Yes",1,0))</f>
        <v/>
      </c>
      <c r="AO1511">
        <f>IF($AK1511=1,IFERROR(IF(VALUE($D1511)&lt;100000000,VALUE($D1511),1000000000),IFERROR(IF(VALUE(MID($D1511,2,20))&lt;100000000,VALUE(MID($D1511,2,20)),1000000000),1000000000))+ROW()/100000,"")</f>
        <v/>
      </c>
    </row>
    <row r="1512">
      <c r="F1512" s="11" t="n"/>
      <c r="N1512" s="7">
        <f>IF($D1512="","",M1512*V1512/100)</f>
        <v/>
      </c>
      <c r="O1512" s="7" t="n"/>
      <c r="U1512" s="7" t="n"/>
      <c r="V1512" s="7" t="n"/>
      <c r="Y1512">
        <f>IF($D1512="","",IF($AN1512=1,0,IF($AM1512=1,Settings!$C$6,Settings!$C$7))*100)</f>
        <v/>
      </c>
      <c r="Z1512" s="7">
        <f>IF($D1512="","",V1512*Y1512/100)</f>
        <v/>
      </c>
      <c r="AA1512" s="7">
        <f>IF($D1512="","",V1512-Z1512)</f>
        <v/>
      </c>
      <c r="AB1512" s="7">
        <f>IF($D1512="","",AA1512-N1512)</f>
        <v/>
      </c>
      <c r="AF1512" s="7" t="n"/>
      <c r="AI1512" s="11" t="n"/>
      <c r="AK1512">
        <f>IF($D1512="","",IF(COUNTIF($D$2:$D1512,$D1512)=1,1,0))</f>
        <v/>
      </c>
      <c r="AL1512">
        <f>IF($AK1512=1,SUMPRODUCT(--($AO$2:$AO$3001&lt;$AO1512))+1,"")</f>
        <v/>
      </c>
      <c r="AM1512">
        <f>IF($D1512="","",IF(OR($R1512=TRUE(),$R1512="TRUE"),1,0))</f>
        <v/>
      </c>
      <c r="AN1512">
        <f>IF($D1512="","",IF($X1512="Yes",1,0))</f>
        <v/>
      </c>
      <c r="AO1512">
        <f>IF($AK1512=1,IFERROR(IF(VALUE($D1512)&lt;100000000,VALUE($D1512),1000000000),IFERROR(IF(VALUE(MID($D1512,2,20))&lt;100000000,VALUE(MID($D1512,2,20)),1000000000),1000000000))+ROW()/100000,"")</f>
        <v/>
      </c>
    </row>
    <row r="1513">
      <c r="F1513" s="11" t="n"/>
      <c r="N1513" s="7">
        <f>IF($D1513="","",M1513*V1513/100)</f>
        <v/>
      </c>
      <c r="O1513" s="7" t="n"/>
      <c r="U1513" s="7" t="n"/>
      <c r="V1513" s="7" t="n"/>
      <c r="Y1513">
        <f>IF($D1513="","",IF($AN1513=1,0,IF($AM1513=1,Settings!$C$6,Settings!$C$7))*100)</f>
        <v/>
      </c>
      <c r="Z1513" s="7">
        <f>IF($D1513="","",V1513*Y1513/100)</f>
        <v/>
      </c>
      <c r="AA1513" s="7">
        <f>IF($D1513="","",V1513-Z1513)</f>
        <v/>
      </c>
      <c r="AB1513" s="7">
        <f>IF($D1513="","",AA1513-N1513)</f>
        <v/>
      </c>
      <c r="AF1513" s="7" t="n"/>
      <c r="AI1513" s="11" t="n"/>
      <c r="AK1513">
        <f>IF($D1513="","",IF(COUNTIF($D$2:$D1513,$D1513)=1,1,0))</f>
        <v/>
      </c>
      <c r="AL1513">
        <f>IF($AK1513=1,SUMPRODUCT(--($AO$2:$AO$3001&lt;$AO1513))+1,"")</f>
        <v/>
      </c>
      <c r="AM1513">
        <f>IF($D1513="","",IF(OR($R1513=TRUE(),$R1513="TRUE"),1,0))</f>
        <v/>
      </c>
      <c r="AN1513">
        <f>IF($D1513="","",IF($X1513="Yes",1,0))</f>
        <v/>
      </c>
      <c r="AO1513">
        <f>IF($AK1513=1,IFERROR(IF(VALUE($D1513)&lt;100000000,VALUE($D1513),1000000000),IFERROR(IF(VALUE(MID($D1513,2,20))&lt;100000000,VALUE(MID($D1513,2,20)),1000000000),1000000000))+ROW()/100000,"")</f>
        <v/>
      </c>
    </row>
    <row r="1514">
      <c r="F1514" s="11" t="n"/>
      <c r="N1514" s="7">
        <f>IF($D1514="","",M1514*V1514/100)</f>
        <v/>
      </c>
      <c r="O1514" s="7" t="n"/>
      <c r="U1514" s="7" t="n"/>
      <c r="V1514" s="7" t="n"/>
      <c r="Y1514">
        <f>IF($D1514="","",IF($AN1514=1,0,IF($AM1514=1,Settings!$C$6,Settings!$C$7))*100)</f>
        <v/>
      </c>
      <c r="Z1514" s="7">
        <f>IF($D1514="","",V1514*Y1514/100)</f>
        <v/>
      </c>
      <c r="AA1514" s="7">
        <f>IF($D1514="","",V1514-Z1514)</f>
        <v/>
      </c>
      <c r="AB1514" s="7">
        <f>IF($D1514="","",AA1514-N1514)</f>
        <v/>
      </c>
      <c r="AF1514" s="7" t="n"/>
      <c r="AI1514" s="11" t="n"/>
      <c r="AK1514">
        <f>IF($D1514="","",IF(COUNTIF($D$2:$D1514,$D1514)=1,1,0))</f>
        <v/>
      </c>
      <c r="AL1514">
        <f>IF($AK1514=1,SUMPRODUCT(--($AO$2:$AO$3001&lt;$AO1514))+1,"")</f>
        <v/>
      </c>
      <c r="AM1514">
        <f>IF($D1514="","",IF(OR($R1514=TRUE(),$R1514="TRUE"),1,0))</f>
        <v/>
      </c>
      <c r="AN1514">
        <f>IF($D1514="","",IF($X1514="Yes",1,0))</f>
        <v/>
      </c>
      <c r="AO1514">
        <f>IF($AK1514=1,IFERROR(IF(VALUE($D1514)&lt;100000000,VALUE($D1514),1000000000),IFERROR(IF(VALUE(MID($D1514,2,20))&lt;100000000,VALUE(MID($D1514,2,20)),1000000000),1000000000))+ROW()/100000,"")</f>
        <v/>
      </c>
    </row>
    <row r="1515">
      <c r="F1515" s="11" t="n"/>
      <c r="N1515" s="7">
        <f>IF($D1515="","",M1515*V1515/100)</f>
        <v/>
      </c>
      <c r="O1515" s="7" t="n"/>
      <c r="U1515" s="7" t="n"/>
      <c r="V1515" s="7" t="n"/>
      <c r="Y1515">
        <f>IF($D1515="","",IF($AN1515=1,0,IF($AM1515=1,Settings!$C$6,Settings!$C$7))*100)</f>
        <v/>
      </c>
      <c r="Z1515" s="7">
        <f>IF($D1515="","",V1515*Y1515/100)</f>
        <v/>
      </c>
      <c r="AA1515" s="7">
        <f>IF($D1515="","",V1515-Z1515)</f>
        <v/>
      </c>
      <c r="AB1515" s="7">
        <f>IF($D1515="","",AA1515-N1515)</f>
        <v/>
      </c>
      <c r="AF1515" s="7" t="n"/>
      <c r="AI1515" s="11" t="n"/>
      <c r="AK1515">
        <f>IF($D1515="","",IF(COUNTIF($D$2:$D1515,$D1515)=1,1,0))</f>
        <v/>
      </c>
      <c r="AL1515">
        <f>IF($AK1515=1,SUMPRODUCT(--($AO$2:$AO$3001&lt;$AO1515))+1,"")</f>
        <v/>
      </c>
      <c r="AM1515">
        <f>IF($D1515="","",IF(OR($R1515=TRUE(),$R1515="TRUE"),1,0))</f>
        <v/>
      </c>
      <c r="AN1515">
        <f>IF($D1515="","",IF($X1515="Yes",1,0))</f>
        <v/>
      </c>
      <c r="AO1515">
        <f>IF($AK1515=1,IFERROR(IF(VALUE($D1515)&lt;100000000,VALUE($D1515),1000000000),IFERROR(IF(VALUE(MID($D1515,2,20))&lt;100000000,VALUE(MID($D1515,2,20)),1000000000),1000000000))+ROW()/100000,"")</f>
        <v/>
      </c>
    </row>
    <row r="1516">
      <c r="F1516" s="11" t="n"/>
      <c r="N1516" s="7">
        <f>IF($D1516="","",M1516*V1516/100)</f>
        <v/>
      </c>
      <c r="O1516" s="7" t="n"/>
      <c r="U1516" s="7" t="n"/>
      <c r="V1516" s="7" t="n"/>
      <c r="Y1516">
        <f>IF($D1516="","",IF($AN1516=1,0,IF($AM1516=1,Settings!$C$6,Settings!$C$7))*100)</f>
        <v/>
      </c>
      <c r="Z1516" s="7">
        <f>IF($D1516="","",V1516*Y1516/100)</f>
        <v/>
      </c>
      <c r="AA1516" s="7">
        <f>IF($D1516="","",V1516-Z1516)</f>
        <v/>
      </c>
      <c r="AB1516" s="7">
        <f>IF($D1516="","",AA1516-N1516)</f>
        <v/>
      </c>
      <c r="AF1516" s="7" t="n"/>
      <c r="AI1516" s="11" t="n"/>
      <c r="AK1516">
        <f>IF($D1516="","",IF(COUNTIF($D$2:$D1516,$D1516)=1,1,0))</f>
        <v/>
      </c>
      <c r="AL1516">
        <f>IF($AK1516=1,SUMPRODUCT(--($AO$2:$AO$3001&lt;$AO1516))+1,"")</f>
        <v/>
      </c>
      <c r="AM1516">
        <f>IF($D1516="","",IF(OR($R1516=TRUE(),$R1516="TRUE"),1,0))</f>
        <v/>
      </c>
      <c r="AN1516">
        <f>IF($D1516="","",IF($X1516="Yes",1,0))</f>
        <v/>
      </c>
      <c r="AO1516">
        <f>IF($AK1516=1,IFERROR(IF(VALUE($D1516)&lt;100000000,VALUE($D1516),1000000000),IFERROR(IF(VALUE(MID($D1516,2,20))&lt;100000000,VALUE(MID($D1516,2,20)),1000000000),1000000000))+ROW()/100000,"")</f>
        <v/>
      </c>
    </row>
    <row r="1517">
      <c r="F1517" s="11" t="n"/>
      <c r="N1517" s="7">
        <f>IF($D1517="","",M1517*V1517/100)</f>
        <v/>
      </c>
      <c r="O1517" s="7" t="n"/>
      <c r="U1517" s="7" t="n"/>
      <c r="V1517" s="7" t="n"/>
      <c r="Y1517">
        <f>IF($D1517="","",IF($AN1517=1,0,IF($AM1517=1,Settings!$C$6,Settings!$C$7))*100)</f>
        <v/>
      </c>
      <c r="Z1517" s="7">
        <f>IF($D1517="","",V1517*Y1517/100)</f>
        <v/>
      </c>
      <c r="AA1517" s="7">
        <f>IF($D1517="","",V1517-Z1517)</f>
        <v/>
      </c>
      <c r="AB1517" s="7">
        <f>IF($D1517="","",AA1517-N1517)</f>
        <v/>
      </c>
      <c r="AF1517" s="7" t="n"/>
      <c r="AI1517" s="11" t="n"/>
      <c r="AK1517">
        <f>IF($D1517="","",IF(COUNTIF($D$2:$D1517,$D1517)=1,1,0))</f>
        <v/>
      </c>
      <c r="AL1517">
        <f>IF($AK1517=1,SUMPRODUCT(--($AO$2:$AO$3001&lt;$AO1517))+1,"")</f>
        <v/>
      </c>
      <c r="AM1517">
        <f>IF($D1517="","",IF(OR($R1517=TRUE(),$R1517="TRUE"),1,0))</f>
        <v/>
      </c>
      <c r="AN1517">
        <f>IF($D1517="","",IF($X1517="Yes",1,0))</f>
        <v/>
      </c>
      <c r="AO1517">
        <f>IF($AK1517=1,IFERROR(IF(VALUE($D1517)&lt;100000000,VALUE($D1517),1000000000),IFERROR(IF(VALUE(MID($D1517,2,20))&lt;100000000,VALUE(MID($D1517,2,20)),1000000000),1000000000))+ROW()/100000,"")</f>
        <v/>
      </c>
    </row>
    <row r="1518">
      <c r="F1518" s="11" t="n"/>
      <c r="N1518" s="7">
        <f>IF($D1518="","",M1518*V1518/100)</f>
        <v/>
      </c>
      <c r="O1518" s="7" t="n"/>
      <c r="U1518" s="7" t="n"/>
      <c r="V1518" s="7" t="n"/>
      <c r="Y1518">
        <f>IF($D1518="","",IF($AN1518=1,0,IF($AM1518=1,Settings!$C$6,Settings!$C$7))*100)</f>
        <v/>
      </c>
      <c r="Z1518" s="7">
        <f>IF($D1518="","",V1518*Y1518/100)</f>
        <v/>
      </c>
      <c r="AA1518" s="7">
        <f>IF($D1518="","",V1518-Z1518)</f>
        <v/>
      </c>
      <c r="AB1518" s="7">
        <f>IF($D1518="","",AA1518-N1518)</f>
        <v/>
      </c>
      <c r="AF1518" s="7" t="n"/>
      <c r="AI1518" s="11" t="n"/>
      <c r="AK1518">
        <f>IF($D1518="","",IF(COUNTIF($D$2:$D1518,$D1518)=1,1,0))</f>
        <v/>
      </c>
      <c r="AL1518">
        <f>IF($AK1518=1,SUMPRODUCT(--($AO$2:$AO$3001&lt;$AO1518))+1,"")</f>
        <v/>
      </c>
      <c r="AM1518">
        <f>IF($D1518="","",IF(OR($R1518=TRUE(),$R1518="TRUE"),1,0))</f>
        <v/>
      </c>
      <c r="AN1518">
        <f>IF($D1518="","",IF($X1518="Yes",1,0))</f>
        <v/>
      </c>
      <c r="AO1518">
        <f>IF($AK1518=1,IFERROR(IF(VALUE($D1518)&lt;100000000,VALUE($D1518),1000000000),IFERROR(IF(VALUE(MID($D1518,2,20))&lt;100000000,VALUE(MID($D1518,2,20)),1000000000),1000000000))+ROW()/100000,"")</f>
        <v/>
      </c>
    </row>
    <row r="1519">
      <c r="F1519" s="11" t="n"/>
      <c r="N1519" s="7">
        <f>IF($D1519="","",M1519*V1519/100)</f>
        <v/>
      </c>
      <c r="O1519" s="7" t="n"/>
      <c r="U1519" s="7" t="n"/>
      <c r="V1519" s="7" t="n"/>
      <c r="Y1519">
        <f>IF($D1519="","",IF($AN1519=1,0,IF($AM1519=1,Settings!$C$6,Settings!$C$7))*100)</f>
        <v/>
      </c>
      <c r="Z1519" s="7">
        <f>IF($D1519="","",V1519*Y1519/100)</f>
        <v/>
      </c>
      <c r="AA1519" s="7">
        <f>IF($D1519="","",V1519-Z1519)</f>
        <v/>
      </c>
      <c r="AB1519" s="7">
        <f>IF($D1519="","",AA1519-N1519)</f>
        <v/>
      </c>
      <c r="AF1519" s="7" t="n"/>
      <c r="AI1519" s="11" t="n"/>
      <c r="AK1519">
        <f>IF($D1519="","",IF(COUNTIF($D$2:$D1519,$D1519)=1,1,0))</f>
        <v/>
      </c>
      <c r="AL1519">
        <f>IF($AK1519=1,SUMPRODUCT(--($AO$2:$AO$3001&lt;$AO1519))+1,"")</f>
        <v/>
      </c>
      <c r="AM1519">
        <f>IF($D1519="","",IF(OR($R1519=TRUE(),$R1519="TRUE"),1,0))</f>
        <v/>
      </c>
      <c r="AN1519">
        <f>IF($D1519="","",IF($X1519="Yes",1,0))</f>
        <v/>
      </c>
      <c r="AO1519">
        <f>IF($AK1519=1,IFERROR(IF(VALUE($D1519)&lt;100000000,VALUE($D1519),1000000000),IFERROR(IF(VALUE(MID($D1519,2,20))&lt;100000000,VALUE(MID($D1519,2,20)),1000000000),1000000000))+ROW()/100000,"")</f>
        <v/>
      </c>
    </row>
    <row r="1520">
      <c r="F1520" s="11" t="n"/>
      <c r="N1520" s="7">
        <f>IF($D1520="","",M1520*V1520/100)</f>
        <v/>
      </c>
      <c r="O1520" s="7" t="n"/>
      <c r="U1520" s="7" t="n"/>
      <c r="V1520" s="7" t="n"/>
      <c r="Y1520">
        <f>IF($D1520="","",IF($AN1520=1,0,IF($AM1520=1,Settings!$C$6,Settings!$C$7))*100)</f>
        <v/>
      </c>
      <c r="Z1520" s="7">
        <f>IF($D1520="","",V1520*Y1520/100)</f>
        <v/>
      </c>
      <c r="AA1520" s="7">
        <f>IF($D1520="","",V1520-Z1520)</f>
        <v/>
      </c>
      <c r="AB1520" s="7">
        <f>IF($D1520="","",AA1520-N1520)</f>
        <v/>
      </c>
      <c r="AF1520" s="7" t="n"/>
      <c r="AI1520" s="11" t="n"/>
      <c r="AK1520">
        <f>IF($D1520="","",IF(COUNTIF($D$2:$D1520,$D1520)=1,1,0))</f>
        <v/>
      </c>
      <c r="AL1520">
        <f>IF($AK1520=1,SUMPRODUCT(--($AO$2:$AO$3001&lt;$AO1520))+1,"")</f>
        <v/>
      </c>
      <c r="AM1520">
        <f>IF($D1520="","",IF(OR($R1520=TRUE(),$R1520="TRUE"),1,0))</f>
        <v/>
      </c>
      <c r="AN1520">
        <f>IF($D1520="","",IF($X1520="Yes",1,0))</f>
        <v/>
      </c>
      <c r="AO1520">
        <f>IF($AK1520=1,IFERROR(IF(VALUE($D1520)&lt;100000000,VALUE($D1520),1000000000),IFERROR(IF(VALUE(MID($D1520,2,20))&lt;100000000,VALUE(MID($D1520,2,20)),1000000000),1000000000))+ROW()/100000,"")</f>
        <v/>
      </c>
    </row>
    <row r="1521">
      <c r="F1521" s="11" t="n"/>
      <c r="N1521" s="7">
        <f>IF($D1521="","",M1521*V1521/100)</f>
        <v/>
      </c>
      <c r="O1521" s="7" t="n"/>
      <c r="U1521" s="7" t="n"/>
      <c r="V1521" s="7" t="n"/>
      <c r="Y1521">
        <f>IF($D1521="","",IF($AN1521=1,0,IF($AM1521=1,Settings!$C$6,Settings!$C$7))*100)</f>
        <v/>
      </c>
      <c r="Z1521" s="7">
        <f>IF($D1521="","",V1521*Y1521/100)</f>
        <v/>
      </c>
      <c r="AA1521" s="7">
        <f>IF($D1521="","",V1521-Z1521)</f>
        <v/>
      </c>
      <c r="AB1521" s="7">
        <f>IF($D1521="","",AA1521-N1521)</f>
        <v/>
      </c>
      <c r="AF1521" s="7" t="n"/>
      <c r="AI1521" s="11" t="n"/>
      <c r="AK1521">
        <f>IF($D1521="","",IF(COUNTIF($D$2:$D1521,$D1521)=1,1,0))</f>
        <v/>
      </c>
      <c r="AL1521">
        <f>IF($AK1521=1,SUMPRODUCT(--($AO$2:$AO$3001&lt;$AO1521))+1,"")</f>
        <v/>
      </c>
      <c r="AM1521">
        <f>IF($D1521="","",IF(OR($R1521=TRUE(),$R1521="TRUE"),1,0))</f>
        <v/>
      </c>
      <c r="AN1521">
        <f>IF($D1521="","",IF($X1521="Yes",1,0))</f>
        <v/>
      </c>
      <c r="AO1521">
        <f>IF($AK1521=1,IFERROR(IF(VALUE($D1521)&lt;100000000,VALUE($D1521),1000000000),IFERROR(IF(VALUE(MID($D1521,2,20))&lt;100000000,VALUE(MID($D1521,2,20)),1000000000),1000000000))+ROW()/100000,"")</f>
        <v/>
      </c>
    </row>
    <row r="1522">
      <c r="F1522" s="11" t="n"/>
      <c r="N1522" s="7">
        <f>IF($D1522="","",M1522*V1522/100)</f>
        <v/>
      </c>
      <c r="O1522" s="7" t="n"/>
      <c r="U1522" s="7" t="n"/>
      <c r="V1522" s="7" t="n"/>
      <c r="Y1522">
        <f>IF($D1522="","",IF($AN1522=1,0,IF($AM1522=1,Settings!$C$6,Settings!$C$7))*100)</f>
        <v/>
      </c>
      <c r="Z1522" s="7">
        <f>IF($D1522="","",V1522*Y1522/100)</f>
        <v/>
      </c>
      <c r="AA1522" s="7">
        <f>IF($D1522="","",V1522-Z1522)</f>
        <v/>
      </c>
      <c r="AB1522" s="7">
        <f>IF($D1522="","",AA1522-N1522)</f>
        <v/>
      </c>
      <c r="AF1522" s="7" t="n"/>
      <c r="AI1522" s="11" t="n"/>
      <c r="AK1522">
        <f>IF($D1522="","",IF(COUNTIF($D$2:$D1522,$D1522)=1,1,0))</f>
        <v/>
      </c>
      <c r="AL1522">
        <f>IF($AK1522=1,SUMPRODUCT(--($AO$2:$AO$3001&lt;$AO1522))+1,"")</f>
        <v/>
      </c>
      <c r="AM1522">
        <f>IF($D1522="","",IF(OR($R1522=TRUE(),$R1522="TRUE"),1,0))</f>
        <v/>
      </c>
      <c r="AN1522">
        <f>IF($D1522="","",IF($X1522="Yes",1,0))</f>
        <v/>
      </c>
      <c r="AO1522">
        <f>IF($AK1522=1,IFERROR(IF(VALUE($D1522)&lt;100000000,VALUE($D1522),1000000000),IFERROR(IF(VALUE(MID($D1522,2,20))&lt;100000000,VALUE(MID($D1522,2,20)),1000000000),1000000000))+ROW()/100000,"")</f>
        <v/>
      </c>
    </row>
    <row r="1523">
      <c r="F1523" s="11" t="n"/>
      <c r="N1523" s="7">
        <f>IF($D1523="","",M1523*V1523/100)</f>
        <v/>
      </c>
      <c r="O1523" s="7" t="n"/>
      <c r="U1523" s="7" t="n"/>
      <c r="V1523" s="7" t="n"/>
      <c r="Y1523">
        <f>IF($D1523="","",IF($AN1523=1,0,IF($AM1523=1,Settings!$C$6,Settings!$C$7))*100)</f>
        <v/>
      </c>
      <c r="Z1523" s="7">
        <f>IF($D1523="","",V1523*Y1523/100)</f>
        <v/>
      </c>
      <c r="AA1523" s="7">
        <f>IF($D1523="","",V1523-Z1523)</f>
        <v/>
      </c>
      <c r="AB1523" s="7">
        <f>IF($D1523="","",AA1523-N1523)</f>
        <v/>
      </c>
      <c r="AF1523" s="7" t="n"/>
      <c r="AI1523" s="11" t="n"/>
      <c r="AK1523">
        <f>IF($D1523="","",IF(COUNTIF($D$2:$D1523,$D1523)=1,1,0))</f>
        <v/>
      </c>
      <c r="AL1523">
        <f>IF($AK1523=1,SUMPRODUCT(--($AO$2:$AO$3001&lt;$AO1523))+1,"")</f>
        <v/>
      </c>
      <c r="AM1523">
        <f>IF($D1523="","",IF(OR($R1523=TRUE(),$R1523="TRUE"),1,0))</f>
        <v/>
      </c>
      <c r="AN1523">
        <f>IF($D1523="","",IF($X1523="Yes",1,0))</f>
        <v/>
      </c>
      <c r="AO1523">
        <f>IF($AK1523=1,IFERROR(IF(VALUE($D1523)&lt;100000000,VALUE($D1523),1000000000),IFERROR(IF(VALUE(MID($D1523,2,20))&lt;100000000,VALUE(MID($D1523,2,20)),1000000000),1000000000))+ROW()/100000,"")</f>
        <v/>
      </c>
    </row>
    <row r="1524">
      <c r="F1524" s="11" t="n"/>
      <c r="N1524" s="7">
        <f>IF($D1524="","",M1524*V1524/100)</f>
        <v/>
      </c>
      <c r="O1524" s="7" t="n"/>
      <c r="U1524" s="7" t="n"/>
      <c r="V1524" s="7" t="n"/>
      <c r="Y1524">
        <f>IF($D1524="","",IF($AN1524=1,0,IF($AM1524=1,Settings!$C$6,Settings!$C$7))*100)</f>
        <v/>
      </c>
      <c r="Z1524" s="7">
        <f>IF($D1524="","",V1524*Y1524/100)</f>
        <v/>
      </c>
      <c r="AA1524" s="7">
        <f>IF($D1524="","",V1524-Z1524)</f>
        <v/>
      </c>
      <c r="AB1524" s="7">
        <f>IF($D1524="","",AA1524-N1524)</f>
        <v/>
      </c>
      <c r="AF1524" s="7" t="n"/>
      <c r="AI1524" s="11" t="n"/>
      <c r="AK1524">
        <f>IF($D1524="","",IF(COUNTIF($D$2:$D1524,$D1524)=1,1,0))</f>
        <v/>
      </c>
      <c r="AL1524">
        <f>IF($AK1524=1,SUMPRODUCT(--($AO$2:$AO$3001&lt;$AO1524))+1,"")</f>
        <v/>
      </c>
      <c r="AM1524">
        <f>IF($D1524="","",IF(OR($R1524=TRUE(),$R1524="TRUE"),1,0))</f>
        <v/>
      </c>
      <c r="AN1524">
        <f>IF($D1524="","",IF($X1524="Yes",1,0))</f>
        <v/>
      </c>
      <c r="AO1524">
        <f>IF($AK1524=1,IFERROR(IF(VALUE($D1524)&lt;100000000,VALUE($D1524),1000000000),IFERROR(IF(VALUE(MID($D1524,2,20))&lt;100000000,VALUE(MID($D1524,2,20)),1000000000),1000000000))+ROW()/100000,"")</f>
        <v/>
      </c>
    </row>
    <row r="1525">
      <c r="F1525" s="11" t="n"/>
      <c r="N1525" s="7">
        <f>IF($D1525="","",M1525*V1525/100)</f>
        <v/>
      </c>
      <c r="O1525" s="7" t="n"/>
      <c r="U1525" s="7" t="n"/>
      <c r="V1525" s="7" t="n"/>
      <c r="Y1525">
        <f>IF($D1525="","",IF($AN1525=1,0,IF($AM1525=1,Settings!$C$6,Settings!$C$7))*100)</f>
        <v/>
      </c>
      <c r="Z1525" s="7">
        <f>IF($D1525="","",V1525*Y1525/100)</f>
        <v/>
      </c>
      <c r="AA1525" s="7">
        <f>IF($D1525="","",V1525-Z1525)</f>
        <v/>
      </c>
      <c r="AB1525" s="7">
        <f>IF($D1525="","",AA1525-N1525)</f>
        <v/>
      </c>
      <c r="AF1525" s="7" t="n"/>
      <c r="AI1525" s="11" t="n"/>
      <c r="AK1525">
        <f>IF($D1525="","",IF(COUNTIF($D$2:$D1525,$D1525)=1,1,0))</f>
        <v/>
      </c>
      <c r="AL1525">
        <f>IF($AK1525=1,SUMPRODUCT(--($AO$2:$AO$3001&lt;$AO1525))+1,"")</f>
        <v/>
      </c>
      <c r="AM1525">
        <f>IF($D1525="","",IF(OR($R1525=TRUE(),$R1525="TRUE"),1,0))</f>
        <v/>
      </c>
      <c r="AN1525">
        <f>IF($D1525="","",IF($X1525="Yes",1,0))</f>
        <v/>
      </c>
      <c r="AO1525">
        <f>IF($AK1525=1,IFERROR(IF(VALUE($D1525)&lt;100000000,VALUE($D1525),1000000000),IFERROR(IF(VALUE(MID($D1525,2,20))&lt;100000000,VALUE(MID($D1525,2,20)),1000000000),1000000000))+ROW()/100000,"")</f>
        <v/>
      </c>
    </row>
    <row r="1526">
      <c r="F1526" s="11" t="n"/>
      <c r="N1526" s="7">
        <f>IF($D1526="","",M1526*V1526/100)</f>
        <v/>
      </c>
      <c r="O1526" s="7" t="n"/>
      <c r="U1526" s="7" t="n"/>
      <c r="V1526" s="7" t="n"/>
      <c r="Y1526">
        <f>IF($D1526="","",IF($AN1526=1,0,IF($AM1526=1,Settings!$C$6,Settings!$C$7))*100)</f>
        <v/>
      </c>
      <c r="Z1526" s="7">
        <f>IF($D1526="","",V1526*Y1526/100)</f>
        <v/>
      </c>
      <c r="AA1526" s="7">
        <f>IF($D1526="","",V1526-Z1526)</f>
        <v/>
      </c>
      <c r="AB1526" s="7">
        <f>IF($D1526="","",AA1526-N1526)</f>
        <v/>
      </c>
      <c r="AF1526" s="7" t="n"/>
      <c r="AI1526" s="11" t="n"/>
      <c r="AK1526">
        <f>IF($D1526="","",IF(COUNTIF($D$2:$D1526,$D1526)=1,1,0))</f>
        <v/>
      </c>
      <c r="AL1526">
        <f>IF($AK1526=1,SUMPRODUCT(--($AO$2:$AO$3001&lt;$AO1526))+1,"")</f>
        <v/>
      </c>
      <c r="AM1526">
        <f>IF($D1526="","",IF(OR($R1526=TRUE(),$R1526="TRUE"),1,0))</f>
        <v/>
      </c>
      <c r="AN1526">
        <f>IF($D1526="","",IF($X1526="Yes",1,0))</f>
        <v/>
      </c>
      <c r="AO1526">
        <f>IF($AK1526=1,IFERROR(IF(VALUE($D1526)&lt;100000000,VALUE($D1526),1000000000),IFERROR(IF(VALUE(MID($D1526,2,20))&lt;100000000,VALUE(MID($D1526,2,20)),1000000000),1000000000))+ROW()/100000,"")</f>
        <v/>
      </c>
    </row>
    <row r="1527">
      <c r="F1527" s="11" t="n"/>
      <c r="N1527" s="7">
        <f>IF($D1527="","",M1527*V1527/100)</f>
        <v/>
      </c>
      <c r="O1527" s="7" t="n"/>
      <c r="U1527" s="7" t="n"/>
      <c r="V1527" s="7" t="n"/>
      <c r="Y1527">
        <f>IF($D1527="","",IF($AN1527=1,0,IF($AM1527=1,Settings!$C$6,Settings!$C$7))*100)</f>
        <v/>
      </c>
      <c r="Z1527" s="7">
        <f>IF($D1527="","",V1527*Y1527/100)</f>
        <v/>
      </c>
      <c r="AA1527" s="7">
        <f>IF($D1527="","",V1527-Z1527)</f>
        <v/>
      </c>
      <c r="AB1527" s="7">
        <f>IF($D1527="","",AA1527-N1527)</f>
        <v/>
      </c>
      <c r="AF1527" s="7" t="n"/>
      <c r="AI1527" s="11" t="n"/>
      <c r="AK1527">
        <f>IF($D1527="","",IF(COUNTIF($D$2:$D1527,$D1527)=1,1,0))</f>
        <v/>
      </c>
      <c r="AL1527">
        <f>IF($AK1527=1,SUMPRODUCT(--($AO$2:$AO$3001&lt;$AO1527))+1,"")</f>
        <v/>
      </c>
      <c r="AM1527">
        <f>IF($D1527="","",IF(OR($R1527=TRUE(),$R1527="TRUE"),1,0))</f>
        <v/>
      </c>
      <c r="AN1527">
        <f>IF($D1527="","",IF($X1527="Yes",1,0))</f>
        <v/>
      </c>
      <c r="AO1527">
        <f>IF($AK1527=1,IFERROR(IF(VALUE($D1527)&lt;100000000,VALUE($D1527),1000000000),IFERROR(IF(VALUE(MID($D1527,2,20))&lt;100000000,VALUE(MID($D1527,2,20)),1000000000),1000000000))+ROW()/100000,"")</f>
        <v/>
      </c>
    </row>
    <row r="1528">
      <c r="F1528" s="11" t="n"/>
      <c r="N1528" s="7">
        <f>IF($D1528="","",M1528*V1528/100)</f>
        <v/>
      </c>
      <c r="O1528" s="7" t="n"/>
      <c r="U1528" s="7" t="n"/>
      <c r="V1528" s="7" t="n"/>
      <c r="Y1528">
        <f>IF($D1528="","",IF($AN1528=1,0,IF($AM1528=1,Settings!$C$6,Settings!$C$7))*100)</f>
        <v/>
      </c>
      <c r="Z1528" s="7">
        <f>IF($D1528="","",V1528*Y1528/100)</f>
        <v/>
      </c>
      <c r="AA1528" s="7">
        <f>IF($D1528="","",V1528-Z1528)</f>
        <v/>
      </c>
      <c r="AB1528" s="7">
        <f>IF($D1528="","",AA1528-N1528)</f>
        <v/>
      </c>
      <c r="AF1528" s="7" t="n"/>
      <c r="AI1528" s="11" t="n"/>
      <c r="AK1528">
        <f>IF($D1528="","",IF(COUNTIF($D$2:$D1528,$D1528)=1,1,0))</f>
        <v/>
      </c>
      <c r="AL1528">
        <f>IF($AK1528=1,SUMPRODUCT(--($AO$2:$AO$3001&lt;$AO1528))+1,"")</f>
        <v/>
      </c>
      <c r="AM1528">
        <f>IF($D1528="","",IF(OR($R1528=TRUE(),$R1528="TRUE"),1,0))</f>
        <v/>
      </c>
      <c r="AN1528">
        <f>IF($D1528="","",IF($X1528="Yes",1,0))</f>
        <v/>
      </c>
      <c r="AO1528">
        <f>IF($AK1528=1,IFERROR(IF(VALUE($D1528)&lt;100000000,VALUE($D1528),1000000000),IFERROR(IF(VALUE(MID($D1528,2,20))&lt;100000000,VALUE(MID($D1528,2,20)),1000000000),1000000000))+ROW()/100000,"")</f>
        <v/>
      </c>
    </row>
    <row r="1529">
      <c r="F1529" s="11" t="n"/>
      <c r="N1529" s="7">
        <f>IF($D1529="","",M1529*V1529/100)</f>
        <v/>
      </c>
      <c r="O1529" s="7" t="n"/>
      <c r="U1529" s="7" t="n"/>
      <c r="V1529" s="7" t="n"/>
      <c r="Y1529">
        <f>IF($D1529="","",IF($AN1529=1,0,IF($AM1529=1,Settings!$C$6,Settings!$C$7))*100)</f>
        <v/>
      </c>
      <c r="Z1529" s="7">
        <f>IF($D1529="","",V1529*Y1529/100)</f>
        <v/>
      </c>
      <c r="AA1529" s="7">
        <f>IF($D1529="","",V1529-Z1529)</f>
        <v/>
      </c>
      <c r="AB1529" s="7">
        <f>IF($D1529="","",AA1529-N1529)</f>
        <v/>
      </c>
      <c r="AF1529" s="7" t="n"/>
      <c r="AI1529" s="11" t="n"/>
      <c r="AK1529">
        <f>IF($D1529="","",IF(COUNTIF($D$2:$D1529,$D1529)=1,1,0))</f>
        <v/>
      </c>
      <c r="AL1529">
        <f>IF($AK1529=1,SUMPRODUCT(--($AO$2:$AO$3001&lt;$AO1529))+1,"")</f>
        <v/>
      </c>
      <c r="AM1529">
        <f>IF($D1529="","",IF(OR($R1529=TRUE(),$R1529="TRUE"),1,0))</f>
        <v/>
      </c>
      <c r="AN1529">
        <f>IF($D1529="","",IF($X1529="Yes",1,0))</f>
        <v/>
      </c>
      <c r="AO1529">
        <f>IF($AK1529=1,IFERROR(IF(VALUE($D1529)&lt;100000000,VALUE($D1529),1000000000),IFERROR(IF(VALUE(MID($D1529,2,20))&lt;100000000,VALUE(MID($D1529,2,20)),1000000000),1000000000))+ROW()/100000,"")</f>
        <v/>
      </c>
    </row>
    <row r="1530">
      <c r="F1530" s="11" t="n"/>
      <c r="N1530" s="7">
        <f>IF($D1530="","",M1530*V1530/100)</f>
        <v/>
      </c>
      <c r="O1530" s="7" t="n"/>
      <c r="U1530" s="7" t="n"/>
      <c r="V1530" s="7" t="n"/>
      <c r="Y1530">
        <f>IF($D1530="","",IF($AN1530=1,0,IF($AM1530=1,Settings!$C$6,Settings!$C$7))*100)</f>
        <v/>
      </c>
      <c r="Z1530" s="7">
        <f>IF($D1530="","",V1530*Y1530/100)</f>
        <v/>
      </c>
      <c r="AA1530" s="7">
        <f>IF($D1530="","",V1530-Z1530)</f>
        <v/>
      </c>
      <c r="AB1530" s="7">
        <f>IF($D1530="","",AA1530-N1530)</f>
        <v/>
      </c>
      <c r="AF1530" s="7" t="n"/>
      <c r="AI1530" s="11" t="n"/>
      <c r="AK1530">
        <f>IF($D1530="","",IF(COUNTIF($D$2:$D1530,$D1530)=1,1,0))</f>
        <v/>
      </c>
      <c r="AL1530">
        <f>IF($AK1530=1,SUMPRODUCT(--($AO$2:$AO$3001&lt;$AO1530))+1,"")</f>
        <v/>
      </c>
      <c r="AM1530">
        <f>IF($D1530="","",IF(OR($R1530=TRUE(),$R1530="TRUE"),1,0))</f>
        <v/>
      </c>
      <c r="AN1530">
        <f>IF($D1530="","",IF($X1530="Yes",1,0))</f>
        <v/>
      </c>
      <c r="AO1530">
        <f>IF($AK1530=1,IFERROR(IF(VALUE($D1530)&lt;100000000,VALUE($D1530),1000000000),IFERROR(IF(VALUE(MID($D1530,2,20))&lt;100000000,VALUE(MID($D1530,2,20)),1000000000),1000000000))+ROW()/100000,"")</f>
        <v/>
      </c>
    </row>
    <row r="1531">
      <c r="F1531" s="11" t="n"/>
      <c r="N1531" s="7">
        <f>IF($D1531="","",M1531*V1531/100)</f>
        <v/>
      </c>
      <c r="O1531" s="7" t="n"/>
      <c r="U1531" s="7" t="n"/>
      <c r="V1531" s="7" t="n"/>
      <c r="Y1531">
        <f>IF($D1531="","",IF($AN1531=1,0,IF($AM1531=1,Settings!$C$6,Settings!$C$7))*100)</f>
        <v/>
      </c>
      <c r="Z1531" s="7">
        <f>IF($D1531="","",V1531*Y1531/100)</f>
        <v/>
      </c>
      <c r="AA1531" s="7">
        <f>IF($D1531="","",V1531-Z1531)</f>
        <v/>
      </c>
      <c r="AB1531" s="7">
        <f>IF($D1531="","",AA1531-N1531)</f>
        <v/>
      </c>
      <c r="AF1531" s="7" t="n"/>
      <c r="AI1531" s="11" t="n"/>
      <c r="AK1531">
        <f>IF($D1531="","",IF(COUNTIF($D$2:$D1531,$D1531)=1,1,0))</f>
        <v/>
      </c>
      <c r="AL1531">
        <f>IF($AK1531=1,SUMPRODUCT(--($AO$2:$AO$3001&lt;$AO1531))+1,"")</f>
        <v/>
      </c>
      <c r="AM1531">
        <f>IF($D1531="","",IF(OR($R1531=TRUE(),$R1531="TRUE"),1,0))</f>
        <v/>
      </c>
      <c r="AN1531">
        <f>IF($D1531="","",IF($X1531="Yes",1,0))</f>
        <v/>
      </c>
      <c r="AO1531">
        <f>IF($AK1531=1,IFERROR(IF(VALUE($D1531)&lt;100000000,VALUE($D1531),1000000000),IFERROR(IF(VALUE(MID($D1531,2,20))&lt;100000000,VALUE(MID($D1531,2,20)),1000000000),1000000000))+ROW()/100000,"")</f>
        <v/>
      </c>
    </row>
    <row r="1532">
      <c r="F1532" s="11" t="n"/>
      <c r="N1532" s="7">
        <f>IF($D1532="","",M1532*V1532/100)</f>
        <v/>
      </c>
      <c r="O1532" s="7" t="n"/>
      <c r="U1532" s="7" t="n"/>
      <c r="V1532" s="7" t="n"/>
      <c r="Y1532">
        <f>IF($D1532="","",IF($AN1532=1,0,IF($AM1532=1,Settings!$C$6,Settings!$C$7))*100)</f>
        <v/>
      </c>
      <c r="Z1532" s="7">
        <f>IF($D1532="","",V1532*Y1532/100)</f>
        <v/>
      </c>
      <c r="AA1532" s="7">
        <f>IF($D1532="","",V1532-Z1532)</f>
        <v/>
      </c>
      <c r="AB1532" s="7">
        <f>IF($D1532="","",AA1532-N1532)</f>
        <v/>
      </c>
      <c r="AF1532" s="7" t="n"/>
      <c r="AI1532" s="11" t="n"/>
      <c r="AK1532">
        <f>IF($D1532="","",IF(COUNTIF($D$2:$D1532,$D1532)=1,1,0))</f>
        <v/>
      </c>
      <c r="AL1532">
        <f>IF($AK1532=1,SUMPRODUCT(--($AO$2:$AO$3001&lt;$AO1532))+1,"")</f>
        <v/>
      </c>
      <c r="AM1532">
        <f>IF($D1532="","",IF(OR($R1532=TRUE(),$R1532="TRUE"),1,0))</f>
        <v/>
      </c>
      <c r="AN1532">
        <f>IF($D1532="","",IF($X1532="Yes",1,0))</f>
        <v/>
      </c>
      <c r="AO1532">
        <f>IF($AK1532=1,IFERROR(IF(VALUE($D1532)&lt;100000000,VALUE($D1532),1000000000),IFERROR(IF(VALUE(MID($D1532,2,20))&lt;100000000,VALUE(MID($D1532,2,20)),1000000000),1000000000))+ROW()/100000,"")</f>
        <v/>
      </c>
    </row>
    <row r="1533">
      <c r="F1533" s="11" t="n"/>
      <c r="N1533" s="7">
        <f>IF($D1533="","",M1533*V1533/100)</f>
        <v/>
      </c>
      <c r="O1533" s="7" t="n"/>
      <c r="U1533" s="7" t="n"/>
      <c r="V1533" s="7" t="n"/>
      <c r="Y1533">
        <f>IF($D1533="","",IF($AN1533=1,0,IF($AM1533=1,Settings!$C$6,Settings!$C$7))*100)</f>
        <v/>
      </c>
      <c r="Z1533" s="7">
        <f>IF($D1533="","",V1533*Y1533/100)</f>
        <v/>
      </c>
      <c r="AA1533" s="7">
        <f>IF($D1533="","",V1533-Z1533)</f>
        <v/>
      </c>
      <c r="AB1533" s="7">
        <f>IF($D1533="","",AA1533-N1533)</f>
        <v/>
      </c>
      <c r="AF1533" s="7" t="n"/>
      <c r="AI1533" s="11" t="n"/>
      <c r="AK1533">
        <f>IF($D1533="","",IF(COUNTIF($D$2:$D1533,$D1533)=1,1,0))</f>
        <v/>
      </c>
      <c r="AL1533">
        <f>IF($AK1533=1,SUMPRODUCT(--($AO$2:$AO$3001&lt;$AO1533))+1,"")</f>
        <v/>
      </c>
      <c r="AM1533">
        <f>IF($D1533="","",IF(OR($R1533=TRUE(),$R1533="TRUE"),1,0))</f>
        <v/>
      </c>
      <c r="AN1533">
        <f>IF($D1533="","",IF($X1533="Yes",1,0))</f>
        <v/>
      </c>
      <c r="AO1533">
        <f>IF($AK1533=1,IFERROR(IF(VALUE($D1533)&lt;100000000,VALUE($D1533),1000000000),IFERROR(IF(VALUE(MID($D1533,2,20))&lt;100000000,VALUE(MID($D1533,2,20)),1000000000),1000000000))+ROW()/100000,"")</f>
        <v/>
      </c>
    </row>
    <row r="1534">
      <c r="F1534" s="11" t="n"/>
      <c r="N1534" s="7">
        <f>IF($D1534="","",M1534*V1534/100)</f>
        <v/>
      </c>
      <c r="O1534" s="7" t="n"/>
      <c r="U1534" s="7" t="n"/>
      <c r="V1534" s="7" t="n"/>
      <c r="Y1534">
        <f>IF($D1534="","",IF($AN1534=1,0,IF($AM1534=1,Settings!$C$6,Settings!$C$7))*100)</f>
        <v/>
      </c>
      <c r="Z1534" s="7">
        <f>IF($D1534="","",V1534*Y1534/100)</f>
        <v/>
      </c>
      <c r="AA1534" s="7">
        <f>IF($D1534="","",V1534-Z1534)</f>
        <v/>
      </c>
      <c r="AB1534" s="7">
        <f>IF($D1534="","",AA1534-N1534)</f>
        <v/>
      </c>
      <c r="AF1534" s="7" t="n"/>
      <c r="AI1534" s="11" t="n"/>
      <c r="AK1534">
        <f>IF($D1534="","",IF(COUNTIF($D$2:$D1534,$D1534)=1,1,0))</f>
        <v/>
      </c>
      <c r="AL1534">
        <f>IF($AK1534=1,SUMPRODUCT(--($AO$2:$AO$3001&lt;$AO1534))+1,"")</f>
        <v/>
      </c>
      <c r="AM1534">
        <f>IF($D1534="","",IF(OR($R1534=TRUE(),$R1534="TRUE"),1,0))</f>
        <v/>
      </c>
      <c r="AN1534">
        <f>IF($D1534="","",IF($X1534="Yes",1,0))</f>
        <v/>
      </c>
      <c r="AO1534">
        <f>IF($AK1534=1,IFERROR(IF(VALUE($D1534)&lt;100000000,VALUE($D1534),1000000000),IFERROR(IF(VALUE(MID($D1534,2,20))&lt;100000000,VALUE(MID($D1534,2,20)),1000000000),1000000000))+ROW()/100000,"")</f>
        <v/>
      </c>
    </row>
    <row r="1535">
      <c r="F1535" s="11" t="n"/>
      <c r="N1535" s="7">
        <f>IF($D1535="","",M1535*V1535/100)</f>
        <v/>
      </c>
      <c r="O1535" s="7" t="n"/>
      <c r="U1535" s="7" t="n"/>
      <c r="V1535" s="7" t="n"/>
      <c r="Y1535">
        <f>IF($D1535="","",IF($AN1535=1,0,IF($AM1535=1,Settings!$C$6,Settings!$C$7))*100)</f>
        <v/>
      </c>
      <c r="Z1535" s="7">
        <f>IF($D1535="","",V1535*Y1535/100)</f>
        <v/>
      </c>
      <c r="AA1535" s="7">
        <f>IF($D1535="","",V1535-Z1535)</f>
        <v/>
      </c>
      <c r="AB1535" s="7">
        <f>IF($D1535="","",AA1535-N1535)</f>
        <v/>
      </c>
      <c r="AF1535" s="7" t="n"/>
      <c r="AI1535" s="11" t="n"/>
      <c r="AK1535">
        <f>IF($D1535="","",IF(COUNTIF($D$2:$D1535,$D1535)=1,1,0))</f>
        <v/>
      </c>
      <c r="AL1535">
        <f>IF($AK1535=1,SUMPRODUCT(--($AO$2:$AO$3001&lt;$AO1535))+1,"")</f>
        <v/>
      </c>
      <c r="AM1535">
        <f>IF($D1535="","",IF(OR($R1535=TRUE(),$R1535="TRUE"),1,0))</f>
        <v/>
      </c>
      <c r="AN1535">
        <f>IF($D1535="","",IF($X1535="Yes",1,0))</f>
        <v/>
      </c>
      <c r="AO1535">
        <f>IF($AK1535=1,IFERROR(IF(VALUE($D1535)&lt;100000000,VALUE($D1535),1000000000),IFERROR(IF(VALUE(MID($D1535,2,20))&lt;100000000,VALUE(MID($D1535,2,20)),1000000000),1000000000))+ROW()/100000,"")</f>
        <v/>
      </c>
    </row>
    <row r="1536">
      <c r="F1536" s="11" t="n"/>
      <c r="N1536" s="7">
        <f>IF($D1536="","",M1536*V1536/100)</f>
        <v/>
      </c>
      <c r="O1536" s="7" t="n"/>
      <c r="U1536" s="7" t="n"/>
      <c r="V1536" s="7" t="n"/>
      <c r="Y1536">
        <f>IF($D1536="","",IF($AN1536=1,0,IF($AM1536=1,Settings!$C$6,Settings!$C$7))*100)</f>
        <v/>
      </c>
      <c r="Z1536" s="7">
        <f>IF($D1536="","",V1536*Y1536/100)</f>
        <v/>
      </c>
      <c r="AA1536" s="7">
        <f>IF($D1536="","",V1536-Z1536)</f>
        <v/>
      </c>
      <c r="AB1536" s="7">
        <f>IF($D1536="","",AA1536-N1536)</f>
        <v/>
      </c>
      <c r="AF1536" s="7" t="n"/>
      <c r="AI1536" s="11" t="n"/>
      <c r="AK1536">
        <f>IF($D1536="","",IF(COUNTIF($D$2:$D1536,$D1536)=1,1,0))</f>
        <v/>
      </c>
      <c r="AL1536">
        <f>IF($AK1536=1,SUMPRODUCT(--($AO$2:$AO$3001&lt;$AO1536))+1,"")</f>
        <v/>
      </c>
      <c r="AM1536">
        <f>IF($D1536="","",IF(OR($R1536=TRUE(),$R1536="TRUE"),1,0))</f>
        <v/>
      </c>
      <c r="AN1536">
        <f>IF($D1536="","",IF($X1536="Yes",1,0))</f>
        <v/>
      </c>
      <c r="AO1536">
        <f>IF($AK1536=1,IFERROR(IF(VALUE($D1536)&lt;100000000,VALUE($D1536),1000000000),IFERROR(IF(VALUE(MID($D1536,2,20))&lt;100000000,VALUE(MID($D1536,2,20)),1000000000),1000000000))+ROW()/100000,"")</f>
        <v/>
      </c>
    </row>
    <row r="1537">
      <c r="F1537" s="11" t="n"/>
      <c r="N1537" s="7">
        <f>IF($D1537="","",M1537*V1537/100)</f>
        <v/>
      </c>
      <c r="O1537" s="7" t="n"/>
      <c r="U1537" s="7" t="n"/>
      <c r="V1537" s="7" t="n"/>
      <c r="Y1537">
        <f>IF($D1537="","",IF($AN1537=1,0,IF($AM1537=1,Settings!$C$6,Settings!$C$7))*100)</f>
        <v/>
      </c>
      <c r="Z1537" s="7">
        <f>IF($D1537="","",V1537*Y1537/100)</f>
        <v/>
      </c>
      <c r="AA1537" s="7">
        <f>IF($D1537="","",V1537-Z1537)</f>
        <v/>
      </c>
      <c r="AB1537" s="7">
        <f>IF($D1537="","",AA1537-N1537)</f>
        <v/>
      </c>
      <c r="AF1537" s="7" t="n"/>
      <c r="AI1537" s="11" t="n"/>
      <c r="AK1537">
        <f>IF($D1537="","",IF(COUNTIF($D$2:$D1537,$D1537)=1,1,0))</f>
        <v/>
      </c>
      <c r="AL1537">
        <f>IF($AK1537=1,SUMPRODUCT(--($AO$2:$AO$3001&lt;$AO1537))+1,"")</f>
        <v/>
      </c>
      <c r="AM1537">
        <f>IF($D1537="","",IF(OR($R1537=TRUE(),$R1537="TRUE"),1,0))</f>
        <v/>
      </c>
      <c r="AN1537">
        <f>IF($D1537="","",IF($X1537="Yes",1,0))</f>
        <v/>
      </c>
      <c r="AO1537">
        <f>IF($AK1537=1,IFERROR(IF(VALUE($D1537)&lt;100000000,VALUE($D1537),1000000000),IFERROR(IF(VALUE(MID($D1537,2,20))&lt;100000000,VALUE(MID($D1537,2,20)),1000000000),1000000000))+ROW()/100000,"")</f>
        <v/>
      </c>
    </row>
    <row r="1538">
      <c r="F1538" s="11" t="n"/>
      <c r="N1538" s="7">
        <f>IF($D1538="","",M1538*V1538/100)</f>
        <v/>
      </c>
      <c r="O1538" s="7" t="n"/>
      <c r="U1538" s="7" t="n"/>
      <c r="V1538" s="7" t="n"/>
      <c r="Y1538">
        <f>IF($D1538="","",IF($AN1538=1,0,IF($AM1538=1,Settings!$C$6,Settings!$C$7))*100)</f>
        <v/>
      </c>
      <c r="Z1538" s="7">
        <f>IF($D1538="","",V1538*Y1538/100)</f>
        <v/>
      </c>
      <c r="AA1538" s="7">
        <f>IF($D1538="","",V1538-Z1538)</f>
        <v/>
      </c>
      <c r="AB1538" s="7">
        <f>IF($D1538="","",AA1538-N1538)</f>
        <v/>
      </c>
      <c r="AF1538" s="7" t="n"/>
      <c r="AI1538" s="11" t="n"/>
      <c r="AK1538">
        <f>IF($D1538="","",IF(COUNTIF($D$2:$D1538,$D1538)=1,1,0))</f>
        <v/>
      </c>
      <c r="AL1538">
        <f>IF($AK1538=1,SUMPRODUCT(--($AO$2:$AO$3001&lt;$AO1538))+1,"")</f>
        <v/>
      </c>
      <c r="AM1538">
        <f>IF($D1538="","",IF(OR($R1538=TRUE(),$R1538="TRUE"),1,0))</f>
        <v/>
      </c>
      <c r="AN1538">
        <f>IF($D1538="","",IF($X1538="Yes",1,0))</f>
        <v/>
      </c>
      <c r="AO1538">
        <f>IF($AK1538=1,IFERROR(IF(VALUE($D1538)&lt;100000000,VALUE($D1538),1000000000),IFERROR(IF(VALUE(MID($D1538,2,20))&lt;100000000,VALUE(MID($D1538,2,20)),1000000000),1000000000))+ROW()/100000,"")</f>
        <v/>
      </c>
    </row>
    <row r="1539">
      <c r="F1539" s="11" t="n"/>
      <c r="N1539" s="7">
        <f>IF($D1539="","",M1539*V1539/100)</f>
        <v/>
      </c>
      <c r="O1539" s="7" t="n"/>
      <c r="U1539" s="7" t="n"/>
      <c r="V1539" s="7" t="n"/>
      <c r="Y1539">
        <f>IF($D1539="","",IF($AN1539=1,0,IF($AM1539=1,Settings!$C$6,Settings!$C$7))*100)</f>
        <v/>
      </c>
      <c r="Z1539" s="7">
        <f>IF($D1539="","",V1539*Y1539/100)</f>
        <v/>
      </c>
      <c r="AA1539" s="7">
        <f>IF($D1539="","",V1539-Z1539)</f>
        <v/>
      </c>
      <c r="AB1539" s="7">
        <f>IF($D1539="","",AA1539-N1539)</f>
        <v/>
      </c>
      <c r="AF1539" s="7" t="n"/>
      <c r="AI1539" s="11" t="n"/>
      <c r="AK1539">
        <f>IF($D1539="","",IF(COUNTIF($D$2:$D1539,$D1539)=1,1,0))</f>
        <v/>
      </c>
      <c r="AL1539">
        <f>IF($AK1539=1,SUMPRODUCT(--($AO$2:$AO$3001&lt;$AO1539))+1,"")</f>
        <v/>
      </c>
      <c r="AM1539">
        <f>IF($D1539="","",IF(OR($R1539=TRUE(),$R1539="TRUE"),1,0))</f>
        <v/>
      </c>
      <c r="AN1539">
        <f>IF($D1539="","",IF($X1539="Yes",1,0))</f>
        <v/>
      </c>
      <c r="AO1539">
        <f>IF($AK1539=1,IFERROR(IF(VALUE($D1539)&lt;100000000,VALUE($D1539),1000000000),IFERROR(IF(VALUE(MID($D1539,2,20))&lt;100000000,VALUE(MID($D1539,2,20)),1000000000),1000000000))+ROW()/100000,"")</f>
        <v/>
      </c>
    </row>
    <row r="1540">
      <c r="F1540" s="11" t="n"/>
      <c r="N1540" s="7">
        <f>IF($D1540="","",M1540*V1540/100)</f>
        <v/>
      </c>
      <c r="O1540" s="7" t="n"/>
      <c r="U1540" s="7" t="n"/>
      <c r="V1540" s="7" t="n"/>
      <c r="Y1540">
        <f>IF($D1540="","",IF($AN1540=1,0,IF($AM1540=1,Settings!$C$6,Settings!$C$7))*100)</f>
        <v/>
      </c>
      <c r="Z1540" s="7">
        <f>IF($D1540="","",V1540*Y1540/100)</f>
        <v/>
      </c>
      <c r="AA1540" s="7">
        <f>IF($D1540="","",V1540-Z1540)</f>
        <v/>
      </c>
      <c r="AB1540" s="7">
        <f>IF($D1540="","",AA1540-N1540)</f>
        <v/>
      </c>
      <c r="AF1540" s="7" t="n"/>
      <c r="AI1540" s="11" t="n"/>
      <c r="AK1540">
        <f>IF($D1540="","",IF(COUNTIF($D$2:$D1540,$D1540)=1,1,0))</f>
        <v/>
      </c>
      <c r="AL1540">
        <f>IF($AK1540=1,SUMPRODUCT(--($AO$2:$AO$3001&lt;$AO1540))+1,"")</f>
        <v/>
      </c>
      <c r="AM1540">
        <f>IF($D1540="","",IF(OR($R1540=TRUE(),$R1540="TRUE"),1,0))</f>
        <v/>
      </c>
      <c r="AN1540">
        <f>IF($D1540="","",IF($X1540="Yes",1,0))</f>
        <v/>
      </c>
      <c r="AO1540">
        <f>IF($AK1540=1,IFERROR(IF(VALUE($D1540)&lt;100000000,VALUE($D1540),1000000000),IFERROR(IF(VALUE(MID($D1540,2,20))&lt;100000000,VALUE(MID($D1540,2,20)),1000000000),1000000000))+ROW()/100000,"")</f>
        <v/>
      </c>
    </row>
    <row r="1541">
      <c r="F1541" s="11" t="n"/>
      <c r="N1541" s="7">
        <f>IF($D1541="","",M1541*V1541/100)</f>
        <v/>
      </c>
      <c r="O1541" s="7" t="n"/>
      <c r="U1541" s="7" t="n"/>
      <c r="V1541" s="7" t="n"/>
      <c r="Y1541">
        <f>IF($D1541="","",IF($AN1541=1,0,IF($AM1541=1,Settings!$C$6,Settings!$C$7))*100)</f>
        <v/>
      </c>
      <c r="Z1541" s="7">
        <f>IF($D1541="","",V1541*Y1541/100)</f>
        <v/>
      </c>
      <c r="AA1541" s="7">
        <f>IF($D1541="","",V1541-Z1541)</f>
        <v/>
      </c>
      <c r="AB1541" s="7">
        <f>IF($D1541="","",AA1541-N1541)</f>
        <v/>
      </c>
      <c r="AF1541" s="7" t="n"/>
      <c r="AI1541" s="11" t="n"/>
      <c r="AK1541">
        <f>IF($D1541="","",IF(COUNTIF($D$2:$D1541,$D1541)=1,1,0))</f>
        <v/>
      </c>
      <c r="AL1541">
        <f>IF($AK1541=1,SUMPRODUCT(--($AO$2:$AO$3001&lt;$AO1541))+1,"")</f>
        <v/>
      </c>
      <c r="AM1541">
        <f>IF($D1541="","",IF(OR($R1541=TRUE(),$R1541="TRUE"),1,0))</f>
        <v/>
      </c>
      <c r="AN1541">
        <f>IF($D1541="","",IF($X1541="Yes",1,0))</f>
        <v/>
      </c>
      <c r="AO1541">
        <f>IF($AK1541=1,IFERROR(IF(VALUE($D1541)&lt;100000000,VALUE($D1541),1000000000),IFERROR(IF(VALUE(MID($D1541,2,20))&lt;100000000,VALUE(MID($D1541,2,20)),1000000000),1000000000))+ROW()/100000,"")</f>
        <v/>
      </c>
    </row>
    <row r="1542">
      <c r="F1542" s="11" t="n"/>
      <c r="N1542" s="7">
        <f>IF($D1542="","",M1542*V1542/100)</f>
        <v/>
      </c>
      <c r="O1542" s="7" t="n"/>
      <c r="U1542" s="7" t="n"/>
      <c r="V1542" s="7" t="n"/>
      <c r="Y1542">
        <f>IF($D1542="","",IF($AN1542=1,0,IF($AM1542=1,Settings!$C$6,Settings!$C$7))*100)</f>
        <v/>
      </c>
      <c r="Z1542" s="7">
        <f>IF($D1542="","",V1542*Y1542/100)</f>
        <v/>
      </c>
      <c r="AA1542" s="7">
        <f>IF($D1542="","",V1542-Z1542)</f>
        <v/>
      </c>
      <c r="AB1542" s="7">
        <f>IF($D1542="","",AA1542-N1542)</f>
        <v/>
      </c>
      <c r="AF1542" s="7" t="n"/>
      <c r="AI1542" s="11" t="n"/>
      <c r="AK1542">
        <f>IF($D1542="","",IF(COUNTIF($D$2:$D1542,$D1542)=1,1,0))</f>
        <v/>
      </c>
      <c r="AL1542">
        <f>IF($AK1542=1,SUMPRODUCT(--($AO$2:$AO$3001&lt;$AO1542))+1,"")</f>
        <v/>
      </c>
      <c r="AM1542">
        <f>IF($D1542="","",IF(OR($R1542=TRUE(),$R1542="TRUE"),1,0))</f>
        <v/>
      </c>
      <c r="AN1542">
        <f>IF($D1542="","",IF($X1542="Yes",1,0))</f>
        <v/>
      </c>
      <c r="AO1542">
        <f>IF($AK1542=1,IFERROR(IF(VALUE($D1542)&lt;100000000,VALUE($D1542),1000000000),IFERROR(IF(VALUE(MID($D1542,2,20))&lt;100000000,VALUE(MID($D1542,2,20)),1000000000),1000000000))+ROW()/100000,"")</f>
        <v/>
      </c>
    </row>
    <row r="1543">
      <c r="F1543" s="11" t="n"/>
      <c r="N1543" s="7">
        <f>IF($D1543="","",M1543*V1543/100)</f>
        <v/>
      </c>
      <c r="O1543" s="7" t="n"/>
      <c r="U1543" s="7" t="n"/>
      <c r="V1543" s="7" t="n"/>
      <c r="Y1543">
        <f>IF($D1543="","",IF($AN1543=1,0,IF($AM1543=1,Settings!$C$6,Settings!$C$7))*100)</f>
        <v/>
      </c>
      <c r="Z1543" s="7">
        <f>IF($D1543="","",V1543*Y1543/100)</f>
        <v/>
      </c>
      <c r="AA1543" s="7">
        <f>IF($D1543="","",V1543-Z1543)</f>
        <v/>
      </c>
      <c r="AB1543" s="7">
        <f>IF($D1543="","",AA1543-N1543)</f>
        <v/>
      </c>
      <c r="AF1543" s="7" t="n"/>
      <c r="AI1543" s="11" t="n"/>
      <c r="AK1543">
        <f>IF($D1543="","",IF(COUNTIF($D$2:$D1543,$D1543)=1,1,0))</f>
        <v/>
      </c>
      <c r="AL1543">
        <f>IF($AK1543=1,SUMPRODUCT(--($AO$2:$AO$3001&lt;$AO1543))+1,"")</f>
        <v/>
      </c>
      <c r="AM1543">
        <f>IF($D1543="","",IF(OR($R1543=TRUE(),$R1543="TRUE"),1,0))</f>
        <v/>
      </c>
      <c r="AN1543">
        <f>IF($D1543="","",IF($X1543="Yes",1,0))</f>
        <v/>
      </c>
      <c r="AO1543">
        <f>IF($AK1543=1,IFERROR(IF(VALUE($D1543)&lt;100000000,VALUE($D1543),1000000000),IFERROR(IF(VALUE(MID($D1543,2,20))&lt;100000000,VALUE(MID($D1543,2,20)),1000000000),1000000000))+ROW()/100000,"")</f>
        <v/>
      </c>
    </row>
    <row r="1544">
      <c r="F1544" s="11" t="n"/>
      <c r="N1544" s="7">
        <f>IF($D1544="","",M1544*V1544/100)</f>
        <v/>
      </c>
      <c r="O1544" s="7" t="n"/>
      <c r="U1544" s="7" t="n"/>
      <c r="V1544" s="7" t="n"/>
      <c r="Y1544">
        <f>IF($D1544="","",IF($AN1544=1,0,IF($AM1544=1,Settings!$C$6,Settings!$C$7))*100)</f>
        <v/>
      </c>
      <c r="Z1544" s="7">
        <f>IF($D1544="","",V1544*Y1544/100)</f>
        <v/>
      </c>
      <c r="AA1544" s="7">
        <f>IF($D1544="","",V1544-Z1544)</f>
        <v/>
      </c>
      <c r="AB1544" s="7">
        <f>IF($D1544="","",AA1544-N1544)</f>
        <v/>
      </c>
      <c r="AF1544" s="7" t="n"/>
      <c r="AI1544" s="11" t="n"/>
      <c r="AK1544">
        <f>IF($D1544="","",IF(COUNTIF($D$2:$D1544,$D1544)=1,1,0))</f>
        <v/>
      </c>
      <c r="AL1544">
        <f>IF($AK1544=1,SUMPRODUCT(--($AO$2:$AO$3001&lt;$AO1544))+1,"")</f>
        <v/>
      </c>
      <c r="AM1544">
        <f>IF($D1544="","",IF(OR($R1544=TRUE(),$R1544="TRUE"),1,0))</f>
        <v/>
      </c>
      <c r="AN1544">
        <f>IF($D1544="","",IF($X1544="Yes",1,0))</f>
        <v/>
      </c>
      <c r="AO1544">
        <f>IF($AK1544=1,IFERROR(IF(VALUE($D1544)&lt;100000000,VALUE($D1544),1000000000),IFERROR(IF(VALUE(MID($D1544,2,20))&lt;100000000,VALUE(MID($D1544,2,20)),1000000000),1000000000))+ROW()/100000,"")</f>
        <v/>
      </c>
    </row>
    <row r="1545">
      <c r="F1545" s="11" t="n"/>
      <c r="N1545" s="7">
        <f>IF($D1545="","",M1545*V1545/100)</f>
        <v/>
      </c>
      <c r="O1545" s="7" t="n"/>
      <c r="U1545" s="7" t="n"/>
      <c r="V1545" s="7" t="n"/>
      <c r="Y1545">
        <f>IF($D1545="","",IF($AN1545=1,0,IF($AM1545=1,Settings!$C$6,Settings!$C$7))*100)</f>
        <v/>
      </c>
      <c r="Z1545" s="7">
        <f>IF($D1545="","",V1545*Y1545/100)</f>
        <v/>
      </c>
      <c r="AA1545" s="7">
        <f>IF($D1545="","",V1545-Z1545)</f>
        <v/>
      </c>
      <c r="AB1545" s="7">
        <f>IF($D1545="","",AA1545-N1545)</f>
        <v/>
      </c>
      <c r="AF1545" s="7" t="n"/>
      <c r="AI1545" s="11" t="n"/>
      <c r="AK1545">
        <f>IF($D1545="","",IF(COUNTIF($D$2:$D1545,$D1545)=1,1,0))</f>
        <v/>
      </c>
      <c r="AL1545">
        <f>IF($AK1545=1,SUMPRODUCT(--($AO$2:$AO$3001&lt;$AO1545))+1,"")</f>
        <v/>
      </c>
      <c r="AM1545">
        <f>IF($D1545="","",IF(OR($R1545=TRUE(),$R1545="TRUE"),1,0))</f>
        <v/>
      </c>
      <c r="AN1545">
        <f>IF($D1545="","",IF($X1545="Yes",1,0))</f>
        <v/>
      </c>
      <c r="AO1545">
        <f>IF($AK1545=1,IFERROR(IF(VALUE($D1545)&lt;100000000,VALUE($D1545),1000000000),IFERROR(IF(VALUE(MID($D1545,2,20))&lt;100000000,VALUE(MID($D1545,2,20)),1000000000),1000000000))+ROW()/100000,"")</f>
        <v/>
      </c>
    </row>
    <row r="1546">
      <c r="F1546" s="11" t="n"/>
      <c r="N1546" s="7">
        <f>IF($D1546="","",M1546*V1546/100)</f>
        <v/>
      </c>
      <c r="O1546" s="7" t="n"/>
      <c r="U1546" s="7" t="n"/>
      <c r="V1546" s="7" t="n"/>
      <c r="Y1546">
        <f>IF($D1546="","",IF($AN1546=1,0,IF($AM1546=1,Settings!$C$6,Settings!$C$7))*100)</f>
        <v/>
      </c>
      <c r="Z1546" s="7">
        <f>IF($D1546="","",V1546*Y1546/100)</f>
        <v/>
      </c>
      <c r="AA1546" s="7">
        <f>IF($D1546="","",V1546-Z1546)</f>
        <v/>
      </c>
      <c r="AB1546" s="7">
        <f>IF($D1546="","",AA1546-N1546)</f>
        <v/>
      </c>
      <c r="AF1546" s="7" t="n"/>
      <c r="AI1546" s="11" t="n"/>
      <c r="AK1546">
        <f>IF($D1546="","",IF(COUNTIF($D$2:$D1546,$D1546)=1,1,0))</f>
        <v/>
      </c>
      <c r="AL1546">
        <f>IF($AK1546=1,SUMPRODUCT(--($AO$2:$AO$3001&lt;$AO1546))+1,"")</f>
        <v/>
      </c>
      <c r="AM1546">
        <f>IF($D1546="","",IF(OR($R1546=TRUE(),$R1546="TRUE"),1,0))</f>
        <v/>
      </c>
      <c r="AN1546">
        <f>IF($D1546="","",IF($X1546="Yes",1,0))</f>
        <v/>
      </c>
      <c r="AO1546">
        <f>IF($AK1546=1,IFERROR(IF(VALUE($D1546)&lt;100000000,VALUE($D1546),1000000000),IFERROR(IF(VALUE(MID($D1546,2,20))&lt;100000000,VALUE(MID($D1546,2,20)),1000000000),1000000000))+ROW()/100000,"")</f>
        <v/>
      </c>
    </row>
    <row r="1547">
      <c r="F1547" s="11" t="n"/>
      <c r="N1547" s="7">
        <f>IF($D1547="","",M1547*V1547/100)</f>
        <v/>
      </c>
      <c r="O1547" s="7" t="n"/>
      <c r="U1547" s="7" t="n"/>
      <c r="V1547" s="7" t="n"/>
      <c r="Y1547">
        <f>IF($D1547="","",IF($AN1547=1,0,IF($AM1547=1,Settings!$C$6,Settings!$C$7))*100)</f>
        <v/>
      </c>
      <c r="Z1547" s="7">
        <f>IF($D1547="","",V1547*Y1547/100)</f>
        <v/>
      </c>
      <c r="AA1547" s="7">
        <f>IF($D1547="","",V1547-Z1547)</f>
        <v/>
      </c>
      <c r="AB1547" s="7">
        <f>IF($D1547="","",AA1547-N1547)</f>
        <v/>
      </c>
      <c r="AF1547" s="7" t="n"/>
      <c r="AI1547" s="11" t="n"/>
      <c r="AK1547">
        <f>IF($D1547="","",IF(COUNTIF($D$2:$D1547,$D1547)=1,1,0))</f>
        <v/>
      </c>
      <c r="AL1547">
        <f>IF($AK1547=1,SUMPRODUCT(--($AO$2:$AO$3001&lt;$AO1547))+1,"")</f>
        <v/>
      </c>
      <c r="AM1547">
        <f>IF($D1547="","",IF(OR($R1547=TRUE(),$R1547="TRUE"),1,0))</f>
        <v/>
      </c>
      <c r="AN1547">
        <f>IF($D1547="","",IF($X1547="Yes",1,0))</f>
        <v/>
      </c>
      <c r="AO1547">
        <f>IF($AK1547=1,IFERROR(IF(VALUE($D1547)&lt;100000000,VALUE($D1547),1000000000),IFERROR(IF(VALUE(MID($D1547,2,20))&lt;100000000,VALUE(MID($D1547,2,20)),1000000000),1000000000))+ROW()/100000,"")</f>
        <v/>
      </c>
    </row>
    <row r="1548">
      <c r="F1548" s="11" t="n"/>
      <c r="N1548" s="7">
        <f>IF($D1548="","",M1548*V1548/100)</f>
        <v/>
      </c>
      <c r="O1548" s="7" t="n"/>
      <c r="U1548" s="7" t="n"/>
      <c r="V1548" s="7" t="n"/>
      <c r="Y1548">
        <f>IF($D1548="","",IF($AN1548=1,0,IF($AM1548=1,Settings!$C$6,Settings!$C$7))*100)</f>
        <v/>
      </c>
      <c r="Z1548" s="7">
        <f>IF($D1548="","",V1548*Y1548/100)</f>
        <v/>
      </c>
      <c r="AA1548" s="7">
        <f>IF($D1548="","",V1548-Z1548)</f>
        <v/>
      </c>
      <c r="AB1548" s="7">
        <f>IF($D1548="","",AA1548-N1548)</f>
        <v/>
      </c>
      <c r="AF1548" s="7" t="n"/>
      <c r="AI1548" s="11" t="n"/>
      <c r="AK1548">
        <f>IF($D1548="","",IF(COUNTIF($D$2:$D1548,$D1548)=1,1,0))</f>
        <v/>
      </c>
      <c r="AL1548">
        <f>IF($AK1548=1,SUMPRODUCT(--($AO$2:$AO$3001&lt;$AO1548))+1,"")</f>
        <v/>
      </c>
      <c r="AM1548">
        <f>IF($D1548="","",IF(OR($R1548=TRUE(),$R1548="TRUE"),1,0))</f>
        <v/>
      </c>
      <c r="AN1548">
        <f>IF($D1548="","",IF($X1548="Yes",1,0))</f>
        <v/>
      </c>
      <c r="AO1548">
        <f>IF($AK1548=1,IFERROR(IF(VALUE($D1548)&lt;100000000,VALUE($D1548),1000000000),IFERROR(IF(VALUE(MID($D1548,2,20))&lt;100000000,VALUE(MID($D1548,2,20)),1000000000),1000000000))+ROW()/100000,"")</f>
        <v/>
      </c>
    </row>
    <row r="1549">
      <c r="F1549" s="11" t="n"/>
      <c r="N1549" s="7">
        <f>IF($D1549="","",M1549*V1549/100)</f>
        <v/>
      </c>
      <c r="O1549" s="7" t="n"/>
      <c r="U1549" s="7" t="n"/>
      <c r="V1549" s="7" t="n"/>
      <c r="Y1549">
        <f>IF($D1549="","",IF($AN1549=1,0,IF($AM1549=1,Settings!$C$6,Settings!$C$7))*100)</f>
        <v/>
      </c>
      <c r="Z1549" s="7">
        <f>IF($D1549="","",V1549*Y1549/100)</f>
        <v/>
      </c>
      <c r="AA1549" s="7">
        <f>IF($D1549="","",V1549-Z1549)</f>
        <v/>
      </c>
      <c r="AB1549" s="7">
        <f>IF($D1549="","",AA1549-N1549)</f>
        <v/>
      </c>
      <c r="AF1549" s="7" t="n"/>
      <c r="AI1549" s="11" t="n"/>
      <c r="AK1549">
        <f>IF($D1549="","",IF(COUNTIF($D$2:$D1549,$D1549)=1,1,0))</f>
        <v/>
      </c>
      <c r="AL1549">
        <f>IF($AK1549=1,SUMPRODUCT(--($AO$2:$AO$3001&lt;$AO1549))+1,"")</f>
        <v/>
      </c>
      <c r="AM1549">
        <f>IF($D1549="","",IF(OR($R1549=TRUE(),$R1549="TRUE"),1,0))</f>
        <v/>
      </c>
      <c r="AN1549">
        <f>IF($D1549="","",IF($X1549="Yes",1,0))</f>
        <v/>
      </c>
      <c r="AO1549">
        <f>IF($AK1549=1,IFERROR(IF(VALUE($D1549)&lt;100000000,VALUE($D1549),1000000000),IFERROR(IF(VALUE(MID($D1549,2,20))&lt;100000000,VALUE(MID($D1549,2,20)),1000000000),1000000000))+ROW()/100000,"")</f>
        <v/>
      </c>
    </row>
    <row r="1550">
      <c r="F1550" s="11" t="n"/>
      <c r="N1550" s="7">
        <f>IF($D1550="","",M1550*V1550/100)</f>
        <v/>
      </c>
      <c r="O1550" s="7" t="n"/>
      <c r="U1550" s="7" t="n"/>
      <c r="V1550" s="7" t="n"/>
      <c r="Y1550">
        <f>IF($D1550="","",IF($AN1550=1,0,IF($AM1550=1,Settings!$C$6,Settings!$C$7))*100)</f>
        <v/>
      </c>
      <c r="Z1550" s="7">
        <f>IF($D1550="","",V1550*Y1550/100)</f>
        <v/>
      </c>
      <c r="AA1550" s="7">
        <f>IF($D1550="","",V1550-Z1550)</f>
        <v/>
      </c>
      <c r="AB1550" s="7">
        <f>IF($D1550="","",AA1550-N1550)</f>
        <v/>
      </c>
      <c r="AF1550" s="7" t="n"/>
      <c r="AI1550" s="11" t="n"/>
      <c r="AK1550">
        <f>IF($D1550="","",IF(COUNTIF($D$2:$D1550,$D1550)=1,1,0))</f>
        <v/>
      </c>
      <c r="AL1550">
        <f>IF($AK1550=1,SUMPRODUCT(--($AO$2:$AO$3001&lt;$AO1550))+1,"")</f>
        <v/>
      </c>
      <c r="AM1550">
        <f>IF($D1550="","",IF(OR($R1550=TRUE(),$R1550="TRUE"),1,0))</f>
        <v/>
      </c>
      <c r="AN1550">
        <f>IF($D1550="","",IF($X1550="Yes",1,0))</f>
        <v/>
      </c>
      <c r="AO1550">
        <f>IF($AK1550=1,IFERROR(IF(VALUE($D1550)&lt;100000000,VALUE($D1550),1000000000),IFERROR(IF(VALUE(MID($D1550,2,20))&lt;100000000,VALUE(MID($D1550,2,20)),1000000000),1000000000))+ROW()/100000,"")</f>
        <v/>
      </c>
    </row>
    <row r="1551">
      <c r="F1551" s="11" t="n"/>
      <c r="N1551" s="7">
        <f>IF($D1551="","",M1551*V1551/100)</f>
        <v/>
      </c>
      <c r="O1551" s="7" t="n"/>
      <c r="U1551" s="7" t="n"/>
      <c r="V1551" s="7" t="n"/>
      <c r="Y1551">
        <f>IF($D1551="","",IF($AN1551=1,0,IF($AM1551=1,Settings!$C$6,Settings!$C$7))*100)</f>
        <v/>
      </c>
      <c r="Z1551" s="7">
        <f>IF($D1551="","",V1551*Y1551/100)</f>
        <v/>
      </c>
      <c r="AA1551" s="7">
        <f>IF($D1551="","",V1551-Z1551)</f>
        <v/>
      </c>
      <c r="AB1551" s="7">
        <f>IF($D1551="","",AA1551-N1551)</f>
        <v/>
      </c>
      <c r="AF1551" s="7" t="n"/>
      <c r="AI1551" s="11" t="n"/>
      <c r="AK1551">
        <f>IF($D1551="","",IF(COUNTIF($D$2:$D1551,$D1551)=1,1,0))</f>
        <v/>
      </c>
      <c r="AL1551">
        <f>IF($AK1551=1,SUMPRODUCT(--($AO$2:$AO$3001&lt;$AO1551))+1,"")</f>
        <v/>
      </c>
      <c r="AM1551">
        <f>IF($D1551="","",IF(OR($R1551=TRUE(),$R1551="TRUE"),1,0))</f>
        <v/>
      </c>
      <c r="AN1551">
        <f>IF($D1551="","",IF($X1551="Yes",1,0))</f>
        <v/>
      </c>
      <c r="AO1551">
        <f>IF($AK1551=1,IFERROR(IF(VALUE($D1551)&lt;100000000,VALUE($D1551),1000000000),IFERROR(IF(VALUE(MID($D1551,2,20))&lt;100000000,VALUE(MID($D1551,2,20)),1000000000),1000000000))+ROW()/100000,"")</f>
        <v/>
      </c>
    </row>
    <row r="1552">
      <c r="F1552" s="11" t="n"/>
      <c r="N1552" s="7">
        <f>IF($D1552="","",M1552*V1552/100)</f>
        <v/>
      </c>
      <c r="O1552" s="7" t="n"/>
      <c r="U1552" s="7" t="n"/>
      <c r="V1552" s="7" t="n"/>
      <c r="Y1552">
        <f>IF($D1552="","",IF($AN1552=1,0,IF($AM1552=1,Settings!$C$6,Settings!$C$7))*100)</f>
        <v/>
      </c>
      <c r="Z1552" s="7">
        <f>IF($D1552="","",V1552*Y1552/100)</f>
        <v/>
      </c>
      <c r="AA1552" s="7">
        <f>IF($D1552="","",V1552-Z1552)</f>
        <v/>
      </c>
      <c r="AB1552" s="7">
        <f>IF($D1552="","",AA1552-N1552)</f>
        <v/>
      </c>
      <c r="AF1552" s="7" t="n"/>
      <c r="AI1552" s="11" t="n"/>
      <c r="AK1552">
        <f>IF($D1552="","",IF(COUNTIF($D$2:$D1552,$D1552)=1,1,0))</f>
        <v/>
      </c>
      <c r="AL1552">
        <f>IF($AK1552=1,SUMPRODUCT(--($AO$2:$AO$3001&lt;$AO1552))+1,"")</f>
        <v/>
      </c>
      <c r="AM1552">
        <f>IF($D1552="","",IF(OR($R1552=TRUE(),$R1552="TRUE"),1,0))</f>
        <v/>
      </c>
      <c r="AN1552">
        <f>IF($D1552="","",IF($X1552="Yes",1,0))</f>
        <v/>
      </c>
      <c r="AO1552">
        <f>IF($AK1552=1,IFERROR(IF(VALUE($D1552)&lt;100000000,VALUE($D1552),1000000000),IFERROR(IF(VALUE(MID($D1552,2,20))&lt;100000000,VALUE(MID($D1552,2,20)),1000000000),1000000000))+ROW()/100000,"")</f>
        <v/>
      </c>
    </row>
    <row r="1553">
      <c r="F1553" s="11" t="n"/>
      <c r="N1553" s="7">
        <f>IF($D1553="","",M1553*V1553/100)</f>
        <v/>
      </c>
      <c r="O1553" s="7" t="n"/>
      <c r="U1553" s="7" t="n"/>
      <c r="V1553" s="7" t="n"/>
      <c r="Y1553">
        <f>IF($D1553="","",IF($AN1553=1,0,IF($AM1553=1,Settings!$C$6,Settings!$C$7))*100)</f>
        <v/>
      </c>
      <c r="Z1553" s="7">
        <f>IF($D1553="","",V1553*Y1553/100)</f>
        <v/>
      </c>
      <c r="AA1553" s="7">
        <f>IF($D1553="","",V1553-Z1553)</f>
        <v/>
      </c>
      <c r="AB1553" s="7">
        <f>IF($D1553="","",AA1553-N1553)</f>
        <v/>
      </c>
      <c r="AF1553" s="7" t="n"/>
      <c r="AI1553" s="11" t="n"/>
      <c r="AK1553">
        <f>IF($D1553="","",IF(COUNTIF($D$2:$D1553,$D1553)=1,1,0))</f>
        <v/>
      </c>
      <c r="AL1553">
        <f>IF($AK1553=1,SUMPRODUCT(--($AO$2:$AO$3001&lt;$AO1553))+1,"")</f>
        <v/>
      </c>
      <c r="AM1553">
        <f>IF($D1553="","",IF(OR($R1553=TRUE(),$R1553="TRUE"),1,0))</f>
        <v/>
      </c>
      <c r="AN1553">
        <f>IF($D1553="","",IF($X1553="Yes",1,0))</f>
        <v/>
      </c>
      <c r="AO1553">
        <f>IF($AK1553=1,IFERROR(IF(VALUE($D1553)&lt;100000000,VALUE($D1553),1000000000),IFERROR(IF(VALUE(MID($D1553,2,20))&lt;100000000,VALUE(MID($D1553,2,20)),1000000000),1000000000))+ROW()/100000,"")</f>
        <v/>
      </c>
    </row>
    <row r="1554">
      <c r="F1554" s="11" t="n"/>
      <c r="N1554" s="7">
        <f>IF($D1554="","",M1554*V1554/100)</f>
        <v/>
      </c>
      <c r="O1554" s="7" t="n"/>
      <c r="U1554" s="7" t="n"/>
      <c r="V1554" s="7" t="n"/>
      <c r="Y1554">
        <f>IF($D1554="","",IF($AN1554=1,0,IF($AM1554=1,Settings!$C$6,Settings!$C$7))*100)</f>
        <v/>
      </c>
      <c r="Z1554" s="7">
        <f>IF($D1554="","",V1554*Y1554/100)</f>
        <v/>
      </c>
      <c r="AA1554" s="7">
        <f>IF($D1554="","",V1554-Z1554)</f>
        <v/>
      </c>
      <c r="AB1554" s="7">
        <f>IF($D1554="","",AA1554-N1554)</f>
        <v/>
      </c>
      <c r="AF1554" s="7" t="n"/>
      <c r="AI1554" s="11" t="n"/>
      <c r="AK1554">
        <f>IF($D1554="","",IF(COUNTIF($D$2:$D1554,$D1554)=1,1,0))</f>
        <v/>
      </c>
      <c r="AL1554">
        <f>IF($AK1554=1,SUMPRODUCT(--($AO$2:$AO$3001&lt;$AO1554))+1,"")</f>
        <v/>
      </c>
      <c r="AM1554">
        <f>IF($D1554="","",IF(OR($R1554=TRUE(),$R1554="TRUE"),1,0))</f>
        <v/>
      </c>
      <c r="AN1554">
        <f>IF($D1554="","",IF($X1554="Yes",1,0))</f>
        <v/>
      </c>
      <c r="AO1554">
        <f>IF($AK1554=1,IFERROR(IF(VALUE($D1554)&lt;100000000,VALUE($D1554),1000000000),IFERROR(IF(VALUE(MID($D1554,2,20))&lt;100000000,VALUE(MID($D1554,2,20)),1000000000),1000000000))+ROW()/100000,"")</f>
        <v/>
      </c>
    </row>
    <row r="1555">
      <c r="F1555" s="11" t="n"/>
      <c r="N1555" s="7">
        <f>IF($D1555="","",M1555*V1555/100)</f>
        <v/>
      </c>
      <c r="O1555" s="7" t="n"/>
      <c r="U1555" s="7" t="n"/>
      <c r="V1555" s="7" t="n"/>
      <c r="Y1555">
        <f>IF($D1555="","",IF($AN1555=1,0,IF($AM1555=1,Settings!$C$6,Settings!$C$7))*100)</f>
        <v/>
      </c>
      <c r="Z1555" s="7">
        <f>IF($D1555="","",V1555*Y1555/100)</f>
        <v/>
      </c>
      <c r="AA1555" s="7">
        <f>IF($D1555="","",V1555-Z1555)</f>
        <v/>
      </c>
      <c r="AB1555" s="7">
        <f>IF($D1555="","",AA1555-N1555)</f>
        <v/>
      </c>
      <c r="AF1555" s="7" t="n"/>
      <c r="AI1555" s="11" t="n"/>
      <c r="AK1555">
        <f>IF($D1555="","",IF(COUNTIF($D$2:$D1555,$D1555)=1,1,0))</f>
        <v/>
      </c>
      <c r="AL1555">
        <f>IF($AK1555=1,SUMPRODUCT(--($AO$2:$AO$3001&lt;$AO1555))+1,"")</f>
        <v/>
      </c>
      <c r="AM1555">
        <f>IF($D1555="","",IF(OR($R1555=TRUE(),$R1555="TRUE"),1,0))</f>
        <v/>
      </c>
      <c r="AN1555">
        <f>IF($D1555="","",IF($X1555="Yes",1,0))</f>
        <v/>
      </c>
      <c r="AO1555">
        <f>IF($AK1555=1,IFERROR(IF(VALUE($D1555)&lt;100000000,VALUE($D1555),1000000000),IFERROR(IF(VALUE(MID($D1555,2,20))&lt;100000000,VALUE(MID($D1555,2,20)),1000000000),1000000000))+ROW()/100000,"")</f>
        <v/>
      </c>
    </row>
    <row r="1556">
      <c r="F1556" s="11" t="n"/>
      <c r="N1556" s="7">
        <f>IF($D1556="","",M1556*V1556/100)</f>
        <v/>
      </c>
      <c r="O1556" s="7" t="n"/>
      <c r="U1556" s="7" t="n"/>
      <c r="V1556" s="7" t="n"/>
      <c r="Y1556">
        <f>IF($D1556="","",IF($AN1556=1,0,IF($AM1556=1,Settings!$C$6,Settings!$C$7))*100)</f>
        <v/>
      </c>
      <c r="Z1556" s="7">
        <f>IF($D1556="","",V1556*Y1556/100)</f>
        <v/>
      </c>
      <c r="AA1556" s="7">
        <f>IF($D1556="","",V1556-Z1556)</f>
        <v/>
      </c>
      <c r="AB1556" s="7">
        <f>IF($D1556="","",AA1556-N1556)</f>
        <v/>
      </c>
      <c r="AF1556" s="7" t="n"/>
      <c r="AI1556" s="11" t="n"/>
      <c r="AK1556">
        <f>IF($D1556="","",IF(COUNTIF($D$2:$D1556,$D1556)=1,1,0))</f>
        <v/>
      </c>
      <c r="AL1556">
        <f>IF($AK1556=1,SUMPRODUCT(--($AO$2:$AO$3001&lt;$AO1556))+1,"")</f>
        <v/>
      </c>
      <c r="AM1556">
        <f>IF($D1556="","",IF(OR($R1556=TRUE(),$R1556="TRUE"),1,0))</f>
        <v/>
      </c>
      <c r="AN1556">
        <f>IF($D1556="","",IF($X1556="Yes",1,0))</f>
        <v/>
      </c>
      <c r="AO1556">
        <f>IF($AK1556=1,IFERROR(IF(VALUE($D1556)&lt;100000000,VALUE($D1556),1000000000),IFERROR(IF(VALUE(MID($D1556,2,20))&lt;100000000,VALUE(MID($D1556,2,20)),1000000000),1000000000))+ROW()/100000,"")</f>
        <v/>
      </c>
    </row>
    <row r="1557">
      <c r="F1557" s="11" t="n"/>
      <c r="N1557" s="7">
        <f>IF($D1557="","",M1557*V1557/100)</f>
        <v/>
      </c>
      <c r="O1557" s="7" t="n"/>
      <c r="U1557" s="7" t="n"/>
      <c r="V1557" s="7" t="n"/>
      <c r="Y1557">
        <f>IF($D1557="","",IF($AN1557=1,0,IF($AM1557=1,Settings!$C$6,Settings!$C$7))*100)</f>
        <v/>
      </c>
      <c r="Z1557" s="7">
        <f>IF($D1557="","",V1557*Y1557/100)</f>
        <v/>
      </c>
      <c r="AA1557" s="7">
        <f>IF($D1557="","",V1557-Z1557)</f>
        <v/>
      </c>
      <c r="AB1557" s="7">
        <f>IF($D1557="","",AA1557-N1557)</f>
        <v/>
      </c>
      <c r="AF1557" s="7" t="n"/>
      <c r="AI1557" s="11" t="n"/>
      <c r="AK1557">
        <f>IF($D1557="","",IF(COUNTIF($D$2:$D1557,$D1557)=1,1,0))</f>
        <v/>
      </c>
      <c r="AL1557">
        <f>IF($AK1557=1,SUMPRODUCT(--($AO$2:$AO$3001&lt;$AO1557))+1,"")</f>
        <v/>
      </c>
      <c r="AM1557">
        <f>IF($D1557="","",IF(OR($R1557=TRUE(),$R1557="TRUE"),1,0))</f>
        <v/>
      </c>
      <c r="AN1557">
        <f>IF($D1557="","",IF($X1557="Yes",1,0))</f>
        <v/>
      </c>
      <c r="AO1557">
        <f>IF($AK1557=1,IFERROR(IF(VALUE($D1557)&lt;100000000,VALUE($D1557),1000000000),IFERROR(IF(VALUE(MID($D1557,2,20))&lt;100000000,VALUE(MID($D1557,2,20)),1000000000),1000000000))+ROW()/100000,"")</f>
        <v/>
      </c>
    </row>
    <row r="1558">
      <c r="F1558" s="11" t="n"/>
      <c r="N1558" s="7">
        <f>IF($D1558="","",M1558*V1558/100)</f>
        <v/>
      </c>
      <c r="O1558" s="7" t="n"/>
      <c r="U1558" s="7" t="n"/>
      <c r="V1558" s="7" t="n"/>
      <c r="Y1558">
        <f>IF($D1558="","",IF($AN1558=1,0,IF($AM1558=1,Settings!$C$6,Settings!$C$7))*100)</f>
        <v/>
      </c>
      <c r="Z1558" s="7">
        <f>IF($D1558="","",V1558*Y1558/100)</f>
        <v/>
      </c>
      <c r="AA1558" s="7">
        <f>IF($D1558="","",V1558-Z1558)</f>
        <v/>
      </c>
      <c r="AB1558" s="7">
        <f>IF($D1558="","",AA1558-N1558)</f>
        <v/>
      </c>
      <c r="AF1558" s="7" t="n"/>
      <c r="AI1558" s="11" t="n"/>
      <c r="AK1558">
        <f>IF($D1558="","",IF(COUNTIF($D$2:$D1558,$D1558)=1,1,0))</f>
        <v/>
      </c>
      <c r="AL1558">
        <f>IF($AK1558=1,SUMPRODUCT(--($AO$2:$AO$3001&lt;$AO1558))+1,"")</f>
        <v/>
      </c>
      <c r="AM1558">
        <f>IF($D1558="","",IF(OR($R1558=TRUE(),$R1558="TRUE"),1,0))</f>
        <v/>
      </c>
      <c r="AN1558">
        <f>IF($D1558="","",IF($X1558="Yes",1,0))</f>
        <v/>
      </c>
      <c r="AO1558">
        <f>IF($AK1558=1,IFERROR(IF(VALUE($D1558)&lt;100000000,VALUE($D1558),1000000000),IFERROR(IF(VALUE(MID($D1558,2,20))&lt;100000000,VALUE(MID($D1558,2,20)),1000000000),1000000000))+ROW()/100000,"")</f>
        <v/>
      </c>
    </row>
    <row r="1559">
      <c r="F1559" s="11" t="n"/>
      <c r="N1559" s="7">
        <f>IF($D1559="","",M1559*V1559/100)</f>
        <v/>
      </c>
      <c r="O1559" s="7" t="n"/>
      <c r="U1559" s="7" t="n"/>
      <c r="V1559" s="7" t="n"/>
      <c r="Y1559">
        <f>IF($D1559="","",IF($AN1559=1,0,IF($AM1559=1,Settings!$C$6,Settings!$C$7))*100)</f>
        <v/>
      </c>
      <c r="Z1559" s="7">
        <f>IF($D1559="","",V1559*Y1559/100)</f>
        <v/>
      </c>
      <c r="AA1559" s="7">
        <f>IF($D1559="","",V1559-Z1559)</f>
        <v/>
      </c>
      <c r="AB1559" s="7">
        <f>IF($D1559="","",AA1559-N1559)</f>
        <v/>
      </c>
      <c r="AF1559" s="7" t="n"/>
      <c r="AI1559" s="11" t="n"/>
      <c r="AK1559">
        <f>IF($D1559="","",IF(COUNTIF($D$2:$D1559,$D1559)=1,1,0))</f>
        <v/>
      </c>
      <c r="AL1559">
        <f>IF($AK1559=1,SUMPRODUCT(--($AO$2:$AO$3001&lt;$AO1559))+1,"")</f>
        <v/>
      </c>
      <c r="AM1559">
        <f>IF($D1559="","",IF(OR($R1559=TRUE(),$R1559="TRUE"),1,0))</f>
        <v/>
      </c>
      <c r="AN1559">
        <f>IF($D1559="","",IF($X1559="Yes",1,0))</f>
        <v/>
      </c>
      <c r="AO1559">
        <f>IF($AK1559=1,IFERROR(IF(VALUE($D1559)&lt;100000000,VALUE($D1559),1000000000),IFERROR(IF(VALUE(MID($D1559,2,20))&lt;100000000,VALUE(MID($D1559,2,20)),1000000000),1000000000))+ROW()/100000,"")</f>
        <v/>
      </c>
    </row>
    <row r="1560">
      <c r="F1560" s="11" t="n"/>
      <c r="N1560" s="7">
        <f>IF($D1560="","",M1560*V1560/100)</f>
        <v/>
      </c>
      <c r="O1560" s="7" t="n"/>
      <c r="U1560" s="7" t="n"/>
      <c r="V1560" s="7" t="n"/>
      <c r="Y1560">
        <f>IF($D1560="","",IF($AN1560=1,0,IF($AM1560=1,Settings!$C$6,Settings!$C$7))*100)</f>
        <v/>
      </c>
      <c r="Z1560" s="7">
        <f>IF($D1560="","",V1560*Y1560/100)</f>
        <v/>
      </c>
      <c r="AA1560" s="7">
        <f>IF($D1560="","",V1560-Z1560)</f>
        <v/>
      </c>
      <c r="AB1560" s="7">
        <f>IF($D1560="","",AA1560-N1560)</f>
        <v/>
      </c>
      <c r="AF1560" s="7" t="n"/>
      <c r="AI1560" s="11" t="n"/>
      <c r="AK1560">
        <f>IF($D1560="","",IF(COUNTIF($D$2:$D1560,$D1560)=1,1,0))</f>
        <v/>
      </c>
      <c r="AL1560">
        <f>IF($AK1560=1,SUMPRODUCT(--($AO$2:$AO$3001&lt;$AO1560))+1,"")</f>
        <v/>
      </c>
      <c r="AM1560">
        <f>IF($D1560="","",IF(OR($R1560=TRUE(),$R1560="TRUE"),1,0))</f>
        <v/>
      </c>
      <c r="AN1560">
        <f>IF($D1560="","",IF($X1560="Yes",1,0))</f>
        <v/>
      </c>
      <c r="AO1560">
        <f>IF($AK1560=1,IFERROR(IF(VALUE($D1560)&lt;100000000,VALUE($D1560),1000000000),IFERROR(IF(VALUE(MID($D1560,2,20))&lt;100000000,VALUE(MID($D1560,2,20)),1000000000),1000000000))+ROW()/100000,"")</f>
        <v/>
      </c>
    </row>
    <row r="1561">
      <c r="F1561" s="11" t="n"/>
      <c r="N1561" s="7">
        <f>IF($D1561="","",M1561*V1561/100)</f>
        <v/>
      </c>
      <c r="O1561" s="7" t="n"/>
      <c r="U1561" s="7" t="n"/>
      <c r="V1561" s="7" t="n"/>
      <c r="Y1561">
        <f>IF($D1561="","",IF($AN1561=1,0,IF($AM1561=1,Settings!$C$6,Settings!$C$7))*100)</f>
        <v/>
      </c>
      <c r="Z1561" s="7">
        <f>IF($D1561="","",V1561*Y1561/100)</f>
        <v/>
      </c>
      <c r="AA1561" s="7">
        <f>IF($D1561="","",V1561-Z1561)</f>
        <v/>
      </c>
      <c r="AB1561" s="7">
        <f>IF($D1561="","",AA1561-N1561)</f>
        <v/>
      </c>
      <c r="AF1561" s="7" t="n"/>
      <c r="AI1561" s="11" t="n"/>
      <c r="AK1561">
        <f>IF($D1561="","",IF(COUNTIF($D$2:$D1561,$D1561)=1,1,0))</f>
        <v/>
      </c>
      <c r="AL1561">
        <f>IF($AK1561=1,SUMPRODUCT(--($AO$2:$AO$3001&lt;$AO1561))+1,"")</f>
        <v/>
      </c>
      <c r="AM1561">
        <f>IF($D1561="","",IF(OR($R1561=TRUE(),$R1561="TRUE"),1,0))</f>
        <v/>
      </c>
      <c r="AN1561">
        <f>IF($D1561="","",IF($X1561="Yes",1,0))</f>
        <v/>
      </c>
      <c r="AO1561">
        <f>IF($AK1561=1,IFERROR(IF(VALUE($D1561)&lt;100000000,VALUE($D1561),1000000000),IFERROR(IF(VALUE(MID($D1561,2,20))&lt;100000000,VALUE(MID($D1561,2,20)),1000000000),1000000000))+ROW()/100000,"")</f>
        <v/>
      </c>
    </row>
    <row r="1562">
      <c r="F1562" s="11" t="n"/>
      <c r="N1562" s="7">
        <f>IF($D1562="","",M1562*V1562/100)</f>
        <v/>
      </c>
      <c r="O1562" s="7" t="n"/>
      <c r="U1562" s="7" t="n"/>
      <c r="V1562" s="7" t="n"/>
      <c r="Y1562">
        <f>IF($D1562="","",IF($AN1562=1,0,IF($AM1562=1,Settings!$C$6,Settings!$C$7))*100)</f>
        <v/>
      </c>
      <c r="Z1562" s="7">
        <f>IF($D1562="","",V1562*Y1562/100)</f>
        <v/>
      </c>
      <c r="AA1562" s="7">
        <f>IF($D1562="","",V1562-Z1562)</f>
        <v/>
      </c>
      <c r="AB1562" s="7">
        <f>IF($D1562="","",AA1562-N1562)</f>
        <v/>
      </c>
      <c r="AF1562" s="7" t="n"/>
      <c r="AI1562" s="11" t="n"/>
      <c r="AK1562">
        <f>IF($D1562="","",IF(COUNTIF($D$2:$D1562,$D1562)=1,1,0))</f>
        <v/>
      </c>
      <c r="AL1562">
        <f>IF($AK1562=1,SUMPRODUCT(--($AO$2:$AO$3001&lt;$AO1562))+1,"")</f>
        <v/>
      </c>
      <c r="AM1562">
        <f>IF($D1562="","",IF(OR($R1562=TRUE(),$R1562="TRUE"),1,0))</f>
        <v/>
      </c>
      <c r="AN1562">
        <f>IF($D1562="","",IF($X1562="Yes",1,0))</f>
        <v/>
      </c>
      <c r="AO1562">
        <f>IF($AK1562=1,IFERROR(IF(VALUE($D1562)&lt;100000000,VALUE($D1562),1000000000),IFERROR(IF(VALUE(MID($D1562,2,20))&lt;100000000,VALUE(MID($D1562,2,20)),1000000000),1000000000))+ROW()/100000,"")</f>
        <v/>
      </c>
    </row>
    <row r="1563">
      <c r="F1563" s="11" t="n"/>
      <c r="N1563" s="7">
        <f>IF($D1563="","",M1563*V1563/100)</f>
        <v/>
      </c>
      <c r="O1563" s="7" t="n"/>
      <c r="U1563" s="7" t="n"/>
      <c r="V1563" s="7" t="n"/>
      <c r="Y1563">
        <f>IF($D1563="","",IF($AN1563=1,0,IF($AM1563=1,Settings!$C$6,Settings!$C$7))*100)</f>
        <v/>
      </c>
      <c r="Z1563" s="7">
        <f>IF($D1563="","",V1563*Y1563/100)</f>
        <v/>
      </c>
      <c r="AA1563" s="7">
        <f>IF($D1563="","",V1563-Z1563)</f>
        <v/>
      </c>
      <c r="AB1563" s="7">
        <f>IF($D1563="","",AA1563-N1563)</f>
        <v/>
      </c>
      <c r="AF1563" s="7" t="n"/>
      <c r="AI1563" s="11" t="n"/>
      <c r="AK1563">
        <f>IF($D1563="","",IF(COUNTIF($D$2:$D1563,$D1563)=1,1,0))</f>
        <v/>
      </c>
      <c r="AL1563">
        <f>IF($AK1563=1,SUMPRODUCT(--($AO$2:$AO$3001&lt;$AO1563))+1,"")</f>
        <v/>
      </c>
      <c r="AM1563">
        <f>IF($D1563="","",IF(OR($R1563=TRUE(),$R1563="TRUE"),1,0))</f>
        <v/>
      </c>
      <c r="AN1563">
        <f>IF($D1563="","",IF($X1563="Yes",1,0))</f>
        <v/>
      </c>
      <c r="AO1563">
        <f>IF($AK1563=1,IFERROR(IF(VALUE($D1563)&lt;100000000,VALUE($D1563),1000000000),IFERROR(IF(VALUE(MID($D1563,2,20))&lt;100000000,VALUE(MID($D1563,2,20)),1000000000),1000000000))+ROW()/100000,"")</f>
        <v/>
      </c>
    </row>
    <row r="1564">
      <c r="F1564" s="11" t="n"/>
      <c r="N1564" s="7">
        <f>IF($D1564="","",M1564*V1564/100)</f>
        <v/>
      </c>
      <c r="O1564" s="7" t="n"/>
      <c r="U1564" s="7" t="n"/>
      <c r="V1564" s="7" t="n"/>
      <c r="Y1564">
        <f>IF($D1564="","",IF($AN1564=1,0,IF($AM1564=1,Settings!$C$6,Settings!$C$7))*100)</f>
        <v/>
      </c>
      <c r="Z1564" s="7">
        <f>IF($D1564="","",V1564*Y1564/100)</f>
        <v/>
      </c>
      <c r="AA1564" s="7">
        <f>IF($D1564="","",V1564-Z1564)</f>
        <v/>
      </c>
      <c r="AB1564" s="7">
        <f>IF($D1564="","",AA1564-N1564)</f>
        <v/>
      </c>
      <c r="AF1564" s="7" t="n"/>
      <c r="AI1564" s="11" t="n"/>
      <c r="AK1564">
        <f>IF($D1564="","",IF(COUNTIF($D$2:$D1564,$D1564)=1,1,0))</f>
        <v/>
      </c>
      <c r="AL1564">
        <f>IF($AK1564=1,SUMPRODUCT(--($AO$2:$AO$3001&lt;$AO1564))+1,"")</f>
        <v/>
      </c>
      <c r="AM1564">
        <f>IF($D1564="","",IF(OR($R1564=TRUE(),$R1564="TRUE"),1,0))</f>
        <v/>
      </c>
      <c r="AN1564">
        <f>IF($D1564="","",IF($X1564="Yes",1,0))</f>
        <v/>
      </c>
      <c r="AO1564">
        <f>IF($AK1564=1,IFERROR(IF(VALUE($D1564)&lt;100000000,VALUE($D1564),1000000000),IFERROR(IF(VALUE(MID($D1564,2,20))&lt;100000000,VALUE(MID($D1564,2,20)),1000000000),1000000000))+ROW()/100000,"")</f>
        <v/>
      </c>
    </row>
    <row r="1565">
      <c r="F1565" s="11" t="n"/>
      <c r="N1565" s="7">
        <f>IF($D1565="","",M1565*V1565/100)</f>
        <v/>
      </c>
      <c r="O1565" s="7" t="n"/>
      <c r="U1565" s="7" t="n"/>
      <c r="V1565" s="7" t="n"/>
      <c r="Y1565">
        <f>IF($D1565="","",IF($AN1565=1,0,IF($AM1565=1,Settings!$C$6,Settings!$C$7))*100)</f>
        <v/>
      </c>
      <c r="Z1565" s="7">
        <f>IF($D1565="","",V1565*Y1565/100)</f>
        <v/>
      </c>
      <c r="AA1565" s="7">
        <f>IF($D1565="","",V1565-Z1565)</f>
        <v/>
      </c>
      <c r="AB1565" s="7">
        <f>IF($D1565="","",AA1565-N1565)</f>
        <v/>
      </c>
      <c r="AF1565" s="7" t="n"/>
      <c r="AI1565" s="11" t="n"/>
      <c r="AK1565">
        <f>IF($D1565="","",IF(COUNTIF($D$2:$D1565,$D1565)=1,1,0))</f>
        <v/>
      </c>
      <c r="AL1565">
        <f>IF($AK1565=1,SUMPRODUCT(--($AO$2:$AO$3001&lt;$AO1565))+1,"")</f>
        <v/>
      </c>
      <c r="AM1565">
        <f>IF($D1565="","",IF(OR($R1565=TRUE(),$R1565="TRUE"),1,0))</f>
        <v/>
      </c>
      <c r="AN1565">
        <f>IF($D1565="","",IF($X1565="Yes",1,0))</f>
        <v/>
      </c>
      <c r="AO1565">
        <f>IF($AK1565=1,IFERROR(IF(VALUE($D1565)&lt;100000000,VALUE($D1565),1000000000),IFERROR(IF(VALUE(MID($D1565,2,20))&lt;100000000,VALUE(MID($D1565,2,20)),1000000000),1000000000))+ROW()/100000,"")</f>
        <v/>
      </c>
    </row>
    <row r="1566">
      <c r="F1566" s="11" t="n"/>
      <c r="N1566" s="7">
        <f>IF($D1566="","",M1566*V1566/100)</f>
        <v/>
      </c>
      <c r="O1566" s="7" t="n"/>
      <c r="U1566" s="7" t="n"/>
      <c r="V1566" s="7" t="n"/>
      <c r="Y1566">
        <f>IF($D1566="","",IF($AN1566=1,0,IF($AM1566=1,Settings!$C$6,Settings!$C$7))*100)</f>
        <v/>
      </c>
      <c r="Z1566" s="7">
        <f>IF($D1566="","",V1566*Y1566/100)</f>
        <v/>
      </c>
      <c r="AA1566" s="7">
        <f>IF($D1566="","",V1566-Z1566)</f>
        <v/>
      </c>
      <c r="AB1566" s="7">
        <f>IF($D1566="","",AA1566-N1566)</f>
        <v/>
      </c>
      <c r="AF1566" s="7" t="n"/>
      <c r="AI1566" s="11" t="n"/>
      <c r="AK1566">
        <f>IF($D1566="","",IF(COUNTIF($D$2:$D1566,$D1566)=1,1,0))</f>
        <v/>
      </c>
      <c r="AL1566">
        <f>IF($AK1566=1,SUMPRODUCT(--($AO$2:$AO$3001&lt;$AO1566))+1,"")</f>
        <v/>
      </c>
      <c r="AM1566">
        <f>IF($D1566="","",IF(OR($R1566=TRUE(),$R1566="TRUE"),1,0))</f>
        <v/>
      </c>
      <c r="AN1566">
        <f>IF($D1566="","",IF($X1566="Yes",1,0))</f>
        <v/>
      </c>
      <c r="AO1566">
        <f>IF($AK1566=1,IFERROR(IF(VALUE($D1566)&lt;100000000,VALUE($D1566),1000000000),IFERROR(IF(VALUE(MID($D1566,2,20))&lt;100000000,VALUE(MID($D1566,2,20)),1000000000),1000000000))+ROW()/100000,"")</f>
        <v/>
      </c>
    </row>
    <row r="1567">
      <c r="F1567" s="11" t="n"/>
      <c r="N1567" s="7">
        <f>IF($D1567="","",M1567*V1567/100)</f>
        <v/>
      </c>
      <c r="O1567" s="7" t="n"/>
      <c r="U1567" s="7" t="n"/>
      <c r="V1567" s="7" t="n"/>
      <c r="Y1567">
        <f>IF($D1567="","",IF($AN1567=1,0,IF($AM1567=1,Settings!$C$6,Settings!$C$7))*100)</f>
        <v/>
      </c>
      <c r="Z1567" s="7">
        <f>IF($D1567="","",V1567*Y1567/100)</f>
        <v/>
      </c>
      <c r="AA1567" s="7">
        <f>IF($D1567="","",V1567-Z1567)</f>
        <v/>
      </c>
      <c r="AB1567" s="7">
        <f>IF($D1567="","",AA1567-N1567)</f>
        <v/>
      </c>
      <c r="AF1567" s="7" t="n"/>
      <c r="AI1567" s="11" t="n"/>
      <c r="AK1567">
        <f>IF($D1567="","",IF(COUNTIF($D$2:$D1567,$D1567)=1,1,0))</f>
        <v/>
      </c>
      <c r="AL1567">
        <f>IF($AK1567=1,SUMPRODUCT(--($AO$2:$AO$3001&lt;$AO1567))+1,"")</f>
        <v/>
      </c>
      <c r="AM1567">
        <f>IF($D1567="","",IF(OR($R1567=TRUE(),$R1567="TRUE"),1,0))</f>
        <v/>
      </c>
      <c r="AN1567">
        <f>IF($D1567="","",IF($X1567="Yes",1,0))</f>
        <v/>
      </c>
      <c r="AO1567">
        <f>IF($AK1567=1,IFERROR(IF(VALUE($D1567)&lt;100000000,VALUE($D1567),1000000000),IFERROR(IF(VALUE(MID($D1567,2,20))&lt;100000000,VALUE(MID($D1567,2,20)),1000000000),1000000000))+ROW()/100000,"")</f>
        <v/>
      </c>
    </row>
    <row r="1568">
      <c r="F1568" s="11" t="n"/>
      <c r="N1568" s="7">
        <f>IF($D1568="","",M1568*V1568/100)</f>
        <v/>
      </c>
      <c r="O1568" s="7" t="n"/>
      <c r="U1568" s="7" t="n"/>
      <c r="V1568" s="7" t="n"/>
      <c r="Y1568">
        <f>IF($D1568="","",IF($AN1568=1,0,IF($AM1568=1,Settings!$C$6,Settings!$C$7))*100)</f>
        <v/>
      </c>
      <c r="Z1568" s="7">
        <f>IF($D1568="","",V1568*Y1568/100)</f>
        <v/>
      </c>
      <c r="AA1568" s="7">
        <f>IF($D1568="","",V1568-Z1568)</f>
        <v/>
      </c>
      <c r="AB1568" s="7">
        <f>IF($D1568="","",AA1568-N1568)</f>
        <v/>
      </c>
      <c r="AF1568" s="7" t="n"/>
      <c r="AI1568" s="11" t="n"/>
      <c r="AK1568">
        <f>IF($D1568="","",IF(COUNTIF($D$2:$D1568,$D1568)=1,1,0))</f>
        <v/>
      </c>
      <c r="AL1568">
        <f>IF($AK1568=1,SUMPRODUCT(--($AO$2:$AO$3001&lt;$AO1568))+1,"")</f>
        <v/>
      </c>
      <c r="AM1568">
        <f>IF($D1568="","",IF(OR($R1568=TRUE(),$R1568="TRUE"),1,0))</f>
        <v/>
      </c>
      <c r="AN1568">
        <f>IF($D1568="","",IF($X1568="Yes",1,0))</f>
        <v/>
      </c>
      <c r="AO1568">
        <f>IF($AK1568=1,IFERROR(IF(VALUE($D1568)&lt;100000000,VALUE($D1568),1000000000),IFERROR(IF(VALUE(MID($D1568,2,20))&lt;100000000,VALUE(MID($D1568,2,20)),1000000000),1000000000))+ROW()/100000,"")</f>
        <v/>
      </c>
    </row>
    <row r="1569">
      <c r="F1569" s="11" t="n"/>
      <c r="N1569" s="7">
        <f>IF($D1569="","",M1569*V1569/100)</f>
        <v/>
      </c>
      <c r="O1569" s="7" t="n"/>
      <c r="U1569" s="7" t="n"/>
      <c r="V1569" s="7" t="n"/>
      <c r="Y1569">
        <f>IF($D1569="","",IF($AN1569=1,0,IF($AM1569=1,Settings!$C$6,Settings!$C$7))*100)</f>
        <v/>
      </c>
      <c r="Z1569" s="7">
        <f>IF($D1569="","",V1569*Y1569/100)</f>
        <v/>
      </c>
      <c r="AA1569" s="7">
        <f>IF($D1569="","",V1569-Z1569)</f>
        <v/>
      </c>
      <c r="AB1569" s="7">
        <f>IF($D1569="","",AA1569-N1569)</f>
        <v/>
      </c>
      <c r="AF1569" s="7" t="n"/>
      <c r="AI1569" s="11" t="n"/>
      <c r="AK1569">
        <f>IF($D1569="","",IF(COUNTIF($D$2:$D1569,$D1569)=1,1,0))</f>
        <v/>
      </c>
      <c r="AL1569">
        <f>IF($AK1569=1,SUMPRODUCT(--($AO$2:$AO$3001&lt;$AO1569))+1,"")</f>
        <v/>
      </c>
      <c r="AM1569">
        <f>IF($D1569="","",IF(OR($R1569=TRUE(),$R1569="TRUE"),1,0))</f>
        <v/>
      </c>
      <c r="AN1569">
        <f>IF($D1569="","",IF($X1569="Yes",1,0))</f>
        <v/>
      </c>
      <c r="AO1569">
        <f>IF($AK1569=1,IFERROR(IF(VALUE($D1569)&lt;100000000,VALUE($D1569),1000000000),IFERROR(IF(VALUE(MID($D1569,2,20))&lt;100000000,VALUE(MID($D1569,2,20)),1000000000),1000000000))+ROW()/100000,"")</f>
        <v/>
      </c>
    </row>
    <row r="1570">
      <c r="F1570" s="11" t="n"/>
      <c r="N1570" s="7">
        <f>IF($D1570="","",M1570*V1570/100)</f>
        <v/>
      </c>
      <c r="O1570" s="7" t="n"/>
      <c r="U1570" s="7" t="n"/>
      <c r="V1570" s="7" t="n"/>
      <c r="Y1570">
        <f>IF($D1570="","",IF($AN1570=1,0,IF($AM1570=1,Settings!$C$6,Settings!$C$7))*100)</f>
        <v/>
      </c>
      <c r="Z1570" s="7">
        <f>IF($D1570="","",V1570*Y1570/100)</f>
        <v/>
      </c>
      <c r="AA1570" s="7">
        <f>IF($D1570="","",V1570-Z1570)</f>
        <v/>
      </c>
      <c r="AB1570" s="7">
        <f>IF($D1570="","",AA1570-N1570)</f>
        <v/>
      </c>
      <c r="AF1570" s="7" t="n"/>
      <c r="AI1570" s="11" t="n"/>
      <c r="AK1570">
        <f>IF($D1570="","",IF(COUNTIF($D$2:$D1570,$D1570)=1,1,0))</f>
        <v/>
      </c>
      <c r="AL1570">
        <f>IF($AK1570=1,SUMPRODUCT(--($AO$2:$AO$3001&lt;$AO1570))+1,"")</f>
        <v/>
      </c>
      <c r="AM1570">
        <f>IF($D1570="","",IF(OR($R1570=TRUE(),$R1570="TRUE"),1,0))</f>
        <v/>
      </c>
      <c r="AN1570">
        <f>IF($D1570="","",IF($X1570="Yes",1,0))</f>
        <v/>
      </c>
      <c r="AO1570">
        <f>IF($AK1570=1,IFERROR(IF(VALUE($D1570)&lt;100000000,VALUE($D1570),1000000000),IFERROR(IF(VALUE(MID($D1570,2,20))&lt;100000000,VALUE(MID($D1570,2,20)),1000000000),1000000000))+ROW()/100000,"")</f>
        <v/>
      </c>
    </row>
    <row r="1571">
      <c r="F1571" s="11" t="n"/>
      <c r="N1571" s="7">
        <f>IF($D1571="","",M1571*V1571/100)</f>
        <v/>
      </c>
      <c r="O1571" s="7" t="n"/>
      <c r="U1571" s="7" t="n"/>
      <c r="V1571" s="7" t="n"/>
      <c r="Y1571">
        <f>IF($D1571="","",IF($AN1571=1,0,IF($AM1571=1,Settings!$C$6,Settings!$C$7))*100)</f>
        <v/>
      </c>
      <c r="Z1571" s="7">
        <f>IF($D1571="","",V1571*Y1571/100)</f>
        <v/>
      </c>
      <c r="AA1571" s="7">
        <f>IF($D1571="","",V1571-Z1571)</f>
        <v/>
      </c>
      <c r="AB1571" s="7">
        <f>IF($D1571="","",AA1571-N1571)</f>
        <v/>
      </c>
      <c r="AF1571" s="7" t="n"/>
      <c r="AI1571" s="11" t="n"/>
      <c r="AK1571">
        <f>IF($D1571="","",IF(COUNTIF($D$2:$D1571,$D1571)=1,1,0))</f>
        <v/>
      </c>
      <c r="AL1571">
        <f>IF($AK1571=1,SUMPRODUCT(--($AO$2:$AO$3001&lt;$AO1571))+1,"")</f>
        <v/>
      </c>
      <c r="AM1571">
        <f>IF($D1571="","",IF(OR($R1571=TRUE(),$R1571="TRUE"),1,0))</f>
        <v/>
      </c>
      <c r="AN1571">
        <f>IF($D1571="","",IF($X1571="Yes",1,0))</f>
        <v/>
      </c>
      <c r="AO1571">
        <f>IF($AK1571=1,IFERROR(IF(VALUE($D1571)&lt;100000000,VALUE($D1571),1000000000),IFERROR(IF(VALUE(MID($D1571,2,20))&lt;100000000,VALUE(MID($D1571,2,20)),1000000000),1000000000))+ROW()/100000,"")</f>
        <v/>
      </c>
    </row>
    <row r="1572">
      <c r="F1572" s="11" t="n"/>
      <c r="N1572" s="7">
        <f>IF($D1572="","",M1572*V1572/100)</f>
        <v/>
      </c>
      <c r="O1572" s="7" t="n"/>
      <c r="U1572" s="7" t="n"/>
      <c r="V1572" s="7" t="n"/>
      <c r="Y1572">
        <f>IF($D1572="","",IF($AN1572=1,0,IF($AM1572=1,Settings!$C$6,Settings!$C$7))*100)</f>
        <v/>
      </c>
      <c r="Z1572" s="7">
        <f>IF($D1572="","",V1572*Y1572/100)</f>
        <v/>
      </c>
      <c r="AA1572" s="7">
        <f>IF($D1572="","",V1572-Z1572)</f>
        <v/>
      </c>
      <c r="AB1572" s="7">
        <f>IF($D1572="","",AA1572-N1572)</f>
        <v/>
      </c>
      <c r="AF1572" s="7" t="n"/>
      <c r="AI1572" s="11" t="n"/>
      <c r="AK1572">
        <f>IF($D1572="","",IF(COUNTIF($D$2:$D1572,$D1572)=1,1,0))</f>
        <v/>
      </c>
      <c r="AL1572">
        <f>IF($AK1572=1,SUMPRODUCT(--($AO$2:$AO$3001&lt;$AO1572))+1,"")</f>
        <v/>
      </c>
      <c r="AM1572">
        <f>IF($D1572="","",IF(OR($R1572=TRUE(),$R1572="TRUE"),1,0))</f>
        <v/>
      </c>
      <c r="AN1572">
        <f>IF($D1572="","",IF($X1572="Yes",1,0))</f>
        <v/>
      </c>
      <c r="AO1572">
        <f>IF($AK1572=1,IFERROR(IF(VALUE($D1572)&lt;100000000,VALUE($D1572),1000000000),IFERROR(IF(VALUE(MID($D1572,2,20))&lt;100000000,VALUE(MID($D1572,2,20)),1000000000),1000000000))+ROW()/100000,"")</f>
        <v/>
      </c>
    </row>
    <row r="1573">
      <c r="F1573" s="11" t="n"/>
      <c r="N1573" s="7">
        <f>IF($D1573="","",M1573*V1573/100)</f>
        <v/>
      </c>
      <c r="O1573" s="7" t="n"/>
      <c r="U1573" s="7" t="n"/>
      <c r="V1573" s="7" t="n"/>
      <c r="Y1573">
        <f>IF($D1573="","",IF($AN1573=1,0,IF($AM1573=1,Settings!$C$6,Settings!$C$7))*100)</f>
        <v/>
      </c>
      <c r="Z1573" s="7">
        <f>IF($D1573="","",V1573*Y1573/100)</f>
        <v/>
      </c>
      <c r="AA1573" s="7">
        <f>IF($D1573="","",V1573-Z1573)</f>
        <v/>
      </c>
      <c r="AB1573" s="7">
        <f>IF($D1573="","",AA1573-N1573)</f>
        <v/>
      </c>
      <c r="AF1573" s="7" t="n"/>
      <c r="AI1573" s="11" t="n"/>
      <c r="AK1573">
        <f>IF($D1573="","",IF(COUNTIF($D$2:$D1573,$D1573)=1,1,0))</f>
        <v/>
      </c>
      <c r="AL1573">
        <f>IF($AK1573=1,SUMPRODUCT(--($AO$2:$AO$3001&lt;$AO1573))+1,"")</f>
        <v/>
      </c>
      <c r="AM1573">
        <f>IF($D1573="","",IF(OR($R1573=TRUE(),$R1573="TRUE"),1,0))</f>
        <v/>
      </c>
      <c r="AN1573">
        <f>IF($D1573="","",IF($X1573="Yes",1,0))</f>
        <v/>
      </c>
      <c r="AO1573">
        <f>IF($AK1573=1,IFERROR(IF(VALUE($D1573)&lt;100000000,VALUE($D1573),1000000000),IFERROR(IF(VALUE(MID($D1573,2,20))&lt;100000000,VALUE(MID($D1573,2,20)),1000000000),1000000000))+ROW()/100000,"")</f>
        <v/>
      </c>
    </row>
    <row r="1574">
      <c r="F1574" s="11" t="n"/>
      <c r="N1574" s="7">
        <f>IF($D1574="","",M1574*V1574/100)</f>
        <v/>
      </c>
      <c r="O1574" s="7" t="n"/>
      <c r="U1574" s="7" t="n"/>
      <c r="V1574" s="7" t="n"/>
      <c r="Y1574">
        <f>IF($D1574="","",IF($AN1574=1,0,IF($AM1574=1,Settings!$C$6,Settings!$C$7))*100)</f>
        <v/>
      </c>
      <c r="Z1574" s="7">
        <f>IF($D1574="","",V1574*Y1574/100)</f>
        <v/>
      </c>
      <c r="AA1574" s="7">
        <f>IF($D1574="","",V1574-Z1574)</f>
        <v/>
      </c>
      <c r="AB1574" s="7">
        <f>IF($D1574="","",AA1574-N1574)</f>
        <v/>
      </c>
      <c r="AF1574" s="7" t="n"/>
      <c r="AI1574" s="11" t="n"/>
      <c r="AK1574">
        <f>IF($D1574="","",IF(COUNTIF($D$2:$D1574,$D1574)=1,1,0))</f>
        <v/>
      </c>
      <c r="AL1574">
        <f>IF($AK1574=1,SUMPRODUCT(--($AO$2:$AO$3001&lt;$AO1574))+1,"")</f>
        <v/>
      </c>
      <c r="AM1574">
        <f>IF($D1574="","",IF(OR($R1574=TRUE(),$R1574="TRUE"),1,0))</f>
        <v/>
      </c>
      <c r="AN1574">
        <f>IF($D1574="","",IF($X1574="Yes",1,0))</f>
        <v/>
      </c>
      <c r="AO1574">
        <f>IF($AK1574=1,IFERROR(IF(VALUE($D1574)&lt;100000000,VALUE($D1574),1000000000),IFERROR(IF(VALUE(MID($D1574,2,20))&lt;100000000,VALUE(MID($D1574,2,20)),1000000000),1000000000))+ROW()/100000,"")</f>
        <v/>
      </c>
    </row>
    <row r="1575">
      <c r="F1575" s="11" t="n"/>
      <c r="N1575" s="7">
        <f>IF($D1575="","",M1575*V1575/100)</f>
        <v/>
      </c>
      <c r="O1575" s="7" t="n"/>
      <c r="U1575" s="7" t="n"/>
      <c r="V1575" s="7" t="n"/>
      <c r="Y1575">
        <f>IF($D1575="","",IF($AN1575=1,0,IF($AM1575=1,Settings!$C$6,Settings!$C$7))*100)</f>
        <v/>
      </c>
      <c r="Z1575" s="7">
        <f>IF($D1575="","",V1575*Y1575/100)</f>
        <v/>
      </c>
      <c r="AA1575" s="7">
        <f>IF($D1575="","",V1575-Z1575)</f>
        <v/>
      </c>
      <c r="AB1575" s="7">
        <f>IF($D1575="","",AA1575-N1575)</f>
        <v/>
      </c>
      <c r="AF1575" s="7" t="n"/>
      <c r="AI1575" s="11" t="n"/>
      <c r="AK1575">
        <f>IF($D1575="","",IF(COUNTIF($D$2:$D1575,$D1575)=1,1,0))</f>
        <v/>
      </c>
      <c r="AL1575">
        <f>IF($AK1575=1,SUMPRODUCT(--($AO$2:$AO$3001&lt;$AO1575))+1,"")</f>
        <v/>
      </c>
      <c r="AM1575">
        <f>IF($D1575="","",IF(OR($R1575=TRUE(),$R1575="TRUE"),1,0))</f>
        <v/>
      </c>
      <c r="AN1575">
        <f>IF($D1575="","",IF($X1575="Yes",1,0))</f>
        <v/>
      </c>
      <c r="AO1575">
        <f>IF($AK1575=1,IFERROR(IF(VALUE($D1575)&lt;100000000,VALUE($D1575),1000000000),IFERROR(IF(VALUE(MID($D1575,2,20))&lt;100000000,VALUE(MID($D1575,2,20)),1000000000),1000000000))+ROW()/100000,"")</f>
        <v/>
      </c>
    </row>
    <row r="1576">
      <c r="F1576" s="11" t="n"/>
      <c r="N1576" s="7">
        <f>IF($D1576="","",M1576*V1576/100)</f>
        <v/>
      </c>
      <c r="O1576" s="7" t="n"/>
      <c r="U1576" s="7" t="n"/>
      <c r="V1576" s="7" t="n"/>
      <c r="Y1576">
        <f>IF($D1576="","",IF($AN1576=1,0,IF($AM1576=1,Settings!$C$6,Settings!$C$7))*100)</f>
        <v/>
      </c>
      <c r="Z1576" s="7">
        <f>IF($D1576="","",V1576*Y1576/100)</f>
        <v/>
      </c>
      <c r="AA1576" s="7">
        <f>IF($D1576="","",V1576-Z1576)</f>
        <v/>
      </c>
      <c r="AB1576" s="7">
        <f>IF($D1576="","",AA1576-N1576)</f>
        <v/>
      </c>
      <c r="AF1576" s="7" t="n"/>
      <c r="AI1576" s="11" t="n"/>
      <c r="AK1576">
        <f>IF($D1576="","",IF(COUNTIF($D$2:$D1576,$D1576)=1,1,0))</f>
        <v/>
      </c>
      <c r="AL1576">
        <f>IF($AK1576=1,SUMPRODUCT(--($AO$2:$AO$3001&lt;$AO1576))+1,"")</f>
        <v/>
      </c>
      <c r="AM1576">
        <f>IF($D1576="","",IF(OR($R1576=TRUE(),$R1576="TRUE"),1,0))</f>
        <v/>
      </c>
      <c r="AN1576">
        <f>IF($D1576="","",IF($X1576="Yes",1,0))</f>
        <v/>
      </c>
      <c r="AO1576">
        <f>IF($AK1576=1,IFERROR(IF(VALUE($D1576)&lt;100000000,VALUE($D1576),1000000000),IFERROR(IF(VALUE(MID($D1576,2,20))&lt;100000000,VALUE(MID($D1576,2,20)),1000000000),1000000000))+ROW()/100000,"")</f>
        <v/>
      </c>
    </row>
    <row r="1577">
      <c r="F1577" s="11" t="n"/>
      <c r="N1577" s="7">
        <f>IF($D1577="","",M1577*V1577/100)</f>
        <v/>
      </c>
      <c r="O1577" s="7" t="n"/>
      <c r="U1577" s="7" t="n"/>
      <c r="V1577" s="7" t="n"/>
      <c r="Y1577">
        <f>IF($D1577="","",IF($AN1577=1,0,IF($AM1577=1,Settings!$C$6,Settings!$C$7))*100)</f>
        <v/>
      </c>
      <c r="Z1577" s="7">
        <f>IF($D1577="","",V1577*Y1577/100)</f>
        <v/>
      </c>
      <c r="AA1577" s="7">
        <f>IF($D1577="","",V1577-Z1577)</f>
        <v/>
      </c>
      <c r="AB1577" s="7">
        <f>IF($D1577="","",AA1577-N1577)</f>
        <v/>
      </c>
      <c r="AF1577" s="7" t="n"/>
      <c r="AI1577" s="11" t="n"/>
      <c r="AK1577">
        <f>IF($D1577="","",IF(COUNTIF($D$2:$D1577,$D1577)=1,1,0))</f>
        <v/>
      </c>
      <c r="AL1577">
        <f>IF($AK1577=1,SUMPRODUCT(--($AO$2:$AO$3001&lt;$AO1577))+1,"")</f>
        <v/>
      </c>
      <c r="AM1577">
        <f>IF($D1577="","",IF(OR($R1577=TRUE(),$R1577="TRUE"),1,0))</f>
        <v/>
      </c>
      <c r="AN1577">
        <f>IF($D1577="","",IF($X1577="Yes",1,0))</f>
        <v/>
      </c>
      <c r="AO1577">
        <f>IF($AK1577=1,IFERROR(IF(VALUE($D1577)&lt;100000000,VALUE($D1577),1000000000),IFERROR(IF(VALUE(MID($D1577,2,20))&lt;100000000,VALUE(MID($D1577,2,20)),1000000000),1000000000))+ROW()/100000,"")</f>
        <v/>
      </c>
    </row>
    <row r="1578">
      <c r="F1578" s="11" t="n"/>
      <c r="N1578" s="7">
        <f>IF($D1578="","",M1578*V1578/100)</f>
        <v/>
      </c>
      <c r="O1578" s="7" t="n"/>
      <c r="U1578" s="7" t="n"/>
      <c r="V1578" s="7" t="n"/>
      <c r="Y1578">
        <f>IF($D1578="","",IF($AN1578=1,0,IF($AM1578=1,Settings!$C$6,Settings!$C$7))*100)</f>
        <v/>
      </c>
      <c r="Z1578" s="7">
        <f>IF($D1578="","",V1578*Y1578/100)</f>
        <v/>
      </c>
      <c r="AA1578" s="7">
        <f>IF($D1578="","",V1578-Z1578)</f>
        <v/>
      </c>
      <c r="AB1578" s="7">
        <f>IF($D1578="","",AA1578-N1578)</f>
        <v/>
      </c>
      <c r="AF1578" s="7" t="n"/>
      <c r="AI1578" s="11" t="n"/>
      <c r="AK1578">
        <f>IF($D1578="","",IF(COUNTIF($D$2:$D1578,$D1578)=1,1,0))</f>
        <v/>
      </c>
      <c r="AL1578">
        <f>IF($AK1578=1,SUMPRODUCT(--($AO$2:$AO$3001&lt;$AO1578))+1,"")</f>
        <v/>
      </c>
      <c r="AM1578">
        <f>IF($D1578="","",IF(OR($R1578=TRUE(),$R1578="TRUE"),1,0))</f>
        <v/>
      </c>
      <c r="AN1578">
        <f>IF($D1578="","",IF($X1578="Yes",1,0))</f>
        <v/>
      </c>
      <c r="AO1578">
        <f>IF($AK1578=1,IFERROR(IF(VALUE($D1578)&lt;100000000,VALUE($D1578),1000000000),IFERROR(IF(VALUE(MID($D1578,2,20))&lt;100000000,VALUE(MID($D1578,2,20)),1000000000),1000000000))+ROW()/100000,"")</f>
        <v/>
      </c>
    </row>
    <row r="1579">
      <c r="F1579" s="11" t="n"/>
      <c r="N1579" s="7">
        <f>IF($D1579="","",M1579*V1579/100)</f>
        <v/>
      </c>
      <c r="O1579" s="7" t="n"/>
      <c r="U1579" s="7" t="n"/>
      <c r="V1579" s="7" t="n"/>
      <c r="Y1579">
        <f>IF($D1579="","",IF($AN1579=1,0,IF($AM1579=1,Settings!$C$6,Settings!$C$7))*100)</f>
        <v/>
      </c>
      <c r="Z1579" s="7">
        <f>IF($D1579="","",V1579*Y1579/100)</f>
        <v/>
      </c>
      <c r="AA1579" s="7">
        <f>IF($D1579="","",V1579-Z1579)</f>
        <v/>
      </c>
      <c r="AB1579" s="7">
        <f>IF($D1579="","",AA1579-N1579)</f>
        <v/>
      </c>
      <c r="AF1579" s="7" t="n"/>
      <c r="AI1579" s="11" t="n"/>
      <c r="AK1579">
        <f>IF($D1579="","",IF(COUNTIF($D$2:$D1579,$D1579)=1,1,0))</f>
        <v/>
      </c>
      <c r="AL1579">
        <f>IF($AK1579=1,SUMPRODUCT(--($AO$2:$AO$3001&lt;$AO1579))+1,"")</f>
        <v/>
      </c>
      <c r="AM1579">
        <f>IF($D1579="","",IF(OR($R1579=TRUE(),$R1579="TRUE"),1,0))</f>
        <v/>
      </c>
      <c r="AN1579">
        <f>IF($D1579="","",IF($X1579="Yes",1,0))</f>
        <v/>
      </c>
      <c r="AO1579">
        <f>IF($AK1579=1,IFERROR(IF(VALUE($D1579)&lt;100000000,VALUE($D1579),1000000000),IFERROR(IF(VALUE(MID($D1579,2,20))&lt;100000000,VALUE(MID($D1579,2,20)),1000000000),1000000000))+ROW()/100000,"")</f>
        <v/>
      </c>
    </row>
    <row r="1580">
      <c r="F1580" s="11" t="n"/>
      <c r="N1580" s="7">
        <f>IF($D1580="","",M1580*V1580/100)</f>
        <v/>
      </c>
      <c r="O1580" s="7" t="n"/>
      <c r="U1580" s="7" t="n"/>
      <c r="V1580" s="7" t="n"/>
      <c r="Y1580">
        <f>IF($D1580="","",IF($AN1580=1,0,IF($AM1580=1,Settings!$C$6,Settings!$C$7))*100)</f>
        <v/>
      </c>
      <c r="Z1580" s="7">
        <f>IF($D1580="","",V1580*Y1580/100)</f>
        <v/>
      </c>
      <c r="AA1580" s="7">
        <f>IF($D1580="","",V1580-Z1580)</f>
        <v/>
      </c>
      <c r="AB1580" s="7">
        <f>IF($D1580="","",AA1580-N1580)</f>
        <v/>
      </c>
      <c r="AF1580" s="7" t="n"/>
      <c r="AI1580" s="11" t="n"/>
      <c r="AK1580">
        <f>IF($D1580="","",IF(COUNTIF($D$2:$D1580,$D1580)=1,1,0))</f>
        <v/>
      </c>
      <c r="AL1580">
        <f>IF($AK1580=1,SUMPRODUCT(--($AO$2:$AO$3001&lt;$AO1580))+1,"")</f>
        <v/>
      </c>
      <c r="AM1580">
        <f>IF($D1580="","",IF(OR($R1580=TRUE(),$R1580="TRUE"),1,0))</f>
        <v/>
      </c>
      <c r="AN1580">
        <f>IF($D1580="","",IF($X1580="Yes",1,0))</f>
        <v/>
      </c>
      <c r="AO1580">
        <f>IF($AK1580=1,IFERROR(IF(VALUE($D1580)&lt;100000000,VALUE($D1580),1000000000),IFERROR(IF(VALUE(MID($D1580,2,20))&lt;100000000,VALUE(MID($D1580,2,20)),1000000000),1000000000))+ROW()/100000,"")</f>
        <v/>
      </c>
    </row>
    <row r="1581">
      <c r="F1581" s="11" t="n"/>
      <c r="N1581" s="7">
        <f>IF($D1581="","",M1581*V1581/100)</f>
        <v/>
      </c>
      <c r="O1581" s="7" t="n"/>
      <c r="U1581" s="7" t="n"/>
      <c r="V1581" s="7" t="n"/>
      <c r="Y1581">
        <f>IF($D1581="","",IF($AN1581=1,0,IF($AM1581=1,Settings!$C$6,Settings!$C$7))*100)</f>
        <v/>
      </c>
      <c r="Z1581" s="7">
        <f>IF($D1581="","",V1581*Y1581/100)</f>
        <v/>
      </c>
      <c r="AA1581" s="7">
        <f>IF($D1581="","",V1581-Z1581)</f>
        <v/>
      </c>
      <c r="AB1581" s="7">
        <f>IF($D1581="","",AA1581-N1581)</f>
        <v/>
      </c>
      <c r="AF1581" s="7" t="n"/>
      <c r="AI1581" s="11" t="n"/>
      <c r="AK1581">
        <f>IF($D1581="","",IF(COUNTIF($D$2:$D1581,$D1581)=1,1,0))</f>
        <v/>
      </c>
      <c r="AL1581">
        <f>IF($AK1581=1,SUMPRODUCT(--($AO$2:$AO$3001&lt;$AO1581))+1,"")</f>
        <v/>
      </c>
      <c r="AM1581">
        <f>IF($D1581="","",IF(OR($R1581=TRUE(),$R1581="TRUE"),1,0))</f>
        <v/>
      </c>
      <c r="AN1581">
        <f>IF($D1581="","",IF($X1581="Yes",1,0))</f>
        <v/>
      </c>
      <c r="AO1581">
        <f>IF($AK1581=1,IFERROR(IF(VALUE($D1581)&lt;100000000,VALUE($D1581),1000000000),IFERROR(IF(VALUE(MID($D1581,2,20))&lt;100000000,VALUE(MID($D1581,2,20)),1000000000),1000000000))+ROW()/100000,"")</f>
        <v/>
      </c>
    </row>
    <row r="1582">
      <c r="F1582" s="11" t="n"/>
      <c r="N1582" s="7">
        <f>IF($D1582="","",M1582*V1582/100)</f>
        <v/>
      </c>
      <c r="O1582" s="7" t="n"/>
      <c r="U1582" s="7" t="n"/>
      <c r="V1582" s="7" t="n"/>
      <c r="Y1582">
        <f>IF($D1582="","",IF($AN1582=1,0,IF($AM1582=1,Settings!$C$6,Settings!$C$7))*100)</f>
        <v/>
      </c>
      <c r="Z1582" s="7">
        <f>IF($D1582="","",V1582*Y1582/100)</f>
        <v/>
      </c>
      <c r="AA1582" s="7">
        <f>IF($D1582="","",V1582-Z1582)</f>
        <v/>
      </c>
      <c r="AB1582" s="7">
        <f>IF($D1582="","",AA1582-N1582)</f>
        <v/>
      </c>
      <c r="AF1582" s="7" t="n"/>
      <c r="AI1582" s="11" t="n"/>
      <c r="AK1582">
        <f>IF($D1582="","",IF(COUNTIF($D$2:$D1582,$D1582)=1,1,0))</f>
        <v/>
      </c>
      <c r="AL1582">
        <f>IF($AK1582=1,SUMPRODUCT(--($AO$2:$AO$3001&lt;$AO1582))+1,"")</f>
        <v/>
      </c>
      <c r="AM1582">
        <f>IF($D1582="","",IF(OR($R1582=TRUE(),$R1582="TRUE"),1,0))</f>
        <v/>
      </c>
      <c r="AN1582">
        <f>IF($D1582="","",IF($X1582="Yes",1,0))</f>
        <v/>
      </c>
      <c r="AO1582">
        <f>IF($AK1582=1,IFERROR(IF(VALUE($D1582)&lt;100000000,VALUE($D1582),1000000000),IFERROR(IF(VALUE(MID($D1582,2,20))&lt;100000000,VALUE(MID($D1582,2,20)),1000000000),1000000000))+ROW()/100000,"")</f>
        <v/>
      </c>
    </row>
    <row r="1583">
      <c r="F1583" s="11" t="n"/>
      <c r="N1583" s="7">
        <f>IF($D1583="","",M1583*V1583/100)</f>
        <v/>
      </c>
      <c r="O1583" s="7" t="n"/>
      <c r="U1583" s="7" t="n"/>
      <c r="V1583" s="7" t="n"/>
      <c r="Y1583">
        <f>IF($D1583="","",IF($AN1583=1,0,IF($AM1583=1,Settings!$C$6,Settings!$C$7))*100)</f>
        <v/>
      </c>
      <c r="Z1583" s="7">
        <f>IF($D1583="","",V1583*Y1583/100)</f>
        <v/>
      </c>
      <c r="AA1583" s="7">
        <f>IF($D1583="","",V1583-Z1583)</f>
        <v/>
      </c>
      <c r="AB1583" s="7">
        <f>IF($D1583="","",AA1583-N1583)</f>
        <v/>
      </c>
      <c r="AF1583" s="7" t="n"/>
      <c r="AI1583" s="11" t="n"/>
      <c r="AK1583">
        <f>IF($D1583="","",IF(COUNTIF($D$2:$D1583,$D1583)=1,1,0))</f>
        <v/>
      </c>
      <c r="AL1583">
        <f>IF($AK1583=1,SUMPRODUCT(--($AO$2:$AO$3001&lt;$AO1583))+1,"")</f>
        <v/>
      </c>
      <c r="AM1583">
        <f>IF($D1583="","",IF(OR($R1583=TRUE(),$R1583="TRUE"),1,0))</f>
        <v/>
      </c>
      <c r="AN1583">
        <f>IF($D1583="","",IF($X1583="Yes",1,0))</f>
        <v/>
      </c>
      <c r="AO1583">
        <f>IF($AK1583=1,IFERROR(IF(VALUE($D1583)&lt;100000000,VALUE($D1583),1000000000),IFERROR(IF(VALUE(MID($D1583,2,20))&lt;100000000,VALUE(MID($D1583,2,20)),1000000000),1000000000))+ROW()/100000,"")</f>
        <v/>
      </c>
    </row>
    <row r="1584">
      <c r="F1584" s="11" t="n"/>
      <c r="N1584" s="7">
        <f>IF($D1584="","",M1584*V1584/100)</f>
        <v/>
      </c>
      <c r="O1584" s="7" t="n"/>
      <c r="U1584" s="7" t="n"/>
      <c r="V1584" s="7" t="n"/>
      <c r="Y1584">
        <f>IF($D1584="","",IF($AN1584=1,0,IF($AM1584=1,Settings!$C$6,Settings!$C$7))*100)</f>
        <v/>
      </c>
      <c r="Z1584" s="7">
        <f>IF($D1584="","",V1584*Y1584/100)</f>
        <v/>
      </c>
      <c r="AA1584" s="7">
        <f>IF($D1584="","",V1584-Z1584)</f>
        <v/>
      </c>
      <c r="AB1584" s="7">
        <f>IF($D1584="","",AA1584-N1584)</f>
        <v/>
      </c>
      <c r="AF1584" s="7" t="n"/>
      <c r="AI1584" s="11" t="n"/>
      <c r="AK1584">
        <f>IF($D1584="","",IF(COUNTIF($D$2:$D1584,$D1584)=1,1,0))</f>
        <v/>
      </c>
      <c r="AL1584">
        <f>IF($AK1584=1,SUMPRODUCT(--($AO$2:$AO$3001&lt;$AO1584))+1,"")</f>
        <v/>
      </c>
      <c r="AM1584">
        <f>IF($D1584="","",IF(OR($R1584=TRUE(),$R1584="TRUE"),1,0))</f>
        <v/>
      </c>
      <c r="AN1584">
        <f>IF($D1584="","",IF($X1584="Yes",1,0))</f>
        <v/>
      </c>
      <c r="AO1584">
        <f>IF($AK1584=1,IFERROR(IF(VALUE($D1584)&lt;100000000,VALUE($D1584),1000000000),IFERROR(IF(VALUE(MID($D1584,2,20))&lt;100000000,VALUE(MID($D1584,2,20)),1000000000),1000000000))+ROW()/100000,"")</f>
        <v/>
      </c>
    </row>
    <row r="1585">
      <c r="F1585" s="11" t="n"/>
      <c r="N1585" s="7">
        <f>IF($D1585="","",M1585*V1585/100)</f>
        <v/>
      </c>
      <c r="O1585" s="7" t="n"/>
      <c r="U1585" s="7" t="n"/>
      <c r="V1585" s="7" t="n"/>
      <c r="Y1585">
        <f>IF($D1585="","",IF($AN1585=1,0,IF($AM1585=1,Settings!$C$6,Settings!$C$7))*100)</f>
        <v/>
      </c>
      <c r="Z1585" s="7">
        <f>IF($D1585="","",V1585*Y1585/100)</f>
        <v/>
      </c>
      <c r="AA1585" s="7">
        <f>IF($D1585="","",V1585-Z1585)</f>
        <v/>
      </c>
      <c r="AB1585" s="7">
        <f>IF($D1585="","",AA1585-N1585)</f>
        <v/>
      </c>
      <c r="AF1585" s="7" t="n"/>
      <c r="AI1585" s="11" t="n"/>
      <c r="AK1585">
        <f>IF($D1585="","",IF(COUNTIF($D$2:$D1585,$D1585)=1,1,0))</f>
        <v/>
      </c>
      <c r="AL1585">
        <f>IF($AK1585=1,SUMPRODUCT(--($AO$2:$AO$3001&lt;$AO1585))+1,"")</f>
        <v/>
      </c>
      <c r="AM1585">
        <f>IF($D1585="","",IF(OR($R1585=TRUE(),$R1585="TRUE"),1,0))</f>
        <v/>
      </c>
      <c r="AN1585">
        <f>IF($D1585="","",IF($X1585="Yes",1,0))</f>
        <v/>
      </c>
      <c r="AO1585">
        <f>IF($AK1585=1,IFERROR(IF(VALUE($D1585)&lt;100000000,VALUE($D1585),1000000000),IFERROR(IF(VALUE(MID($D1585,2,20))&lt;100000000,VALUE(MID($D1585,2,20)),1000000000),1000000000))+ROW()/100000,"")</f>
        <v/>
      </c>
    </row>
    <row r="1586">
      <c r="F1586" s="11" t="n"/>
      <c r="N1586" s="7">
        <f>IF($D1586="","",M1586*V1586/100)</f>
        <v/>
      </c>
      <c r="O1586" s="7" t="n"/>
      <c r="U1586" s="7" t="n"/>
      <c r="V1586" s="7" t="n"/>
      <c r="Y1586">
        <f>IF($D1586="","",IF($AN1586=1,0,IF($AM1586=1,Settings!$C$6,Settings!$C$7))*100)</f>
        <v/>
      </c>
      <c r="Z1586" s="7">
        <f>IF($D1586="","",V1586*Y1586/100)</f>
        <v/>
      </c>
      <c r="AA1586" s="7">
        <f>IF($D1586="","",V1586-Z1586)</f>
        <v/>
      </c>
      <c r="AB1586" s="7">
        <f>IF($D1586="","",AA1586-N1586)</f>
        <v/>
      </c>
      <c r="AF1586" s="7" t="n"/>
      <c r="AI1586" s="11" t="n"/>
      <c r="AK1586">
        <f>IF($D1586="","",IF(COUNTIF($D$2:$D1586,$D1586)=1,1,0))</f>
        <v/>
      </c>
      <c r="AL1586">
        <f>IF($AK1586=1,SUMPRODUCT(--($AO$2:$AO$3001&lt;$AO1586))+1,"")</f>
        <v/>
      </c>
      <c r="AM1586">
        <f>IF($D1586="","",IF(OR($R1586=TRUE(),$R1586="TRUE"),1,0))</f>
        <v/>
      </c>
      <c r="AN1586">
        <f>IF($D1586="","",IF($X1586="Yes",1,0))</f>
        <v/>
      </c>
      <c r="AO1586">
        <f>IF($AK1586=1,IFERROR(IF(VALUE($D1586)&lt;100000000,VALUE($D1586),1000000000),IFERROR(IF(VALUE(MID($D1586,2,20))&lt;100000000,VALUE(MID($D1586,2,20)),1000000000),1000000000))+ROW()/100000,"")</f>
        <v/>
      </c>
    </row>
    <row r="1587">
      <c r="F1587" s="11" t="n"/>
      <c r="N1587" s="7">
        <f>IF($D1587="","",M1587*V1587/100)</f>
        <v/>
      </c>
      <c r="O1587" s="7" t="n"/>
      <c r="U1587" s="7" t="n"/>
      <c r="V1587" s="7" t="n"/>
      <c r="Y1587">
        <f>IF($D1587="","",IF($AN1587=1,0,IF($AM1587=1,Settings!$C$6,Settings!$C$7))*100)</f>
        <v/>
      </c>
      <c r="Z1587" s="7">
        <f>IF($D1587="","",V1587*Y1587/100)</f>
        <v/>
      </c>
      <c r="AA1587" s="7">
        <f>IF($D1587="","",V1587-Z1587)</f>
        <v/>
      </c>
      <c r="AB1587" s="7">
        <f>IF($D1587="","",AA1587-N1587)</f>
        <v/>
      </c>
      <c r="AF1587" s="7" t="n"/>
      <c r="AI1587" s="11" t="n"/>
      <c r="AK1587">
        <f>IF($D1587="","",IF(COUNTIF($D$2:$D1587,$D1587)=1,1,0))</f>
        <v/>
      </c>
      <c r="AL1587">
        <f>IF($AK1587=1,SUMPRODUCT(--($AO$2:$AO$3001&lt;$AO1587))+1,"")</f>
        <v/>
      </c>
      <c r="AM1587">
        <f>IF($D1587="","",IF(OR($R1587=TRUE(),$R1587="TRUE"),1,0))</f>
        <v/>
      </c>
      <c r="AN1587">
        <f>IF($D1587="","",IF($X1587="Yes",1,0))</f>
        <v/>
      </c>
      <c r="AO1587">
        <f>IF($AK1587=1,IFERROR(IF(VALUE($D1587)&lt;100000000,VALUE($D1587),1000000000),IFERROR(IF(VALUE(MID($D1587,2,20))&lt;100000000,VALUE(MID($D1587,2,20)),1000000000),1000000000))+ROW()/100000,"")</f>
        <v/>
      </c>
    </row>
    <row r="1588">
      <c r="F1588" s="11" t="n"/>
      <c r="N1588" s="7">
        <f>IF($D1588="","",M1588*V1588/100)</f>
        <v/>
      </c>
      <c r="O1588" s="7" t="n"/>
      <c r="U1588" s="7" t="n"/>
      <c r="V1588" s="7" t="n"/>
      <c r="Y1588">
        <f>IF($D1588="","",IF($AN1588=1,0,IF($AM1588=1,Settings!$C$6,Settings!$C$7))*100)</f>
        <v/>
      </c>
      <c r="Z1588" s="7">
        <f>IF($D1588="","",V1588*Y1588/100)</f>
        <v/>
      </c>
      <c r="AA1588" s="7">
        <f>IF($D1588="","",V1588-Z1588)</f>
        <v/>
      </c>
      <c r="AB1588" s="7">
        <f>IF($D1588="","",AA1588-N1588)</f>
        <v/>
      </c>
      <c r="AF1588" s="7" t="n"/>
      <c r="AI1588" s="11" t="n"/>
      <c r="AK1588">
        <f>IF($D1588="","",IF(COUNTIF($D$2:$D1588,$D1588)=1,1,0))</f>
        <v/>
      </c>
      <c r="AL1588">
        <f>IF($AK1588=1,SUMPRODUCT(--($AO$2:$AO$3001&lt;$AO1588))+1,"")</f>
        <v/>
      </c>
      <c r="AM1588">
        <f>IF($D1588="","",IF(OR($R1588=TRUE(),$R1588="TRUE"),1,0))</f>
        <v/>
      </c>
      <c r="AN1588">
        <f>IF($D1588="","",IF($X1588="Yes",1,0))</f>
        <v/>
      </c>
      <c r="AO1588">
        <f>IF($AK1588=1,IFERROR(IF(VALUE($D1588)&lt;100000000,VALUE($D1588),1000000000),IFERROR(IF(VALUE(MID($D1588,2,20))&lt;100000000,VALUE(MID($D1588,2,20)),1000000000),1000000000))+ROW()/100000,"")</f>
        <v/>
      </c>
    </row>
    <row r="1589">
      <c r="F1589" s="11" t="n"/>
      <c r="N1589" s="7">
        <f>IF($D1589="","",M1589*V1589/100)</f>
        <v/>
      </c>
      <c r="O1589" s="7" t="n"/>
      <c r="U1589" s="7" t="n"/>
      <c r="V1589" s="7" t="n"/>
      <c r="Y1589">
        <f>IF($D1589="","",IF($AN1589=1,0,IF($AM1589=1,Settings!$C$6,Settings!$C$7))*100)</f>
        <v/>
      </c>
      <c r="Z1589" s="7">
        <f>IF($D1589="","",V1589*Y1589/100)</f>
        <v/>
      </c>
      <c r="AA1589" s="7">
        <f>IF($D1589="","",V1589-Z1589)</f>
        <v/>
      </c>
      <c r="AB1589" s="7">
        <f>IF($D1589="","",AA1589-N1589)</f>
        <v/>
      </c>
      <c r="AF1589" s="7" t="n"/>
      <c r="AI1589" s="11" t="n"/>
      <c r="AK1589">
        <f>IF($D1589="","",IF(COUNTIF($D$2:$D1589,$D1589)=1,1,0))</f>
        <v/>
      </c>
      <c r="AL1589">
        <f>IF($AK1589=1,SUMPRODUCT(--($AO$2:$AO$3001&lt;$AO1589))+1,"")</f>
        <v/>
      </c>
      <c r="AM1589">
        <f>IF($D1589="","",IF(OR($R1589=TRUE(),$R1589="TRUE"),1,0))</f>
        <v/>
      </c>
      <c r="AN1589">
        <f>IF($D1589="","",IF($X1589="Yes",1,0))</f>
        <v/>
      </c>
      <c r="AO1589">
        <f>IF($AK1589=1,IFERROR(IF(VALUE($D1589)&lt;100000000,VALUE($D1589),1000000000),IFERROR(IF(VALUE(MID($D1589,2,20))&lt;100000000,VALUE(MID($D1589,2,20)),1000000000),1000000000))+ROW()/100000,"")</f>
        <v/>
      </c>
    </row>
    <row r="1590">
      <c r="F1590" s="11" t="n"/>
      <c r="N1590" s="7">
        <f>IF($D1590="","",M1590*V1590/100)</f>
        <v/>
      </c>
      <c r="O1590" s="7" t="n"/>
      <c r="U1590" s="7" t="n"/>
      <c r="V1590" s="7" t="n"/>
      <c r="Y1590">
        <f>IF($D1590="","",IF($AN1590=1,0,IF($AM1590=1,Settings!$C$6,Settings!$C$7))*100)</f>
        <v/>
      </c>
      <c r="Z1590" s="7">
        <f>IF($D1590="","",V1590*Y1590/100)</f>
        <v/>
      </c>
      <c r="AA1590" s="7">
        <f>IF($D1590="","",V1590-Z1590)</f>
        <v/>
      </c>
      <c r="AB1590" s="7">
        <f>IF($D1590="","",AA1590-N1590)</f>
        <v/>
      </c>
      <c r="AF1590" s="7" t="n"/>
      <c r="AI1590" s="11" t="n"/>
      <c r="AK1590">
        <f>IF($D1590="","",IF(COUNTIF($D$2:$D1590,$D1590)=1,1,0))</f>
        <v/>
      </c>
      <c r="AL1590">
        <f>IF($AK1590=1,SUMPRODUCT(--($AO$2:$AO$3001&lt;$AO1590))+1,"")</f>
        <v/>
      </c>
      <c r="AM1590">
        <f>IF($D1590="","",IF(OR($R1590=TRUE(),$R1590="TRUE"),1,0))</f>
        <v/>
      </c>
      <c r="AN1590">
        <f>IF($D1590="","",IF($X1590="Yes",1,0))</f>
        <v/>
      </c>
      <c r="AO1590">
        <f>IF($AK1590=1,IFERROR(IF(VALUE($D1590)&lt;100000000,VALUE($D1590),1000000000),IFERROR(IF(VALUE(MID($D1590,2,20))&lt;100000000,VALUE(MID($D1590,2,20)),1000000000),1000000000))+ROW()/100000,"")</f>
        <v/>
      </c>
    </row>
    <row r="1591">
      <c r="F1591" s="11" t="n"/>
      <c r="N1591" s="7">
        <f>IF($D1591="","",M1591*V1591/100)</f>
        <v/>
      </c>
      <c r="O1591" s="7" t="n"/>
      <c r="U1591" s="7" t="n"/>
      <c r="V1591" s="7" t="n"/>
      <c r="Y1591">
        <f>IF($D1591="","",IF($AN1591=1,0,IF($AM1591=1,Settings!$C$6,Settings!$C$7))*100)</f>
        <v/>
      </c>
      <c r="Z1591" s="7">
        <f>IF($D1591="","",V1591*Y1591/100)</f>
        <v/>
      </c>
      <c r="AA1591" s="7">
        <f>IF($D1591="","",V1591-Z1591)</f>
        <v/>
      </c>
      <c r="AB1591" s="7">
        <f>IF($D1591="","",AA1591-N1591)</f>
        <v/>
      </c>
      <c r="AF1591" s="7" t="n"/>
      <c r="AI1591" s="11" t="n"/>
      <c r="AK1591">
        <f>IF($D1591="","",IF(COUNTIF($D$2:$D1591,$D1591)=1,1,0))</f>
        <v/>
      </c>
      <c r="AL1591">
        <f>IF($AK1591=1,SUMPRODUCT(--($AO$2:$AO$3001&lt;$AO1591))+1,"")</f>
        <v/>
      </c>
      <c r="AM1591">
        <f>IF($D1591="","",IF(OR($R1591=TRUE(),$R1591="TRUE"),1,0))</f>
        <v/>
      </c>
      <c r="AN1591">
        <f>IF($D1591="","",IF($X1591="Yes",1,0))</f>
        <v/>
      </c>
      <c r="AO1591">
        <f>IF($AK1591=1,IFERROR(IF(VALUE($D1591)&lt;100000000,VALUE($D1591),1000000000),IFERROR(IF(VALUE(MID($D1591,2,20))&lt;100000000,VALUE(MID($D1591,2,20)),1000000000),1000000000))+ROW()/100000,"")</f>
        <v/>
      </c>
    </row>
    <row r="1592">
      <c r="F1592" s="11" t="n"/>
      <c r="N1592" s="7">
        <f>IF($D1592="","",M1592*V1592/100)</f>
        <v/>
      </c>
      <c r="O1592" s="7" t="n"/>
      <c r="U1592" s="7" t="n"/>
      <c r="V1592" s="7" t="n"/>
      <c r="Y1592">
        <f>IF($D1592="","",IF($AN1592=1,0,IF($AM1592=1,Settings!$C$6,Settings!$C$7))*100)</f>
        <v/>
      </c>
      <c r="Z1592" s="7">
        <f>IF($D1592="","",V1592*Y1592/100)</f>
        <v/>
      </c>
      <c r="AA1592" s="7">
        <f>IF($D1592="","",V1592-Z1592)</f>
        <v/>
      </c>
      <c r="AB1592" s="7">
        <f>IF($D1592="","",AA1592-N1592)</f>
        <v/>
      </c>
      <c r="AF1592" s="7" t="n"/>
      <c r="AI1592" s="11" t="n"/>
      <c r="AK1592">
        <f>IF($D1592="","",IF(COUNTIF($D$2:$D1592,$D1592)=1,1,0))</f>
        <v/>
      </c>
      <c r="AL1592">
        <f>IF($AK1592=1,SUMPRODUCT(--($AO$2:$AO$3001&lt;$AO1592))+1,"")</f>
        <v/>
      </c>
      <c r="AM1592">
        <f>IF($D1592="","",IF(OR($R1592=TRUE(),$R1592="TRUE"),1,0))</f>
        <v/>
      </c>
      <c r="AN1592">
        <f>IF($D1592="","",IF($X1592="Yes",1,0))</f>
        <v/>
      </c>
      <c r="AO1592">
        <f>IF($AK1592=1,IFERROR(IF(VALUE($D1592)&lt;100000000,VALUE($D1592),1000000000),IFERROR(IF(VALUE(MID($D1592,2,20))&lt;100000000,VALUE(MID($D1592,2,20)),1000000000),1000000000))+ROW()/100000,"")</f>
        <v/>
      </c>
    </row>
    <row r="1593">
      <c r="F1593" s="11" t="n"/>
      <c r="N1593" s="7">
        <f>IF($D1593="","",M1593*V1593/100)</f>
        <v/>
      </c>
      <c r="O1593" s="7" t="n"/>
      <c r="U1593" s="7" t="n"/>
      <c r="V1593" s="7" t="n"/>
      <c r="Y1593">
        <f>IF($D1593="","",IF($AN1593=1,0,IF($AM1593=1,Settings!$C$6,Settings!$C$7))*100)</f>
        <v/>
      </c>
      <c r="Z1593" s="7">
        <f>IF($D1593="","",V1593*Y1593/100)</f>
        <v/>
      </c>
      <c r="AA1593" s="7">
        <f>IF($D1593="","",V1593-Z1593)</f>
        <v/>
      </c>
      <c r="AB1593" s="7">
        <f>IF($D1593="","",AA1593-N1593)</f>
        <v/>
      </c>
      <c r="AF1593" s="7" t="n"/>
      <c r="AI1593" s="11" t="n"/>
      <c r="AK1593">
        <f>IF($D1593="","",IF(COUNTIF($D$2:$D1593,$D1593)=1,1,0))</f>
        <v/>
      </c>
      <c r="AL1593">
        <f>IF($AK1593=1,SUMPRODUCT(--($AO$2:$AO$3001&lt;$AO1593))+1,"")</f>
        <v/>
      </c>
      <c r="AM1593">
        <f>IF($D1593="","",IF(OR($R1593=TRUE(),$R1593="TRUE"),1,0))</f>
        <v/>
      </c>
      <c r="AN1593">
        <f>IF($D1593="","",IF($X1593="Yes",1,0))</f>
        <v/>
      </c>
      <c r="AO1593">
        <f>IF($AK1593=1,IFERROR(IF(VALUE($D1593)&lt;100000000,VALUE($D1593),1000000000),IFERROR(IF(VALUE(MID($D1593,2,20))&lt;100000000,VALUE(MID($D1593,2,20)),1000000000),1000000000))+ROW()/100000,"")</f>
        <v/>
      </c>
    </row>
    <row r="1594">
      <c r="F1594" s="11" t="n"/>
      <c r="N1594" s="7">
        <f>IF($D1594="","",M1594*V1594/100)</f>
        <v/>
      </c>
      <c r="O1594" s="7" t="n"/>
      <c r="U1594" s="7" t="n"/>
      <c r="V1594" s="7" t="n"/>
      <c r="Y1594">
        <f>IF($D1594="","",IF($AN1594=1,0,IF($AM1594=1,Settings!$C$6,Settings!$C$7))*100)</f>
        <v/>
      </c>
      <c r="Z1594" s="7">
        <f>IF($D1594="","",V1594*Y1594/100)</f>
        <v/>
      </c>
      <c r="AA1594" s="7">
        <f>IF($D1594="","",V1594-Z1594)</f>
        <v/>
      </c>
      <c r="AB1594" s="7">
        <f>IF($D1594="","",AA1594-N1594)</f>
        <v/>
      </c>
      <c r="AF1594" s="7" t="n"/>
      <c r="AI1594" s="11" t="n"/>
      <c r="AK1594">
        <f>IF($D1594="","",IF(COUNTIF($D$2:$D1594,$D1594)=1,1,0))</f>
        <v/>
      </c>
      <c r="AL1594">
        <f>IF($AK1594=1,SUMPRODUCT(--($AO$2:$AO$3001&lt;$AO1594))+1,"")</f>
        <v/>
      </c>
      <c r="AM1594">
        <f>IF($D1594="","",IF(OR($R1594=TRUE(),$R1594="TRUE"),1,0))</f>
        <v/>
      </c>
      <c r="AN1594">
        <f>IF($D1594="","",IF($X1594="Yes",1,0))</f>
        <v/>
      </c>
      <c r="AO1594">
        <f>IF($AK1594=1,IFERROR(IF(VALUE($D1594)&lt;100000000,VALUE($D1594),1000000000),IFERROR(IF(VALUE(MID($D1594,2,20))&lt;100000000,VALUE(MID($D1594,2,20)),1000000000),1000000000))+ROW()/100000,"")</f>
        <v/>
      </c>
    </row>
    <row r="1595">
      <c r="F1595" s="11" t="n"/>
      <c r="N1595" s="7">
        <f>IF($D1595="","",M1595*V1595/100)</f>
        <v/>
      </c>
      <c r="O1595" s="7" t="n"/>
      <c r="U1595" s="7" t="n"/>
      <c r="V1595" s="7" t="n"/>
      <c r="Y1595">
        <f>IF($D1595="","",IF($AN1595=1,0,IF($AM1595=1,Settings!$C$6,Settings!$C$7))*100)</f>
        <v/>
      </c>
      <c r="Z1595" s="7">
        <f>IF($D1595="","",V1595*Y1595/100)</f>
        <v/>
      </c>
      <c r="AA1595" s="7">
        <f>IF($D1595="","",V1595-Z1595)</f>
        <v/>
      </c>
      <c r="AB1595" s="7">
        <f>IF($D1595="","",AA1595-N1595)</f>
        <v/>
      </c>
      <c r="AF1595" s="7" t="n"/>
      <c r="AI1595" s="11" t="n"/>
      <c r="AK1595">
        <f>IF($D1595="","",IF(COUNTIF($D$2:$D1595,$D1595)=1,1,0))</f>
        <v/>
      </c>
      <c r="AL1595">
        <f>IF($AK1595=1,SUMPRODUCT(--($AO$2:$AO$3001&lt;$AO1595))+1,"")</f>
        <v/>
      </c>
      <c r="AM1595">
        <f>IF($D1595="","",IF(OR($R1595=TRUE(),$R1595="TRUE"),1,0))</f>
        <v/>
      </c>
      <c r="AN1595">
        <f>IF($D1595="","",IF($X1595="Yes",1,0))</f>
        <v/>
      </c>
      <c r="AO1595">
        <f>IF($AK1595=1,IFERROR(IF(VALUE($D1595)&lt;100000000,VALUE($D1595),1000000000),IFERROR(IF(VALUE(MID($D1595,2,20))&lt;100000000,VALUE(MID($D1595,2,20)),1000000000),1000000000))+ROW()/100000,"")</f>
        <v/>
      </c>
    </row>
    <row r="1596">
      <c r="F1596" s="11" t="n"/>
      <c r="N1596" s="7">
        <f>IF($D1596="","",M1596*V1596/100)</f>
        <v/>
      </c>
      <c r="O1596" s="7" t="n"/>
      <c r="U1596" s="7" t="n"/>
      <c r="V1596" s="7" t="n"/>
      <c r="Y1596">
        <f>IF($D1596="","",IF($AN1596=1,0,IF($AM1596=1,Settings!$C$6,Settings!$C$7))*100)</f>
        <v/>
      </c>
      <c r="Z1596" s="7">
        <f>IF($D1596="","",V1596*Y1596/100)</f>
        <v/>
      </c>
      <c r="AA1596" s="7">
        <f>IF($D1596="","",V1596-Z1596)</f>
        <v/>
      </c>
      <c r="AB1596" s="7">
        <f>IF($D1596="","",AA1596-N1596)</f>
        <v/>
      </c>
      <c r="AF1596" s="7" t="n"/>
      <c r="AI1596" s="11" t="n"/>
      <c r="AK1596">
        <f>IF($D1596="","",IF(COUNTIF($D$2:$D1596,$D1596)=1,1,0))</f>
        <v/>
      </c>
      <c r="AL1596">
        <f>IF($AK1596=1,SUMPRODUCT(--($AO$2:$AO$3001&lt;$AO1596))+1,"")</f>
        <v/>
      </c>
      <c r="AM1596">
        <f>IF($D1596="","",IF(OR($R1596=TRUE(),$R1596="TRUE"),1,0))</f>
        <v/>
      </c>
      <c r="AN1596">
        <f>IF($D1596="","",IF($X1596="Yes",1,0))</f>
        <v/>
      </c>
      <c r="AO1596">
        <f>IF($AK1596=1,IFERROR(IF(VALUE($D1596)&lt;100000000,VALUE($D1596),1000000000),IFERROR(IF(VALUE(MID($D1596,2,20))&lt;100000000,VALUE(MID($D1596,2,20)),1000000000),1000000000))+ROW()/100000,"")</f>
        <v/>
      </c>
    </row>
    <row r="1597">
      <c r="F1597" s="11" t="n"/>
      <c r="N1597" s="7">
        <f>IF($D1597="","",M1597*V1597/100)</f>
        <v/>
      </c>
      <c r="O1597" s="7" t="n"/>
      <c r="U1597" s="7" t="n"/>
      <c r="V1597" s="7" t="n"/>
      <c r="Y1597">
        <f>IF($D1597="","",IF($AN1597=1,0,IF($AM1597=1,Settings!$C$6,Settings!$C$7))*100)</f>
        <v/>
      </c>
      <c r="Z1597" s="7">
        <f>IF($D1597="","",V1597*Y1597/100)</f>
        <v/>
      </c>
      <c r="AA1597" s="7">
        <f>IF($D1597="","",V1597-Z1597)</f>
        <v/>
      </c>
      <c r="AB1597" s="7">
        <f>IF($D1597="","",AA1597-N1597)</f>
        <v/>
      </c>
      <c r="AF1597" s="7" t="n"/>
      <c r="AI1597" s="11" t="n"/>
      <c r="AK1597">
        <f>IF($D1597="","",IF(COUNTIF($D$2:$D1597,$D1597)=1,1,0))</f>
        <v/>
      </c>
      <c r="AL1597">
        <f>IF($AK1597=1,SUMPRODUCT(--($AO$2:$AO$3001&lt;$AO1597))+1,"")</f>
        <v/>
      </c>
      <c r="AM1597">
        <f>IF($D1597="","",IF(OR($R1597=TRUE(),$R1597="TRUE"),1,0))</f>
        <v/>
      </c>
      <c r="AN1597">
        <f>IF($D1597="","",IF($X1597="Yes",1,0))</f>
        <v/>
      </c>
      <c r="AO1597">
        <f>IF($AK1597=1,IFERROR(IF(VALUE($D1597)&lt;100000000,VALUE($D1597),1000000000),IFERROR(IF(VALUE(MID($D1597,2,20))&lt;100000000,VALUE(MID($D1597,2,20)),1000000000),1000000000))+ROW()/100000,"")</f>
        <v/>
      </c>
    </row>
    <row r="1598">
      <c r="F1598" s="11" t="n"/>
      <c r="N1598" s="7">
        <f>IF($D1598="","",M1598*V1598/100)</f>
        <v/>
      </c>
      <c r="O1598" s="7" t="n"/>
      <c r="U1598" s="7" t="n"/>
      <c r="V1598" s="7" t="n"/>
      <c r="Y1598">
        <f>IF($D1598="","",IF($AN1598=1,0,IF($AM1598=1,Settings!$C$6,Settings!$C$7))*100)</f>
        <v/>
      </c>
      <c r="Z1598" s="7">
        <f>IF($D1598="","",V1598*Y1598/100)</f>
        <v/>
      </c>
      <c r="AA1598" s="7">
        <f>IF($D1598="","",V1598-Z1598)</f>
        <v/>
      </c>
      <c r="AB1598" s="7">
        <f>IF($D1598="","",AA1598-N1598)</f>
        <v/>
      </c>
      <c r="AF1598" s="7" t="n"/>
      <c r="AI1598" s="11" t="n"/>
      <c r="AK1598">
        <f>IF($D1598="","",IF(COUNTIF($D$2:$D1598,$D1598)=1,1,0))</f>
        <v/>
      </c>
      <c r="AL1598">
        <f>IF($AK1598=1,SUMPRODUCT(--($AO$2:$AO$3001&lt;$AO1598))+1,"")</f>
        <v/>
      </c>
      <c r="AM1598">
        <f>IF($D1598="","",IF(OR($R1598=TRUE(),$R1598="TRUE"),1,0))</f>
        <v/>
      </c>
      <c r="AN1598">
        <f>IF($D1598="","",IF($X1598="Yes",1,0))</f>
        <v/>
      </c>
      <c r="AO1598">
        <f>IF($AK1598=1,IFERROR(IF(VALUE($D1598)&lt;100000000,VALUE($D1598),1000000000),IFERROR(IF(VALUE(MID($D1598,2,20))&lt;100000000,VALUE(MID($D1598,2,20)),1000000000),1000000000))+ROW()/100000,"")</f>
        <v/>
      </c>
    </row>
    <row r="1599">
      <c r="F1599" s="11" t="n"/>
      <c r="N1599" s="7">
        <f>IF($D1599="","",M1599*V1599/100)</f>
        <v/>
      </c>
      <c r="O1599" s="7" t="n"/>
      <c r="U1599" s="7" t="n"/>
      <c r="V1599" s="7" t="n"/>
      <c r="Y1599">
        <f>IF($D1599="","",IF($AN1599=1,0,IF($AM1599=1,Settings!$C$6,Settings!$C$7))*100)</f>
        <v/>
      </c>
      <c r="Z1599" s="7">
        <f>IF($D1599="","",V1599*Y1599/100)</f>
        <v/>
      </c>
      <c r="AA1599" s="7">
        <f>IF($D1599="","",V1599-Z1599)</f>
        <v/>
      </c>
      <c r="AB1599" s="7">
        <f>IF($D1599="","",AA1599-N1599)</f>
        <v/>
      </c>
      <c r="AF1599" s="7" t="n"/>
      <c r="AI1599" s="11" t="n"/>
      <c r="AK1599">
        <f>IF($D1599="","",IF(COUNTIF($D$2:$D1599,$D1599)=1,1,0))</f>
        <v/>
      </c>
      <c r="AL1599">
        <f>IF($AK1599=1,SUMPRODUCT(--($AO$2:$AO$3001&lt;$AO1599))+1,"")</f>
        <v/>
      </c>
      <c r="AM1599">
        <f>IF($D1599="","",IF(OR($R1599=TRUE(),$R1599="TRUE"),1,0))</f>
        <v/>
      </c>
      <c r="AN1599">
        <f>IF($D1599="","",IF($X1599="Yes",1,0))</f>
        <v/>
      </c>
      <c r="AO1599">
        <f>IF($AK1599=1,IFERROR(IF(VALUE($D1599)&lt;100000000,VALUE($D1599),1000000000),IFERROR(IF(VALUE(MID($D1599,2,20))&lt;100000000,VALUE(MID($D1599,2,20)),1000000000),1000000000))+ROW()/100000,"")</f>
        <v/>
      </c>
    </row>
    <row r="1600">
      <c r="F1600" s="11" t="n"/>
      <c r="N1600" s="7">
        <f>IF($D1600="","",M1600*V1600/100)</f>
        <v/>
      </c>
      <c r="O1600" s="7" t="n"/>
      <c r="U1600" s="7" t="n"/>
      <c r="V1600" s="7" t="n"/>
      <c r="Y1600">
        <f>IF($D1600="","",IF($AN1600=1,0,IF($AM1600=1,Settings!$C$6,Settings!$C$7))*100)</f>
        <v/>
      </c>
      <c r="Z1600" s="7">
        <f>IF($D1600="","",V1600*Y1600/100)</f>
        <v/>
      </c>
      <c r="AA1600" s="7">
        <f>IF($D1600="","",V1600-Z1600)</f>
        <v/>
      </c>
      <c r="AB1600" s="7">
        <f>IF($D1600="","",AA1600-N1600)</f>
        <v/>
      </c>
      <c r="AF1600" s="7" t="n"/>
      <c r="AI1600" s="11" t="n"/>
      <c r="AK1600">
        <f>IF($D1600="","",IF(COUNTIF($D$2:$D1600,$D1600)=1,1,0))</f>
        <v/>
      </c>
      <c r="AL1600">
        <f>IF($AK1600=1,SUMPRODUCT(--($AO$2:$AO$3001&lt;$AO1600))+1,"")</f>
        <v/>
      </c>
      <c r="AM1600">
        <f>IF($D1600="","",IF(OR($R1600=TRUE(),$R1600="TRUE"),1,0))</f>
        <v/>
      </c>
      <c r="AN1600">
        <f>IF($D1600="","",IF($X1600="Yes",1,0))</f>
        <v/>
      </c>
      <c r="AO1600">
        <f>IF($AK1600=1,IFERROR(IF(VALUE($D1600)&lt;100000000,VALUE($D1600),1000000000),IFERROR(IF(VALUE(MID($D1600,2,20))&lt;100000000,VALUE(MID($D1600,2,20)),1000000000),1000000000))+ROW()/100000,"")</f>
        <v/>
      </c>
    </row>
    <row r="1601">
      <c r="F1601" s="11" t="n"/>
      <c r="N1601" s="7">
        <f>IF($D1601="","",M1601*V1601/100)</f>
        <v/>
      </c>
      <c r="O1601" s="7" t="n"/>
      <c r="U1601" s="7" t="n"/>
      <c r="V1601" s="7" t="n"/>
      <c r="Y1601">
        <f>IF($D1601="","",IF($AN1601=1,0,IF($AM1601=1,Settings!$C$6,Settings!$C$7))*100)</f>
        <v/>
      </c>
      <c r="Z1601" s="7">
        <f>IF($D1601="","",V1601*Y1601/100)</f>
        <v/>
      </c>
      <c r="AA1601" s="7">
        <f>IF($D1601="","",V1601-Z1601)</f>
        <v/>
      </c>
      <c r="AB1601" s="7">
        <f>IF($D1601="","",AA1601-N1601)</f>
        <v/>
      </c>
      <c r="AF1601" s="7" t="n"/>
      <c r="AI1601" s="11" t="n"/>
      <c r="AK1601">
        <f>IF($D1601="","",IF(COUNTIF($D$2:$D1601,$D1601)=1,1,0))</f>
        <v/>
      </c>
      <c r="AL1601">
        <f>IF($AK1601=1,SUMPRODUCT(--($AO$2:$AO$3001&lt;$AO1601))+1,"")</f>
        <v/>
      </c>
      <c r="AM1601">
        <f>IF($D1601="","",IF(OR($R1601=TRUE(),$R1601="TRUE"),1,0))</f>
        <v/>
      </c>
      <c r="AN1601">
        <f>IF($D1601="","",IF($X1601="Yes",1,0))</f>
        <v/>
      </c>
      <c r="AO1601">
        <f>IF($AK1601=1,IFERROR(IF(VALUE($D1601)&lt;100000000,VALUE($D1601),1000000000),IFERROR(IF(VALUE(MID($D1601,2,20))&lt;100000000,VALUE(MID($D1601,2,20)),1000000000),1000000000))+ROW()/100000,"")</f>
        <v/>
      </c>
    </row>
    <row r="1602">
      <c r="F1602" s="11" t="n"/>
      <c r="N1602" s="7">
        <f>IF($D1602="","",M1602*V1602/100)</f>
        <v/>
      </c>
      <c r="O1602" s="7" t="n"/>
      <c r="U1602" s="7" t="n"/>
      <c r="V1602" s="7" t="n"/>
      <c r="Y1602">
        <f>IF($D1602="","",IF($AN1602=1,0,IF($AM1602=1,Settings!$C$6,Settings!$C$7))*100)</f>
        <v/>
      </c>
      <c r="Z1602" s="7">
        <f>IF($D1602="","",V1602*Y1602/100)</f>
        <v/>
      </c>
      <c r="AA1602" s="7">
        <f>IF($D1602="","",V1602-Z1602)</f>
        <v/>
      </c>
      <c r="AB1602" s="7">
        <f>IF($D1602="","",AA1602-N1602)</f>
        <v/>
      </c>
      <c r="AF1602" s="7" t="n"/>
      <c r="AI1602" s="11" t="n"/>
      <c r="AK1602">
        <f>IF($D1602="","",IF(COUNTIF($D$2:$D1602,$D1602)=1,1,0))</f>
        <v/>
      </c>
      <c r="AL1602">
        <f>IF($AK1602=1,SUMPRODUCT(--($AO$2:$AO$3001&lt;$AO1602))+1,"")</f>
        <v/>
      </c>
      <c r="AM1602">
        <f>IF($D1602="","",IF(OR($R1602=TRUE(),$R1602="TRUE"),1,0))</f>
        <v/>
      </c>
      <c r="AN1602">
        <f>IF($D1602="","",IF($X1602="Yes",1,0))</f>
        <v/>
      </c>
      <c r="AO1602">
        <f>IF($AK1602=1,IFERROR(IF(VALUE($D1602)&lt;100000000,VALUE($D1602),1000000000),IFERROR(IF(VALUE(MID($D1602,2,20))&lt;100000000,VALUE(MID($D1602,2,20)),1000000000),1000000000))+ROW()/100000,"")</f>
        <v/>
      </c>
    </row>
    <row r="1603">
      <c r="F1603" s="11" t="n"/>
      <c r="N1603" s="7">
        <f>IF($D1603="","",M1603*V1603/100)</f>
        <v/>
      </c>
      <c r="O1603" s="7" t="n"/>
      <c r="U1603" s="7" t="n"/>
      <c r="V1603" s="7" t="n"/>
      <c r="Y1603">
        <f>IF($D1603="","",IF($AN1603=1,0,IF($AM1603=1,Settings!$C$6,Settings!$C$7))*100)</f>
        <v/>
      </c>
      <c r="Z1603" s="7">
        <f>IF($D1603="","",V1603*Y1603/100)</f>
        <v/>
      </c>
      <c r="AA1603" s="7">
        <f>IF($D1603="","",V1603-Z1603)</f>
        <v/>
      </c>
      <c r="AB1603" s="7">
        <f>IF($D1603="","",AA1603-N1603)</f>
        <v/>
      </c>
      <c r="AF1603" s="7" t="n"/>
      <c r="AI1603" s="11" t="n"/>
      <c r="AK1603">
        <f>IF($D1603="","",IF(COUNTIF($D$2:$D1603,$D1603)=1,1,0))</f>
        <v/>
      </c>
      <c r="AL1603">
        <f>IF($AK1603=1,SUMPRODUCT(--($AO$2:$AO$3001&lt;$AO1603))+1,"")</f>
        <v/>
      </c>
      <c r="AM1603">
        <f>IF($D1603="","",IF(OR($R1603=TRUE(),$R1603="TRUE"),1,0))</f>
        <v/>
      </c>
      <c r="AN1603">
        <f>IF($D1603="","",IF($X1603="Yes",1,0))</f>
        <v/>
      </c>
      <c r="AO1603">
        <f>IF($AK1603=1,IFERROR(IF(VALUE($D1603)&lt;100000000,VALUE($D1603),1000000000),IFERROR(IF(VALUE(MID($D1603,2,20))&lt;100000000,VALUE(MID($D1603,2,20)),1000000000),1000000000))+ROW()/100000,"")</f>
        <v/>
      </c>
    </row>
    <row r="1604">
      <c r="F1604" s="11" t="n"/>
      <c r="N1604" s="7">
        <f>IF($D1604="","",M1604*V1604/100)</f>
        <v/>
      </c>
      <c r="O1604" s="7" t="n"/>
      <c r="U1604" s="7" t="n"/>
      <c r="V1604" s="7" t="n"/>
      <c r="Y1604">
        <f>IF($D1604="","",IF($AN1604=1,0,IF($AM1604=1,Settings!$C$6,Settings!$C$7))*100)</f>
        <v/>
      </c>
      <c r="Z1604" s="7">
        <f>IF($D1604="","",V1604*Y1604/100)</f>
        <v/>
      </c>
      <c r="AA1604" s="7">
        <f>IF($D1604="","",V1604-Z1604)</f>
        <v/>
      </c>
      <c r="AB1604" s="7">
        <f>IF($D1604="","",AA1604-N1604)</f>
        <v/>
      </c>
      <c r="AF1604" s="7" t="n"/>
      <c r="AI1604" s="11" t="n"/>
      <c r="AK1604">
        <f>IF($D1604="","",IF(COUNTIF($D$2:$D1604,$D1604)=1,1,0))</f>
        <v/>
      </c>
      <c r="AL1604">
        <f>IF($AK1604=1,SUMPRODUCT(--($AO$2:$AO$3001&lt;$AO1604))+1,"")</f>
        <v/>
      </c>
      <c r="AM1604">
        <f>IF($D1604="","",IF(OR($R1604=TRUE(),$R1604="TRUE"),1,0))</f>
        <v/>
      </c>
      <c r="AN1604">
        <f>IF($D1604="","",IF($X1604="Yes",1,0))</f>
        <v/>
      </c>
      <c r="AO1604">
        <f>IF($AK1604=1,IFERROR(IF(VALUE($D1604)&lt;100000000,VALUE($D1604),1000000000),IFERROR(IF(VALUE(MID($D1604,2,20))&lt;100000000,VALUE(MID($D1604,2,20)),1000000000),1000000000))+ROW()/100000,"")</f>
        <v/>
      </c>
    </row>
    <row r="1605">
      <c r="F1605" s="11" t="n"/>
      <c r="N1605" s="7">
        <f>IF($D1605="","",M1605*V1605/100)</f>
        <v/>
      </c>
      <c r="O1605" s="7" t="n"/>
      <c r="U1605" s="7" t="n"/>
      <c r="V1605" s="7" t="n"/>
      <c r="Y1605">
        <f>IF($D1605="","",IF($AN1605=1,0,IF($AM1605=1,Settings!$C$6,Settings!$C$7))*100)</f>
        <v/>
      </c>
      <c r="Z1605" s="7">
        <f>IF($D1605="","",V1605*Y1605/100)</f>
        <v/>
      </c>
      <c r="AA1605" s="7">
        <f>IF($D1605="","",V1605-Z1605)</f>
        <v/>
      </c>
      <c r="AB1605" s="7">
        <f>IF($D1605="","",AA1605-N1605)</f>
        <v/>
      </c>
      <c r="AF1605" s="7" t="n"/>
      <c r="AI1605" s="11" t="n"/>
      <c r="AK1605">
        <f>IF($D1605="","",IF(COUNTIF($D$2:$D1605,$D1605)=1,1,0))</f>
        <v/>
      </c>
      <c r="AL1605">
        <f>IF($AK1605=1,SUMPRODUCT(--($AO$2:$AO$3001&lt;$AO1605))+1,"")</f>
        <v/>
      </c>
      <c r="AM1605">
        <f>IF($D1605="","",IF(OR($R1605=TRUE(),$R1605="TRUE"),1,0))</f>
        <v/>
      </c>
      <c r="AN1605">
        <f>IF($D1605="","",IF($X1605="Yes",1,0))</f>
        <v/>
      </c>
      <c r="AO1605">
        <f>IF($AK1605=1,IFERROR(IF(VALUE($D1605)&lt;100000000,VALUE($D1605),1000000000),IFERROR(IF(VALUE(MID($D1605,2,20))&lt;100000000,VALUE(MID($D1605,2,20)),1000000000),1000000000))+ROW()/100000,"")</f>
        <v/>
      </c>
    </row>
    <row r="1606">
      <c r="F1606" s="11" t="n"/>
      <c r="N1606" s="7">
        <f>IF($D1606="","",M1606*V1606/100)</f>
        <v/>
      </c>
      <c r="O1606" s="7" t="n"/>
      <c r="U1606" s="7" t="n"/>
      <c r="V1606" s="7" t="n"/>
      <c r="Y1606">
        <f>IF($D1606="","",IF($AN1606=1,0,IF($AM1606=1,Settings!$C$6,Settings!$C$7))*100)</f>
        <v/>
      </c>
      <c r="Z1606" s="7">
        <f>IF($D1606="","",V1606*Y1606/100)</f>
        <v/>
      </c>
      <c r="AA1606" s="7">
        <f>IF($D1606="","",V1606-Z1606)</f>
        <v/>
      </c>
      <c r="AB1606" s="7">
        <f>IF($D1606="","",AA1606-N1606)</f>
        <v/>
      </c>
      <c r="AF1606" s="7" t="n"/>
      <c r="AI1606" s="11" t="n"/>
      <c r="AK1606">
        <f>IF($D1606="","",IF(COUNTIF($D$2:$D1606,$D1606)=1,1,0))</f>
        <v/>
      </c>
      <c r="AL1606">
        <f>IF($AK1606=1,SUMPRODUCT(--($AO$2:$AO$3001&lt;$AO1606))+1,"")</f>
        <v/>
      </c>
      <c r="AM1606">
        <f>IF($D1606="","",IF(OR($R1606=TRUE(),$R1606="TRUE"),1,0))</f>
        <v/>
      </c>
      <c r="AN1606">
        <f>IF($D1606="","",IF($X1606="Yes",1,0))</f>
        <v/>
      </c>
      <c r="AO1606">
        <f>IF($AK1606=1,IFERROR(IF(VALUE($D1606)&lt;100000000,VALUE($D1606),1000000000),IFERROR(IF(VALUE(MID($D1606,2,20))&lt;100000000,VALUE(MID($D1606,2,20)),1000000000),1000000000))+ROW()/100000,"")</f>
        <v/>
      </c>
    </row>
    <row r="1607">
      <c r="F1607" s="11" t="n"/>
      <c r="N1607" s="7">
        <f>IF($D1607="","",M1607*V1607/100)</f>
        <v/>
      </c>
      <c r="O1607" s="7" t="n"/>
      <c r="U1607" s="7" t="n"/>
      <c r="V1607" s="7" t="n"/>
      <c r="Y1607">
        <f>IF($D1607="","",IF($AN1607=1,0,IF($AM1607=1,Settings!$C$6,Settings!$C$7))*100)</f>
        <v/>
      </c>
      <c r="Z1607" s="7">
        <f>IF($D1607="","",V1607*Y1607/100)</f>
        <v/>
      </c>
      <c r="AA1607" s="7">
        <f>IF($D1607="","",V1607-Z1607)</f>
        <v/>
      </c>
      <c r="AB1607" s="7">
        <f>IF($D1607="","",AA1607-N1607)</f>
        <v/>
      </c>
      <c r="AF1607" s="7" t="n"/>
      <c r="AI1607" s="11" t="n"/>
      <c r="AK1607">
        <f>IF($D1607="","",IF(COUNTIF($D$2:$D1607,$D1607)=1,1,0))</f>
        <v/>
      </c>
      <c r="AL1607">
        <f>IF($AK1607=1,SUMPRODUCT(--($AO$2:$AO$3001&lt;$AO1607))+1,"")</f>
        <v/>
      </c>
      <c r="AM1607">
        <f>IF($D1607="","",IF(OR($R1607=TRUE(),$R1607="TRUE"),1,0))</f>
        <v/>
      </c>
      <c r="AN1607">
        <f>IF($D1607="","",IF($X1607="Yes",1,0))</f>
        <v/>
      </c>
      <c r="AO1607">
        <f>IF($AK1607=1,IFERROR(IF(VALUE($D1607)&lt;100000000,VALUE($D1607),1000000000),IFERROR(IF(VALUE(MID($D1607,2,20))&lt;100000000,VALUE(MID($D1607,2,20)),1000000000),1000000000))+ROW()/100000,"")</f>
        <v/>
      </c>
    </row>
    <row r="1608">
      <c r="F1608" s="11" t="n"/>
      <c r="N1608" s="7">
        <f>IF($D1608="","",M1608*V1608/100)</f>
        <v/>
      </c>
      <c r="O1608" s="7" t="n"/>
      <c r="U1608" s="7" t="n"/>
      <c r="V1608" s="7" t="n"/>
      <c r="Y1608">
        <f>IF($D1608="","",IF($AN1608=1,0,IF($AM1608=1,Settings!$C$6,Settings!$C$7))*100)</f>
        <v/>
      </c>
      <c r="Z1608" s="7">
        <f>IF($D1608="","",V1608*Y1608/100)</f>
        <v/>
      </c>
      <c r="AA1608" s="7">
        <f>IF($D1608="","",V1608-Z1608)</f>
        <v/>
      </c>
      <c r="AB1608" s="7">
        <f>IF($D1608="","",AA1608-N1608)</f>
        <v/>
      </c>
      <c r="AF1608" s="7" t="n"/>
      <c r="AI1608" s="11" t="n"/>
      <c r="AK1608">
        <f>IF($D1608="","",IF(COUNTIF($D$2:$D1608,$D1608)=1,1,0))</f>
        <v/>
      </c>
      <c r="AL1608">
        <f>IF($AK1608=1,SUMPRODUCT(--($AO$2:$AO$3001&lt;$AO1608))+1,"")</f>
        <v/>
      </c>
      <c r="AM1608">
        <f>IF($D1608="","",IF(OR($R1608=TRUE(),$R1608="TRUE"),1,0))</f>
        <v/>
      </c>
      <c r="AN1608">
        <f>IF($D1608="","",IF($X1608="Yes",1,0))</f>
        <v/>
      </c>
      <c r="AO1608">
        <f>IF($AK1608=1,IFERROR(IF(VALUE($D1608)&lt;100000000,VALUE($D1608),1000000000),IFERROR(IF(VALUE(MID($D1608,2,20))&lt;100000000,VALUE(MID($D1608,2,20)),1000000000),1000000000))+ROW()/100000,"")</f>
        <v/>
      </c>
    </row>
    <row r="1609">
      <c r="F1609" s="11" t="n"/>
      <c r="N1609" s="7">
        <f>IF($D1609="","",M1609*V1609/100)</f>
        <v/>
      </c>
      <c r="O1609" s="7" t="n"/>
      <c r="U1609" s="7" t="n"/>
      <c r="V1609" s="7" t="n"/>
      <c r="Y1609">
        <f>IF($D1609="","",IF($AN1609=1,0,IF($AM1609=1,Settings!$C$6,Settings!$C$7))*100)</f>
        <v/>
      </c>
      <c r="Z1609" s="7">
        <f>IF($D1609="","",V1609*Y1609/100)</f>
        <v/>
      </c>
      <c r="AA1609" s="7">
        <f>IF($D1609="","",V1609-Z1609)</f>
        <v/>
      </c>
      <c r="AB1609" s="7">
        <f>IF($D1609="","",AA1609-N1609)</f>
        <v/>
      </c>
      <c r="AF1609" s="7" t="n"/>
      <c r="AI1609" s="11" t="n"/>
      <c r="AK1609">
        <f>IF($D1609="","",IF(COUNTIF($D$2:$D1609,$D1609)=1,1,0))</f>
        <v/>
      </c>
      <c r="AL1609">
        <f>IF($AK1609=1,SUMPRODUCT(--($AO$2:$AO$3001&lt;$AO1609))+1,"")</f>
        <v/>
      </c>
      <c r="AM1609">
        <f>IF($D1609="","",IF(OR($R1609=TRUE(),$R1609="TRUE"),1,0))</f>
        <v/>
      </c>
      <c r="AN1609">
        <f>IF($D1609="","",IF($X1609="Yes",1,0))</f>
        <v/>
      </c>
      <c r="AO1609">
        <f>IF($AK1609=1,IFERROR(IF(VALUE($D1609)&lt;100000000,VALUE($D1609),1000000000),IFERROR(IF(VALUE(MID($D1609,2,20))&lt;100000000,VALUE(MID($D1609,2,20)),1000000000),1000000000))+ROW()/100000,"")</f>
        <v/>
      </c>
    </row>
    <row r="1610">
      <c r="F1610" s="11" t="n"/>
      <c r="N1610" s="7">
        <f>IF($D1610="","",M1610*V1610/100)</f>
        <v/>
      </c>
      <c r="O1610" s="7" t="n"/>
      <c r="U1610" s="7" t="n"/>
      <c r="V1610" s="7" t="n"/>
      <c r="Y1610">
        <f>IF($D1610="","",IF($AN1610=1,0,IF($AM1610=1,Settings!$C$6,Settings!$C$7))*100)</f>
        <v/>
      </c>
      <c r="Z1610" s="7">
        <f>IF($D1610="","",V1610*Y1610/100)</f>
        <v/>
      </c>
      <c r="AA1610" s="7">
        <f>IF($D1610="","",V1610-Z1610)</f>
        <v/>
      </c>
      <c r="AB1610" s="7">
        <f>IF($D1610="","",AA1610-N1610)</f>
        <v/>
      </c>
      <c r="AF1610" s="7" t="n"/>
      <c r="AI1610" s="11" t="n"/>
      <c r="AK1610">
        <f>IF($D1610="","",IF(COUNTIF($D$2:$D1610,$D1610)=1,1,0))</f>
        <v/>
      </c>
      <c r="AL1610">
        <f>IF($AK1610=1,SUMPRODUCT(--($AO$2:$AO$3001&lt;$AO1610))+1,"")</f>
        <v/>
      </c>
      <c r="AM1610">
        <f>IF($D1610="","",IF(OR($R1610=TRUE(),$R1610="TRUE"),1,0))</f>
        <v/>
      </c>
      <c r="AN1610">
        <f>IF($D1610="","",IF($X1610="Yes",1,0))</f>
        <v/>
      </c>
      <c r="AO1610">
        <f>IF($AK1610=1,IFERROR(IF(VALUE($D1610)&lt;100000000,VALUE($D1610),1000000000),IFERROR(IF(VALUE(MID($D1610,2,20))&lt;100000000,VALUE(MID($D1610,2,20)),1000000000),1000000000))+ROW()/100000,"")</f>
        <v/>
      </c>
    </row>
    <row r="1611">
      <c r="F1611" s="11" t="n"/>
      <c r="N1611" s="7">
        <f>IF($D1611="","",M1611*V1611/100)</f>
        <v/>
      </c>
      <c r="O1611" s="7" t="n"/>
      <c r="U1611" s="7" t="n"/>
      <c r="V1611" s="7" t="n"/>
      <c r="Y1611">
        <f>IF($D1611="","",IF($AN1611=1,0,IF($AM1611=1,Settings!$C$6,Settings!$C$7))*100)</f>
        <v/>
      </c>
      <c r="Z1611" s="7">
        <f>IF($D1611="","",V1611*Y1611/100)</f>
        <v/>
      </c>
      <c r="AA1611" s="7">
        <f>IF($D1611="","",V1611-Z1611)</f>
        <v/>
      </c>
      <c r="AB1611" s="7">
        <f>IF($D1611="","",AA1611-N1611)</f>
        <v/>
      </c>
      <c r="AF1611" s="7" t="n"/>
      <c r="AI1611" s="11" t="n"/>
      <c r="AK1611">
        <f>IF($D1611="","",IF(COUNTIF($D$2:$D1611,$D1611)=1,1,0))</f>
        <v/>
      </c>
      <c r="AL1611">
        <f>IF($AK1611=1,SUMPRODUCT(--($AO$2:$AO$3001&lt;$AO1611))+1,"")</f>
        <v/>
      </c>
      <c r="AM1611">
        <f>IF($D1611="","",IF(OR($R1611=TRUE(),$R1611="TRUE"),1,0))</f>
        <v/>
      </c>
      <c r="AN1611">
        <f>IF($D1611="","",IF($X1611="Yes",1,0))</f>
        <v/>
      </c>
      <c r="AO1611">
        <f>IF($AK1611=1,IFERROR(IF(VALUE($D1611)&lt;100000000,VALUE($D1611),1000000000),IFERROR(IF(VALUE(MID($D1611,2,20))&lt;100000000,VALUE(MID($D1611,2,20)),1000000000),1000000000))+ROW()/100000,"")</f>
        <v/>
      </c>
    </row>
    <row r="1612">
      <c r="F1612" s="11" t="n"/>
      <c r="N1612" s="7">
        <f>IF($D1612="","",M1612*V1612/100)</f>
        <v/>
      </c>
      <c r="O1612" s="7" t="n"/>
      <c r="U1612" s="7" t="n"/>
      <c r="V1612" s="7" t="n"/>
      <c r="Y1612">
        <f>IF($D1612="","",IF($AN1612=1,0,IF($AM1612=1,Settings!$C$6,Settings!$C$7))*100)</f>
        <v/>
      </c>
      <c r="Z1612" s="7">
        <f>IF($D1612="","",V1612*Y1612/100)</f>
        <v/>
      </c>
      <c r="AA1612" s="7">
        <f>IF($D1612="","",V1612-Z1612)</f>
        <v/>
      </c>
      <c r="AB1612" s="7">
        <f>IF($D1612="","",AA1612-N1612)</f>
        <v/>
      </c>
      <c r="AF1612" s="7" t="n"/>
      <c r="AI1612" s="11" t="n"/>
      <c r="AK1612">
        <f>IF($D1612="","",IF(COUNTIF($D$2:$D1612,$D1612)=1,1,0))</f>
        <v/>
      </c>
      <c r="AL1612">
        <f>IF($AK1612=1,SUMPRODUCT(--($AO$2:$AO$3001&lt;$AO1612))+1,"")</f>
        <v/>
      </c>
      <c r="AM1612">
        <f>IF($D1612="","",IF(OR($R1612=TRUE(),$R1612="TRUE"),1,0))</f>
        <v/>
      </c>
      <c r="AN1612">
        <f>IF($D1612="","",IF($X1612="Yes",1,0))</f>
        <v/>
      </c>
      <c r="AO1612">
        <f>IF($AK1612=1,IFERROR(IF(VALUE($D1612)&lt;100000000,VALUE($D1612),1000000000),IFERROR(IF(VALUE(MID($D1612,2,20))&lt;100000000,VALUE(MID($D1612,2,20)),1000000000),1000000000))+ROW()/100000,"")</f>
        <v/>
      </c>
    </row>
    <row r="1613">
      <c r="F1613" s="11" t="n"/>
      <c r="N1613" s="7">
        <f>IF($D1613="","",M1613*V1613/100)</f>
        <v/>
      </c>
      <c r="O1613" s="7" t="n"/>
      <c r="U1613" s="7" t="n"/>
      <c r="V1613" s="7" t="n"/>
      <c r="Y1613">
        <f>IF($D1613="","",IF($AN1613=1,0,IF($AM1613=1,Settings!$C$6,Settings!$C$7))*100)</f>
        <v/>
      </c>
      <c r="Z1613" s="7">
        <f>IF($D1613="","",V1613*Y1613/100)</f>
        <v/>
      </c>
      <c r="AA1613" s="7">
        <f>IF($D1613="","",V1613-Z1613)</f>
        <v/>
      </c>
      <c r="AB1613" s="7">
        <f>IF($D1613="","",AA1613-N1613)</f>
        <v/>
      </c>
      <c r="AF1613" s="7" t="n"/>
      <c r="AI1613" s="11" t="n"/>
      <c r="AK1613">
        <f>IF($D1613="","",IF(COUNTIF($D$2:$D1613,$D1613)=1,1,0))</f>
        <v/>
      </c>
      <c r="AL1613">
        <f>IF($AK1613=1,SUMPRODUCT(--($AO$2:$AO$3001&lt;$AO1613))+1,"")</f>
        <v/>
      </c>
      <c r="AM1613">
        <f>IF($D1613="","",IF(OR($R1613=TRUE(),$R1613="TRUE"),1,0))</f>
        <v/>
      </c>
      <c r="AN1613">
        <f>IF($D1613="","",IF($X1613="Yes",1,0))</f>
        <v/>
      </c>
      <c r="AO1613">
        <f>IF($AK1613=1,IFERROR(IF(VALUE($D1613)&lt;100000000,VALUE($D1613),1000000000),IFERROR(IF(VALUE(MID($D1613,2,20))&lt;100000000,VALUE(MID($D1613,2,20)),1000000000),1000000000))+ROW()/100000,"")</f>
        <v/>
      </c>
    </row>
    <row r="1614">
      <c r="F1614" s="11" t="n"/>
      <c r="N1614" s="7">
        <f>IF($D1614="","",M1614*V1614/100)</f>
        <v/>
      </c>
      <c r="O1614" s="7" t="n"/>
      <c r="U1614" s="7" t="n"/>
      <c r="V1614" s="7" t="n"/>
      <c r="Y1614">
        <f>IF($D1614="","",IF($AN1614=1,0,IF($AM1614=1,Settings!$C$6,Settings!$C$7))*100)</f>
        <v/>
      </c>
      <c r="Z1614" s="7">
        <f>IF($D1614="","",V1614*Y1614/100)</f>
        <v/>
      </c>
      <c r="AA1614" s="7">
        <f>IF($D1614="","",V1614-Z1614)</f>
        <v/>
      </c>
      <c r="AB1614" s="7">
        <f>IF($D1614="","",AA1614-N1614)</f>
        <v/>
      </c>
      <c r="AF1614" s="7" t="n"/>
      <c r="AI1614" s="11" t="n"/>
      <c r="AK1614">
        <f>IF($D1614="","",IF(COUNTIF($D$2:$D1614,$D1614)=1,1,0))</f>
        <v/>
      </c>
      <c r="AL1614">
        <f>IF($AK1614=1,SUMPRODUCT(--($AO$2:$AO$3001&lt;$AO1614))+1,"")</f>
        <v/>
      </c>
      <c r="AM1614">
        <f>IF($D1614="","",IF(OR($R1614=TRUE(),$R1614="TRUE"),1,0))</f>
        <v/>
      </c>
      <c r="AN1614">
        <f>IF($D1614="","",IF($X1614="Yes",1,0))</f>
        <v/>
      </c>
      <c r="AO1614">
        <f>IF($AK1614=1,IFERROR(IF(VALUE($D1614)&lt;100000000,VALUE($D1614),1000000000),IFERROR(IF(VALUE(MID($D1614,2,20))&lt;100000000,VALUE(MID($D1614,2,20)),1000000000),1000000000))+ROW()/100000,"")</f>
        <v/>
      </c>
    </row>
    <row r="1615">
      <c r="F1615" s="11" t="n"/>
      <c r="N1615" s="7">
        <f>IF($D1615="","",M1615*V1615/100)</f>
        <v/>
      </c>
      <c r="O1615" s="7" t="n"/>
      <c r="U1615" s="7" t="n"/>
      <c r="V1615" s="7" t="n"/>
      <c r="Y1615">
        <f>IF($D1615="","",IF($AN1615=1,0,IF($AM1615=1,Settings!$C$6,Settings!$C$7))*100)</f>
        <v/>
      </c>
      <c r="Z1615" s="7">
        <f>IF($D1615="","",V1615*Y1615/100)</f>
        <v/>
      </c>
      <c r="AA1615" s="7">
        <f>IF($D1615="","",V1615-Z1615)</f>
        <v/>
      </c>
      <c r="AB1615" s="7">
        <f>IF($D1615="","",AA1615-N1615)</f>
        <v/>
      </c>
      <c r="AF1615" s="7" t="n"/>
      <c r="AI1615" s="11" t="n"/>
      <c r="AK1615">
        <f>IF($D1615="","",IF(COUNTIF($D$2:$D1615,$D1615)=1,1,0))</f>
        <v/>
      </c>
      <c r="AL1615">
        <f>IF($AK1615=1,SUMPRODUCT(--($AO$2:$AO$3001&lt;$AO1615))+1,"")</f>
        <v/>
      </c>
      <c r="AM1615">
        <f>IF($D1615="","",IF(OR($R1615=TRUE(),$R1615="TRUE"),1,0))</f>
        <v/>
      </c>
      <c r="AN1615">
        <f>IF($D1615="","",IF($X1615="Yes",1,0))</f>
        <v/>
      </c>
      <c r="AO1615">
        <f>IF($AK1615=1,IFERROR(IF(VALUE($D1615)&lt;100000000,VALUE($D1615),1000000000),IFERROR(IF(VALUE(MID($D1615,2,20))&lt;100000000,VALUE(MID($D1615,2,20)),1000000000),1000000000))+ROW()/100000,"")</f>
        <v/>
      </c>
    </row>
    <row r="1616">
      <c r="F1616" s="11" t="n"/>
      <c r="N1616" s="7">
        <f>IF($D1616="","",M1616*V1616/100)</f>
        <v/>
      </c>
      <c r="O1616" s="7" t="n"/>
      <c r="U1616" s="7" t="n"/>
      <c r="V1616" s="7" t="n"/>
      <c r="Y1616">
        <f>IF($D1616="","",IF($AN1616=1,0,IF($AM1616=1,Settings!$C$6,Settings!$C$7))*100)</f>
        <v/>
      </c>
      <c r="Z1616" s="7">
        <f>IF($D1616="","",V1616*Y1616/100)</f>
        <v/>
      </c>
      <c r="AA1616" s="7">
        <f>IF($D1616="","",V1616-Z1616)</f>
        <v/>
      </c>
      <c r="AB1616" s="7">
        <f>IF($D1616="","",AA1616-N1616)</f>
        <v/>
      </c>
      <c r="AF1616" s="7" t="n"/>
      <c r="AI1616" s="11" t="n"/>
      <c r="AK1616">
        <f>IF($D1616="","",IF(COUNTIF($D$2:$D1616,$D1616)=1,1,0))</f>
        <v/>
      </c>
      <c r="AL1616">
        <f>IF($AK1616=1,SUMPRODUCT(--($AO$2:$AO$3001&lt;$AO1616))+1,"")</f>
        <v/>
      </c>
      <c r="AM1616">
        <f>IF($D1616="","",IF(OR($R1616=TRUE(),$R1616="TRUE"),1,0))</f>
        <v/>
      </c>
      <c r="AN1616">
        <f>IF($D1616="","",IF($X1616="Yes",1,0))</f>
        <v/>
      </c>
      <c r="AO1616">
        <f>IF($AK1616=1,IFERROR(IF(VALUE($D1616)&lt;100000000,VALUE($D1616),1000000000),IFERROR(IF(VALUE(MID($D1616,2,20))&lt;100000000,VALUE(MID($D1616,2,20)),1000000000),1000000000))+ROW()/100000,"")</f>
        <v/>
      </c>
    </row>
    <row r="1617">
      <c r="F1617" s="11" t="n"/>
      <c r="N1617" s="7">
        <f>IF($D1617="","",M1617*V1617/100)</f>
        <v/>
      </c>
      <c r="O1617" s="7" t="n"/>
      <c r="U1617" s="7" t="n"/>
      <c r="V1617" s="7" t="n"/>
      <c r="Y1617">
        <f>IF($D1617="","",IF($AN1617=1,0,IF($AM1617=1,Settings!$C$6,Settings!$C$7))*100)</f>
        <v/>
      </c>
      <c r="Z1617" s="7">
        <f>IF($D1617="","",V1617*Y1617/100)</f>
        <v/>
      </c>
      <c r="AA1617" s="7">
        <f>IF($D1617="","",V1617-Z1617)</f>
        <v/>
      </c>
      <c r="AB1617" s="7">
        <f>IF($D1617="","",AA1617-N1617)</f>
        <v/>
      </c>
      <c r="AF1617" s="7" t="n"/>
      <c r="AI1617" s="11" t="n"/>
      <c r="AK1617">
        <f>IF($D1617="","",IF(COUNTIF($D$2:$D1617,$D1617)=1,1,0))</f>
        <v/>
      </c>
      <c r="AL1617">
        <f>IF($AK1617=1,SUMPRODUCT(--($AO$2:$AO$3001&lt;$AO1617))+1,"")</f>
        <v/>
      </c>
      <c r="AM1617">
        <f>IF($D1617="","",IF(OR($R1617=TRUE(),$R1617="TRUE"),1,0))</f>
        <v/>
      </c>
      <c r="AN1617">
        <f>IF($D1617="","",IF($X1617="Yes",1,0))</f>
        <v/>
      </c>
      <c r="AO1617">
        <f>IF($AK1617=1,IFERROR(IF(VALUE($D1617)&lt;100000000,VALUE($D1617),1000000000),IFERROR(IF(VALUE(MID($D1617,2,20))&lt;100000000,VALUE(MID($D1617,2,20)),1000000000),1000000000))+ROW()/100000,"")</f>
        <v/>
      </c>
    </row>
    <row r="1618">
      <c r="F1618" s="11" t="n"/>
      <c r="N1618" s="7">
        <f>IF($D1618="","",M1618*V1618/100)</f>
        <v/>
      </c>
      <c r="O1618" s="7" t="n"/>
      <c r="U1618" s="7" t="n"/>
      <c r="V1618" s="7" t="n"/>
      <c r="Y1618">
        <f>IF($D1618="","",IF($AN1618=1,0,IF($AM1618=1,Settings!$C$6,Settings!$C$7))*100)</f>
        <v/>
      </c>
      <c r="Z1618" s="7">
        <f>IF($D1618="","",V1618*Y1618/100)</f>
        <v/>
      </c>
      <c r="AA1618" s="7">
        <f>IF($D1618="","",V1618-Z1618)</f>
        <v/>
      </c>
      <c r="AB1618" s="7">
        <f>IF($D1618="","",AA1618-N1618)</f>
        <v/>
      </c>
      <c r="AF1618" s="7" t="n"/>
      <c r="AI1618" s="11" t="n"/>
      <c r="AK1618">
        <f>IF($D1618="","",IF(COUNTIF($D$2:$D1618,$D1618)=1,1,0))</f>
        <v/>
      </c>
      <c r="AL1618">
        <f>IF($AK1618=1,SUMPRODUCT(--($AO$2:$AO$3001&lt;$AO1618))+1,"")</f>
        <v/>
      </c>
      <c r="AM1618">
        <f>IF($D1618="","",IF(OR($R1618=TRUE(),$R1618="TRUE"),1,0))</f>
        <v/>
      </c>
      <c r="AN1618">
        <f>IF($D1618="","",IF($X1618="Yes",1,0))</f>
        <v/>
      </c>
      <c r="AO1618">
        <f>IF($AK1618=1,IFERROR(IF(VALUE($D1618)&lt;100000000,VALUE($D1618),1000000000),IFERROR(IF(VALUE(MID($D1618,2,20))&lt;100000000,VALUE(MID($D1618,2,20)),1000000000),1000000000))+ROW()/100000,"")</f>
        <v/>
      </c>
    </row>
    <row r="1619">
      <c r="F1619" s="11" t="n"/>
      <c r="N1619" s="7">
        <f>IF($D1619="","",M1619*V1619/100)</f>
        <v/>
      </c>
      <c r="O1619" s="7" t="n"/>
      <c r="U1619" s="7" t="n"/>
      <c r="V1619" s="7" t="n"/>
      <c r="Y1619">
        <f>IF($D1619="","",IF($AN1619=1,0,IF($AM1619=1,Settings!$C$6,Settings!$C$7))*100)</f>
        <v/>
      </c>
      <c r="Z1619" s="7">
        <f>IF($D1619="","",V1619*Y1619/100)</f>
        <v/>
      </c>
      <c r="AA1619" s="7">
        <f>IF($D1619="","",V1619-Z1619)</f>
        <v/>
      </c>
      <c r="AB1619" s="7">
        <f>IF($D1619="","",AA1619-N1619)</f>
        <v/>
      </c>
      <c r="AF1619" s="7" t="n"/>
      <c r="AI1619" s="11" t="n"/>
      <c r="AK1619">
        <f>IF($D1619="","",IF(COUNTIF($D$2:$D1619,$D1619)=1,1,0))</f>
        <v/>
      </c>
      <c r="AL1619">
        <f>IF($AK1619=1,SUMPRODUCT(--($AO$2:$AO$3001&lt;$AO1619))+1,"")</f>
        <v/>
      </c>
      <c r="AM1619">
        <f>IF($D1619="","",IF(OR($R1619=TRUE(),$R1619="TRUE"),1,0))</f>
        <v/>
      </c>
      <c r="AN1619">
        <f>IF($D1619="","",IF($X1619="Yes",1,0))</f>
        <v/>
      </c>
      <c r="AO1619">
        <f>IF($AK1619=1,IFERROR(IF(VALUE($D1619)&lt;100000000,VALUE($D1619),1000000000),IFERROR(IF(VALUE(MID($D1619,2,20))&lt;100000000,VALUE(MID($D1619,2,20)),1000000000),1000000000))+ROW()/100000,"")</f>
        <v/>
      </c>
    </row>
    <row r="1620">
      <c r="F1620" s="11" t="n"/>
      <c r="N1620" s="7">
        <f>IF($D1620="","",M1620*V1620/100)</f>
        <v/>
      </c>
      <c r="O1620" s="7" t="n"/>
      <c r="U1620" s="7" t="n"/>
      <c r="V1620" s="7" t="n"/>
      <c r="Y1620">
        <f>IF($D1620="","",IF($AN1620=1,0,IF($AM1620=1,Settings!$C$6,Settings!$C$7))*100)</f>
        <v/>
      </c>
      <c r="Z1620" s="7">
        <f>IF($D1620="","",V1620*Y1620/100)</f>
        <v/>
      </c>
      <c r="AA1620" s="7">
        <f>IF($D1620="","",V1620-Z1620)</f>
        <v/>
      </c>
      <c r="AB1620" s="7">
        <f>IF($D1620="","",AA1620-N1620)</f>
        <v/>
      </c>
      <c r="AF1620" s="7" t="n"/>
      <c r="AI1620" s="11" t="n"/>
      <c r="AK1620">
        <f>IF($D1620="","",IF(COUNTIF($D$2:$D1620,$D1620)=1,1,0))</f>
        <v/>
      </c>
      <c r="AL1620">
        <f>IF($AK1620=1,SUMPRODUCT(--($AO$2:$AO$3001&lt;$AO1620))+1,"")</f>
        <v/>
      </c>
      <c r="AM1620">
        <f>IF($D1620="","",IF(OR($R1620=TRUE(),$R1620="TRUE"),1,0))</f>
        <v/>
      </c>
      <c r="AN1620">
        <f>IF($D1620="","",IF($X1620="Yes",1,0))</f>
        <v/>
      </c>
      <c r="AO1620">
        <f>IF($AK1620=1,IFERROR(IF(VALUE($D1620)&lt;100000000,VALUE($D1620),1000000000),IFERROR(IF(VALUE(MID($D1620,2,20))&lt;100000000,VALUE(MID($D1620,2,20)),1000000000),1000000000))+ROW()/100000,"")</f>
        <v/>
      </c>
    </row>
    <row r="1621">
      <c r="F1621" s="11" t="n"/>
      <c r="N1621" s="7">
        <f>IF($D1621="","",M1621*V1621/100)</f>
        <v/>
      </c>
      <c r="O1621" s="7" t="n"/>
      <c r="U1621" s="7" t="n"/>
      <c r="V1621" s="7" t="n"/>
      <c r="Y1621">
        <f>IF($D1621="","",IF($AN1621=1,0,IF($AM1621=1,Settings!$C$6,Settings!$C$7))*100)</f>
        <v/>
      </c>
      <c r="Z1621" s="7">
        <f>IF($D1621="","",V1621*Y1621/100)</f>
        <v/>
      </c>
      <c r="AA1621" s="7">
        <f>IF($D1621="","",V1621-Z1621)</f>
        <v/>
      </c>
      <c r="AB1621" s="7">
        <f>IF($D1621="","",AA1621-N1621)</f>
        <v/>
      </c>
      <c r="AF1621" s="7" t="n"/>
      <c r="AI1621" s="11" t="n"/>
      <c r="AK1621">
        <f>IF($D1621="","",IF(COUNTIF($D$2:$D1621,$D1621)=1,1,0))</f>
        <v/>
      </c>
      <c r="AL1621">
        <f>IF($AK1621=1,SUMPRODUCT(--($AO$2:$AO$3001&lt;$AO1621))+1,"")</f>
        <v/>
      </c>
      <c r="AM1621">
        <f>IF($D1621="","",IF(OR($R1621=TRUE(),$R1621="TRUE"),1,0))</f>
        <v/>
      </c>
      <c r="AN1621">
        <f>IF($D1621="","",IF($X1621="Yes",1,0))</f>
        <v/>
      </c>
      <c r="AO1621">
        <f>IF($AK1621=1,IFERROR(IF(VALUE($D1621)&lt;100000000,VALUE($D1621),1000000000),IFERROR(IF(VALUE(MID($D1621,2,20))&lt;100000000,VALUE(MID($D1621,2,20)),1000000000),1000000000))+ROW()/100000,"")</f>
        <v/>
      </c>
    </row>
    <row r="1622">
      <c r="F1622" s="11" t="n"/>
      <c r="N1622" s="7">
        <f>IF($D1622="","",M1622*V1622/100)</f>
        <v/>
      </c>
      <c r="O1622" s="7" t="n"/>
      <c r="U1622" s="7" t="n"/>
      <c r="V1622" s="7" t="n"/>
      <c r="Y1622">
        <f>IF($D1622="","",IF($AN1622=1,0,IF($AM1622=1,Settings!$C$6,Settings!$C$7))*100)</f>
        <v/>
      </c>
      <c r="Z1622" s="7">
        <f>IF($D1622="","",V1622*Y1622/100)</f>
        <v/>
      </c>
      <c r="AA1622" s="7">
        <f>IF($D1622="","",V1622-Z1622)</f>
        <v/>
      </c>
      <c r="AB1622" s="7">
        <f>IF($D1622="","",AA1622-N1622)</f>
        <v/>
      </c>
      <c r="AF1622" s="7" t="n"/>
      <c r="AI1622" s="11" t="n"/>
      <c r="AK1622">
        <f>IF($D1622="","",IF(COUNTIF($D$2:$D1622,$D1622)=1,1,0))</f>
        <v/>
      </c>
      <c r="AL1622">
        <f>IF($AK1622=1,SUMPRODUCT(--($AO$2:$AO$3001&lt;$AO1622))+1,"")</f>
        <v/>
      </c>
      <c r="AM1622">
        <f>IF($D1622="","",IF(OR($R1622=TRUE(),$R1622="TRUE"),1,0))</f>
        <v/>
      </c>
      <c r="AN1622">
        <f>IF($D1622="","",IF($X1622="Yes",1,0))</f>
        <v/>
      </c>
      <c r="AO1622">
        <f>IF($AK1622=1,IFERROR(IF(VALUE($D1622)&lt;100000000,VALUE($D1622),1000000000),IFERROR(IF(VALUE(MID($D1622,2,20))&lt;100000000,VALUE(MID($D1622,2,20)),1000000000),1000000000))+ROW()/100000,"")</f>
        <v/>
      </c>
    </row>
    <row r="1623">
      <c r="F1623" s="11" t="n"/>
      <c r="N1623" s="7">
        <f>IF($D1623="","",M1623*V1623/100)</f>
        <v/>
      </c>
      <c r="O1623" s="7" t="n"/>
      <c r="U1623" s="7" t="n"/>
      <c r="V1623" s="7" t="n"/>
      <c r="Y1623">
        <f>IF($D1623="","",IF($AN1623=1,0,IF($AM1623=1,Settings!$C$6,Settings!$C$7))*100)</f>
        <v/>
      </c>
      <c r="Z1623" s="7">
        <f>IF($D1623="","",V1623*Y1623/100)</f>
        <v/>
      </c>
      <c r="AA1623" s="7">
        <f>IF($D1623="","",V1623-Z1623)</f>
        <v/>
      </c>
      <c r="AB1623" s="7">
        <f>IF($D1623="","",AA1623-N1623)</f>
        <v/>
      </c>
      <c r="AF1623" s="7" t="n"/>
      <c r="AI1623" s="11" t="n"/>
      <c r="AK1623">
        <f>IF($D1623="","",IF(COUNTIF($D$2:$D1623,$D1623)=1,1,0))</f>
        <v/>
      </c>
      <c r="AL1623">
        <f>IF($AK1623=1,SUMPRODUCT(--($AO$2:$AO$3001&lt;$AO1623))+1,"")</f>
        <v/>
      </c>
      <c r="AM1623">
        <f>IF($D1623="","",IF(OR($R1623=TRUE(),$R1623="TRUE"),1,0))</f>
        <v/>
      </c>
      <c r="AN1623">
        <f>IF($D1623="","",IF($X1623="Yes",1,0))</f>
        <v/>
      </c>
      <c r="AO1623">
        <f>IF($AK1623=1,IFERROR(IF(VALUE($D1623)&lt;100000000,VALUE($D1623),1000000000),IFERROR(IF(VALUE(MID($D1623,2,20))&lt;100000000,VALUE(MID($D1623,2,20)),1000000000),1000000000))+ROW()/100000,"")</f>
        <v/>
      </c>
    </row>
    <row r="1624">
      <c r="F1624" s="11" t="n"/>
      <c r="N1624" s="7">
        <f>IF($D1624="","",M1624*V1624/100)</f>
        <v/>
      </c>
      <c r="O1624" s="7" t="n"/>
      <c r="U1624" s="7" t="n"/>
      <c r="V1624" s="7" t="n"/>
      <c r="Y1624">
        <f>IF($D1624="","",IF($AN1624=1,0,IF($AM1624=1,Settings!$C$6,Settings!$C$7))*100)</f>
        <v/>
      </c>
      <c r="Z1624" s="7">
        <f>IF($D1624="","",V1624*Y1624/100)</f>
        <v/>
      </c>
      <c r="AA1624" s="7">
        <f>IF($D1624="","",V1624-Z1624)</f>
        <v/>
      </c>
      <c r="AB1624" s="7">
        <f>IF($D1624="","",AA1624-N1624)</f>
        <v/>
      </c>
      <c r="AF1624" s="7" t="n"/>
      <c r="AI1624" s="11" t="n"/>
      <c r="AK1624">
        <f>IF($D1624="","",IF(COUNTIF($D$2:$D1624,$D1624)=1,1,0))</f>
        <v/>
      </c>
      <c r="AL1624">
        <f>IF($AK1624=1,SUMPRODUCT(--($AO$2:$AO$3001&lt;$AO1624))+1,"")</f>
        <v/>
      </c>
      <c r="AM1624">
        <f>IF($D1624="","",IF(OR($R1624=TRUE(),$R1624="TRUE"),1,0))</f>
        <v/>
      </c>
      <c r="AN1624">
        <f>IF($D1624="","",IF($X1624="Yes",1,0))</f>
        <v/>
      </c>
      <c r="AO1624">
        <f>IF($AK1624=1,IFERROR(IF(VALUE($D1624)&lt;100000000,VALUE($D1624),1000000000),IFERROR(IF(VALUE(MID($D1624,2,20))&lt;100000000,VALUE(MID($D1624,2,20)),1000000000),1000000000))+ROW()/100000,"")</f>
        <v/>
      </c>
    </row>
    <row r="1625">
      <c r="F1625" s="11" t="n"/>
      <c r="N1625" s="7">
        <f>IF($D1625="","",M1625*V1625/100)</f>
        <v/>
      </c>
      <c r="O1625" s="7" t="n"/>
      <c r="U1625" s="7" t="n"/>
      <c r="V1625" s="7" t="n"/>
      <c r="Y1625">
        <f>IF($D1625="","",IF($AN1625=1,0,IF($AM1625=1,Settings!$C$6,Settings!$C$7))*100)</f>
        <v/>
      </c>
      <c r="Z1625" s="7">
        <f>IF($D1625="","",V1625*Y1625/100)</f>
        <v/>
      </c>
      <c r="AA1625" s="7">
        <f>IF($D1625="","",V1625-Z1625)</f>
        <v/>
      </c>
      <c r="AB1625" s="7">
        <f>IF($D1625="","",AA1625-N1625)</f>
        <v/>
      </c>
      <c r="AF1625" s="7" t="n"/>
      <c r="AI1625" s="11" t="n"/>
      <c r="AK1625">
        <f>IF($D1625="","",IF(COUNTIF($D$2:$D1625,$D1625)=1,1,0))</f>
        <v/>
      </c>
      <c r="AL1625">
        <f>IF($AK1625=1,SUMPRODUCT(--($AO$2:$AO$3001&lt;$AO1625))+1,"")</f>
        <v/>
      </c>
      <c r="AM1625">
        <f>IF($D1625="","",IF(OR($R1625=TRUE(),$R1625="TRUE"),1,0))</f>
        <v/>
      </c>
      <c r="AN1625">
        <f>IF($D1625="","",IF($X1625="Yes",1,0))</f>
        <v/>
      </c>
      <c r="AO1625">
        <f>IF($AK1625=1,IFERROR(IF(VALUE($D1625)&lt;100000000,VALUE($D1625),1000000000),IFERROR(IF(VALUE(MID($D1625,2,20))&lt;100000000,VALUE(MID($D1625,2,20)),1000000000),1000000000))+ROW()/100000,"")</f>
        <v/>
      </c>
    </row>
    <row r="1626">
      <c r="F1626" s="11" t="n"/>
      <c r="N1626" s="7">
        <f>IF($D1626="","",M1626*V1626/100)</f>
        <v/>
      </c>
      <c r="O1626" s="7" t="n"/>
      <c r="U1626" s="7" t="n"/>
      <c r="V1626" s="7" t="n"/>
      <c r="Y1626">
        <f>IF($D1626="","",IF($AN1626=1,0,IF($AM1626=1,Settings!$C$6,Settings!$C$7))*100)</f>
        <v/>
      </c>
      <c r="Z1626" s="7">
        <f>IF($D1626="","",V1626*Y1626/100)</f>
        <v/>
      </c>
      <c r="AA1626" s="7">
        <f>IF($D1626="","",V1626-Z1626)</f>
        <v/>
      </c>
      <c r="AB1626" s="7">
        <f>IF($D1626="","",AA1626-N1626)</f>
        <v/>
      </c>
      <c r="AF1626" s="7" t="n"/>
      <c r="AI1626" s="11" t="n"/>
      <c r="AK1626">
        <f>IF($D1626="","",IF(COUNTIF($D$2:$D1626,$D1626)=1,1,0))</f>
        <v/>
      </c>
      <c r="AL1626">
        <f>IF($AK1626=1,SUMPRODUCT(--($AO$2:$AO$3001&lt;$AO1626))+1,"")</f>
        <v/>
      </c>
      <c r="AM1626">
        <f>IF($D1626="","",IF(OR($R1626=TRUE(),$R1626="TRUE"),1,0))</f>
        <v/>
      </c>
      <c r="AN1626">
        <f>IF($D1626="","",IF($X1626="Yes",1,0))</f>
        <v/>
      </c>
      <c r="AO1626">
        <f>IF($AK1626=1,IFERROR(IF(VALUE($D1626)&lt;100000000,VALUE($D1626),1000000000),IFERROR(IF(VALUE(MID($D1626,2,20))&lt;100000000,VALUE(MID($D1626,2,20)),1000000000),1000000000))+ROW()/100000,"")</f>
        <v/>
      </c>
    </row>
    <row r="1627">
      <c r="F1627" s="11" t="n"/>
      <c r="N1627" s="7">
        <f>IF($D1627="","",M1627*V1627/100)</f>
        <v/>
      </c>
      <c r="O1627" s="7" t="n"/>
      <c r="U1627" s="7" t="n"/>
      <c r="V1627" s="7" t="n"/>
      <c r="Y1627">
        <f>IF($D1627="","",IF($AN1627=1,0,IF($AM1627=1,Settings!$C$6,Settings!$C$7))*100)</f>
        <v/>
      </c>
      <c r="Z1627" s="7">
        <f>IF($D1627="","",V1627*Y1627/100)</f>
        <v/>
      </c>
      <c r="AA1627" s="7">
        <f>IF($D1627="","",V1627-Z1627)</f>
        <v/>
      </c>
      <c r="AB1627" s="7">
        <f>IF($D1627="","",AA1627-N1627)</f>
        <v/>
      </c>
      <c r="AF1627" s="7" t="n"/>
      <c r="AI1627" s="11" t="n"/>
      <c r="AK1627">
        <f>IF($D1627="","",IF(COUNTIF($D$2:$D1627,$D1627)=1,1,0))</f>
        <v/>
      </c>
      <c r="AL1627">
        <f>IF($AK1627=1,SUMPRODUCT(--($AO$2:$AO$3001&lt;$AO1627))+1,"")</f>
        <v/>
      </c>
      <c r="AM1627">
        <f>IF($D1627="","",IF(OR($R1627=TRUE(),$R1627="TRUE"),1,0))</f>
        <v/>
      </c>
      <c r="AN1627">
        <f>IF($D1627="","",IF($X1627="Yes",1,0))</f>
        <v/>
      </c>
      <c r="AO1627">
        <f>IF($AK1627=1,IFERROR(IF(VALUE($D1627)&lt;100000000,VALUE($D1627),1000000000),IFERROR(IF(VALUE(MID($D1627,2,20))&lt;100000000,VALUE(MID($D1627,2,20)),1000000000),1000000000))+ROW()/100000,"")</f>
        <v/>
      </c>
    </row>
    <row r="1628">
      <c r="F1628" s="11" t="n"/>
      <c r="N1628" s="7">
        <f>IF($D1628="","",M1628*V1628/100)</f>
        <v/>
      </c>
      <c r="O1628" s="7" t="n"/>
      <c r="U1628" s="7" t="n"/>
      <c r="V1628" s="7" t="n"/>
      <c r="Y1628">
        <f>IF($D1628="","",IF($AN1628=1,0,IF($AM1628=1,Settings!$C$6,Settings!$C$7))*100)</f>
        <v/>
      </c>
      <c r="Z1628" s="7">
        <f>IF($D1628="","",V1628*Y1628/100)</f>
        <v/>
      </c>
      <c r="AA1628" s="7">
        <f>IF($D1628="","",V1628-Z1628)</f>
        <v/>
      </c>
      <c r="AB1628" s="7">
        <f>IF($D1628="","",AA1628-N1628)</f>
        <v/>
      </c>
      <c r="AF1628" s="7" t="n"/>
      <c r="AI1628" s="11" t="n"/>
      <c r="AK1628">
        <f>IF($D1628="","",IF(COUNTIF($D$2:$D1628,$D1628)=1,1,0))</f>
        <v/>
      </c>
      <c r="AL1628">
        <f>IF($AK1628=1,SUMPRODUCT(--($AO$2:$AO$3001&lt;$AO1628))+1,"")</f>
        <v/>
      </c>
      <c r="AM1628">
        <f>IF($D1628="","",IF(OR($R1628=TRUE(),$R1628="TRUE"),1,0))</f>
        <v/>
      </c>
      <c r="AN1628">
        <f>IF($D1628="","",IF($X1628="Yes",1,0))</f>
        <v/>
      </c>
      <c r="AO1628">
        <f>IF($AK1628=1,IFERROR(IF(VALUE($D1628)&lt;100000000,VALUE($D1628),1000000000),IFERROR(IF(VALUE(MID($D1628,2,20))&lt;100000000,VALUE(MID($D1628,2,20)),1000000000),1000000000))+ROW()/100000,"")</f>
        <v/>
      </c>
    </row>
    <row r="1629">
      <c r="F1629" s="11" t="n"/>
      <c r="N1629" s="7">
        <f>IF($D1629="","",M1629*V1629/100)</f>
        <v/>
      </c>
      <c r="O1629" s="7" t="n"/>
      <c r="U1629" s="7" t="n"/>
      <c r="V1629" s="7" t="n"/>
      <c r="Y1629">
        <f>IF($D1629="","",IF($AN1629=1,0,IF($AM1629=1,Settings!$C$6,Settings!$C$7))*100)</f>
        <v/>
      </c>
      <c r="Z1629" s="7">
        <f>IF($D1629="","",V1629*Y1629/100)</f>
        <v/>
      </c>
      <c r="AA1629" s="7">
        <f>IF($D1629="","",V1629-Z1629)</f>
        <v/>
      </c>
      <c r="AB1629" s="7">
        <f>IF($D1629="","",AA1629-N1629)</f>
        <v/>
      </c>
      <c r="AF1629" s="7" t="n"/>
      <c r="AI1629" s="11" t="n"/>
      <c r="AK1629">
        <f>IF($D1629="","",IF(COUNTIF($D$2:$D1629,$D1629)=1,1,0))</f>
        <v/>
      </c>
      <c r="AL1629">
        <f>IF($AK1629=1,SUMPRODUCT(--($AO$2:$AO$3001&lt;$AO1629))+1,"")</f>
        <v/>
      </c>
      <c r="AM1629">
        <f>IF($D1629="","",IF(OR($R1629=TRUE(),$R1629="TRUE"),1,0))</f>
        <v/>
      </c>
      <c r="AN1629">
        <f>IF($D1629="","",IF($X1629="Yes",1,0))</f>
        <v/>
      </c>
      <c r="AO1629">
        <f>IF($AK1629=1,IFERROR(IF(VALUE($D1629)&lt;100000000,VALUE($D1629),1000000000),IFERROR(IF(VALUE(MID($D1629,2,20))&lt;100000000,VALUE(MID($D1629,2,20)),1000000000),1000000000))+ROW()/100000,"")</f>
        <v/>
      </c>
    </row>
    <row r="1630">
      <c r="F1630" s="11" t="n"/>
      <c r="N1630" s="7">
        <f>IF($D1630="","",M1630*V1630/100)</f>
        <v/>
      </c>
      <c r="O1630" s="7" t="n"/>
      <c r="U1630" s="7" t="n"/>
      <c r="V1630" s="7" t="n"/>
      <c r="Y1630">
        <f>IF($D1630="","",IF($AN1630=1,0,IF($AM1630=1,Settings!$C$6,Settings!$C$7))*100)</f>
        <v/>
      </c>
      <c r="Z1630" s="7">
        <f>IF($D1630="","",V1630*Y1630/100)</f>
        <v/>
      </c>
      <c r="AA1630" s="7">
        <f>IF($D1630="","",V1630-Z1630)</f>
        <v/>
      </c>
      <c r="AB1630" s="7">
        <f>IF($D1630="","",AA1630-N1630)</f>
        <v/>
      </c>
      <c r="AF1630" s="7" t="n"/>
      <c r="AI1630" s="11" t="n"/>
      <c r="AK1630">
        <f>IF($D1630="","",IF(COUNTIF($D$2:$D1630,$D1630)=1,1,0))</f>
        <v/>
      </c>
      <c r="AL1630">
        <f>IF($AK1630=1,SUMPRODUCT(--($AO$2:$AO$3001&lt;$AO1630))+1,"")</f>
        <v/>
      </c>
      <c r="AM1630">
        <f>IF($D1630="","",IF(OR($R1630=TRUE(),$R1630="TRUE"),1,0))</f>
        <v/>
      </c>
      <c r="AN1630">
        <f>IF($D1630="","",IF($X1630="Yes",1,0))</f>
        <v/>
      </c>
      <c r="AO1630">
        <f>IF($AK1630=1,IFERROR(IF(VALUE($D1630)&lt;100000000,VALUE($D1630),1000000000),IFERROR(IF(VALUE(MID($D1630,2,20))&lt;100000000,VALUE(MID($D1630,2,20)),1000000000),1000000000))+ROW()/100000,"")</f>
        <v/>
      </c>
    </row>
    <row r="1631">
      <c r="F1631" s="11" t="n"/>
      <c r="N1631" s="7">
        <f>IF($D1631="","",M1631*V1631/100)</f>
        <v/>
      </c>
      <c r="O1631" s="7" t="n"/>
      <c r="U1631" s="7" t="n"/>
      <c r="V1631" s="7" t="n"/>
      <c r="Y1631">
        <f>IF($D1631="","",IF($AN1631=1,0,IF($AM1631=1,Settings!$C$6,Settings!$C$7))*100)</f>
        <v/>
      </c>
      <c r="Z1631" s="7">
        <f>IF($D1631="","",V1631*Y1631/100)</f>
        <v/>
      </c>
      <c r="AA1631" s="7">
        <f>IF($D1631="","",V1631-Z1631)</f>
        <v/>
      </c>
      <c r="AB1631" s="7">
        <f>IF($D1631="","",AA1631-N1631)</f>
        <v/>
      </c>
      <c r="AF1631" s="7" t="n"/>
      <c r="AI1631" s="11" t="n"/>
      <c r="AK1631">
        <f>IF($D1631="","",IF(COUNTIF($D$2:$D1631,$D1631)=1,1,0))</f>
        <v/>
      </c>
      <c r="AL1631">
        <f>IF($AK1631=1,SUMPRODUCT(--($AO$2:$AO$3001&lt;$AO1631))+1,"")</f>
        <v/>
      </c>
      <c r="AM1631">
        <f>IF($D1631="","",IF(OR($R1631=TRUE(),$R1631="TRUE"),1,0))</f>
        <v/>
      </c>
      <c r="AN1631">
        <f>IF($D1631="","",IF($X1631="Yes",1,0))</f>
        <v/>
      </c>
      <c r="AO1631">
        <f>IF($AK1631=1,IFERROR(IF(VALUE($D1631)&lt;100000000,VALUE($D1631),1000000000),IFERROR(IF(VALUE(MID($D1631,2,20))&lt;100000000,VALUE(MID($D1631,2,20)),1000000000),1000000000))+ROW()/100000,"")</f>
        <v/>
      </c>
    </row>
    <row r="1632">
      <c r="F1632" s="11" t="n"/>
      <c r="N1632" s="7">
        <f>IF($D1632="","",M1632*V1632/100)</f>
        <v/>
      </c>
      <c r="O1632" s="7" t="n"/>
      <c r="U1632" s="7" t="n"/>
      <c r="V1632" s="7" t="n"/>
      <c r="Y1632">
        <f>IF($D1632="","",IF($AN1632=1,0,IF($AM1632=1,Settings!$C$6,Settings!$C$7))*100)</f>
        <v/>
      </c>
      <c r="Z1632" s="7">
        <f>IF($D1632="","",V1632*Y1632/100)</f>
        <v/>
      </c>
      <c r="AA1632" s="7">
        <f>IF($D1632="","",V1632-Z1632)</f>
        <v/>
      </c>
      <c r="AB1632" s="7">
        <f>IF($D1632="","",AA1632-N1632)</f>
        <v/>
      </c>
      <c r="AF1632" s="7" t="n"/>
      <c r="AI1632" s="11" t="n"/>
      <c r="AK1632">
        <f>IF($D1632="","",IF(COUNTIF($D$2:$D1632,$D1632)=1,1,0))</f>
        <v/>
      </c>
      <c r="AL1632">
        <f>IF($AK1632=1,SUMPRODUCT(--($AO$2:$AO$3001&lt;$AO1632))+1,"")</f>
        <v/>
      </c>
      <c r="AM1632">
        <f>IF($D1632="","",IF(OR($R1632=TRUE(),$R1632="TRUE"),1,0))</f>
        <v/>
      </c>
      <c r="AN1632">
        <f>IF($D1632="","",IF($X1632="Yes",1,0))</f>
        <v/>
      </c>
      <c r="AO1632">
        <f>IF($AK1632=1,IFERROR(IF(VALUE($D1632)&lt;100000000,VALUE($D1632),1000000000),IFERROR(IF(VALUE(MID($D1632,2,20))&lt;100000000,VALUE(MID($D1632,2,20)),1000000000),1000000000))+ROW()/100000,"")</f>
        <v/>
      </c>
    </row>
    <row r="1633">
      <c r="F1633" s="11" t="n"/>
      <c r="N1633" s="7">
        <f>IF($D1633="","",M1633*V1633/100)</f>
        <v/>
      </c>
      <c r="O1633" s="7" t="n"/>
      <c r="U1633" s="7" t="n"/>
      <c r="V1633" s="7" t="n"/>
      <c r="Y1633">
        <f>IF($D1633="","",IF($AN1633=1,0,IF($AM1633=1,Settings!$C$6,Settings!$C$7))*100)</f>
        <v/>
      </c>
      <c r="Z1633" s="7">
        <f>IF($D1633="","",V1633*Y1633/100)</f>
        <v/>
      </c>
      <c r="AA1633" s="7">
        <f>IF($D1633="","",V1633-Z1633)</f>
        <v/>
      </c>
      <c r="AB1633" s="7">
        <f>IF($D1633="","",AA1633-N1633)</f>
        <v/>
      </c>
      <c r="AF1633" s="7" t="n"/>
      <c r="AI1633" s="11" t="n"/>
      <c r="AK1633">
        <f>IF($D1633="","",IF(COUNTIF($D$2:$D1633,$D1633)=1,1,0))</f>
        <v/>
      </c>
      <c r="AL1633">
        <f>IF($AK1633=1,SUMPRODUCT(--($AO$2:$AO$3001&lt;$AO1633))+1,"")</f>
        <v/>
      </c>
      <c r="AM1633">
        <f>IF($D1633="","",IF(OR($R1633=TRUE(),$R1633="TRUE"),1,0))</f>
        <v/>
      </c>
      <c r="AN1633">
        <f>IF($D1633="","",IF($X1633="Yes",1,0))</f>
        <v/>
      </c>
      <c r="AO1633">
        <f>IF($AK1633=1,IFERROR(IF(VALUE($D1633)&lt;100000000,VALUE($D1633),1000000000),IFERROR(IF(VALUE(MID($D1633,2,20))&lt;100000000,VALUE(MID($D1633,2,20)),1000000000),1000000000))+ROW()/100000,"")</f>
        <v/>
      </c>
    </row>
    <row r="1634">
      <c r="F1634" s="11" t="n"/>
      <c r="N1634" s="7">
        <f>IF($D1634="","",M1634*V1634/100)</f>
        <v/>
      </c>
      <c r="O1634" s="7" t="n"/>
      <c r="U1634" s="7" t="n"/>
      <c r="V1634" s="7" t="n"/>
      <c r="Y1634">
        <f>IF($D1634="","",IF($AN1634=1,0,IF($AM1634=1,Settings!$C$6,Settings!$C$7))*100)</f>
        <v/>
      </c>
      <c r="Z1634" s="7">
        <f>IF($D1634="","",V1634*Y1634/100)</f>
        <v/>
      </c>
      <c r="AA1634" s="7">
        <f>IF($D1634="","",V1634-Z1634)</f>
        <v/>
      </c>
      <c r="AB1634" s="7">
        <f>IF($D1634="","",AA1634-N1634)</f>
        <v/>
      </c>
      <c r="AF1634" s="7" t="n"/>
      <c r="AI1634" s="11" t="n"/>
      <c r="AK1634">
        <f>IF($D1634="","",IF(COUNTIF($D$2:$D1634,$D1634)=1,1,0))</f>
        <v/>
      </c>
      <c r="AL1634">
        <f>IF($AK1634=1,SUMPRODUCT(--($AO$2:$AO$3001&lt;$AO1634))+1,"")</f>
        <v/>
      </c>
      <c r="AM1634">
        <f>IF($D1634="","",IF(OR($R1634=TRUE(),$R1634="TRUE"),1,0))</f>
        <v/>
      </c>
      <c r="AN1634">
        <f>IF($D1634="","",IF($X1634="Yes",1,0))</f>
        <v/>
      </c>
      <c r="AO1634">
        <f>IF($AK1634=1,IFERROR(IF(VALUE($D1634)&lt;100000000,VALUE($D1634),1000000000),IFERROR(IF(VALUE(MID($D1634,2,20))&lt;100000000,VALUE(MID($D1634,2,20)),1000000000),1000000000))+ROW()/100000,"")</f>
        <v/>
      </c>
    </row>
    <row r="1635">
      <c r="F1635" s="11" t="n"/>
      <c r="N1635" s="7">
        <f>IF($D1635="","",M1635*V1635/100)</f>
        <v/>
      </c>
      <c r="O1635" s="7" t="n"/>
      <c r="U1635" s="7" t="n"/>
      <c r="V1635" s="7" t="n"/>
      <c r="Y1635">
        <f>IF($D1635="","",IF($AN1635=1,0,IF($AM1635=1,Settings!$C$6,Settings!$C$7))*100)</f>
        <v/>
      </c>
      <c r="Z1635" s="7">
        <f>IF($D1635="","",V1635*Y1635/100)</f>
        <v/>
      </c>
      <c r="AA1635" s="7">
        <f>IF($D1635="","",V1635-Z1635)</f>
        <v/>
      </c>
      <c r="AB1635" s="7">
        <f>IF($D1635="","",AA1635-N1635)</f>
        <v/>
      </c>
      <c r="AF1635" s="7" t="n"/>
      <c r="AI1635" s="11" t="n"/>
      <c r="AK1635">
        <f>IF($D1635="","",IF(COUNTIF($D$2:$D1635,$D1635)=1,1,0))</f>
        <v/>
      </c>
      <c r="AL1635">
        <f>IF($AK1635=1,SUMPRODUCT(--($AO$2:$AO$3001&lt;$AO1635))+1,"")</f>
        <v/>
      </c>
      <c r="AM1635">
        <f>IF($D1635="","",IF(OR($R1635=TRUE(),$R1635="TRUE"),1,0))</f>
        <v/>
      </c>
      <c r="AN1635">
        <f>IF($D1635="","",IF($X1635="Yes",1,0))</f>
        <v/>
      </c>
      <c r="AO1635">
        <f>IF($AK1635=1,IFERROR(IF(VALUE($D1635)&lt;100000000,VALUE($D1635),1000000000),IFERROR(IF(VALUE(MID($D1635,2,20))&lt;100000000,VALUE(MID($D1635,2,20)),1000000000),1000000000))+ROW()/100000,"")</f>
        <v/>
      </c>
    </row>
    <row r="1636">
      <c r="F1636" s="11" t="n"/>
      <c r="N1636" s="7">
        <f>IF($D1636="","",M1636*V1636/100)</f>
        <v/>
      </c>
      <c r="O1636" s="7" t="n"/>
      <c r="U1636" s="7" t="n"/>
      <c r="V1636" s="7" t="n"/>
      <c r="Y1636">
        <f>IF($D1636="","",IF($AN1636=1,0,IF($AM1636=1,Settings!$C$6,Settings!$C$7))*100)</f>
        <v/>
      </c>
      <c r="Z1636" s="7">
        <f>IF($D1636="","",V1636*Y1636/100)</f>
        <v/>
      </c>
      <c r="AA1636" s="7">
        <f>IF($D1636="","",V1636-Z1636)</f>
        <v/>
      </c>
      <c r="AB1636" s="7">
        <f>IF($D1636="","",AA1636-N1636)</f>
        <v/>
      </c>
      <c r="AF1636" s="7" t="n"/>
      <c r="AI1636" s="11" t="n"/>
      <c r="AK1636">
        <f>IF($D1636="","",IF(COUNTIF($D$2:$D1636,$D1636)=1,1,0))</f>
        <v/>
      </c>
      <c r="AL1636">
        <f>IF($AK1636=1,SUMPRODUCT(--($AO$2:$AO$3001&lt;$AO1636))+1,"")</f>
        <v/>
      </c>
      <c r="AM1636">
        <f>IF($D1636="","",IF(OR($R1636=TRUE(),$R1636="TRUE"),1,0))</f>
        <v/>
      </c>
      <c r="AN1636">
        <f>IF($D1636="","",IF($X1636="Yes",1,0))</f>
        <v/>
      </c>
      <c r="AO1636">
        <f>IF($AK1636=1,IFERROR(IF(VALUE($D1636)&lt;100000000,VALUE($D1636),1000000000),IFERROR(IF(VALUE(MID($D1636,2,20))&lt;100000000,VALUE(MID($D1636,2,20)),1000000000),1000000000))+ROW()/100000,"")</f>
        <v/>
      </c>
    </row>
    <row r="1637">
      <c r="F1637" s="11" t="n"/>
      <c r="N1637" s="7">
        <f>IF($D1637="","",M1637*V1637/100)</f>
        <v/>
      </c>
      <c r="O1637" s="7" t="n"/>
      <c r="U1637" s="7" t="n"/>
      <c r="V1637" s="7" t="n"/>
      <c r="Y1637">
        <f>IF($D1637="","",IF($AN1637=1,0,IF($AM1637=1,Settings!$C$6,Settings!$C$7))*100)</f>
        <v/>
      </c>
      <c r="Z1637" s="7">
        <f>IF($D1637="","",V1637*Y1637/100)</f>
        <v/>
      </c>
      <c r="AA1637" s="7">
        <f>IF($D1637="","",V1637-Z1637)</f>
        <v/>
      </c>
      <c r="AB1637" s="7">
        <f>IF($D1637="","",AA1637-N1637)</f>
        <v/>
      </c>
      <c r="AF1637" s="7" t="n"/>
      <c r="AI1637" s="11" t="n"/>
      <c r="AK1637">
        <f>IF($D1637="","",IF(COUNTIF($D$2:$D1637,$D1637)=1,1,0))</f>
        <v/>
      </c>
      <c r="AL1637">
        <f>IF($AK1637=1,SUMPRODUCT(--($AO$2:$AO$3001&lt;$AO1637))+1,"")</f>
        <v/>
      </c>
      <c r="AM1637">
        <f>IF($D1637="","",IF(OR($R1637=TRUE(),$R1637="TRUE"),1,0))</f>
        <v/>
      </c>
      <c r="AN1637">
        <f>IF($D1637="","",IF($X1637="Yes",1,0))</f>
        <v/>
      </c>
      <c r="AO1637">
        <f>IF($AK1637=1,IFERROR(IF(VALUE($D1637)&lt;100000000,VALUE($D1637),1000000000),IFERROR(IF(VALUE(MID($D1637,2,20))&lt;100000000,VALUE(MID($D1637,2,20)),1000000000),1000000000))+ROW()/100000,"")</f>
        <v/>
      </c>
    </row>
    <row r="1638">
      <c r="F1638" s="11" t="n"/>
      <c r="N1638" s="7">
        <f>IF($D1638="","",M1638*V1638/100)</f>
        <v/>
      </c>
      <c r="O1638" s="7" t="n"/>
      <c r="U1638" s="7" t="n"/>
      <c r="V1638" s="7" t="n"/>
      <c r="Y1638">
        <f>IF($D1638="","",IF($AN1638=1,0,IF($AM1638=1,Settings!$C$6,Settings!$C$7))*100)</f>
        <v/>
      </c>
      <c r="Z1638" s="7">
        <f>IF($D1638="","",V1638*Y1638/100)</f>
        <v/>
      </c>
      <c r="AA1638" s="7">
        <f>IF($D1638="","",V1638-Z1638)</f>
        <v/>
      </c>
      <c r="AB1638" s="7">
        <f>IF($D1638="","",AA1638-N1638)</f>
        <v/>
      </c>
      <c r="AF1638" s="7" t="n"/>
      <c r="AI1638" s="11" t="n"/>
      <c r="AK1638">
        <f>IF($D1638="","",IF(COUNTIF($D$2:$D1638,$D1638)=1,1,0))</f>
        <v/>
      </c>
      <c r="AL1638">
        <f>IF($AK1638=1,SUMPRODUCT(--($AO$2:$AO$3001&lt;$AO1638))+1,"")</f>
        <v/>
      </c>
      <c r="AM1638">
        <f>IF($D1638="","",IF(OR($R1638=TRUE(),$R1638="TRUE"),1,0))</f>
        <v/>
      </c>
      <c r="AN1638">
        <f>IF($D1638="","",IF($X1638="Yes",1,0))</f>
        <v/>
      </c>
      <c r="AO1638">
        <f>IF($AK1638=1,IFERROR(IF(VALUE($D1638)&lt;100000000,VALUE($D1638),1000000000),IFERROR(IF(VALUE(MID($D1638,2,20))&lt;100000000,VALUE(MID($D1638,2,20)),1000000000),1000000000))+ROW()/100000,"")</f>
        <v/>
      </c>
    </row>
    <row r="1639">
      <c r="F1639" s="11" t="n"/>
      <c r="N1639" s="7">
        <f>IF($D1639="","",M1639*V1639/100)</f>
        <v/>
      </c>
      <c r="O1639" s="7" t="n"/>
      <c r="U1639" s="7" t="n"/>
      <c r="V1639" s="7" t="n"/>
      <c r="Y1639">
        <f>IF($D1639="","",IF($AN1639=1,0,IF($AM1639=1,Settings!$C$6,Settings!$C$7))*100)</f>
        <v/>
      </c>
      <c r="Z1639" s="7">
        <f>IF($D1639="","",V1639*Y1639/100)</f>
        <v/>
      </c>
      <c r="AA1639" s="7">
        <f>IF($D1639="","",V1639-Z1639)</f>
        <v/>
      </c>
      <c r="AB1639" s="7">
        <f>IF($D1639="","",AA1639-N1639)</f>
        <v/>
      </c>
      <c r="AF1639" s="7" t="n"/>
      <c r="AI1639" s="11" t="n"/>
      <c r="AK1639">
        <f>IF($D1639="","",IF(COUNTIF($D$2:$D1639,$D1639)=1,1,0))</f>
        <v/>
      </c>
      <c r="AL1639">
        <f>IF($AK1639=1,SUMPRODUCT(--($AO$2:$AO$3001&lt;$AO1639))+1,"")</f>
        <v/>
      </c>
      <c r="AM1639">
        <f>IF($D1639="","",IF(OR($R1639=TRUE(),$R1639="TRUE"),1,0))</f>
        <v/>
      </c>
      <c r="AN1639">
        <f>IF($D1639="","",IF($X1639="Yes",1,0))</f>
        <v/>
      </c>
      <c r="AO1639">
        <f>IF($AK1639=1,IFERROR(IF(VALUE($D1639)&lt;100000000,VALUE($D1639),1000000000),IFERROR(IF(VALUE(MID($D1639,2,20))&lt;100000000,VALUE(MID($D1639,2,20)),1000000000),1000000000))+ROW()/100000,"")</f>
        <v/>
      </c>
    </row>
    <row r="1640">
      <c r="F1640" s="11" t="n"/>
      <c r="N1640" s="7">
        <f>IF($D1640="","",M1640*V1640/100)</f>
        <v/>
      </c>
      <c r="O1640" s="7" t="n"/>
      <c r="U1640" s="7" t="n"/>
      <c r="V1640" s="7" t="n"/>
      <c r="Y1640">
        <f>IF($D1640="","",IF($AN1640=1,0,IF($AM1640=1,Settings!$C$6,Settings!$C$7))*100)</f>
        <v/>
      </c>
      <c r="Z1640" s="7">
        <f>IF($D1640="","",V1640*Y1640/100)</f>
        <v/>
      </c>
      <c r="AA1640" s="7">
        <f>IF($D1640="","",V1640-Z1640)</f>
        <v/>
      </c>
      <c r="AB1640" s="7">
        <f>IF($D1640="","",AA1640-N1640)</f>
        <v/>
      </c>
      <c r="AF1640" s="7" t="n"/>
      <c r="AI1640" s="11" t="n"/>
      <c r="AK1640">
        <f>IF($D1640="","",IF(COUNTIF($D$2:$D1640,$D1640)=1,1,0))</f>
        <v/>
      </c>
      <c r="AL1640">
        <f>IF($AK1640=1,SUMPRODUCT(--($AO$2:$AO$3001&lt;$AO1640))+1,"")</f>
        <v/>
      </c>
      <c r="AM1640">
        <f>IF($D1640="","",IF(OR($R1640=TRUE(),$R1640="TRUE"),1,0))</f>
        <v/>
      </c>
      <c r="AN1640">
        <f>IF($D1640="","",IF($X1640="Yes",1,0))</f>
        <v/>
      </c>
      <c r="AO1640">
        <f>IF($AK1640=1,IFERROR(IF(VALUE($D1640)&lt;100000000,VALUE($D1640),1000000000),IFERROR(IF(VALUE(MID($D1640,2,20))&lt;100000000,VALUE(MID($D1640,2,20)),1000000000),1000000000))+ROW()/100000,"")</f>
        <v/>
      </c>
    </row>
    <row r="1641">
      <c r="F1641" s="11" t="n"/>
      <c r="N1641" s="7">
        <f>IF($D1641="","",M1641*V1641/100)</f>
        <v/>
      </c>
      <c r="O1641" s="7" t="n"/>
      <c r="U1641" s="7" t="n"/>
      <c r="V1641" s="7" t="n"/>
      <c r="Y1641">
        <f>IF($D1641="","",IF($AN1641=1,0,IF($AM1641=1,Settings!$C$6,Settings!$C$7))*100)</f>
        <v/>
      </c>
      <c r="Z1641" s="7">
        <f>IF($D1641="","",V1641*Y1641/100)</f>
        <v/>
      </c>
      <c r="AA1641" s="7">
        <f>IF($D1641="","",V1641-Z1641)</f>
        <v/>
      </c>
      <c r="AB1641" s="7">
        <f>IF($D1641="","",AA1641-N1641)</f>
        <v/>
      </c>
      <c r="AF1641" s="7" t="n"/>
      <c r="AI1641" s="11" t="n"/>
      <c r="AK1641">
        <f>IF($D1641="","",IF(COUNTIF($D$2:$D1641,$D1641)=1,1,0))</f>
        <v/>
      </c>
      <c r="AL1641">
        <f>IF($AK1641=1,SUMPRODUCT(--($AO$2:$AO$3001&lt;$AO1641))+1,"")</f>
        <v/>
      </c>
      <c r="AM1641">
        <f>IF($D1641="","",IF(OR($R1641=TRUE(),$R1641="TRUE"),1,0))</f>
        <v/>
      </c>
      <c r="AN1641">
        <f>IF($D1641="","",IF($X1641="Yes",1,0))</f>
        <v/>
      </c>
      <c r="AO1641">
        <f>IF($AK1641=1,IFERROR(IF(VALUE($D1641)&lt;100000000,VALUE($D1641),1000000000),IFERROR(IF(VALUE(MID($D1641,2,20))&lt;100000000,VALUE(MID($D1641,2,20)),1000000000),1000000000))+ROW()/100000,"")</f>
        <v/>
      </c>
    </row>
    <row r="1642">
      <c r="F1642" s="11" t="n"/>
      <c r="N1642" s="7">
        <f>IF($D1642="","",M1642*V1642/100)</f>
        <v/>
      </c>
      <c r="O1642" s="7" t="n"/>
      <c r="U1642" s="7" t="n"/>
      <c r="V1642" s="7" t="n"/>
      <c r="Y1642">
        <f>IF($D1642="","",IF($AN1642=1,0,IF($AM1642=1,Settings!$C$6,Settings!$C$7))*100)</f>
        <v/>
      </c>
      <c r="Z1642" s="7">
        <f>IF($D1642="","",V1642*Y1642/100)</f>
        <v/>
      </c>
      <c r="AA1642" s="7">
        <f>IF($D1642="","",V1642-Z1642)</f>
        <v/>
      </c>
      <c r="AB1642" s="7">
        <f>IF($D1642="","",AA1642-N1642)</f>
        <v/>
      </c>
      <c r="AF1642" s="7" t="n"/>
      <c r="AI1642" s="11" t="n"/>
      <c r="AK1642">
        <f>IF($D1642="","",IF(COUNTIF($D$2:$D1642,$D1642)=1,1,0))</f>
        <v/>
      </c>
      <c r="AL1642">
        <f>IF($AK1642=1,SUMPRODUCT(--($AO$2:$AO$3001&lt;$AO1642))+1,"")</f>
        <v/>
      </c>
      <c r="AM1642">
        <f>IF($D1642="","",IF(OR($R1642=TRUE(),$R1642="TRUE"),1,0))</f>
        <v/>
      </c>
      <c r="AN1642">
        <f>IF($D1642="","",IF($X1642="Yes",1,0))</f>
        <v/>
      </c>
      <c r="AO1642">
        <f>IF($AK1642=1,IFERROR(IF(VALUE($D1642)&lt;100000000,VALUE($D1642),1000000000),IFERROR(IF(VALUE(MID($D1642,2,20))&lt;100000000,VALUE(MID($D1642,2,20)),1000000000),1000000000))+ROW()/100000,"")</f>
        <v/>
      </c>
    </row>
    <row r="1643">
      <c r="F1643" s="11" t="n"/>
      <c r="N1643" s="7">
        <f>IF($D1643="","",M1643*V1643/100)</f>
        <v/>
      </c>
      <c r="O1643" s="7" t="n"/>
      <c r="U1643" s="7" t="n"/>
      <c r="V1643" s="7" t="n"/>
      <c r="Y1643">
        <f>IF($D1643="","",IF($AN1643=1,0,IF($AM1643=1,Settings!$C$6,Settings!$C$7))*100)</f>
        <v/>
      </c>
      <c r="Z1643" s="7">
        <f>IF($D1643="","",V1643*Y1643/100)</f>
        <v/>
      </c>
      <c r="AA1643" s="7">
        <f>IF($D1643="","",V1643-Z1643)</f>
        <v/>
      </c>
      <c r="AB1643" s="7">
        <f>IF($D1643="","",AA1643-N1643)</f>
        <v/>
      </c>
      <c r="AF1643" s="7" t="n"/>
      <c r="AI1643" s="11" t="n"/>
      <c r="AK1643">
        <f>IF($D1643="","",IF(COUNTIF($D$2:$D1643,$D1643)=1,1,0))</f>
        <v/>
      </c>
      <c r="AL1643">
        <f>IF($AK1643=1,SUMPRODUCT(--($AO$2:$AO$3001&lt;$AO1643))+1,"")</f>
        <v/>
      </c>
      <c r="AM1643">
        <f>IF($D1643="","",IF(OR($R1643=TRUE(),$R1643="TRUE"),1,0))</f>
        <v/>
      </c>
      <c r="AN1643">
        <f>IF($D1643="","",IF($X1643="Yes",1,0))</f>
        <v/>
      </c>
      <c r="AO1643">
        <f>IF($AK1643=1,IFERROR(IF(VALUE($D1643)&lt;100000000,VALUE($D1643),1000000000),IFERROR(IF(VALUE(MID($D1643,2,20))&lt;100000000,VALUE(MID($D1643,2,20)),1000000000),1000000000))+ROW()/100000,"")</f>
        <v/>
      </c>
    </row>
    <row r="1644">
      <c r="F1644" s="11" t="n"/>
      <c r="N1644" s="7">
        <f>IF($D1644="","",M1644*V1644/100)</f>
        <v/>
      </c>
      <c r="O1644" s="7" t="n"/>
      <c r="U1644" s="7" t="n"/>
      <c r="V1644" s="7" t="n"/>
      <c r="Y1644">
        <f>IF($D1644="","",IF($AN1644=1,0,IF($AM1644=1,Settings!$C$6,Settings!$C$7))*100)</f>
        <v/>
      </c>
      <c r="Z1644" s="7">
        <f>IF($D1644="","",V1644*Y1644/100)</f>
        <v/>
      </c>
      <c r="AA1644" s="7">
        <f>IF($D1644="","",V1644-Z1644)</f>
        <v/>
      </c>
      <c r="AB1644" s="7">
        <f>IF($D1644="","",AA1644-N1644)</f>
        <v/>
      </c>
      <c r="AF1644" s="7" t="n"/>
      <c r="AI1644" s="11" t="n"/>
      <c r="AK1644">
        <f>IF($D1644="","",IF(COUNTIF($D$2:$D1644,$D1644)=1,1,0))</f>
        <v/>
      </c>
      <c r="AL1644">
        <f>IF($AK1644=1,SUMPRODUCT(--($AO$2:$AO$3001&lt;$AO1644))+1,"")</f>
        <v/>
      </c>
      <c r="AM1644">
        <f>IF($D1644="","",IF(OR($R1644=TRUE(),$R1644="TRUE"),1,0))</f>
        <v/>
      </c>
      <c r="AN1644">
        <f>IF($D1644="","",IF($X1644="Yes",1,0))</f>
        <v/>
      </c>
      <c r="AO1644">
        <f>IF($AK1644=1,IFERROR(IF(VALUE($D1644)&lt;100000000,VALUE($D1644),1000000000),IFERROR(IF(VALUE(MID($D1644,2,20))&lt;100000000,VALUE(MID($D1644,2,20)),1000000000),1000000000))+ROW()/100000,"")</f>
        <v/>
      </c>
    </row>
    <row r="1645">
      <c r="F1645" s="11" t="n"/>
      <c r="N1645" s="7">
        <f>IF($D1645="","",M1645*V1645/100)</f>
        <v/>
      </c>
      <c r="O1645" s="7" t="n"/>
      <c r="U1645" s="7" t="n"/>
      <c r="V1645" s="7" t="n"/>
      <c r="Y1645">
        <f>IF($D1645="","",IF($AN1645=1,0,IF($AM1645=1,Settings!$C$6,Settings!$C$7))*100)</f>
        <v/>
      </c>
      <c r="Z1645" s="7">
        <f>IF($D1645="","",V1645*Y1645/100)</f>
        <v/>
      </c>
      <c r="AA1645" s="7">
        <f>IF($D1645="","",V1645-Z1645)</f>
        <v/>
      </c>
      <c r="AB1645" s="7">
        <f>IF($D1645="","",AA1645-N1645)</f>
        <v/>
      </c>
      <c r="AF1645" s="7" t="n"/>
      <c r="AI1645" s="11" t="n"/>
      <c r="AK1645">
        <f>IF($D1645="","",IF(COUNTIF($D$2:$D1645,$D1645)=1,1,0))</f>
        <v/>
      </c>
      <c r="AL1645">
        <f>IF($AK1645=1,SUMPRODUCT(--($AO$2:$AO$3001&lt;$AO1645))+1,"")</f>
        <v/>
      </c>
      <c r="AM1645">
        <f>IF($D1645="","",IF(OR($R1645=TRUE(),$R1645="TRUE"),1,0))</f>
        <v/>
      </c>
      <c r="AN1645">
        <f>IF($D1645="","",IF($X1645="Yes",1,0))</f>
        <v/>
      </c>
      <c r="AO1645">
        <f>IF($AK1645=1,IFERROR(IF(VALUE($D1645)&lt;100000000,VALUE($D1645),1000000000),IFERROR(IF(VALUE(MID($D1645,2,20))&lt;100000000,VALUE(MID($D1645,2,20)),1000000000),1000000000))+ROW()/100000,"")</f>
        <v/>
      </c>
    </row>
    <row r="1646">
      <c r="F1646" s="11" t="n"/>
      <c r="N1646" s="7">
        <f>IF($D1646="","",M1646*V1646/100)</f>
        <v/>
      </c>
      <c r="O1646" s="7" t="n"/>
      <c r="U1646" s="7" t="n"/>
      <c r="V1646" s="7" t="n"/>
      <c r="Y1646">
        <f>IF($D1646="","",IF($AN1646=1,0,IF($AM1646=1,Settings!$C$6,Settings!$C$7))*100)</f>
        <v/>
      </c>
      <c r="Z1646" s="7">
        <f>IF($D1646="","",V1646*Y1646/100)</f>
        <v/>
      </c>
      <c r="AA1646" s="7">
        <f>IF($D1646="","",V1646-Z1646)</f>
        <v/>
      </c>
      <c r="AB1646" s="7">
        <f>IF($D1646="","",AA1646-N1646)</f>
        <v/>
      </c>
      <c r="AF1646" s="7" t="n"/>
      <c r="AI1646" s="11" t="n"/>
      <c r="AK1646">
        <f>IF($D1646="","",IF(COUNTIF($D$2:$D1646,$D1646)=1,1,0))</f>
        <v/>
      </c>
      <c r="AL1646">
        <f>IF($AK1646=1,SUMPRODUCT(--($AO$2:$AO$3001&lt;$AO1646))+1,"")</f>
        <v/>
      </c>
      <c r="AM1646">
        <f>IF($D1646="","",IF(OR($R1646=TRUE(),$R1646="TRUE"),1,0))</f>
        <v/>
      </c>
      <c r="AN1646">
        <f>IF($D1646="","",IF($X1646="Yes",1,0))</f>
        <v/>
      </c>
      <c r="AO1646">
        <f>IF($AK1646=1,IFERROR(IF(VALUE($D1646)&lt;100000000,VALUE($D1646),1000000000),IFERROR(IF(VALUE(MID($D1646,2,20))&lt;100000000,VALUE(MID($D1646,2,20)),1000000000),1000000000))+ROW()/100000,"")</f>
        <v/>
      </c>
    </row>
    <row r="1647">
      <c r="F1647" s="11" t="n"/>
      <c r="N1647" s="7">
        <f>IF($D1647="","",M1647*V1647/100)</f>
        <v/>
      </c>
      <c r="O1647" s="7" t="n"/>
      <c r="U1647" s="7" t="n"/>
      <c r="V1647" s="7" t="n"/>
      <c r="Y1647">
        <f>IF($D1647="","",IF($AN1647=1,0,IF($AM1647=1,Settings!$C$6,Settings!$C$7))*100)</f>
        <v/>
      </c>
      <c r="Z1647" s="7">
        <f>IF($D1647="","",V1647*Y1647/100)</f>
        <v/>
      </c>
      <c r="AA1647" s="7">
        <f>IF($D1647="","",V1647-Z1647)</f>
        <v/>
      </c>
      <c r="AB1647" s="7">
        <f>IF($D1647="","",AA1647-N1647)</f>
        <v/>
      </c>
      <c r="AF1647" s="7" t="n"/>
      <c r="AI1647" s="11" t="n"/>
      <c r="AK1647">
        <f>IF($D1647="","",IF(COUNTIF($D$2:$D1647,$D1647)=1,1,0))</f>
        <v/>
      </c>
      <c r="AL1647">
        <f>IF($AK1647=1,SUMPRODUCT(--($AO$2:$AO$3001&lt;$AO1647))+1,"")</f>
        <v/>
      </c>
      <c r="AM1647">
        <f>IF($D1647="","",IF(OR($R1647=TRUE(),$R1647="TRUE"),1,0))</f>
        <v/>
      </c>
      <c r="AN1647">
        <f>IF($D1647="","",IF($X1647="Yes",1,0))</f>
        <v/>
      </c>
      <c r="AO1647">
        <f>IF($AK1647=1,IFERROR(IF(VALUE($D1647)&lt;100000000,VALUE($D1647),1000000000),IFERROR(IF(VALUE(MID($D1647,2,20))&lt;100000000,VALUE(MID($D1647,2,20)),1000000000),1000000000))+ROW()/100000,"")</f>
        <v/>
      </c>
    </row>
    <row r="1648">
      <c r="F1648" s="11" t="n"/>
      <c r="N1648" s="7">
        <f>IF($D1648="","",M1648*V1648/100)</f>
        <v/>
      </c>
      <c r="O1648" s="7" t="n"/>
      <c r="U1648" s="7" t="n"/>
      <c r="V1648" s="7" t="n"/>
      <c r="Y1648">
        <f>IF($D1648="","",IF($AN1648=1,0,IF($AM1648=1,Settings!$C$6,Settings!$C$7))*100)</f>
        <v/>
      </c>
      <c r="Z1648" s="7">
        <f>IF($D1648="","",V1648*Y1648/100)</f>
        <v/>
      </c>
      <c r="AA1648" s="7">
        <f>IF($D1648="","",V1648-Z1648)</f>
        <v/>
      </c>
      <c r="AB1648" s="7">
        <f>IF($D1648="","",AA1648-N1648)</f>
        <v/>
      </c>
      <c r="AF1648" s="7" t="n"/>
      <c r="AI1648" s="11" t="n"/>
      <c r="AK1648">
        <f>IF($D1648="","",IF(COUNTIF($D$2:$D1648,$D1648)=1,1,0))</f>
        <v/>
      </c>
      <c r="AL1648">
        <f>IF($AK1648=1,SUMPRODUCT(--($AO$2:$AO$3001&lt;$AO1648))+1,"")</f>
        <v/>
      </c>
      <c r="AM1648">
        <f>IF($D1648="","",IF(OR($R1648=TRUE(),$R1648="TRUE"),1,0))</f>
        <v/>
      </c>
      <c r="AN1648">
        <f>IF($D1648="","",IF($X1648="Yes",1,0))</f>
        <v/>
      </c>
      <c r="AO1648">
        <f>IF($AK1648=1,IFERROR(IF(VALUE($D1648)&lt;100000000,VALUE($D1648),1000000000),IFERROR(IF(VALUE(MID($D1648,2,20))&lt;100000000,VALUE(MID($D1648,2,20)),1000000000),1000000000))+ROW()/100000,"")</f>
        <v/>
      </c>
    </row>
    <row r="1649">
      <c r="F1649" s="11" t="n"/>
      <c r="N1649" s="7">
        <f>IF($D1649="","",M1649*V1649/100)</f>
        <v/>
      </c>
      <c r="O1649" s="7" t="n"/>
      <c r="U1649" s="7" t="n"/>
      <c r="V1649" s="7" t="n"/>
      <c r="Y1649">
        <f>IF($D1649="","",IF($AN1649=1,0,IF($AM1649=1,Settings!$C$6,Settings!$C$7))*100)</f>
        <v/>
      </c>
      <c r="Z1649" s="7">
        <f>IF($D1649="","",V1649*Y1649/100)</f>
        <v/>
      </c>
      <c r="AA1649" s="7">
        <f>IF($D1649="","",V1649-Z1649)</f>
        <v/>
      </c>
      <c r="AB1649" s="7">
        <f>IF($D1649="","",AA1649-N1649)</f>
        <v/>
      </c>
      <c r="AF1649" s="7" t="n"/>
      <c r="AI1649" s="11" t="n"/>
      <c r="AK1649">
        <f>IF($D1649="","",IF(COUNTIF($D$2:$D1649,$D1649)=1,1,0))</f>
        <v/>
      </c>
      <c r="AL1649">
        <f>IF($AK1649=1,SUMPRODUCT(--($AO$2:$AO$3001&lt;$AO1649))+1,"")</f>
        <v/>
      </c>
      <c r="AM1649">
        <f>IF($D1649="","",IF(OR($R1649=TRUE(),$R1649="TRUE"),1,0))</f>
        <v/>
      </c>
      <c r="AN1649">
        <f>IF($D1649="","",IF($X1649="Yes",1,0))</f>
        <v/>
      </c>
      <c r="AO1649">
        <f>IF($AK1649=1,IFERROR(IF(VALUE($D1649)&lt;100000000,VALUE($D1649),1000000000),IFERROR(IF(VALUE(MID($D1649,2,20))&lt;100000000,VALUE(MID($D1649,2,20)),1000000000),1000000000))+ROW()/100000,"")</f>
        <v/>
      </c>
    </row>
    <row r="1650">
      <c r="F1650" s="11" t="n"/>
      <c r="N1650" s="7">
        <f>IF($D1650="","",M1650*V1650/100)</f>
        <v/>
      </c>
      <c r="O1650" s="7" t="n"/>
      <c r="U1650" s="7" t="n"/>
      <c r="V1650" s="7" t="n"/>
      <c r="Y1650">
        <f>IF($D1650="","",IF($AN1650=1,0,IF($AM1650=1,Settings!$C$6,Settings!$C$7))*100)</f>
        <v/>
      </c>
      <c r="Z1650" s="7">
        <f>IF($D1650="","",V1650*Y1650/100)</f>
        <v/>
      </c>
      <c r="AA1650" s="7">
        <f>IF($D1650="","",V1650-Z1650)</f>
        <v/>
      </c>
      <c r="AB1650" s="7">
        <f>IF($D1650="","",AA1650-N1650)</f>
        <v/>
      </c>
      <c r="AF1650" s="7" t="n"/>
      <c r="AI1650" s="11" t="n"/>
      <c r="AK1650">
        <f>IF($D1650="","",IF(COUNTIF($D$2:$D1650,$D1650)=1,1,0))</f>
        <v/>
      </c>
      <c r="AL1650">
        <f>IF($AK1650=1,SUMPRODUCT(--($AO$2:$AO$3001&lt;$AO1650))+1,"")</f>
        <v/>
      </c>
      <c r="AM1650">
        <f>IF($D1650="","",IF(OR($R1650=TRUE(),$R1650="TRUE"),1,0))</f>
        <v/>
      </c>
      <c r="AN1650">
        <f>IF($D1650="","",IF($X1650="Yes",1,0))</f>
        <v/>
      </c>
      <c r="AO1650">
        <f>IF($AK1650=1,IFERROR(IF(VALUE($D1650)&lt;100000000,VALUE($D1650),1000000000),IFERROR(IF(VALUE(MID($D1650,2,20))&lt;100000000,VALUE(MID($D1650,2,20)),1000000000),1000000000))+ROW()/100000,"")</f>
        <v/>
      </c>
    </row>
    <row r="1651">
      <c r="F1651" s="11" t="n"/>
      <c r="N1651" s="7">
        <f>IF($D1651="","",M1651*V1651/100)</f>
        <v/>
      </c>
      <c r="O1651" s="7" t="n"/>
      <c r="U1651" s="7" t="n"/>
      <c r="V1651" s="7" t="n"/>
      <c r="Y1651">
        <f>IF($D1651="","",IF($AN1651=1,0,IF($AM1651=1,Settings!$C$6,Settings!$C$7))*100)</f>
        <v/>
      </c>
      <c r="Z1651" s="7">
        <f>IF($D1651="","",V1651*Y1651/100)</f>
        <v/>
      </c>
      <c r="AA1651" s="7">
        <f>IF($D1651="","",V1651-Z1651)</f>
        <v/>
      </c>
      <c r="AB1651" s="7">
        <f>IF($D1651="","",AA1651-N1651)</f>
        <v/>
      </c>
      <c r="AF1651" s="7" t="n"/>
      <c r="AI1651" s="11" t="n"/>
      <c r="AK1651">
        <f>IF($D1651="","",IF(COUNTIF($D$2:$D1651,$D1651)=1,1,0))</f>
        <v/>
      </c>
      <c r="AL1651">
        <f>IF($AK1651=1,SUMPRODUCT(--($AO$2:$AO$3001&lt;$AO1651))+1,"")</f>
        <v/>
      </c>
      <c r="AM1651">
        <f>IF($D1651="","",IF(OR($R1651=TRUE(),$R1651="TRUE"),1,0))</f>
        <v/>
      </c>
      <c r="AN1651">
        <f>IF($D1651="","",IF($X1651="Yes",1,0))</f>
        <v/>
      </c>
      <c r="AO1651">
        <f>IF($AK1651=1,IFERROR(IF(VALUE($D1651)&lt;100000000,VALUE($D1651),1000000000),IFERROR(IF(VALUE(MID($D1651,2,20))&lt;100000000,VALUE(MID($D1651,2,20)),1000000000),1000000000))+ROW()/100000,"")</f>
        <v/>
      </c>
    </row>
    <row r="1652">
      <c r="F1652" s="11" t="n"/>
      <c r="N1652" s="7">
        <f>IF($D1652="","",M1652*V1652/100)</f>
        <v/>
      </c>
      <c r="O1652" s="7" t="n"/>
      <c r="U1652" s="7" t="n"/>
      <c r="V1652" s="7" t="n"/>
      <c r="Y1652">
        <f>IF($D1652="","",IF($AN1652=1,0,IF($AM1652=1,Settings!$C$6,Settings!$C$7))*100)</f>
        <v/>
      </c>
      <c r="Z1652" s="7">
        <f>IF($D1652="","",V1652*Y1652/100)</f>
        <v/>
      </c>
      <c r="AA1652" s="7">
        <f>IF($D1652="","",V1652-Z1652)</f>
        <v/>
      </c>
      <c r="AB1652" s="7">
        <f>IF($D1652="","",AA1652-N1652)</f>
        <v/>
      </c>
      <c r="AF1652" s="7" t="n"/>
      <c r="AI1652" s="11" t="n"/>
      <c r="AK1652">
        <f>IF($D1652="","",IF(COUNTIF($D$2:$D1652,$D1652)=1,1,0))</f>
        <v/>
      </c>
      <c r="AL1652">
        <f>IF($AK1652=1,SUMPRODUCT(--($AO$2:$AO$3001&lt;$AO1652))+1,"")</f>
        <v/>
      </c>
      <c r="AM1652">
        <f>IF($D1652="","",IF(OR($R1652=TRUE(),$R1652="TRUE"),1,0))</f>
        <v/>
      </c>
      <c r="AN1652">
        <f>IF($D1652="","",IF($X1652="Yes",1,0))</f>
        <v/>
      </c>
      <c r="AO1652">
        <f>IF($AK1652=1,IFERROR(IF(VALUE($D1652)&lt;100000000,VALUE($D1652),1000000000),IFERROR(IF(VALUE(MID($D1652,2,20))&lt;100000000,VALUE(MID($D1652,2,20)),1000000000),1000000000))+ROW()/100000,"")</f>
        <v/>
      </c>
    </row>
    <row r="1653">
      <c r="F1653" s="11" t="n"/>
      <c r="N1653" s="7">
        <f>IF($D1653="","",M1653*V1653/100)</f>
        <v/>
      </c>
      <c r="O1653" s="7" t="n"/>
      <c r="U1653" s="7" t="n"/>
      <c r="V1653" s="7" t="n"/>
      <c r="Y1653">
        <f>IF($D1653="","",IF($AN1653=1,0,IF($AM1653=1,Settings!$C$6,Settings!$C$7))*100)</f>
        <v/>
      </c>
      <c r="Z1653" s="7">
        <f>IF($D1653="","",V1653*Y1653/100)</f>
        <v/>
      </c>
      <c r="AA1653" s="7">
        <f>IF($D1653="","",V1653-Z1653)</f>
        <v/>
      </c>
      <c r="AB1653" s="7">
        <f>IF($D1653="","",AA1653-N1653)</f>
        <v/>
      </c>
      <c r="AF1653" s="7" t="n"/>
      <c r="AI1653" s="11" t="n"/>
      <c r="AK1653">
        <f>IF($D1653="","",IF(COUNTIF($D$2:$D1653,$D1653)=1,1,0))</f>
        <v/>
      </c>
      <c r="AL1653">
        <f>IF($AK1653=1,SUMPRODUCT(--($AO$2:$AO$3001&lt;$AO1653))+1,"")</f>
        <v/>
      </c>
      <c r="AM1653">
        <f>IF($D1653="","",IF(OR($R1653=TRUE(),$R1653="TRUE"),1,0))</f>
        <v/>
      </c>
      <c r="AN1653">
        <f>IF($D1653="","",IF($X1653="Yes",1,0))</f>
        <v/>
      </c>
      <c r="AO1653">
        <f>IF($AK1653=1,IFERROR(IF(VALUE($D1653)&lt;100000000,VALUE($D1653),1000000000),IFERROR(IF(VALUE(MID($D1653,2,20))&lt;100000000,VALUE(MID($D1653,2,20)),1000000000),1000000000))+ROW()/100000,"")</f>
        <v/>
      </c>
    </row>
    <row r="1654">
      <c r="F1654" s="11" t="n"/>
      <c r="N1654" s="7">
        <f>IF($D1654="","",M1654*V1654/100)</f>
        <v/>
      </c>
      <c r="O1654" s="7" t="n"/>
      <c r="U1654" s="7" t="n"/>
      <c r="V1654" s="7" t="n"/>
      <c r="Y1654">
        <f>IF($D1654="","",IF($AN1654=1,0,IF($AM1654=1,Settings!$C$6,Settings!$C$7))*100)</f>
        <v/>
      </c>
      <c r="Z1654" s="7">
        <f>IF($D1654="","",V1654*Y1654/100)</f>
        <v/>
      </c>
      <c r="AA1654" s="7">
        <f>IF($D1654="","",V1654-Z1654)</f>
        <v/>
      </c>
      <c r="AB1654" s="7">
        <f>IF($D1654="","",AA1654-N1654)</f>
        <v/>
      </c>
      <c r="AF1654" s="7" t="n"/>
      <c r="AI1654" s="11" t="n"/>
      <c r="AK1654">
        <f>IF($D1654="","",IF(COUNTIF($D$2:$D1654,$D1654)=1,1,0))</f>
        <v/>
      </c>
      <c r="AL1654">
        <f>IF($AK1654=1,SUMPRODUCT(--($AO$2:$AO$3001&lt;$AO1654))+1,"")</f>
        <v/>
      </c>
      <c r="AM1654">
        <f>IF($D1654="","",IF(OR($R1654=TRUE(),$R1654="TRUE"),1,0))</f>
        <v/>
      </c>
      <c r="AN1654">
        <f>IF($D1654="","",IF($X1654="Yes",1,0))</f>
        <v/>
      </c>
      <c r="AO1654">
        <f>IF($AK1654=1,IFERROR(IF(VALUE($D1654)&lt;100000000,VALUE($D1654),1000000000),IFERROR(IF(VALUE(MID($D1654,2,20))&lt;100000000,VALUE(MID($D1654,2,20)),1000000000),1000000000))+ROW()/100000,"")</f>
        <v/>
      </c>
    </row>
    <row r="1655">
      <c r="F1655" s="11" t="n"/>
      <c r="N1655" s="7">
        <f>IF($D1655="","",M1655*V1655/100)</f>
        <v/>
      </c>
      <c r="O1655" s="7" t="n"/>
      <c r="U1655" s="7" t="n"/>
      <c r="V1655" s="7" t="n"/>
      <c r="Y1655">
        <f>IF($D1655="","",IF($AN1655=1,0,IF($AM1655=1,Settings!$C$6,Settings!$C$7))*100)</f>
        <v/>
      </c>
      <c r="Z1655" s="7">
        <f>IF($D1655="","",V1655*Y1655/100)</f>
        <v/>
      </c>
      <c r="AA1655" s="7">
        <f>IF($D1655="","",V1655-Z1655)</f>
        <v/>
      </c>
      <c r="AB1655" s="7">
        <f>IF($D1655="","",AA1655-N1655)</f>
        <v/>
      </c>
      <c r="AF1655" s="7" t="n"/>
      <c r="AI1655" s="11" t="n"/>
      <c r="AK1655">
        <f>IF($D1655="","",IF(COUNTIF($D$2:$D1655,$D1655)=1,1,0))</f>
        <v/>
      </c>
      <c r="AL1655">
        <f>IF($AK1655=1,SUMPRODUCT(--($AO$2:$AO$3001&lt;$AO1655))+1,"")</f>
        <v/>
      </c>
      <c r="AM1655">
        <f>IF($D1655="","",IF(OR($R1655=TRUE(),$R1655="TRUE"),1,0))</f>
        <v/>
      </c>
      <c r="AN1655">
        <f>IF($D1655="","",IF($X1655="Yes",1,0))</f>
        <v/>
      </c>
      <c r="AO1655">
        <f>IF($AK1655=1,IFERROR(IF(VALUE($D1655)&lt;100000000,VALUE($D1655),1000000000),IFERROR(IF(VALUE(MID($D1655,2,20))&lt;100000000,VALUE(MID($D1655,2,20)),1000000000),1000000000))+ROW()/100000,"")</f>
        <v/>
      </c>
    </row>
    <row r="1656">
      <c r="F1656" s="11" t="n"/>
      <c r="N1656" s="7">
        <f>IF($D1656="","",M1656*V1656/100)</f>
        <v/>
      </c>
      <c r="O1656" s="7" t="n"/>
      <c r="U1656" s="7" t="n"/>
      <c r="V1656" s="7" t="n"/>
      <c r="Y1656">
        <f>IF($D1656="","",IF($AN1656=1,0,IF($AM1656=1,Settings!$C$6,Settings!$C$7))*100)</f>
        <v/>
      </c>
      <c r="Z1656" s="7">
        <f>IF($D1656="","",V1656*Y1656/100)</f>
        <v/>
      </c>
      <c r="AA1656" s="7">
        <f>IF($D1656="","",V1656-Z1656)</f>
        <v/>
      </c>
      <c r="AB1656" s="7">
        <f>IF($D1656="","",AA1656-N1656)</f>
        <v/>
      </c>
      <c r="AF1656" s="7" t="n"/>
      <c r="AI1656" s="11" t="n"/>
      <c r="AK1656">
        <f>IF($D1656="","",IF(COUNTIF($D$2:$D1656,$D1656)=1,1,0))</f>
        <v/>
      </c>
      <c r="AL1656">
        <f>IF($AK1656=1,SUMPRODUCT(--($AO$2:$AO$3001&lt;$AO1656))+1,"")</f>
        <v/>
      </c>
      <c r="AM1656">
        <f>IF($D1656="","",IF(OR($R1656=TRUE(),$R1656="TRUE"),1,0))</f>
        <v/>
      </c>
      <c r="AN1656">
        <f>IF($D1656="","",IF($X1656="Yes",1,0))</f>
        <v/>
      </c>
      <c r="AO1656">
        <f>IF($AK1656=1,IFERROR(IF(VALUE($D1656)&lt;100000000,VALUE($D1656),1000000000),IFERROR(IF(VALUE(MID($D1656,2,20))&lt;100000000,VALUE(MID($D1656,2,20)),1000000000),1000000000))+ROW()/100000,"")</f>
        <v/>
      </c>
    </row>
    <row r="1657">
      <c r="F1657" s="11" t="n"/>
      <c r="N1657" s="7">
        <f>IF($D1657="","",M1657*V1657/100)</f>
        <v/>
      </c>
      <c r="O1657" s="7" t="n"/>
      <c r="U1657" s="7" t="n"/>
      <c r="V1657" s="7" t="n"/>
      <c r="Y1657">
        <f>IF($D1657="","",IF($AN1657=1,0,IF($AM1657=1,Settings!$C$6,Settings!$C$7))*100)</f>
        <v/>
      </c>
      <c r="Z1657" s="7">
        <f>IF($D1657="","",V1657*Y1657/100)</f>
        <v/>
      </c>
      <c r="AA1657" s="7">
        <f>IF($D1657="","",V1657-Z1657)</f>
        <v/>
      </c>
      <c r="AB1657" s="7">
        <f>IF($D1657="","",AA1657-N1657)</f>
        <v/>
      </c>
      <c r="AF1657" s="7" t="n"/>
      <c r="AI1657" s="11" t="n"/>
      <c r="AK1657">
        <f>IF($D1657="","",IF(COUNTIF($D$2:$D1657,$D1657)=1,1,0))</f>
        <v/>
      </c>
      <c r="AL1657">
        <f>IF($AK1657=1,SUMPRODUCT(--($AO$2:$AO$3001&lt;$AO1657))+1,"")</f>
        <v/>
      </c>
      <c r="AM1657">
        <f>IF($D1657="","",IF(OR($R1657=TRUE(),$R1657="TRUE"),1,0))</f>
        <v/>
      </c>
      <c r="AN1657">
        <f>IF($D1657="","",IF($X1657="Yes",1,0))</f>
        <v/>
      </c>
      <c r="AO1657">
        <f>IF($AK1657=1,IFERROR(IF(VALUE($D1657)&lt;100000000,VALUE($D1657),1000000000),IFERROR(IF(VALUE(MID($D1657,2,20))&lt;100000000,VALUE(MID($D1657,2,20)),1000000000),1000000000))+ROW()/100000,"")</f>
        <v/>
      </c>
    </row>
    <row r="1658">
      <c r="F1658" s="11" t="n"/>
      <c r="N1658" s="7">
        <f>IF($D1658="","",M1658*V1658/100)</f>
        <v/>
      </c>
      <c r="O1658" s="7" t="n"/>
      <c r="U1658" s="7" t="n"/>
      <c r="V1658" s="7" t="n"/>
      <c r="Y1658">
        <f>IF($D1658="","",IF($AN1658=1,0,IF($AM1658=1,Settings!$C$6,Settings!$C$7))*100)</f>
        <v/>
      </c>
      <c r="Z1658" s="7">
        <f>IF($D1658="","",V1658*Y1658/100)</f>
        <v/>
      </c>
      <c r="AA1658" s="7">
        <f>IF($D1658="","",V1658-Z1658)</f>
        <v/>
      </c>
      <c r="AB1658" s="7">
        <f>IF($D1658="","",AA1658-N1658)</f>
        <v/>
      </c>
      <c r="AF1658" s="7" t="n"/>
      <c r="AI1658" s="11" t="n"/>
      <c r="AK1658">
        <f>IF($D1658="","",IF(COUNTIF($D$2:$D1658,$D1658)=1,1,0))</f>
        <v/>
      </c>
      <c r="AL1658">
        <f>IF($AK1658=1,SUMPRODUCT(--($AO$2:$AO$3001&lt;$AO1658))+1,"")</f>
        <v/>
      </c>
      <c r="AM1658">
        <f>IF($D1658="","",IF(OR($R1658=TRUE(),$R1658="TRUE"),1,0))</f>
        <v/>
      </c>
      <c r="AN1658">
        <f>IF($D1658="","",IF($X1658="Yes",1,0))</f>
        <v/>
      </c>
      <c r="AO1658">
        <f>IF($AK1658=1,IFERROR(IF(VALUE($D1658)&lt;100000000,VALUE($D1658),1000000000),IFERROR(IF(VALUE(MID($D1658,2,20))&lt;100000000,VALUE(MID($D1658,2,20)),1000000000),1000000000))+ROW()/100000,"")</f>
        <v/>
      </c>
    </row>
    <row r="1659">
      <c r="F1659" s="11" t="n"/>
      <c r="N1659" s="7">
        <f>IF($D1659="","",M1659*V1659/100)</f>
        <v/>
      </c>
      <c r="O1659" s="7" t="n"/>
      <c r="U1659" s="7" t="n"/>
      <c r="V1659" s="7" t="n"/>
      <c r="Y1659">
        <f>IF($D1659="","",IF($AN1659=1,0,IF($AM1659=1,Settings!$C$6,Settings!$C$7))*100)</f>
        <v/>
      </c>
      <c r="Z1659" s="7">
        <f>IF($D1659="","",V1659*Y1659/100)</f>
        <v/>
      </c>
      <c r="AA1659" s="7">
        <f>IF($D1659="","",V1659-Z1659)</f>
        <v/>
      </c>
      <c r="AB1659" s="7">
        <f>IF($D1659="","",AA1659-N1659)</f>
        <v/>
      </c>
      <c r="AF1659" s="7" t="n"/>
      <c r="AI1659" s="11" t="n"/>
      <c r="AK1659">
        <f>IF($D1659="","",IF(COUNTIF($D$2:$D1659,$D1659)=1,1,0))</f>
        <v/>
      </c>
      <c r="AL1659">
        <f>IF($AK1659=1,SUMPRODUCT(--($AO$2:$AO$3001&lt;$AO1659))+1,"")</f>
        <v/>
      </c>
      <c r="AM1659">
        <f>IF($D1659="","",IF(OR($R1659=TRUE(),$R1659="TRUE"),1,0))</f>
        <v/>
      </c>
      <c r="AN1659">
        <f>IF($D1659="","",IF($X1659="Yes",1,0))</f>
        <v/>
      </c>
      <c r="AO1659">
        <f>IF($AK1659=1,IFERROR(IF(VALUE($D1659)&lt;100000000,VALUE($D1659),1000000000),IFERROR(IF(VALUE(MID($D1659,2,20))&lt;100000000,VALUE(MID($D1659,2,20)),1000000000),1000000000))+ROW()/100000,"")</f>
        <v/>
      </c>
    </row>
    <row r="1660">
      <c r="F1660" s="11" t="n"/>
      <c r="N1660" s="7">
        <f>IF($D1660="","",M1660*V1660/100)</f>
        <v/>
      </c>
      <c r="O1660" s="7" t="n"/>
      <c r="U1660" s="7" t="n"/>
      <c r="V1660" s="7" t="n"/>
      <c r="Y1660">
        <f>IF($D1660="","",IF($AN1660=1,0,IF($AM1660=1,Settings!$C$6,Settings!$C$7))*100)</f>
        <v/>
      </c>
      <c r="Z1660" s="7">
        <f>IF($D1660="","",V1660*Y1660/100)</f>
        <v/>
      </c>
      <c r="AA1660" s="7">
        <f>IF($D1660="","",V1660-Z1660)</f>
        <v/>
      </c>
      <c r="AB1660" s="7">
        <f>IF($D1660="","",AA1660-N1660)</f>
        <v/>
      </c>
      <c r="AF1660" s="7" t="n"/>
      <c r="AI1660" s="11" t="n"/>
      <c r="AK1660">
        <f>IF($D1660="","",IF(COUNTIF($D$2:$D1660,$D1660)=1,1,0))</f>
        <v/>
      </c>
      <c r="AL1660">
        <f>IF($AK1660=1,SUMPRODUCT(--($AO$2:$AO$3001&lt;$AO1660))+1,"")</f>
        <v/>
      </c>
      <c r="AM1660">
        <f>IF($D1660="","",IF(OR($R1660=TRUE(),$R1660="TRUE"),1,0))</f>
        <v/>
      </c>
      <c r="AN1660">
        <f>IF($D1660="","",IF($X1660="Yes",1,0))</f>
        <v/>
      </c>
      <c r="AO1660">
        <f>IF($AK1660=1,IFERROR(IF(VALUE($D1660)&lt;100000000,VALUE($D1660),1000000000),IFERROR(IF(VALUE(MID($D1660,2,20))&lt;100000000,VALUE(MID($D1660,2,20)),1000000000),1000000000))+ROW()/100000,"")</f>
        <v/>
      </c>
    </row>
    <row r="1661">
      <c r="F1661" s="11" t="n"/>
      <c r="N1661" s="7">
        <f>IF($D1661="","",M1661*V1661/100)</f>
        <v/>
      </c>
      <c r="O1661" s="7" t="n"/>
      <c r="U1661" s="7" t="n"/>
      <c r="V1661" s="7" t="n"/>
      <c r="Y1661">
        <f>IF($D1661="","",IF($AN1661=1,0,IF($AM1661=1,Settings!$C$6,Settings!$C$7))*100)</f>
        <v/>
      </c>
      <c r="Z1661" s="7">
        <f>IF($D1661="","",V1661*Y1661/100)</f>
        <v/>
      </c>
      <c r="AA1661" s="7">
        <f>IF($D1661="","",V1661-Z1661)</f>
        <v/>
      </c>
      <c r="AB1661" s="7">
        <f>IF($D1661="","",AA1661-N1661)</f>
        <v/>
      </c>
      <c r="AF1661" s="7" t="n"/>
      <c r="AI1661" s="11" t="n"/>
      <c r="AK1661">
        <f>IF($D1661="","",IF(COUNTIF($D$2:$D1661,$D1661)=1,1,0))</f>
        <v/>
      </c>
      <c r="AL1661">
        <f>IF($AK1661=1,SUMPRODUCT(--($AO$2:$AO$3001&lt;$AO1661))+1,"")</f>
        <v/>
      </c>
      <c r="AM1661">
        <f>IF($D1661="","",IF(OR($R1661=TRUE(),$R1661="TRUE"),1,0))</f>
        <v/>
      </c>
      <c r="AN1661">
        <f>IF($D1661="","",IF($X1661="Yes",1,0))</f>
        <v/>
      </c>
      <c r="AO1661">
        <f>IF($AK1661=1,IFERROR(IF(VALUE($D1661)&lt;100000000,VALUE($D1661),1000000000),IFERROR(IF(VALUE(MID($D1661,2,20))&lt;100000000,VALUE(MID($D1661,2,20)),1000000000),1000000000))+ROW()/100000,"")</f>
        <v/>
      </c>
    </row>
    <row r="1662">
      <c r="F1662" s="11" t="n"/>
      <c r="N1662" s="7">
        <f>IF($D1662="","",M1662*V1662/100)</f>
        <v/>
      </c>
      <c r="O1662" s="7" t="n"/>
      <c r="U1662" s="7" t="n"/>
      <c r="V1662" s="7" t="n"/>
      <c r="Y1662">
        <f>IF($D1662="","",IF($AN1662=1,0,IF($AM1662=1,Settings!$C$6,Settings!$C$7))*100)</f>
        <v/>
      </c>
      <c r="Z1662" s="7">
        <f>IF($D1662="","",V1662*Y1662/100)</f>
        <v/>
      </c>
      <c r="AA1662" s="7">
        <f>IF($D1662="","",V1662-Z1662)</f>
        <v/>
      </c>
      <c r="AB1662" s="7">
        <f>IF($D1662="","",AA1662-N1662)</f>
        <v/>
      </c>
      <c r="AF1662" s="7" t="n"/>
      <c r="AI1662" s="11" t="n"/>
      <c r="AK1662">
        <f>IF($D1662="","",IF(COUNTIF($D$2:$D1662,$D1662)=1,1,0))</f>
        <v/>
      </c>
      <c r="AL1662">
        <f>IF($AK1662=1,SUMPRODUCT(--($AO$2:$AO$3001&lt;$AO1662))+1,"")</f>
        <v/>
      </c>
      <c r="AM1662">
        <f>IF($D1662="","",IF(OR($R1662=TRUE(),$R1662="TRUE"),1,0))</f>
        <v/>
      </c>
      <c r="AN1662">
        <f>IF($D1662="","",IF($X1662="Yes",1,0))</f>
        <v/>
      </c>
      <c r="AO1662">
        <f>IF($AK1662=1,IFERROR(IF(VALUE($D1662)&lt;100000000,VALUE($D1662),1000000000),IFERROR(IF(VALUE(MID($D1662,2,20))&lt;100000000,VALUE(MID($D1662,2,20)),1000000000),1000000000))+ROW()/100000,"")</f>
        <v/>
      </c>
    </row>
    <row r="1663">
      <c r="F1663" s="11" t="n"/>
      <c r="N1663" s="7">
        <f>IF($D1663="","",M1663*V1663/100)</f>
        <v/>
      </c>
      <c r="O1663" s="7" t="n"/>
      <c r="U1663" s="7" t="n"/>
      <c r="V1663" s="7" t="n"/>
      <c r="Y1663">
        <f>IF($D1663="","",IF($AN1663=1,0,IF($AM1663=1,Settings!$C$6,Settings!$C$7))*100)</f>
        <v/>
      </c>
      <c r="Z1663" s="7">
        <f>IF($D1663="","",V1663*Y1663/100)</f>
        <v/>
      </c>
      <c r="AA1663" s="7">
        <f>IF($D1663="","",V1663-Z1663)</f>
        <v/>
      </c>
      <c r="AB1663" s="7">
        <f>IF($D1663="","",AA1663-N1663)</f>
        <v/>
      </c>
      <c r="AF1663" s="7" t="n"/>
      <c r="AI1663" s="11" t="n"/>
      <c r="AK1663">
        <f>IF($D1663="","",IF(COUNTIF($D$2:$D1663,$D1663)=1,1,0))</f>
        <v/>
      </c>
      <c r="AL1663">
        <f>IF($AK1663=1,SUMPRODUCT(--($AO$2:$AO$3001&lt;$AO1663))+1,"")</f>
        <v/>
      </c>
      <c r="AM1663">
        <f>IF($D1663="","",IF(OR($R1663=TRUE(),$R1663="TRUE"),1,0))</f>
        <v/>
      </c>
      <c r="AN1663">
        <f>IF($D1663="","",IF($X1663="Yes",1,0))</f>
        <v/>
      </c>
      <c r="AO1663">
        <f>IF($AK1663=1,IFERROR(IF(VALUE($D1663)&lt;100000000,VALUE($D1663),1000000000),IFERROR(IF(VALUE(MID($D1663,2,20))&lt;100000000,VALUE(MID($D1663,2,20)),1000000000),1000000000))+ROW()/100000,"")</f>
        <v/>
      </c>
    </row>
    <row r="1664">
      <c r="F1664" s="11" t="n"/>
      <c r="N1664" s="7">
        <f>IF($D1664="","",M1664*V1664/100)</f>
        <v/>
      </c>
      <c r="O1664" s="7" t="n"/>
      <c r="U1664" s="7" t="n"/>
      <c r="V1664" s="7" t="n"/>
      <c r="Y1664">
        <f>IF($D1664="","",IF($AN1664=1,0,IF($AM1664=1,Settings!$C$6,Settings!$C$7))*100)</f>
        <v/>
      </c>
      <c r="Z1664" s="7">
        <f>IF($D1664="","",V1664*Y1664/100)</f>
        <v/>
      </c>
      <c r="AA1664" s="7">
        <f>IF($D1664="","",V1664-Z1664)</f>
        <v/>
      </c>
      <c r="AB1664" s="7">
        <f>IF($D1664="","",AA1664-N1664)</f>
        <v/>
      </c>
      <c r="AF1664" s="7" t="n"/>
      <c r="AI1664" s="11" t="n"/>
      <c r="AK1664">
        <f>IF($D1664="","",IF(COUNTIF($D$2:$D1664,$D1664)=1,1,0))</f>
        <v/>
      </c>
      <c r="AL1664">
        <f>IF($AK1664=1,SUMPRODUCT(--($AO$2:$AO$3001&lt;$AO1664))+1,"")</f>
        <v/>
      </c>
      <c r="AM1664">
        <f>IF($D1664="","",IF(OR($R1664=TRUE(),$R1664="TRUE"),1,0))</f>
        <v/>
      </c>
      <c r="AN1664">
        <f>IF($D1664="","",IF($X1664="Yes",1,0))</f>
        <v/>
      </c>
      <c r="AO1664">
        <f>IF($AK1664=1,IFERROR(IF(VALUE($D1664)&lt;100000000,VALUE($D1664),1000000000),IFERROR(IF(VALUE(MID($D1664,2,20))&lt;100000000,VALUE(MID($D1664,2,20)),1000000000),1000000000))+ROW()/100000,"")</f>
        <v/>
      </c>
    </row>
    <row r="1665">
      <c r="F1665" s="11" t="n"/>
      <c r="N1665" s="7">
        <f>IF($D1665="","",M1665*V1665/100)</f>
        <v/>
      </c>
      <c r="O1665" s="7" t="n"/>
      <c r="U1665" s="7" t="n"/>
      <c r="V1665" s="7" t="n"/>
      <c r="Y1665">
        <f>IF($D1665="","",IF($AN1665=1,0,IF($AM1665=1,Settings!$C$6,Settings!$C$7))*100)</f>
        <v/>
      </c>
      <c r="Z1665" s="7">
        <f>IF($D1665="","",V1665*Y1665/100)</f>
        <v/>
      </c>
      <c r="AA1665" s="7">
        <f>IF($D1665="","",V1665-Z1665)</f>
        <v/>
      </c>
      <c r="AB1665" s="7">
        <f>IF($D1665="","",AA1665-N1665)</f>
        <v/>
      </c>
      <c r="AF1665" s="7" t="n"/>
      <c r="AI1665" s="11" t="n"/>
      <c r="AK1665">
        <f>IF($D1665="","",IF(COUNTIF($D$2:$D1665,$D1665)=1,1,0))</f>
        <v/>
      </c>
      <c r="AL1665">
        <f>IF($AK1665=1,SUMPRODUCT(--($AO$2:$AO$3001&lt;$AO1665))+1,"")</f>
        <v/>
      </c>
      <c r="AM1665">
        <f>IF($D1665="","",IF(OR($R1665=TRUE(),$R1665="TRUE"),1,0))</f>
        <v/>
      </c>
      <c r="AN1665">
        <f>IF($D1665="","",IF($X1665="Yes",1,0))</f>
        <v/>
      </c>
      <c r="AO1665">
        <f>IF($AK1665=1,IFERROR(IF(VALUE($D1665)&lt;100000000,VALUE($D1665),1000000000),IFERROR(IF(VALUE(MID($D1665,2,20))&lt;100000000,VALUE(MID($D1665,2,20)),1000000000),1000000000))+ROW()/100000,"")</f>
        <v/>
      </c>
    </row>
    <row r="1666">
      <c r="F1666" s="11" t="n"/>
      <c r="N1666" s="7">
        <f>IF($D1666="","",M1666*V1666/100)</f>
        <v/>
      </c>
      <c r="O1666" s="7" t="n"/>
      <c r="U1666" s="7" t="n"/>
      <c r="V1666" s="7" t="n"/>
      <c r="Y1666">
        <f>IF($D1666="","",IF($AN1666=1,0,IF($AM1666=1,Settings!$C$6,Settings!$C$7))*100)</f>
        <v/>
      </c>
      <c r="Z1666" s="7">
        <f>IF($D1666="","",V1666*Y1666/100)</f>
        <v/>
      </c>
      <c r="AA1666" s="7">
        <f>IF($D1666="","",V1666-Z1666)</f>
        <v/>
      </c>
      <c r="AB1666" s="7">
        <f>IF($D1666="","",AA1666-N1666)</f>
        <v/>
      </c>
      <c r="AF1666" s="7" t="n"/>
      <c r="AI1666" s="11" t="n"/>
      <c r="AK1666">
        <f>IF($D1666="","",IF(COUNTIF($D$2:$D1666,$D1666)=1,1,0))</f>
        <v/>
      </c>
      <c r="AL1666">
        <f>IF($AK1666=1,SUMPRODUCT(--($AO$2:$AO$3001&lt;$AO1666))+1,"")</f>
        <v/>
      </c>
      <c r="AM1666">
        <f>IF($D1666="","",IF(OR($R1666=TRUE(),$R1666="TRUE"),1,0))</f>
        <v/>
      </c>
      <c r="AN1666">
        <f>IF($D1666="","",IF($X1666="Yes",1,0))</f>
        <v/>
      </c>
      <c r="AO1666">
        <f>IF($AK1666=1,IFERROR(IF(VALUE($D1666)&lt;100000000,VALUE($D1666),1000000000),IFERROR(IF(VALUE(MID($D1666,2,20))&lt;100000000,VALUE(MID($D1666,2,20)),1000000000),1000000000))+ROW()/100000,"")</f>
        <v/>
      </c>
    </row>
    <row r="1667">
      <c r="F1667" s="11" t="n"/>
      <c r="N1667" s="7">
        <f>IF($D1667="","",M1667*V1667/100)</f>
        <v/>
      </c>
      <c r="O1667" s="7" t="n"/>
      <c r="U1667" s="7" t="n"/>
      <c r="V1667" s="7" t="n"/>
      <c r="Y1667">
        <f>IF($D1667="","",IF($AN1667=1,0,IF($AM1667=1,Settings!$C$6,Settings!$C$7))*100)</f>
        <v/>
      </c>
      <c r="Z1667" s="7">
        <f>IF($D1667="","",V1667*Y1667/100)</f>
        <v/>
      </c>
      <c r="AA1667" s="7">
        <f>IF($D1667="","",V1667-Z1667)</f>
        <v/>
      </c>
      <c r="AB1667" s="7">
        <f>IF($D1667="","",AA1667-N1667)</f>
        <v/>
      </c>
      <c r="AF1667" s="7" t="n"/>
      <c r="AI1667" s="11" t="n"/>
      <c r="AK1667">
        <f>IF($D1667="","",IF(COUNTIF($D$2:$D1667,$D1667)=1,1,0))</f>
        <v/>
      </c>
      <c r="AL1667">
        <f>IF($AK1667=1,SUMPRODUCT(--($AO$2:$AO$3001&lt;$AO1667))+1,"")</f>
        <v/>
      </c>
      <c r="AM1667">
        <f>IF($D1667="","",IF(OR($R1667=TRUE(),$R1667="TRUE"),1,0))</f>
        <v/>
      </c>
      <c r="AN1667">
        <f>IF($D1667="","",IF($X1667="Yes",1,0))</f>
        <v/>
      </c>
      <c r="AO1667">
        <f>IF($AK1667=1,IFERROR(IF(VALUE($D1667)&lt;100000000,VALUE($D1667),1000000000),IFERROR(IF(VALUE(MID($D1667,2,20))&lt;100000000,VALUE(MID($D1667,2,20)),1000000000),1000000000))+ROW()/100000,"")</f>
        <v/>
      </c>
    </row>
    <row r="1668">
      <c r="F1668" s="11" t="n"/>
      <c r="N1668" s="7">
        <f>IF($D1668="","",M1668*V1668/100)</f>
        <v/>
      </c>
      <c r="O1668" s="7" t="n"/>
      <c r="U1668" s="7" t="n"/>
      <c r="V1668" s="7" t="n"/>
      <c r="Y1668">
        <f>IF($D1668="","",IF($AN1668=1,0,IF($AM1668=1,Settings!$C$6,Settings!$C$7))*100)</f>
        <v/>
      </c>
      <c r="Z1668" s="7">
        <f>IF($D1668="","",V1668*Y1668/100)</f>
        <v/>
      </c>
      <c r="AA1668" s="7">
        <f>IF($D1668="","",V1668-Z1668)</f>
        <v/>
      </c>
      <c r="AB1668" s="7">
        <f>IF($D1668="","",AA1668-N1668)</f>
        <v/>
      </c>
      <c r="AF1668" s="7" t="n"/>
      <c r="AI1668" s="11" t="n"/>
      <c r="AK1668">
        <f>IF($D1668="","",IF(COUNTIF($D$2:$D1668,$D1668)=1,1,0))</f>
        <v/>
      </c>
      <c r="AL1668">
        <f>IF($AK1668=1,SUMPRODUCT(--($AO$2:$AO$3001&lt;$AO1668))+1,"")</f>
        <v/>
      </c>
      <c r="AM1668">
        <f>IF($D1668="","",IF(OR($R1668=TRUE(),$R1668="TRUE"),1,0))</f>
        <v/>
      </c>
      <c r="AN1668">
        <f>IF($D1668="","",IF($X1668="Yes",1,0))</f>
        <v/>
      </c>
      <c r="AO1668">
        <f>IF($AK1668=1,IFERROR(IF(VALUE($D1668)&lt;100000000,VALUE($D1668),1000000000),IFERROR(IF(VALUE(MID($D1668,2,20))&lt;100000000,VALUE(MID($D1668,2,20)),1000000000),1000000000))+ROW()/100000,"")</f>
        <v/>
      </c>
    </row>
    <row r="1669">
      <c r="F1669" s="11" t="n"/>
      <c r="N1669" s="7">
        <f>IF($D1669="","",M1669*V1669/100)</f>
        <v/>
      </c>
      <c r="O1669" s="7" t="n"/>
      <c r="U1669" s="7" t="n"/>
      <c r="V1669" s="7" t="n"/>
      <c r="Y1669">
        <f>IF($D1669="","",IF($AN1669=1,0,IF($AM1669=1,Settings!$C$6,Settings!$C$7))*100)</f>
        <v/>
      </c>
      <c r="Z1669" s="7">
        <f>IF($D1669="","",V1669*Y1669/100)</f>
        <v/>
      </c>
      <c r="AA1669" s="7">
        <f>IF($D1669="","",V1669-Z1669)</f>
        <v/>
      </c>
      <c r="AB1669" s="7">
        <f>IF($D1669="","",AA1669-N1669)</f>
        <v/>
      </c>
      <c r="AF1669" s="7" t="n"/>
      <c r="AI1669" s="11" t="n"/>
      <c r="AK1669">
        <f>IF($D1669="","",IF(COUNTIF($D$2:$D1669,$D1669)=1,1,0))</f>
        <v/>
      </c>
      <c r="AL1669">
        <f>IF($AK1669=1,SUMPRODUCT(--($AO$2:$AO$3001&lt;$AO1669))+1,"")</f>
        <v/>
      </c>
      <c r="AM1669">
        <f>IF($D1669="","",IF(OR($R1669=TRUE(),$R1669="TRUE"),1,0))</f>
        <v/>
      </c>
      <c r="AN1669">
        <f>IF($D1669="","",IF($X1669="Yes",1,0))</f>
        <v/>
      </c>
      <c r="AO1669">
        <f>IF($AK1669=1,IFERROR(IF(VALUE($D1669)&lt;100000000,VALUE($D1669),1000000000),IFERROR(IF(VALUE(MID($D1669,2,20))&lt;100000000,VALUE(MID($D1669,2,20)),1000000000),1000000000))+ROW()/100000,"")</f>
        <v/>
      </c>
    </row>
    <row r="1670">
      <c r="F1670" s="11" t="n"/>
      <c r="N1670" s="7">
        <f>IF($D1670="","",M1670*V1670/100)</f>
        <v/>
      </c>
      <c r="O1670" s="7" t="n"/>
      <c r="U1670" s="7" t="n"/>
      <c r="V1670" s="7" t="n"/>
      <c r="Y1670">
        <f>IF($D1670="","",IF($AN1670=1,0,IF($AM1670=1,Settings!$C$6,Settings!$C$7))*100)</f>
        <v/>
      </c>
      <c r="Z1670" s="7">
        <f>IF($D1670="","",V1670*Y1670/100)</f>
        <v/>
      </c>
      <c r="AA1670" s="7">
        <f>IF($D1670="","",V1670-Z1670)</f>
        <v/>
      </c>
      <c r="AB1670" s="7">
        <f>IF($D1670="","",AA1670-N1670)</f>
        <v/>
      </c>
      <c r="AF1670" s="7" t="n"/>
      <c r="AI1670" s="11" t="n"/>
      <c r="AK1670">
        <f>IF($D1670="","",IF(COUNTIF($D$2:$D1670,$D1670)=1,1,0))</f>
        <v/>
      </c>
      <c r="AL1670">
        <f>IF($AK1670=1,SUMPRODUCT(--($AO$2:$AO$3001&lt;$AO1670))+1,"")</f>
        <v/>
      </c>
      <c r="AM1670">
        <f>IF($D1670="","",IF(OR($R1670=TRUE(),$R1670="TRUE"),1,0))</f>
        <v/>
      </c>
      <c r="AN1670">
        <f>IF($D1670="","",IF($X1670="Yes",1,0))</f>
        <v/>
      </c>
      <c r="AO1670">
        <f>IF($AK1670=1,IFERROR(IF(VALUE($D1670)&lt;100000000,VALUE($D1670),1000000000),IFERROR(IF(VALUE(MID($D1670,2,20))&lt;100000000,VALUE(MID($D1670,2,20)),1000000000),1000000000))+ROW()/100000,"")</f>
        <v/>
      </c>
    </row>
    <row r="1671">
      <c r="F1671" s="11" t="n"/>
      <c r="N1671" s="7">
        <f>IF($D1671="","",M1671*V1671/100)</f>
        <v/>
      </c>
      <c r="O1671" s="7" t="n"/>
      <c r="U1671" s="7" t="n"/>
      <c r="V1671" s="7" t="n"/>
      <c r="Y1671">
        <f>IF($D1671="","",IF($AN1671=1,0,IF($AM1671=1,Settings!$C$6,Settings!$C$7))*100)</f>
        <v/>
      </c>
      <c r="Z1671" s="7">
        <f>IF($D1671="","",V1671*Y1671/100)</f>
        <v/>
      </c>
      <c r="AA1671" s="7">
        <f>IF($D1671="","",V1671-Z1671)</f>
        <v/>
      </c>
      <c r="AB1671" s="7">
        <f>IF($D1671="","",AA1671-N1671)</f>
        <v/>
      </c>
      <c r="AF1671" s="7" t="n"/>
      <c r="AI1671" s="11" t="n"/>
      <c r="AK1671">
        <f>IF($D1671="","",IF(COUNTIF($D$2:$D1671,$D1671)=1,1,0))</f>
        <v/>
      </c>
      <c r="AL1671">
        <f>IF($AK1671=1,SUMPRODUCT(--($AO$2:$AO$3001&lt;$AO1671))+1,"")</f>
        <v/>
      </c>
      <c r="AM1671">
        <f>IF($D1671="","",IF(OR($R1671=TRUE(),$R1671="TRUE"),1,0))</f>
        <v/>
      </c>
      <c r="AN1671">
        <f>IF($D1671="","",IF($X1671="Yes",1,0))</f>
        <v/>
      </c>
      <c r="AO1671">
        <f>IF($AK1671=1,IFERROR(IF(VALUE($D1671)&lt;100000000,VALUE($D1671),1000000000),IFERROR(IF(VALUE(MID($D1671,2,20))&lt;100000000,VALUE(MID($D1671,2,20)),1000000000),1000000000))+ROW()/100000,"")</f>
        <v/>
      </c>
    </row>
    <row r="1672">
      <c r="F1672" s="11" t="n"/>
      <c r="N1672" s="7">
        <f>IF($D1672="","",M1672*V1672/100)</f>
        <v/>
      </c>
      <c r="O1672" s="7" t="n"/>
      <c r="U1672" s="7" t="n"/>
      <c r="V1672" s="7" t="n"/>
      <c r="Y1672">
        <f>IF($D1672="","",IF($AN1672=1,0,IF($AM1672=1,Settings!$C$6,Settings!$C$7))*100)</f>
        <v/>
      </c>
      <c r="Z1672" s="7">
        <f>IF($D1672="","",V1672*Y1672/100)</f>
        <v/>
      </c>
      <c r="AA1672" s="7">
        <f>IF($D1672="","",V1672-Z1672)</f>
        <v/>
      </c>
      <c r="AB1672" s="7">
        <f>IF($D1672="","",AA1672-N1672)</f>
        <v/>
      </c>
      <c r="AF1672" s="7" t="n"/>
      <c r="AI1672" s="11" t="n"/>
      <c r="AK1672">
        <f>IF($D1672="","",IF(COUNTIF($D$2:$D1672,$D1672)=1,1,0))</f>
        <v/>
      </c>
      <c r="AL1672">
        <f>IF($AK1672=1,SUMPRODUCT(--($AO$2:$AO$3001&lt;$AO1672))+1,"")</f>
        <v/>
      </c>
      <c r="AM1672">
        <f>IF($D1672="","",IF(OR($R1672=TRUE(),$R1672="TRUE"),1,0))</f>
        <v/>
      </c>
      <c r="AN1672">
        <f>IF($D1672="","",IF($X1672="Yes",1,0))</f>
        <v/>
      </c>
      <c r="AO1672">
        <f>IF($AK1672=1,IFERROR(IF(VALUE($D1672)&lt;100000000,VALUE($D1672),1000000000),IFERROR(IF(VALUE(MID($D1672,2,20))&lt;100000000,VALUE(MID($D1672,2,20)),1000000000),1000000000))+ROW()/100000,"")</f>
        <v/>
      </c>
    </row>
    <row r="1673">
      <c r="F1673" s="11" t="n"/>
      <c r="N1673" s="7">
        <f>IF($D1673="","",M1673*V1673/100)</f>
        <v/>
      </c>
      <c r="O1673" s="7" t="n"/>
      <c r="U1673" s="7" t="n"/>
      <c r="V1673" s="7" t="n"/>
      <c r="Y1673">
        <f>IF($D1673="","",IF($AN1673=1,0,IF($AM1673=1,Settings!$C$6,Settings!$C$7))*100)</f>
        <v/>
      </c>
      <c r="Z1673" s="7">
        <f>IF($D1673="","",V1673*Y1673/100)</f>
        <v/>
      </c>
      <c r="AA1673" s="7">
        <f>IF($D1673="","",V1673-Z1673)</f>
        <v/>
      </c>
      <c r="AB1673" s="7">
        <f>IF($D1673="","",AA1673-N1673)</f>
        <v/>
      </c>
      <c r="AF1673" s="7" t="n"/>
      <c r="AI1673" s="11" t="n"/>
      <c r="AK1673">
        <f>IF($D1673="","",IF(COUNTIF($D$2:$D1673,$D1673)=1,1,0))</f>
        <v/>
      </c>
      <c r="AL1673">
        <f>IF($AK1673=1,SUMPRODUCT(--($AO$2:$AO$3001&lt;$AO1673))+1,"")</f>
        <v/>
      </c>
      <c r="AM1673">
        <f>IF($D1673="","",IF(OR($R1673=TRUE(),$R1673="TRUE"),1,0))</f>
        <v/>
      </c>
      <c r="AN1673">
        <f>IF($D1673="","",IF($X1673="Yes",1,0))</f>
        <v/>
      </c>
      <c r="AO1673">
        <f>IF($AK1673=1,IFERROR(IF(VALUE($D1673)&lt;100000000,VALUE($D1673),1000000000),IFERROR(IF(VALUE(MID($D1673,2,20))&lt;100000000,VALUE(MID($D1673,2,20)),1000000000),1000000000))+ROW()/100000,"")</f>
        <v/>
      </c>
    </row>
    <row r="1674">
      <c r="F1674" s="11" t="n"/>
      <c r="N1674" s="7">
        <f>IF($D1674="","",M1674*V1674/100)</f>
        <v/>
      </c>
      <c r="O1674" s="7" t="n"/>
      <c r="U1674" s="7" t="n"/>
      <c r="V1674" s="7" t="n"/>
      <c r="Y1674">
        <f>IF($D1674="","",IF($AN1674=1,0,IF($AM1674=1,Settings!$C$6,Settings!$C$7))*100)</f>
        <v/>
      </c>
      <c r="Z1674" s="7">
        <f>IF($D1674="","",V1674*Y1674/100)</f>
        <v/>
      </c>
      <c r="AA1674" s="7">
        <f>IF($D1674="","",V1674-Z1674)</f>
        <v/>
      </c>
      <c r="AB1674" s="7">
        <f>IF($D1674="","",AA1674-N1674)</f>
        <v/>
      </c>
      <c r="AF1674" s="7" t="n"/>
      <c r="AI1674" s="11" t="n"/>
      <c r="AK1674">
        <f>IF($D1674="","",IF(COUNTIF($D$2:$D1674,$D1674)=1,1,0))</f>
        <v/>
      </c>
      <c r="AL1674">
        <f>IF($AK1674=1,SUMPRODUCT(--($AO$2:$AO$3001&lt;$AO1674))+1,"")</f>
        <v/>
      </c>
      <c r="AM1674">
        <f>IF($D1674="","",IF(OR($R1674=TRUE(),$R1674="TRUE"),1,0))</f>
        <v/>
      </c>
      <c r="AN1674">
        <f>IF($D1674="","",IF($X1674="Yes",1,0))</f>
        <v/>
      </c>
      <c r="AO1674">
        <f>IF($AK1674=1,IFERROR(IF(VALUE($D1674)&lt;100000000,VALUE($D1674),1000000000),IFERROR(IF(VALUE(MID($D1674,2,20))&lt;100000000,VALUE(MID($D1674,2,20)),1000000000),1000000000))+ROW()/100000,"")</f>
        <v/>
      </c>
    </row>
    <row r="1675">
      <c r="F1675" s="11" t="n"/>
      <c r="N1675" s="7">
        <f>IF($D1675="","",M1675*V1675/100)</f>
        <v/>
      </c>
      <c r="O1675" s="7" t="n"/>
      <c r="U1675" s="7" t="n"/>
      <c r="V1675" s="7" t="n"/>
      <c r="Y1675">
        <f>IF($D1675="","",IF($AN1675=1,0,IF($AM1675=1,Settings!$C$6,Settings!$C$7))*100)</f>
        <v/>
      </c>
      <c r="Z1675" s="7">
        <f>IF($D1675="","",V1675*Y1675/100)</f>
        <v/>
      </c>
      <c r="AA1675" s="7">
        <f>IF($D1675="","",V1675-Z1675)</f>
        <v/>
      </c>
      <c r="AB1675" s="7">
        <f>IF($D1675="","",AA1675-N1675)</f>
        <v/>
      </c>
      <c r="AF1675" s="7" t="n"/>
      <c r="AI1675" s="11" t="n"/>
      <c r="AK1675">
        <f>IF($D1675="","",IF(COUNTIF($D$2:$D1675,$D1675)=1,1,0))</f>
        <v/>
      </c>
      <c r="AL1675">
        <f>IF($AK1675=1,SUMPRODUCT(--($AO$2:$AO$3001&lt;$AO1675))+1,"")</f>
        <v/>
      </c>
      <c r="AM1675">
        <f>IF($D1675="","",IF(OR($R1675=TRUE(),$R1675="TRUE"),1,0))</f>
        <v/>
      </c>
      <c r="AN1675">
        <f>IF($D1675="","",IF($X1675="Yes",1,0))</f>
        <v/>
      </c>
      <c r="AO1675">
        <f>IF($AK1675=1,IFERROR(IF(VALUE($D1675)&lt;100000000,VALUE($D1675),1000000000),IFERROR(IF(VALUE(MID($D1675,2,20))&lt;100000000,VALUE(MID($D1675,2,20)),1000000000),1000000000))+ROW()/100000,"")</f>
        <v/>
      </c>
    </row>
    <row r="1676">
      <c r="F1676" s="11" t="n"/>
      <c r="N1676" s="7">
        <f>IF($D1676="","",M1676*V1676/100)</f>
        <v/>
      </c>
      <c r="O1676" s="7" t="n"/>
      <c r="U1676" s="7" t="n"/>
      <c r="V1676" s="7" t="n"/>
      <c r="Y1676">
        <f>IF($D1676="","",IF($AN1676=1,0,IF($AM1676=1,Settings!$C$6,Settings!$C$7))*100)</f>
        <v/>
      </c>
      <c r="Z1676" s="7">
        <f>IF($D1676="","",V1676*Y1676/100)</f>
        <v/>
      </c>
      <c r="AA1676" s="7">
        <f>IF($D1676="","",V1676-Z1676)</f>
        <v/>
      </c>
      <c r="AB1676" s="7">
        <f>IF($D1676="","",AA1676-N1676)</f>
        <v/>
      </c>
      <c r="AF1676" s="7" t="n"/>
      <c r="AI1676" s="11" t="n"/>
      <c r="AK1676">
        <f>IF($D1676="","",IF(COUNTIF($D$2:$D1676,$D1676)=1,1,0))</f>
        <v/>
      </c>
      <c r="AL1676">
        <f>IF($AK1676=1,SUMPRODUCT(--($AO$2:$AO$3001&lt;$AO1676))+1,"")</f>
        <v/>
      </c>
      <c r="AM1676">
        <f>IF($D1676="","",IF(OR($R1676=TRUE(),$R1676="TRUE"),1,0))</f>
        <v/>
      </c>
      <c r="AN1676">
        <f>IF($D1676="","",IF($X1676="Yes",1,0))</f>
        <v/>
      </c>
      <c r="AO1676">
        <f>IF($AK1676=1,IFERROR(IF(VALUE($D1676)&lt;100000000,VALUE($D1676),1000000000),IFERROR(IF(VALUE(MID($D1676,2,20))&lt;100000000,VALUE(MID($D1676,2,20)),1000000000),1000000000))+ROW()/100000,"")</f>
        <v/>
      </c>
    </row>
    <row r="1677">
      <c r="F1677" s="11" t="n"/>
      <c r="N1677" s="7">
        <f>IF($D1677="","",M1677*V1677/100)</f>
        <v/>
      </c>
      <c r="O1677" s="7" t="n"/>
      <c r="U1677" s="7" t="n"/>
      <c r="V1677" s="7" t="n"/>
      <c r="Y1677">
        <f>IF($D1677="","",IF($AN1677=1,0,IF($AM1677=1,Settings!$C$6,Settings!$C$7))*100)</f>
        <v/>
      </c>
      <c r="Z1677" s="7">
        <f>IF($D1677="","",V1677*Y1677/100)</f>
        <v/>
      </c>
      <c r="AA1677" s="7">
        <f>IF($D1677="","",V1677-Z1677)</f>
        <v/>
      </c>
      <c r="AB1677" s="7">
        <f>IF($D1677="","",AA1677-N1677)</f>
        <v/>
      </c>
      <c r="AF1677" s="7" t="n"/>
      <c r="AI1677" s="11" t="n"/>
      <c r="AK1677">
        <f>IF($D1677="","",IF(COUNTIF($D$2:$D1677,$D1677)=1,1,0))</f>
        <v/>
      </c>
      <c r="AL1677">
        <f>IF($AK1677=1,SUMPRODUCT(--($AO$2:$AO$3001&lt;$AO1677))+1,"")</f>
        <v/>
      </c>
      <c r="AM1677">
        <f>IF($D1677="","",IF(OR($R1677=TRUE(),$R1677="TRUE"),1,0))</f>
        <v/>
      </c>
      <c r="AN1677">
        <f>IF($D1677="","",IF($X1677="Yes",1,0))</f>
        <v/>
      </c>
      <c r="AO1677">
        <f>IF($AK1677=1,IFERROR(IF(VALUE($D1677)&lt;100000000,VALUE($D1677),1000000000),IFERROR(IF(VALUE(MID($D1677,2,20))&lt;100000000,VALUE(MID($D1677,2,20)),1000000000),1000000000))+ROW()/100000,"")</f>
        <v/>
      </c>
    </row>
    <row r="1678">
      <c r="F1678" s="11" t="n"/>
      <c r="N1678" s="7">
        <f>IF($D1678="","",M1678*V1678/100)</f>
        <v/>
      </c>
      <c r="O1678" s="7" t="n"/>
      <c r="U1678" s="7" t="n"/>
      <c r="V1678" s="7" t="n"/>
      <c r="Y1678">
        <f>IF($D1678="","",IF($AN1678=1,0,IF($AM1678=1,Settings!$C$6,Settings!$C$7))*100)</f>
        <v/>
      </c>
      <c r="Z1678" s="7">
        <f>IF($D1678="","",V1678*Y1678/100)</f>
        <v/>
      </c>
      <c r="AA1678" s="7">
        <f>IF($D1678="","",V1678-Z1678)</f>
        <v/>
      </c>
      <c r="AB1678" s="7">
        <f>IF($D1678="","",AA1678-N1678)</f>
        <v/>
      </c>
      <c r="AF1678" s="7" t="n"/>
      <c r="AI1678" s="11" t="n"/>
      <c r="AK1678">
        <f>IF($D1678="","",IF(COUNTIF($D$2:$D1678,$D1678)=1,1,0))</f>
        <v/>
      </c>
      <c r="AL1678">
        <f>IF($AK1678=1,SUMPRODUCT(--($AO$2:$AO$3001&lt;$AO1678))+1,"")</f>
        <v/>
      </c>
      <c r="AM1678">
        <f>IF($D1678="","",IF(OR($R1678=TRUE(),$R1678="TRUE"),1,0))</f>
        <v/>
      </c>
      <c r="AN1678">
        <f>IF($D1678="","",IF($X1678="Yes",1,0))</f>
        <v/>
      </c>
      <c r="AO1678">
        <f>IF($AK1678=1,IFERROR(IF(VALUE($D1678)&lt;100000000,VALUE($D1678),1000000000),IFERROR(IF(VALUE(MID($D1678,2,20))&lt;100000000,VALUE(MID($D1678,2,20)),1000000000),1000000000))+ROW()/100000,"")</f>
        <v/>
      </c>
    </row>
    <row r="1679">
      <c r="F1679" s="11" t="n"/>
      <c r="N1679" s="7">
        <f>IF($D1679="","",M1679*V1679/100)</f>
        <v/>
      </c>
      <c r="O1679" s="7" t="n"/>
      <c r="U1679" s="7" t="n"/>
      <c r="V1679" s="7" t="n"/>
      <c r="Y1679">
        <f>IF($D1679="","",IF($AN1679=1,0,IF($AM1679=1,Settings!$C$6,Settings!$C$7))*100)</f>
        <v/>
      </c>
      <c r="Z1679" s="7">
        <f>IF($D1679="","",V1679*Y1679/100)</f>
        <v/>
      </c>
      <c r="AA1679" s="7">
        <f>IF($D1679="","",V1679-Z1679)</f>
        <v/>
      </c>
      <c r="AB1679" s="7">
        <f>IF($D1679="","",AA1679-N1679)</f>
        <v/>
      </c>
      <c r="AF1679" s="7" t="n"/>
      <c r="AI1679" s="11" t="n"/>
      <c r="AK1679">
        <f>IF($D1679="","",IF(COUNTIF($D$2:$D1679,$D1679)=1,1,0))</f>
        <v/>
      </c>
      <c r="AL1679">
        <f>IF($AK1679=1,SUMPRODUCT(--($AO$2:$AO$3001&lt;$AO1679))+1,"")</f>
        <v/>
      </c>
      <c r="AM1679">
        <f>IF($D1679="","",IF(OR($R1679=TRUE(),$R1679="TRUE"),1,0))</f>
        <v/>
      </c>
      <c r="AN1679">
        <f>IF($D1679="","",IF($X1679="Yes",1,0))</f>
        <v/>
      </c>
      <c r="AO1679">
        <f>IF($AK1679=1,IFERROR(IF(VALUE($D1679)&lt;100000000,VALUE($D1679),1000000000),IFERROR(IF(VALUE(MID($D1679,2,20))&lt;100000000,VALUE(MID($D1679,2,20)),1000000000),1000000000))+ROW()/100000,"")</f>
        <v/>
      </c>
    </row>
    <row r="1680">
      <c r="F1680" s="11" t="n"/>
      <c r="N1680" s="7">
        <f>IF($D1680="","",M1680*V1680/100)</f>
        <v/>
      </c>
      <c r="O1680" s="7" t="n"/>
      <c r="U1680" s="7" t="n"/>
      <c r="V1680" s="7" t="n"/>
      <c r="Y1680">
        <f>IF($D1680="","",IF($AN1680=1,0,IF($AM1680=1,Settings!$C$6,Settings!$C$7))*100)</f>
        <v/>
      </c>
      <c r="Z1680" s="7">
        <f>IF($D1680="","",V1680*Y1680/100)</f>
        <v/>
      </c>
      <c r="AA1680" s="7">
        <f>IF($D1680="","",V1680-Z1680)</f>
        <v/>
      </c>
      <c r="AB1680" s="7">
        <f>IF($D1680="","",AA1680-N1680)</f>
        <v/>
      </c>
      <c r="AF1680" s="7" t="n"/>
      <c r="AI1680" s="11" t="n"/>
      <c r="AK1680">
        <f>IF($D1680="","",IF(COUNTIF($D$2:$D1680,$D1680)=1,1,0))</f>
        <v/>
      </c>
      <c r="AL1680">
        <f>IF($AK1680=1,SUMPRODUCT(--($AO$2:$AO$3001&lt;$AO1680))+1,"")</f>
        <v/>
      </c>
      <c r="AM1680">
        <f>IF($D1680="","",IF(OR($R1680=TRUE(),$R1680="TRUE"),1,0))</f>
        <v/>
      </c>
      <c r="AN1680">
        <f>IF($D1680="","",IF($X1680="Yes",1,0))</f>
        <v/>
      </c>
      <c r="AO1680">
        <f>IF($AK1680=1,IFERROR(IF(VALUE($D1680)&lt;100000000,VALUE($D1680),1000000000),IFERROR(IF(VALUE(MID($D1680,2,20))&lt;100000000,VALUE(MID($D1680,2,20)),1000000000),1000000000))+ROW()/100000,"")</f>
        <v/>
      </c>
    </row>
    <row r="1681">
      <c r="F1681" s="11" t="n"/>
      <c r="N1681" s="7">
        <f>IF($D1681="","",M1681*V1681/100)</f>
        <v/>
      </c>
      <c r="O1681" s="7" t="n"/>
      <c r="U1681" s="7" t="n"/>
      <c r="V1681" s="7" t="n"/>
      <c r="Y1681">
        <f>IF($D1681="","",IF($AN1681=1,0,IF($AM1681=1,Settings!$C$6,Settings!$C$7))*100)</f>
        <v/>
      </c>
      <c r="Z1681" s="7">
        <f>IF($D1681="","",V1681*Y1681/100)</f>
        <v/>
      </c>
      <c r="AA1681" s="7">
        <f>IF($D1681="","",V1681-Z1681)</f>
        <v/>
      </c>
      <c r="AB1681" s="7">
        <f>IF($D1681="","",AA1681-N1681)</f>
        <v/>
      </c>
      <c r="AF1681" s="7" t="n"/>
      <c r="AI1681" s="11" t="n"/>
      <c r="AK1681">
        <f>IF($D1681="","",IF(COUNTIF($D$2:$D1681,$D1681)=1,1,0))</f>
        <v/>
      </c>
      <c r="AL1681">
        <f>IF($AK1681=1,SUMPRODUCT(--($AO$2:$AO$3001&lt;$AO1681))+1,"")</f>
        <v/>
      </c>
      <c r="AM1681">
        <f>IF($D1681="","",IF(OR($R1681=TRUE(),$R1681="TRUE"),1,0))</f>
        <v/>
      </c>
      <c r="AN1681">
        <f>IF($D1681="","",IF($X1681="Yes",1,0))</f>
        <v/>
      </c>
      <c r="AO1681">
        <f>IF($AK1681=1,IFERROR(IF(VALUE($D1681)&lt;100000000,VALUE($D1681),1000000000),IFERROR(IF(VALUE(MID($D1681,2,20))&lt;100000000,VALUE(MID($D1681,2,20)),1000000000),1000000000))+ROW()/100000,"")</f>
        <v/>
      </c>
    </row>
    <row r="1682">
      <c r="F1682" s="11" t="n"/>
      <c r="N1682" s="7">
        <f>IF($D1682="","",M1682*V1682/100)</f>
        <v/>
      </c>
      <c r="O1682" s="7" t="n"/>
      <c r="U1682" s="7" t="n"/>
      <c r="V1682" s="7" t="n"/>
      <c r="Y1682">
        <f>IF($D1682="","",IF($AN1682=1,0,IF($AM1682=1,Settings!$C$6,Settings!$C$7))*100)</f>
        <v/>
      </c>
      <c r="Z1682" s="7">
        <f>IF($D1682="","",V1682*Y1682/100)</f>
        <v/>
      </c>
      <c r="AA1682" s="7">
        <f>IF($D1682="","",V1682-Z1682)</f>
        <v/>
      </c>
      <c r="AB1682" s="7">
        <f>IF($D1682="","",AA1682-N1682)</f>
        <v/>
      </c>
      <c r="AF1682" s="7" t="n"/>
      <c r="AI1682" s="11" t="n"/>
      <c r="AK1682">
        <f>IF($D1682="","",IF(COUNTIF($D$2:$D1682,$D1682)=1,1,0))</f>
        <v/>
      </c>
      <c r="AL1682">
        <f>IF($AK1682=1,SUMPRODUCT(--($AO$2:$AO$3001&lt;$AO1682))+1,"")</f>
        <v/>
      </c>
      <c r="AM1682">
        <f>IF($D1682="","",IF(OR($R1682=TRUE(),$R1682="TRUE"),1,0))</f>
        <v/>
      </c>
      <c r="AN1682">
        <f>IF($D1682="","",IF($X1682="Yes",1,0))</f>
        <v/>
      </c>
      <c r="AO1682">
        <f>IF($AK1682=1,IFERROR(IF(VALUE($D1682)&lt;100000000,VALUE($D1682),1000000000),IFERROR(IF(VALUE(MID($D1682,2,20))&lt;100000000,VALUE(MID($D1682,2,20)),1000000000),1000000000))+ROW()/100000,"")</f>
        <v/>
      </c>
    </row>
    <row r="1683">
      <c r="F1683" s="11" t="n"/>
      <c r="N1683" s="7">
        <f>IF($D1683="","",M1683*V1683/100)</f>
        <v/>
      </c>
      <c r="O1683" s="7" t="n"/>
      <c r="U1683" s="7" t="n"/>
      <c r="V1683" s="7" t="n"/>
      <c r="Y1683">
        <f>IF($D1683="","",IF($AN1683=1,0,IF($AM1683=1,Settings!$C$6,Settings!$C$7))*100)</f>
        <v/>
      </c>
      <c r="Z1683" s="7">
        <f>IF($D1683="","",V1683*Y1683/100)</f>
        <v/>
      </c>
      <c r="AA1683" s="7">
        <f>IF($D1683="","",V1683-Z1683)</f>
        <v/>
      </c>
      <c r="AB1683" s="7">
        <f>IF($D1683="","",AA1683-N1683)</f>
        <v/>
      </c>
      <c r="AF1683" s="7" t="n"/>
      <c r="AI1683" s="11" t="n"/>
      <c r="AK1683">
        <f>IF($D1683="","",IF(COUNTIF($D$2:$D1683,$D1683)=1,1,0))</f>
        <v/>
      </c>
      <c r="AL1683">
        <f>IF($AK1683=1,SUMPRODUCT(--($AO$2:$AO$3001&lt;$AO1683))+1,"")</f>
        <v/>
      </c>
      <c r="AM1683">
        <f>IF($D1683="","",IF(OR($R1683=TRUE(),$R1683="TRUE"),1,0))</f>
        <v/>
      </c>
      <c r="AN1683">
        <f>IF($D1683="","",IF($X1683="Yes",1,0))</f>
        <v/>
      </c>
      <c r="AO1683">
        <f>IF($AK1683=1,IFERROR(IF(VALUE($D1683)&lt;100000000,VALUE($D1683),1000000000),IFERROR(IF(VALUE(MID($D1683,2,20))&lt;100000000,VALUE(MID($D1683,2,20)),1000000000),1000000000))+ROW()/100000,"")</f>
        <v/>
      </c>
    </row>
    <row r="1684">
      <c r="F1684" s="11" t="n"/>
      <c r="N1684" s="7">
        <f>IF($D1684="","",M1684*V1684/100)</f>
        <v/>
      </c>
      <c r="O1684" s="7" t="n"/>
      <c r="U1684" s="7" t="n"/>
      <c r="V1684" s="7" t="n"/>
      <c r="Y1684">
        <f>IF($D1684="","",IF($AN1684=1,0,IF($AM1684=1,Settings!$C$6,Settings!$C$7))*100)</f>
        <v/>
      </c>
      <c r="Z1684" s="7">
        <f>IF($D1684="","",V1684*Y1684/100)</f>
        <v/>
      </c>
      <c r="AA1684" s="7">
        <f>IF($D1684="","",V1684-Z1684)</f>
        <v/>
      </c>
      <c r="AB1684" s="7">
        <f>IF($D1684="","",AA1684-N1684)</f>
        <v/>
      </c>
      <c r="AF1684" s="7" t="n"/>
      <c r="AI1684" s="11" t="n"/>
      <c r="AK1684">
        <f>IF($D1684="","",IF(COUNTIF($D$2:$D1684,$D1684)=1,1,0))</f>
        <v/>
      </c>
      <c r="AL1684">
        <f>IF($AK1684=1,SUMPRODUCT(--($AO$2:$AO$3001&lt;$AO1684))+1,"")</f>
        <v/>
      </c>
      <c r="AM1684">
        <f>IF($D1684="","",IF(OR($R1684=TRUE(),$R1684="TRUE"),1,0))</f>
        <v/>
      </c>
      <c r="AN1684">
        <f>IF($D1684="","",IF($X1684="Yes",1,0))</f>
        <v/>
      </c>
      <c r="AO1684">
        <f>IF($AK1684=1,IFERROR(IF(VALUE($D1684)&lt;100000000,VALUE($D1684),1000000000),IFERROR(IF(VALUE(MID($D1684,2,20))&lt;100000000,VALUE(MID($D1684,2,20)),1000000000),1000000000))+ROW()/100000,"")</f>
        <v/>
      </c>
    </row>
    <row r="1685">
      <c r="F1685" s="11" t="n"/>
      <c r="N1685" s="7">
        <f>IF($D1685="","",M1685*V1685/100)</f>
        <v/>
      </c>
      <c r="O1685" s="7" t="n"/>
      <c r="U1685" s="7" t="n"/>
      <c r="V1685" s="7" t="n"/>
      <c r="Y1685">
        <f>IF($D1685="","",IF($AN1685=1,0,IF($AM1685=1,Settings!$C$6,Settings!$C$7))*100)</f>
        <v/>
      </c>
      <c r="Z1685" s="7">
        <f>IF($D1685="","",V1685*Y1685/100)</f>
        <v/>
      </c>
      <c r="AA1685" s="7">
        <f>IF($D1685="","",V1685-Z1685)</f>
        <v/>
      </c>
      <c r="AB1685" s="7">
        <f>IF($D1685="","",AA1685-N1685)</f>
        <v/>
      </c>
      <c r="AF1685" s="7" t="n"/>
      <c r="AI1685" s="11" t="n"/>
      <c r="AK1685">
        <f>IF($D1685="","",IF(COUNTIF($D$2:$D1685,$D1685)=1,1,0))</f>
        <v/>
      </c>
      <c r="AL1685">
        <f>IF($AK1685=1,SUMPRODUCT(--($AO$2:$AO$3001&lt;$AO1685))+1,"")</f>
        <v/>
      </c>
      <c r="AM1685">
        <f>IF($D1685="","",IF(OR($R1685=TRUE(),$R1685="TRUE"),1,0))</f>
        <v/>
      </c>
      <c r="AN1685">
        <f>IF($D1685="","",IF($X1685="Yes",1,0))</f>
        <v/>
      </c>
      <c r="AO1685">
        <f>IF($AK1685=1,IFERROR(IF(VALUE($D1685)&lt;100000000,VALUE($D1685),1000000000),IFERROR(IF(VALUE(MID($D1685,2,20))&lt;100000000,VALUE(MID($D1685,2,20)),1000000000),1000000000))+ROW()/100000,"")</f>
        <v/>
      </c>
    </row>
    <row r="1686">
      <c r="F1686" s="11" t="n"/>
      <c r="N1686" s="7">
        <f>IF($D1686="","",M1686*V1686/100)</f>
        <v/>
      </c>
      <c r="O1686" s="7" t="n"/>
      <c r="U1686" s="7" t="n"/>
      <c r="V1686" s="7" t="n"/>
      <c r="Y1686">
        <f>IF($D1686="","",IF($AN1686=1,0,IF($AM1686=1,Settings!$C$6,Settings!$C$7))*100)</f>
        <v/>
      </c>
      <c r="Z1686" s="7">
        <f>IF($D1686="","",V1686*Y1686/100)</f>
        <v/>
      </c>
      <c r="AA1686" s="7">
        <f>IF($D1686="","",V1686-Z1686)</f>
        <v/>
      </c>
      <c r="AB1686" s="7">
        <f>IF($D1686="","",AA1686-N1686)</f>
        <v/>
      </c>
      <c r="AF1686" s="7" t="n"/>
      <c r="AI1686" s="11" t="n"/>
      <c r="AK1686">
        <f>IF($D1686="","",IF(COUNTIF($D$2:$D1686,$D1686)=1,1,0))</f>
        <v/>
      </c>
      <c r="AL1686">
        <f>IF($AK1686=1,SUMPRODUCT(--($AO$2:$AO$3001&lt;$AO1686))+1,"")</f>
        <v/>
      </c>
      <c r="AM1686">
        <f>IF($D1686="","",IF(OR($R1686=TRUE(),$R1686="TRUE"),1,0))</f>
        <v/>
      </c>
      <c r="AN1686">
        <f>IF($D1686="","",IF($X1686="Yes",1,0))</f>
        <v/>
      </c>
      <c r="AO1686">
        <f>IF($AK1686=1,IFERROR(IF(VALUE($D1686)&lt;100000000,VALUE($D1686),1000000000),IFERROR(IF(VALUE(MID($D1686,2,20))&lt;100000000,VALUE(MID($D1686,2,20)),1000000000),1000000000))+ROW()/100000,"")</f>
        <v/>
      </c>
    </row>
    <row r="1687">
      <c r="F1687" s="11" t="n"/>
      <c r="N1687" s="7">
        <f>IF($D1687="","",M1687*V1687/100)</f>
        <v/>
      </c>
      <c r="O1687" s="7" t="n"/>
      <c r="U1687" s="7" t="n"/>
      <c r="V1687" s="7" t="n"/>
      <c r="Y1687">
        <f>IF($D1687="","",IF($AN1687=1,0,IF($AM1687=1,Settings!$C$6,Settings!$C$7))*100)</f>
        <v/>
      </c>
      <c r="Z1687" s="7">
        <f>IF($D1687="","",V1687*Y1687/100)</f>
        <v/>
      </c>
      <c r="AA1687" s="7">
        <f>IF($D1687="","",V1687-Z1687)</f>
        <v/>
      </c>
      <c r="AB1687" s="7">
        <f>IF($D1687="","",AA1687-N1687)</f>
        <v/>
      </c>
      <c r="AF1687" s="7" t="n"/>
      <c r="AI1687" s="11" t="n"/>
      <c r="AK1687">
        <f>IF($D1687="","",IF(COUNTIF($D$2:$D1687,$D1687)=1,1,0))</f>
        <v/>
      </c>
      <c r="AL1687">
        <f>IF($AK1687=1,SUMPRODUCT(--($AO$2:$AO$3001&lt;$AO1687))+1,"")</f>
        <v/>
      </c>
      <c r="AM1687">
        <f>IF($D1687="","",IF(OR($R1687=TRUE(),$R1687="TRUE"),1,0))</f>
        <v/>
      </c>
      <c r="AN1687">
        <f>IF($D1687="","",IF($X1687="Yes",1,0))</f>
        <v/>
      </c>
      <c r="AO1687">
        <f>IF($AK1687=1,IFERROR(IF(VALUE($D1687)&lt;100000000,VALUE($D1687),1000000000),IFERROR(IF(VALUE(MID($D1687,2,20))&lt;100000000,VALUE(MID($D1687,2,20)),1000000000),1000000000))+ROW()/100000,"")</f>
        <v/>
      </c>
    </row>
    <row r="1688">
      <c r="F1688" s="11" t="n"/>
      <c r="N1688" s="7">
        <f>IF($D1688="","",M1688*V1688/100)</f>
        <v/>
      </c>
      <c r="O1688" s="7" t="n"/>
      <c r="U1688" s="7" t="n"/>
      <c r="V1688" s="7" t="n"/>
      <c r="Y1688">
        <f>IF($D1688="","",IF($AN1688=1,0,IF($AM1688=1,Settings!$C$6,Settings!$C$7))*100)</f>
        <v/>
      </c>
      <c r="Z1688" s="7">
        <f>IF($D1688="","",V1688*Y1688/100)</f>
        <v/>
      </c>
      <c r="AA1688" s="7">
        <f>IF($D1688="","",V1688-Z1688)</f>
        <v/>
      </c>
      <c r="AB1688" s="7">
        <f>IF($D1688="","",AA1688-N1688)</f>
        <v/>
      </c>
      <c r="AF1688" s="7" t="n"/>
      <c r="AI1688" s="11" t="n"/>
      <c r="AK1688">
        <f>IF($D1688="","",IF(COUNTIF($D$2:$D1688,$D1688)=1,1,0))</f>
        <v/>
      </c>
      <c r="AL1688">
        <f>IF($AK1688=1,SUMPRODUCT(--($AO$2:$AO$3001&lt;$AO1688))+1,"")</f>
        <v/>
      </c>
      <c r="AM1688">
        <f>IF($D1688="","",IF(OR($R1688=TRUE(),$R1688="TRUE"),1,0))</f>
        <v/>
      </c>
      <c r="AN1688">
        <f>IF($D1688="","",IF($X1688="Yes",1,0))</f>
        <v/>
      </c>
      <c r="AO1688">
        <f>IF($AK1688=1,IFERROR(IF(VALUE($D1688)&lt;100000000,VALUE($D1688),1000000000),IFERROR(IF(VALUE(MID($D1688,2,20))&lt;100000000,VALUE(MID($D1688,2,20)),1000000000),1000000000))+ROW()/100000,"")</f>
        <v/>
      </c>
    </row>
    <row r="1689">
      <c r="F1689" s="11" t="n"/>
      <c r="N1689" s="7">
        <f>IF($D1689="","",M1689*V1689/100)</f>
        <v/>
      </c>
      <c r="O1689" s="7" t="n"/>
      <c r="U1689" s="7" t="n"/>
      <c r="V1689" s="7" t="n"/>
      <c r="Y1689">
        <f>IF($D1689="","",IF($AN1689=1,0,IF($AM1689=1,Settings!$C$6,Settings!$C$7))*100)</f>
        <v/>
      </c>
      <c r="Z1689" s="7">
        <f>IF($D1689="","",V1689*Y1689/100)</f>
        <v/>
      </c>
      <c r="AA1689" s="7">
        <f>IF($D1689="","",V1689-Z1689)</f>
        <v/>
      </c>
      <c r="AB1689" s="7">
        <f>IF($D1689="","",AA1689-N1689)</f>
        <v/>
      </c>
      <c r="AF1689" s="7" t="n"/>
      <c r="AI1689" s="11" t="n"/>
      <c r="AK1689">
        <f>IF($D1689="","",IF(COUNTIF($D$2:$D1689,$D1689)=1,1,0))</f>
        <v/>
      </c>
      <c r="AL1689">
        <f>IF($AK1689=1,SUMPRODUCT(--($AO$2:$AO$3001&lt;$AO1689))+1,"")</f>
        <v/>
      </c>
      <c r="AM1689">
        <f>IF($D1689="","",IF(OR($R1689=TRUE(),$R1689="TRUE"),1,0))</f>
        <v/>
      </c>
      <c r="AN1689">
        <f>IF($D1689="","",IF($X1689="Yes",1,0))</f>
        <v/>
      </c>
      <c r="AO1689">
        <f>IF($AK1689=1,IFERROR(IF(VALUE($D1689)&lt;100000000,VALUE($D1689),1000000000),IFERROR(IF(VALUE(MID($D1689,2,20))&lt;100000000,VALUE(MID($D1689,2,20)),1000000000),1000000000))+ROW()/100000,"")</f>
        <v/>
      </c>
    </row>
    <row r="1690">
      <c r="F1690" s="11" t="n"/>
      <c r="N1690" s="7">
        <f>IF($D1690="","",M1690*V1690/100)</f>
        <v/>
      </c>
      <c r="O1690" s="7" t="n"/>
      <c r="U1690" s="7" t="n"/>
      <c r="V1690" s="7" t="n"/>
      <c r="Y1690">
        <f>IF($D1690="","",IF($AN1690=1,0,IF($AM1690=1,Settings!$C$6,Settings!$C$7))*100)</f>
        <v/>
      </c>
      <c r="Z1690" s="7">
        <f>IF($D1690="","",V1690*Y1690/100)</f>
        <v/>
      </c>
      <c r="AA1690" s="7">
        <f>IF($D1690="","",V1690-Z1690)</f>
        <v/>
      </c>
      <c r="AB1690" s="7">
        <f>IF($D1690="","",AA1690-N1690)</f>
        <v/>
      </c>
      <c r="AF1690" s="7" t="n"/>
      <c r="AI1690" s="11" t="n"/>
      <c r="AK1690">
        <f>IF($D1690="","",IF(COUNTIF($D$2:$D1690,$D1690)=1,1,0))</f>
        <v/>
      </c>
      <c r="AL1690">
        <f>IF($AK1690=1,SUMPRODUCT(--($AO$2:$AO$3001&lt;$AO1690))+1,"")</f>
        <v/>
      </c>
      <c r="AM1690">
        <f>IF($D1690="","",IF(OR($R1690=TRUE(),$R1690="TRUE"),1,0))</f>
        <v/>
      </c>
      <c r="AN1690">
        <f>IF($D1690="","",IF($X1690="Yes",1,0))</f>
        <v/>
      </c>
      <c r="AO1690">
        <f>IF($AK1690=1,IFERROR(IF(VALUE($D1690)&lt;100000000,VALUE($D1690),1000000000),IFERROR(IF(VALUE(MID($D1690,2,20))&lt;100000000,VALUE(MID($D1690,2,20)),1000000000),1000000000))+ROW()/100000,"")</f>
        <v/>
      </c>
    </row>
    <row r="1691">
      <c r="F1691" s="11" t="n"/>
      <c r="N1691" s="7">
        <f>IF($D1691="","",M1691*V1691/100)</f>
        <v/>
      </c>
      <c r="O1691" s="7" t="n"/>
      <c r="U1691" s="7" t="n"/>
      <c r="V1691" s="7" t="n"/>
      <c r="Y1691">
        <f>IF($D1691="","",IF($AN1691=1,0,IF($AM1691=1,Settings!$C$6,Settings!$C$7))*100)</f>
        <v/>
      </c>
      <c r="Z1691" s="7">
        <f>IF($D1691="","",V1691*Y1691/100)</f>
        <v/>
      </c>
      <c r="AA1691" s="7">
        <f>IF($D1691="","",V1691-Z1691)</f>
        <v/>
      </c>
      <c r="AB1691" s="7">
        <f>IF($D1691="","",AA1691-N1691)</f>
        <v/>
      </c>
      <c r="AF1691" s="7" t="n"/>
      <c r="AI1691" s="11" t="n"/>
      <c r="AK1691">
        <f>IF($D1691="","",IF(COUNTIF($D$2:$D1691,$D1691)=1,1,0))</f>
        <v/>
      </c>
      <c r="AL1691">
        <f>IF($AK1691=1,SUMPRODUCT(--($AO$2:$AO$3001&lt;$AO1691))+1,"")</f>
        <v/>
      </c>
      <c r="AM1691">
        <f>IF($D1691="","",IF(OR($R1691=TRUE(),$R1691="TRUE"),1,0))</f>
        <v/>
      </c>
      <c r="AN1691">
        <f>IF($D1691="","",IF($X1691="Yes",1,0))</f>
        <v/>
      </c>
      <c r="AO1691">
        <f>IF($AK1691=1,IFERROR(IF(VALUE($D1691)&lt;100000000,VALUE($D1691),1000000000),IFERROR(IF(VALUE(MID($D1691,2,20))&lt;100000000,VALUE(MID($D1691,2,20)),1000000000),1000000000))+ROW()/100000,"")</f>
        <v/>
      </c>
    </row>
    <row r="1692">
      <c r="F1692" s="11" t="n"/>
      <c r="N1692" s="7">
        <f>IF($D1692="","",M1692*V1692/100)</f>
        <v/>
      </c>
      <c r="O1692" s="7" t="n"/>
      <c r="U1692" s="7" t="n"/>
      <c r="V1692" s="7" t="n"/>
      <c r="Y1692">
        <f>IF($D1692="","",IF($AN1692=1,0,IF($AM1692=1,Settings!$C$6,Settings!$C$7))*100)</f>
        <v/>
      </c>
      <c r="Z1692" s="7">
        <f>IF($D1692="","",V1692*Y1692/100)</f>
        <v/>
      </c>
      <c r="AA1692" s="7">
        <f>IF($D1692="","",V1692-Z1692)</f>
        <v/>
      </c>
      <c r="AB1692" s="7">
        <f>IF($D1692="","",AA1692-N1692)</f>
        <v/>
      </c>
      <c r="AF1692" s="7" t="n"/>
      <c r="AI1692" s="11" t="n"/>
      <c r="AK1692">
        <f>IF($D1692="","",IF(COUNTIF($D$2:$D1692,$D1692)=1,1,0))</f>
        <v/>
      </c>
      <c r="AL1692">
        <f>IF($AK1692=1,SUMPRODUCT(--($AO$2:$AO$3001&lt;$AO1692))+1,"")</f>
        <v/>
      </c>
      <c r="AM1692">
        <f>IF($D1692="","",IF(OR($R1692=TRUE(),$R1692="TRUE"),1,0))</f>
        <v/>
      </c>
      <c r="AN1692">
        <f>IF($D1692="","",IF($X1692="Yes",1,0))</f>
        <v/>
      </c>
      <c r="AO1692">
        <f>IF($AK1692=1,IFERROR(IF(VALUE($D1692)&lt;100000000,VALUE($D1692),1000000000),IFERROR(IF(VALUE(MID($D1692,2,20))&lt;100000000,VALUE(MID($D1692,2,20)),1000000000),1000000000))+ROW()/100000,"")</f>
        <v/>
      </c>
    </row>
    <row r="1693">
      <c r="F1693" s="11" t="n"/>
      <c r="N1693" s="7">
        <f>IF($D1693="","",M1693*V1693/100)</f>
        <v/>
      </c>
      <c r="O1693" s="7" t="n"/>
      <c r="U1693" s="7" t="n"/>
      <c r="V1693" s="7" t="n"/>
      <c r="Y1693">
        <f>IF($D1693="","",IF($AN1693=1,0,IF($AM1693=1,Settings!$C$6,Settings!$C$7))*100)</f>
        <v/>
      </c>
      <c r="Z1693" s="7">
        <f>IF($D1693="","",V1693*Y1693/100)</f>
        <v/>
      </c>
      <c r="AA1693" s="7">
        <f>IF($D1693="","",V1693-Z1693)</f>
        <v/>
      </c>
      <c r="AB1693" s="7">
        <f>IF($D1693="","",AA1693-N1693)</f>
        <v/>
      </c>
      <c r="AF1693" s="7" t="n"/>
      <c r="AI1693" s="11" t="n"/>
      <c r="AK1693">
        <f>IF($D1693="","",IF(COUNTIF($D$2:$D1693,$D1693)=1,1,0))</f>
        <v/>
      </c>
      <c r="AL1693">
        <f>IF($AK1693=1,SUMPRODUCT(--($AO$2:$AO$3001&lt;$AO1693))+1,"")</f>
        <v/>
      </c>
      <c r="AM1693">
        <f>IF($D1693="","",IF(OR($R1693=TRUE(),$R1693="TRUE"),1,0))</f>
        <v/>
      </c>
      <c r="AN1693">
        <f>IF($D1693="","",IF($X1693="Yes",1,0))</f>
        <v/>
      </c>
      <c r="AO1693">
        <f>IF($AK1693=1,IFERROR(IF(VALUE($D1693)&lt;100000000,VALUE($D1693),1000000000),IFERROR(IF(VALUE(MID($D1693,2,20))&lt;100000000,VALUE(MID($D1693,2,20)),1000000000),1000000000))+ROW()/100000,"")</f>
        <v/>
      </c>
    </row>
    <row r="1694">
      <c r="F1694" s="11" t="n"/>
      <c r="N1694" s="7">
        <f>IF($D1694="","",M1694*V1694/100)</f>
        <v/>
      </c>
      <c r="O1694" s="7" t="n"/>
      <c r="U1694" s="7" t="n"/>
      <c r="V1694" s="7" t="n"/>
      <c r="Y1694">
        <f>IF($D1694="","",IF($AN1694=1,0,IF($AM1694=1,Settings!$C$6,Settings!$C$7))*100)</f>
        <v/>
      </c>
      <c r="Z1694" s="7">
        <f>IF($D1694="","",V1694*Y1694/100)</f>
        <v/>
      </c>
      <c r="AA1694" s="7">
        <f>IF($D1694="","",V1694-Z1694)</f>
        <v/>
      </c>
      <c r="AB1694" s="7">
        <f>IF($D1694="","",AA1694-N1694)</f>
        <v/>
      </c>
      <c r="AF1694" s="7" t="n"/>
      <c r="AI1694" s="11" t="n"/>
      <c r="AK1694">
        <f>IF($D1694="","",IF(COUNTIF($D$2:$D1694,$D1694)=1,1,0))</f>
        <v/>
      </c>
      <c r="AL1694">
        <f>IF($AK1694=1,SUMPRODUCT(--($AO$2:$AO$3001&lt;$AO1694))+1,"")</f>
        <v/>
      </c>
      <c r="AM1694">
        <f>IF($D1694="","",IF(OR($R1694=TRUE(),$R1694="TRUE"),1,0))</f>
        <v/>
      </c>
      <c r="AN1694">
        <f>IF($D1694="","",IF($X1694="Yes",1,0))</f>
        <v/>
      </c>
      <c r="AO1694">
        <f>IF($AK1694=1,IFERROR(IF(VALUE($D1694)&lt;100000000,VALUE($D1694),1000000000),IFERROR(IF(VALUE(MID($D1694,2,20))&lt;100000000,VALUE(MID($D1694,2,20)),1000000000),1000000000))+ROW()/100000,"")</f>
        <v/>
      </c>
    </row>
    <row r="1695">
      <c r="F1695" s="11" t="n"/>
      <c r="N1695" s="7">
        <f>IF($D1695="","",M1695*V1695/100)</f>
        <v/>
      </c>
      <c r="O1695" s="7" t="n"/>
      <c r="U1695" s="7" t="n"/>
      <c r="V1695" s="7" t="n"/>
      <c r="Y1695">
        <f>IF($D1695="","",IF($AN1695=1,0,IF($AM1695=1,Settings!$C$6,Settings!$C$7))*100)</f>
        <v/>
      </c>
      <c r="Z1695" s="7">
        <f>IF($D1695="","",V1695*Y1695/100)</f>
        <v/>
      </c>
      <c r="AA1695" s="7">
        <f>IF($D1695="","",V1695-Z1695)</f>
        <v/>
      </c>
      <c r="AB1695" s="7">
        <f>IF($D1695="","",AA1695-N1695)</f>
        <v/>
      </c>
      <c r="AF1695" s="7" t="n"/>
      <c r="AI1695" s="11" t="n"/>
      <c r="AK1695">
        <f>IF($D1695="","",IF(COUNTIF($D$2:$D1695,$D1695)=1,1,0))</f>
        <v/>
      </c>
      <c r="AL1695">
        <f>IF($AK1695=1,SUMPRODUCT(--($AO$2:$AO$3001&lt;$AO1695))+1,"")</f>
        <v/>
      </c>
      <c r="AM1695">
        <f>IF($D1695="","",IF(OR($R1695=TRUE(),$R1695="TRUE"),1,0))</f>
        <v/>
      </c>
      <c r="AN1695">
        <f>IF($D1695="","",IF($X1695="Yes",1,0))</f>
        <v/>
      </c>
      <c r="AO1695">
        <f>IF($AK1695=1,IFERROR(IF(VALUE($D1695)&lt;100000000,VALUE($D1695),1000000000),IFERROR(IF(VALUE(MID($D1695,2,20))&lt;100000000,VALUE(MID($D1695,2,20)),1000000000),1000000000))+ROW()/100000,"")</f>
        <v/>
      </c>
    </row>
    <row r="1696">
      <c r="F1696" s="11" t="n"/>
      <c r="N1696" s="7">
        <f>IF($D1696="","",M1696*V1696/100)</f>
        <v/>
      </c>
      <c r="O1696" s="7" t="n"/>
      <c r="U1696" s="7" t="n"/>
      <c r="V1696" s="7" t="n"/>
      <c r="Y1696">
        <f>IF($D1696="","",IF($AN1696=1,0,IF($AM1696=1,Settings!$C$6,Settings!$C$7))*100)</f>
        <v/>
      </c>
      <c r="Z1696" s="7">
        <f>IF($D1696="","",V1696*Y1696/100)</f>
        <v/>
      </c>
      <c r="AA1696" s="7">
        <f>IF($D1696="","",V1696-Z1696)</f>
        <v/>
      </c>
      <c r="AB1696" s="7">
        <f>IF($D1696="","",AA1696-N1696)</f>
        <v/>
      </c>
      <c r="AF1696" s="7" t="n"/>
      <c r="AI1696" s="11" t="n"/>
      <c r="AK1696">
        <f>IF($D1696="","",IF(COUNTIF($D$2:$D1696,$D1696)=1,1,0))</f>
        <v/>
      </c>
      <c r="AL1696">
        <f>IF($AK1696=1,SUMPRODUCT(--($AO$2:$AO$3001&lt;$AO1696))+1,"")</f>
        <v/>
      </c>
      <c r="AM1696">
        <f>IF($D1696="","",IF(OR($R1696=TRUE(),$R1696="TRUE"),1,0))</f>
        <v/>
      </c>
      <c r="AN1696">
        <f>IF($D1696="","",IF($X1696="Yes",1,0))</f>
        <v/>
      </c>
      <c r="AO1696">
        <f>IF($AK1696=1,IFERROR(IF(VALUE($D1696)&lt;100000000,VALUE($D1696),1000000000),IFERROR(IF(VALUE(MID($D1696,2,20))&lt;100000000,VALUE(MID($D1696,2,20)),1000000000),1000000000))+ROW()/100000,"")</f>
        <v/>
      </c>
    </row>
    <row r="1697">
      <c r="F1697" s="11" t="n"/>
      <c r="N1697" s="7">
        <f>IF($D1697="","",M1697*V1697/100)</f>
        <v/>
      </c>
      <c r="O1697" s="7" t="n"/>
      <c r="U1697" s="7" t="n"/>
      <c r="V1697" s="7" t="n"/>
      <c r="Y1697">
        <f>IF($D1697="","",IF($AN1697=1,0,IF($AM1697=1,Settings!$C$6,Settings!$C$7))*100)</f>
        <v/>
      </c>
      <c r="Z1697" s="7">
        <f>IF($D1697="","",V1697*Y1697/100)</f>
        <v/>
      </c>
      <c r="AA1697" s="7">
        <f>IF($D1697="","",V1697-Z1697)</f>
        <v/>
      </c>
      <c r="AB1697" s="7">
        <f>IF($D1697="","",AA1697-N1697)</f>
        <v/>
      </c>
      <c r="AF1697" s="7" t="n"/>
      <c r="AI1697" s="11" t="n"/>
      <c r="AK1697">
        <f>IF($D1697="","",IF(COUNTIF($D$2:$D1697,$D1697)=1,1,0))</f>
        <v/>
      </c>
      <c r="AL1697">
        <f>IF($AK1697=1,SUMPRODUCT(--($AO$2:$AO$3001&lt;$AO1697))+1,"")</f>
        <v/>
      </c>
      <c r="AM1697">
        <f>IF($D1697="","",IF(OR($R1697=TRUE(),$R1697="TRUE"),1,0))</f>
        <v/>
      </c>
      <c r="AN1697">
        <f>IF($D1697="","",IF($X1697="Yes",1,0))</f>
        <v/>
      </c>
      <c r="AO1697">
        <f>IF($AK1697=1,IFERROR(IF(VALUE($D1697)&lt;100000000,VALUE($D1697),1000000000),IFERROR(IF(VALUE(MID($D1697,2,20))&lt;100000000,VALUE(MID($D1697,2,20)),1000000000),1000000000))+ROW()/100000,"")</f>
        <v/>
      </c>
    </row>
    <row r="1698">
      <c r="F1698" s="11" t="n"/>
      <c r="N1698" s="7">
        <f>IF($D1698="","",M1698*V1698/100)</f>
        <v/>
      </c>
      <c r="O1698" s="7" t="n"/>
      <c r="U1698" s="7" t="n"/>
      <c r="V1698" s="7" t="n"/>
      <c r="Y1698">
        <f>IF($D1698="","",IF($AN1698=1,0,IF($AM1698=1,Settings!$C$6,Settings!$C$7))*100)</f>
        <v/>
      </c>
      <c r="Z1698" s="7">
        <f>IF($D1698="","",V1698*Y1698/100)</f>
        <v/>
      </c>
      <c r="AA1698" s="7">
        <f>IF($D1698="","",V1698-Z1698)</f>
        <v/>
      </c>
      <c r="AB1698" s="7">
        <f>IF($D1698="","",AA1698-N1698)</f>
        <v/>
      </c>
      <c r="AF1698" s="7" t="n"/>
      <c r="AI1698" s="11" t="n"/>
      <c r="AK1698">
        <f>IF($D1698="","",IF(COUNTIF($D$2:$D1698,$D1698)=1,1,0))</f>
        <v/>
      </c>
      <c r="AL1698">
        <f>IF($AK1698=1,SUMPRODUCT(--($AO$2:$AO$3001&lt;$AO1698))+1,"")</f>
        <v/>
      </c>
      <c r="AM1698">
        <f>IF($D1698="","",IF(OR($R1698=TRUE(),$R1698="TRUE"),1,0))</f>
        <v/>
      </c>
      <c r="AN1698">
        <f>IF($D1698="","",IF($X1698="Yes",1,0))</f>
        <v/>
      </c>
      <c r="AO1698">
        <f>IF($AK1698=1,IFERROR(IF(VALUE($D1698)&lt;100000000,VALUE($D1698),1000000000),IFERROR(IF(VALUE(MID($D1698,2,20))&lt;100000000,VALUE(MID($D1698,2,20)),1000000000),1000000000))+ROW()/100000,"")</f>
        <v/>
      </c>
    </row>
    <row r="1699">
      <c r="F1699" s="11" t="n"/>
      <c r="N1699" s="7">
        <f>IF($D1699="","",M1699*V1699/100)</f>
        <v/>
      </c>
      <c r="O1699" s="7" t="n"/>
      <c r="U1699" s="7" t="n"/>
      <c r="V1699" s="7" t="n"/>
      <c r="Y1699">
        <f>IF($D1699="","",IF($AN1699=1,0,IF($AM1699=1,Settings!$C$6,Settings!$C$7))*100)</f>
        <v/>
      </c>
      <c r="Z1699" s="7">
        <f>IF($D1699="","",V1699*Y1699/100)</f>
        <v/>
      </c>
      <c r="AA1699" s="7">
        <f>IF($D1699="","",V1699-Z1699)</f>
        <v/>
      </c>
      <c r="AB1699" s="7">
        <f>IF($D1699="","",AA1699-N1699)</f>
        <v/>
      </c>
      <c r="AF1699" s="7" t="n"/>
      <c r="AI1699" s="11" t="n"/>
      <c r="AK1699">
        <f>IF($D1699="","",IF(COUNTIF($D$2:$D1699,$D1699)=1,1,0))</f>
        <v/>
      </c>
      <c r="AL1699">
        <f>IF($AK1699=1,SUMPRODUCT(--($AO$2:$AO$3001&lt;$AO1699))+1,"")</f>
        <v/>
      </c>
      <c r="AM1699">
        <f>IF($D1699="","",IF(OR($R1699=TRUE(),$R1699="TRUE"),1,0))</f>
        <v/>
      </c>
      <c r="AN1699">
        <f>IF($D1699="","",IF($X1699="Yes",1,0))</f>
        <v/>
      </c>
      <c r="AO1699">
        <f>IF($AK1699=1,IFERROR(IF(VALUE($D1699)&lt;100000000,VALUE($D1699),1000000000),IFERROR(IF(VALUE(MID($D1699,2,20))&lt;100000000,VALUE(MID($D1699,2,20)),1000000000),1000000000))+ROW()/100000,"")</f>
        <v/>
      </c>
    </row>
    <row r="1700">
      <c r="F1700" s="11" t="n"/>
      <c r="N1700" s="7">
        <f>IF($D1700="","",M1700*V1700/100)</f>
        <v/>
      </c>
      <c r="O1700" s="7" t="n"/>
      <c r="U1700" s="7" t="n"/>
      <c r="V1700" s="7" t="n"/>
      <c r="Y1700">
        <f>IF($D1700="","",IF($AN1700=1,0,IF($AM1700=1,Settings!$C$6,Settings!$C$7))*100)</f>
        <v/>
      </c>
      <c r="Z1700" s="7">
        <f>IF($D1700="","",V1700*Y1700/100)</f>
        <v/>
      </c>
      <c r="AA1700" s="7">
        <f>IF($D1700="","",V1700-Z1700)</f>
        <v/>
      </c>
      <c r="AB1700" s="7">
        <f>IF($D1700="","",AA1700-N1700)</f>
        <v/>
      </c>
      <c r="AF1700" s="7" t="n"/>
      <c r="AI1700" s="11" t="n"/>
      <c r="AK1700">
        <f>IF($D1700="","",IF(COUNTIF($D$2:$D1700,$D1700)=1,1,0))</f>
        <v/>
      </c>
      <c r="AL1700">
        <f>IF($AK1700=1,SUMPRODUCT(--($AO$2:$AO$3001&lt;$AO1700))+1,"")</f>
        <v/>
      </c>
      <c r="AM1700">
        <f>IF($D1700="","",IF(OR($R1700=TRUE(),$R1700="TRUE"),1,0))</f>
        <v/>
      </c>
      <c r="AN1700">
        <f>IF($D1700="","",IF($X1700="Yes",1,0))</f>
        <v/>
      </c>
      <c r="AO1700">
        <f>IF($AK1700=1,IFERROR(IF(VALUE($D1700)&lt;100000000,VALUE($D1700),1000000000),IFERROR(IF(VALUE(MID($D1700,2,20))&lt;100000000,VALUE(MID($D1700,2,20)),1000000000),1000000000))+ROW()/100000,"")</f>
        <v/>
      </c>
    </row>
    <row r="1701">
      <c r="F1701" s="11" t="n"/>
      <c r="N1701" s="7">
        <f>IF($D1701="","",M1701*V1701/100)</f>
        <v/>
      </c>
      <c r="O1701" s="7" t="n"/>
      <c r="U1701" s="7" t="n"/>
      <c r="V1701" s="7" t="n"/>
      <c r="Y1701">
        <f>IF($D1701="","",IF($AN1701=1,0,IF($AM1701=1,Settings!$C$6,Settings!$C$7))*100)</f>
        <v/>
      </c>
      <c r="Z1701" s="7">
        <f>IF($D1701="","",V1701*Y1701/100)</f>
        <v/>
      </c>
      <c r="AA1701" s="7">
        <f>IF($D1701="","",V1701-Z1701)</f>
        <v/>
      </c>
      <c r="AB1701" s="7">
        <f>IF($D1701="","",AA1701-N1701)</f>
        <v/>
      </c>
      <c r="AF1701" s="7" t="n"/>
      <c r="AI1701" s="11" t="n"/>
      <c r="AK1701">
        <f>IF($D1701="","",IF(COUNTIF($D$2:$D1701,$D1701)=1,1,0))</f>
        <v/>
      </c>
      <c r="AL1701">
        <f>IF($AK1701=1,SUMPRODUCT(--($AO$2:$AO$3001&lt;$AO1701))+1,"")</f>
        <v/>
      </c>
      <c r="AM1701">
        <f>IF($D1701="","",IF(OR($R1701=TRUE(),$R1701="TRUE"),1,0))</f>
        <v/>
      </c>
      <c r="AN1701">
        <f>IF($D1701="","",IF($X1701="Yes",1,0))</f>
        <v/>
      </c>
      <c r="AO1701">
        <f>IF($AK1701=1,IFERROR(IF(VALUE($D1701)&lt;100000000,VALUE($D1701),1000000000),IFERROR(IF(VALUE(MID($D1701,2,20))&lt;100000000,VALUE(MID($D1701,2,20)),1000000000),1000000000))+ROW()/100000,"")</f>
        <v/>
      </c>
    </row>
    <row r="1702">
      <c r="F1702" s="11" t="n"/>
      <c r="N1702" s="7">
        <f>IF($D1702="","",M1702*V1702/100)</f>
        <v/>
      </c>
      <c r="O1702" s="7" t="n"/>
      <c r="U1702" s="7" t="n"/>
      <c r="V1702" s="7" t="n"/>
      <c r="Y1702">
        <f>IF($D1702="","",IF($AN1702=1,0,IF($AM1702=1,Settings!$C$6,Settings!$C$7))*100)</f>
        <v/>
      </c>
      <c r="Z1702" s="7">
        <f>IF($D1702="","",V1702*Y1702/100)</f>
        <v/>
      </c>
      <c r="AA1702" s="7">
        <f>IF($D1702="","",V1702-Z1702)</f>
        <v/>
      </c>
      <c r="AB1702" s="7">
        <f>IF($D1702="","",AA1702-N1702)</f>
        <v/>
      </c>
      <c r="AF1702" s="7" t="n"/>
      <c r="AI1702" s="11" t="n"/>
      <c r="AK1702">
        <f>IF($D1702="","",IF(COUNTIF($D$2:$D1702,$D1702)=1,1,0))</f>
        <v/>
      </c>
      <c r="AL1702">
        <f>IF($AK1702=1,SUMPRODUCT(--($AO$2:$AO$3001&lt;$AO1702))+1,"")</f>
        <v/>
      </c>
      <c r="AM1702">
        <f>IF($D1702="","",IF(OR($R1702=TRUE(),$R1702="TRUE"),1,0))</f>
        <v/>
      </c>
      <c r="AN1702">
        <f>IF($D1702="","",IF($X1702="Yes",1,0))</f>
        <v/>
      </c>
      <c r="AO1702">
        <f>IF($AK1702=1,IFERROR(IF(VALUE($D1702)&lt;100000000,VALUE($D1702),1000000000),IFERROR(IF(VALUE(MID($D1702,2,20))&lt;100000000,VALUE(MID($D1702,2,20)),1000000000),1000000000))+ROW()/100000,"")</f>
        <v/>
      </c>
    </row>
    <row r="1703">
      <c r="F1703" s="11" t="n"/>
      <c r="N1703" s="7">
        <f>IF($D1703="","",M1703*V1703/100)</f>
        <v/>
      </c>
      <c r="O1703" s="7" t="n"/>
      <c r="U1703" s="7" t="n"/>
      <c r="V1703" s="7" t="n"/>
      <c r="Y1703">
        <f>IF($D1703="","",IF($AN1703=1,0,IF($AM1703=1,Settings!$C$6,Settings!$C$7))*100)</f>
        <v/>
      </c>
      <c r="Z1703" s="7">
        <f>IF($D1703="","",V1703*Y1703/100)</f>
        <v/>
      </c>
      <c r="AA1703" s="7">
        <f>IF($D1703="","",V1703-Z1703)</f>
        <v/>
      </c>
      <c r="AB1703" s="7">
        <f>IF($D1703="","",AA1703-N1703)</f>
        <v/>
      </c>
      <c r="AF1703" s="7" t="n"/>
      <c r="AI1703" s="11" t="n"/>
      <c r="AK1703">
        <f>IF($D1703="","",IF(COUNTIF($D$2:$D1703,$D1703)=1,1,0))</f>
        <v/>
      </c>
      <c r="AL1703">
        <f>IF($AK1703=1,SUMPRODUCT(--($AO$2:$AO$3001&lt;$AO1703))+1,"")</f>
        <v/>
      </c>
      <c r="AM1703">
        <f>IF($D1703="","",IF(OR($R1703=TRUE(),$R1703="TRUE"),1,0))</f>
        <v/>
      </c>
      <c r="AN1703">
        <f>IF($D1703="","",IF($X1703="Yes",1,0))</f>
        <v/>
      </c>
      <c r="AO1703">
        <f>IF($AK1703=1,IFERROR(IF(VALUE($D1703)&lt;100000000,VALUE($D1703),1000000000),IFERROR(IF(VALUE(MID($D1703,2,20))&lt;100000000,VALUE(MID($D1703,2,20)),1000000000),1000000000))+ROW()/100000,"")</f>
        <v/>
      </c>
    </row>
    <row r="1704">
      <c r="F1704" s="11" t="n"/>
      <c r="N1704" s="7">
        <f>IF($D1704="","",M1704*V1704/100)</f>
        <v/>
      </c>
      <c r="O1704" s="7" t="n"/>
      <c r="U1704" s="7" t="n"/>
      <c r="V1704" s="7" t="n"/>
      <c r="Y1704">
        <f>IF($D1704="","",IF($AN1704=1,0,IF($AM1704=1,Settings!$C$6,Settings!$C$7))*100)</f>
        <v/>
      </c>
      <c r="Z1704" s="7">
        <f>IF($D1704="","",V1704*Y1704/100)</f>
        <v/>
      </c>
      <c r="AA1704" s="7">
        <f>IF($D1704="","",V1704-Z1704)</f>
        <v/>
      </c>
      <c r="AB1704" s="7">
        <f>IF($D1704="","",AA1704-N1704)</f>
        <v/>
      </c>
      <c r="AF1704" s="7" t="n"/>
      <c r="AI1704" s="11" t="n"/>
      <c r="AK1704">
        <f>IF($D1704="","",IF(COUNTIF($D$2:$D1704,$D1704)=1,1,0))</f>
        <v/>
      </c>
      <c r="AL1704">
        <f>IF($AK1704=1,SUMPRODUCT(--($AO$2:$AO$3001&lt;$AO1704))+1,"")</f>
        <v/>
      </c>
      <c r="AM1704">
        <f>IF($D1704="","",IF(OR($R1704=TRUE(),$R1704="TRUE"),1,0))</f>
        <v/>
      </c>
      <c r="AN1704">
        <f>IF($D1704="","",IF($X1704="Yes",1,0))</f>
        <v/>
      </c>
      <c r="AO1704">
        <f>IF($AK1704=1,IFERROR(IF(VALUE($D1704)&lt;100000000,VALUE($D1704),1000000000),IFERROR(IF(VALUE(MID($D1704,2,20))&lt;100000000,VALUE(MID($D1704,2,20)),1000000000),1000000000))+ROW()/100000,"")</f>
        <v/>
      </c>
    </row>
    <row r="1705">
      <c r="F1705" s="11" t="n"/>
      <c r="N1705" s="7">
        <f>IF($D1705="","",M1705*V1705/100)</f>
        <v/>
      </c>
      <c r="O1705" s="7" t="n"/>
      <c r="U1705" s="7" t="n"/>
      <c r="V1705" s="7" t="n"/>
      <c r="Y1705">
        <f>IF($D1705="","",IF($AN1705=1,0,IF($AM1705=1,Settings!$C$6,Settings!$C$7))*100)</f>
        <v/>
      </c>
      <c r="Z1705" s="7">
        <f>IF($D1705="","",V1705*Y1705/100)</f>
        <v/>
      </c>
      <c r="AA1705" s="7">
        <f>IF($D1705="","",V1705-Z1705)</f>
        <v/>
      </c>
      <c r="AB1705" s="7">
        <f>IF($D1705="","",AA1705-N1705)</f>
        <v/>
      </c>
      <c r="AF1705" s="7" t="n"/>
      <c r="AI1705" s="11" t="n"/>
      <c r="AK1705">
        <f>IF($D1705="","",IF(COUNTIF($D$2:$D1705,$D1705)=1,1,0))</f>
        <v/>
      </c>
      <c r="AL1705">
        <f>IF($AK1705=1,SUMPRODUCT(--($AO$2:$AO$3001&lt;$AO1705))+1,"")</f>
        <v/>
      </c>
      <c r="AM1705">
        <f>IF($D1705="","",IF(OR($R1705=TRUE(),$R1705="TRUE"),1,0))</f>
        <v/>
      </c>
      <c r="AN1705">
        <f>IF($D1705="","",IF($X1705="Yes",1,0))</f>
        <v/>
      </c>
      <c r="AO1705">
        <f>IF($AK1705=1,IFERROR(IF(VALUE($D1705)&lt;100000000,VALUE($D1705),1000000000),IFERROR(IF(VALUE(MID($D1705,2,20))&lt;100000000,VALUE(MID($D1705,2,20)),1000000000),1000000000))+ROW()/100000,"")</f>
        <v/>
      </c>
    </row>
    <row r="1706">
      <c r="F1706" s="11" t="n"/>
      <c r="N1706" s="7">
        <f>IF($D1706="","",M1706*V1706/100)</f>
        <v/>
      </c>
      <c r="O1706" s="7" t="n"/>
      <c r="U1706" s="7" t="n"/>
      <c r="V1706" s="7" t="n"/>
      <c r="Y1706">
        <f>IF($D1706="","",IF($AN1706=1,0,IF($AM1706=1,Settings!$C$6,Settings!$C$7))*100)</f>
        <v/>
      </c>
      <c r="Z1706" s="7">
        <f>IF($D1706="","",V1706*Y1706/100)</f>
        <v/>
      </c>
      <c r="AA1706" s="7">
        <f>IF($D1706="","",V1706-Z1706)</f>
        <v/>
      </c>
      <c r="AB1706" s="7">
        <f>IF($D1706="","",AA1706-N1706)</f>
        <v/>
      </c>
      <c r="AF1706" s="7" t="n"/>
      <c r="AI1706" s="11" t="n"/>
      <c r="AK1706">
        <f>IF($D1706="","",IF(COUNTIF($D$2:$D1706,$D1706)=1,1,0))</f>
        <v/>
      </c>
      <c r="AL1706">
        <f>IF($AK1706=1,SUMPRODUCT(--($AO$2:$AO$3001&lt;$AO1706))+1,"")</f>
        <v/>
      </c>
      <c r="AM1706">
        <f>IF($D1706="","",IF(OR($R1706=TRUE(),$R1706="TRUE"),1,0))</f>
        <v/>
      </c>
      <c r="AN1706">
        <f>IF($D1706="","",IF($X1706="Yes",1,0))</f>
        <v/>
      </c>
      <c r="AO1706">
        <f>IF($AK1706=1,IFERROR(IF(VALUE($D1706)&lt;100000000,VALUE($D1706),1000000000),IFERROR(IF(VALUE(MID($D1706,2,20))&lt;100000000,VALUE(MID($D1706,2,20)),1000000000),1000000000))+ROW()/100000,"")</f>
        <v/>
      </c>
    </row>
    <row r="1707">
      <c r="F1707" s="11" t="n"/>
      <c r="N1707" s="7">
        <f>IF($D1707="","",M1707*V1707/100)</f>
        <v/>
      </c>
      <c r="O1707" s="7" t="n"/>
      <c r="U1707" s="7" t="n"/>
      <c r="V1707" s="7" t="n"/>
      <c r="Y1707">
        <f>IF($D1707="","",IF($AN1707=1,0,IF($AM1707=1,Settings!$C$6,Settings!$C$7))*100)</f>
        <v/>
      </c>
      <c r="Z1707" s="7">
        <f>IF($D1707="","",V1707*Y1707/100)</f>
        <v/>
      </c>
      <c r="AA1707" s="7">
        <f>IF($D1707="","",V1707-Z1707)</f>
        <v/>
      </c>
      <c r="AB1707" s="7">
        <f>IF($D1707="","",AA1707-N1707)</f>
        <v/>
      </c>
      <c r="AF1707" s="7" t="n"/>
      <c r="AI1707" s="11" t="n"/>
      <c r="AK1707">
        <f>IF($D1707="","",IF(COUNTIF($D$2:$D1707,$D1707)=1,1,0))</f>
        <v/>
      </c>
      <c r="AL1707">
        <f>IF($AK1707=1,SUMPRODUCT(--($AO$2:$AO$3001&lt;$AO1707))+1,"")</f>
        <v/>
      </c>
      <c r="AM1707">
        <f>IF($D1707="","",IF(OR($R1707=TRUE(),$R1707="TRUE"),1,0))</f>
        <v/>
      </c>
      <c r="AN1707">
        <f>IF($D1707="","",IF($X1707="Yes",1,0))</f>
        <v/>
      </c>
      <c r="AO1707">
        <f>IF($AK1707=1,IFERROR(IF(VALUE($D1707)&lt;100000000,VALUE($D1707),1000000000),IFERROR(IF(VALUE(MID($D1707,2,20))&lt;100000000,VALUE(MID($D1707,2,20)),1000000000),1000000000))+ROW()/100000,"")</f>
        <v/>
      </c>
    </row>
    <row r="1708">
      <c r="F1708" s="11" t="n"/>
      <c r="N1708" s="7">
        <f>IF($D1708="","",M1708*V1708/100)</f>
        <v/>
      </c>
      <c r="O1708" s="7" t="n"/>
      <c r="U1708" s="7" t="n"/>
      <c r="V1708" s="7" t="n"/>
      <c r="Y1708">
        <f>IF($D1708="","",IF($AN1708=1,0,IF($AM1708=1,Settings!$C$6,Settings!$C$7))*100)</f>
        <v/>
      </c>
      <c r="Z1708" s="7">
        <f>IF($D1708="","",V1708*Y1708/100)</f>
        <v/>
      </c>
      <c r="AA1708" s="7">
        <f>IF($D1708="","",V1708-Z1708)</f>
        <v/>
      </c>
      <c r="AB1708" s="7">
        <f>IF($D1708="","",AA1708-N1708)</f>
        <v/>
      </c>
      <c r="AF1708" s="7" t="n"/>
      <c r="AI1708" s="11" t="n"/>
      <c r="AK1708">
        <f>IF($D1708="","",IF(COUNTIF($D$2:$D1708,$D1708)=1,1,0))</f>
        <v/>
      </c>
      <c r="AL1708">
        <f>IF($AK1708=1,SUMPRODUCT(--($AO$2:$AO$3001&lt;$AO1708))+1,"")</f>
        <v/>
      </c>
      <c r="AM1708">
        <f>IF($D1708="","",IF(OR($R1708=TRUE(),$R1708="TRUE"),1,0))</f>
        <v/>
      </c>
      <c r="AN1708">
        <f>IF($D1708="","",IF($X1708="Yes",1,0))</f>
        <v/>
      </c>
      <c r="AO1708">
        <f>IF($AK1708=1,IFERROR(IF(VALUE($D1708)&lt;100000000,VALUE($D1708),1000000000),IFERROR(IF(VALUE(MID($D1708,2,20))&lt;100000000,VALUE(MID($D1708,2,20)),1000000000),1000000000))+ROW()/100000,"")</f>
        <v/>
      </c>
    </row>
    <row r="1709">
      <c r="F1709" s="11" t="n"/>
      <c r="N1709" s="7">
        <f>IF($D1709="","",M1709*V1709/100)</f>
        <v/>
      </c>
      <c r="O1709" s="7" t="n"/>
      <c r="U1709" s="7" t="n"/>
      <c r="V1709" s="7" t="n"/>
      <c r="Y1709">
        <f>IF($D1709="","",IF($AN1709=1,0,IF($AM1709=1,Settings!$C$6,Settings!$C$7))*100)</f>
        <v/>
      </c>
      <c r="Z1709" s="7">
        <f>IF($D1709="","",V1709*Y1709/100)</f>
        <v/>
      </c>
      <c r="AA1709" s="7">
        <f>IF($D1709="","",V1709-Z1709)</f>
        <v/>
      </c>
      <c r="AB1709" s="7">
        <f>IF($D1709="","",AA1709-N1709)</f>
        <v/>
      </c>
      <c r="AF1709" s="7" t="n"/>
      <c r="AI1709" s="11" t="n"/>
      <c r="AK1709">
        <f>IF($D1709="","",IF(COUNTIF($D$2:$D1709,$D1709)=1,1,0))</f>
        <v/>
      </c>
      <c r="AL1709">
        <f>IF($AK1709=1,SUMPRODUCT(--($AO$2:$AO$3001&lt;$AO1709))+1,"")</f>
        <v/>
      </c>
      <c r="AM1709">
        <f>IF($D1709="","",IF(OR($R1709=TRUE(),$R1709="TRUE"),1,0))</f>
        <v/>
      </c>
      <c r="AN1709">
        <f>IF($D1709="","",IF($X1709="Yes",1,0))</f>
        <v/>
      </c>
      <c r="AO1709">
        <f>IF($AK1709=1,IFERROR(IF(VALUE($D1709)&lt;100000000,VALUE($D1709),1000000000),IFERROR(IF(VALUE(MID($D1709,2,20))&lt;100000000,VALUE(MID($D1709,2,20)),1000000000),1000000000))+ROW()/100000,"")</f>
        <v/>
      </c>
    </row>
    <row r="1710">
      <c r="F1710" s="11" t="n"/>
      <c r="N1710" s="7">
        <f>IF($D1710="","",M1710*V1710/100)</f>
        <v/>
      </c>
      <c r="O1710" s="7" t="n"/>
      <c r="U1710" s="7" t="n"/>
      <c r="V1710" s="7" t="n"/>
      <c r="Y1710">
        <f>IF($D1710="","",IF($AN1710=1,0,IF($AM1710=1,Settings!$C$6,Settings!$C$7))*100)</f>
        <v/>
      </c>
      <c r="Z1710" s="7">
        <f>IF($D1710="","",V1710*Y1710/100)</f>
        <v/>
      </c>
      <c r="AA1710" s="7">
        <f>IF($D1710="","",V1710-Z1710)</f>
        <v/>
      </c>
      <c r="AB1710" s="7">
        <f>IF($D1710="","",AA1710-N1710)</f>
        <v/>
      </c>
      <c r="AF1710" s="7" t="n"/>
      <c r="AI1710" s="11" t="n"/>
      <c r="AK1710">
        <f>IF($D1710="","",IF(COUNTIF($D$2:$D1710,$D1710)=1,1,0))</f>
        <v/>
      </c>
      <c r="AL1710">
        <f>IF($AK1710=1,SUMPRODUCT(--($AO$2:$AO$3001&lt;$AO1710))+1,"")</f>
        <v/>
      </c>
      <c r="AM1710">
        <f>IF($D1710="","",IF(OR($R1710=TRUE(),$R1710="TRUE"),1,0))</f>
        <v/>
      </c>
      <c r="AN1710">
        <f>IF($D1710="","",IF($X1710="Yes",1,0))</f>
        <v/>
      </c>
      <c r="AO1710">
        <f>IF($AK1710=1,IFERROR(IF(VALUE($D1710)&lt;100000000,VALUE($D1710),1000000000),IFERROR(IF(VALUE(MID($D1710,2,20))&lt;100000000,VALUE(MID($D1710,2,20)),1000000000),1000000000))+ROW()/100000,"")</f>
        <v/>
      </c>
    </row>
    <row r="1711">
      <c r="F1711" s="11" t="n"/>
      <c r="N1711" s="7">
        <f>IF($D1711="","",M1711*V1711/100)</f>
        <v/>
      </c>
      <c r="O1711" s="7" t="n"/>
      <c r="U1711" s="7" t="n"/>
      <c r="V1711" s="7" t="n"/>
      <c r="Y1711">
        <f>IF($D1711="","",IF($AN1711=1,0,IF($AM1711=1,Settings!$C$6,Settings!$C$7))*100)</f>
        <v/>
      </c>
      <c r="Z1711" s="7">
        <f>IF($D1711="","",V1711*Y1711/100)</f>
        <v/>
      </c>
      <c r="AA1711" s="7">
        <f>IF($D1711="","",V1711-Z1711)</f>
        <v/>
      </c>
      <c r="AB1711" s="7">
        <f>IF($D1711="","",AA1711-N1711)</f>
        <v/>
      </c>
      <c r="AF1711" s="7" t="n"/>
      <c r="AI1711" s="11" t="n"/>
      <c r="AK1711">
        <f>IF($D1711="","",IF(COUNTIF($D$2:$D1711,$D1711)=1,1,0))</f>
        <v/>
      </c>
      <c r="AL1711">
        <f>IF($AK1711=1,SUMPRODUCT(--($AO$2:$AO$3001&lt;$AO1711))+1,"")</f>
        <v/>
      </c>
      <c r="AM1711">
        <f>IF($D1711="","",IF(OR($R1711=TRUE(),$R1711="TRUE"),1,0))</f>
        <v/>
      </c>
      <c r="AN1711">
        <f>IF($D1711="","",IF($X1711="Yes",1,0))</f>
        <v/>
      </c>
      <c r="AO1711">
        <f>IF($AK1711=1,IFERROR(IF(VALUE($D1711)&lt;100000000,VALUE($D1711),1000000000),IFERROR(IF(VALUE(MID($D1711,2,20))&lt;100000000,VALUE(MID($D1711,2,20)),1000000000),1000000000))+ROW()/100000,"")</f>
        <v/>
      </c>
    </row>
    <row r="1712">
      <c r="F1712" s="11" t="n"/>
      <c r="N1712" s="7">
        <f>IF($D1712="","",M1712*V1712/100)</f>
        <v/>
      </c>
      <c r="O1712" s="7" t="n"/>
      <c r="U1712" s="7" t="n"/>
      <c r="V1712" s="7" t="n"/>
      <c r="Y1712">
        <f>IF($D1712="","",IF($AN1712=1,0,IF($AM1712=1,Settings!$C$6,Settings!$C$7))*100)</f>
        <v/>
      </c>
      <c r="Z1712" s="7">
        <f>IF($D1712="","",V1712*Y1712/100)</f>
        <v/>
      </c>
      <c r="AA1712" s="7">
        <f>IF($D1712="","",V1712-Z1712)</f>
        <v/>
      </c>
      <c r="AB1712" s="7">
        <f>IF($D1712="","",AA1712-N1712)</f>
        <v/>
      </c>
      <c r="AF1712" s="7" t="n"/>
      <c r="AI1712" s="11" t="n"/>
      <c r="AK1712">
        <f>IF($D1712="","",IF(COUNTIF($D$2:$D1712,$D1712)=1,1,0))</f>
        <v/>
      </c>
      <c r="AL1712">
        <f>IF($AK1712=1,SUMPRODUCT(--($AO$2:$AO$3001&lt;$AO1712))+1,"")</f>
        <v/>
      </c>
      <c r="AM1712">
        <f>IF($D1712="","",IF(OR($R1712=TRUE(),$R1712="TRUE"),1,0))</f>
        <v/>
      </c>
      <c r="AN1712">
        <f>IF($D1712="","",IF($X1712="Yes",1,0))</f>
        <v/>
      </c>
      <c r="AO1712">
        <f>IF($AK1712=1,IFERROR(IF(VALUE($D1712)&lt;100000000,VALUE($D1712),1000000000),IFERROR(IF(VALUE(MID($D1712,2,20))&lt;100000000,VALUE(MID($D1712,2,20)),1000000000),1000000000))+ROW()/100000,"")</f>
        <v/>
      </c>
    </row>
    <row r="1713">
      <c r="F1713" s="11" t="n"/>
      <c r="N1713" s="7">
        <f>IF($D1713="","",M1713*V1713/100)</f>
        <v/>
      </c>
      <c r="O1713" s="7" t="n"/>
      <c r="U1713" s="7" t="n"/>
      <c r="V1713" s="7" t="n"/>
      <c r="Y1713">
        <f>IF($D1713="","",IF($AN1713=1,0,IF($AM1713=1,Settings!$C$6,Settings!$C$7))*100)</f>
        <v/>
      </c>
      <c r="Z1713" s="7">
        <f>IF($D1713="","",V1713*Y1713/100)</f>
        <v/>
      </c>
      <c r="AA1713" s="7">
        <f>IF($D1713="","",V1713-Z1713)</f>
        <v/>
      </c>
      <c r="AB1713" s="7">
        <f>IF($D1713="","",AA1713-N1713)</f>
        <v/>
      </c>
      <c r="AF1713" s="7" t="n"/>
      <c r="AI1713" s="11" t="n"/>
      <c r="AK1713">
        <f>IF($D1713="","",IF(COUNTIF($D$2:$D1713,$D1713)=1,1,0))</f>
        <v/>
      </c>
      <c r="AL1713">
        <f>IF($AK1713=1,SUMPRODUCT(--($AO$2:$AO$3001&lt;$AO1713))+1,"")</f>
        <v/>
      </c>
      <c r="AM1713">
        <f>IF($D1713="","",IF(OR($R1713=TRUE(),$R1713="TRUE"),1,0))</f>
        <v/>
      </c>
      <c r="AN1713">
        <f>IF($D1713="","",IF($X1713="Yes",1,0))</f>
        <v/>
      </c>
      <c r="AO1713">
        <f>IF($AK1713=1,IFERROR(IF(VALUE($D1713)&lt;100000000,VALUE($D1713),1000000000),IFERROR(IF(VALUE(MID($D1713,2,20))&lt;100000000,VALUE(MID($D1713,2,20)),1000000000),1000000000))+ROW()/100000,"")</f>
        <v/>
      </c>
    </row>
    <row r="1714">
      <c r="F1714" s="11" t="n"/>
      <c r="N1714" s="7">
        <f>IF($D1714="","",M1714*V1714/100)</f>
        <v/>
      </c>
      <c r="O1714" s="7" t="n"/>
      <c r="U1714" s="7" t="n"/>
      <c r="V1714" s="7" t="n"/>
      <c r="Y1714">
        <f>IF($D1714="","",IF($AN1714=1,0,IF($AM1714=1,Settings!$C$6,Settings!$C$7))*100)</f>
        <v/>
      </c>
      <c r="Z1714" s="7">
        <f>IF($D1714="","",V1714*Y1714/100)</f>
        <v/>
      </c>
      <c r="AA1714" s="7">
        <f>IF($D1714="","",V1714-Z1714)</f>
        <v/>
      </c>
      <c r="AB1714" s="7">
        <f>IF($D1714="","",AA1714-N1714)</f>
        <v/>
      </c>
      <c r="AF1714" s="7" t="n"/>
      <c r="AI1714" s="11" t="n"/>
      <c r="AK1714">
        <f>IF($D1714="","",IF(COUNTIF($D$2:$D1714,$D1714)=1,1,0))</f>
        <v/>
      </c>
      <c r="AL1714">
        <f>IF($AK1714=1,SUMPRODUCT(--($AO$2:$AO$3001&lt;$AO1714))+1,"")</f>
        <v/>
      </c>
      <c r="AM1714">
        <f>IF($D1714="","",IF(OR($R1714=TRUE(),$R1714="TRUE"),1,0))</f>
        <v/>
      </c>
      <c r="AN1714">
        <f>IF($D1714="","",IF($X1714="Yes",1,0))</f>
        <v/>
      </c>
      <c r="AO1714">
        <f>IF($AK1714=1,IFERROR(IF(VALUE($D1714)&lt;100000000,VALUE($D1714),1000000000),IFERROR(IF(VALUE(MID($D1714,2,20))&lt;100000000,VALUE(MID($D1714,2,20)),1000000000),1000000000))+ROW()/100000,"")</f>
        <v/>
      </c>
    </row>
    <row r="1715">
      <c r="F1715" s="11" t="n"/>
      <c r="N1715" s="7">
        <f>IF($D1715="","",M1715*V1715/100)</f>
        <v/>
      </c>
      <c r="O1715" s="7" t="n"/>
      <c r="U1715" s="7" t="n"/>
      <c r="V1715" s="7" t="n"/>
      <c r="Y1715">
        <f>IF($D1715="","",IF($AN1715=1,0,IF($AM1715=1,Settings!$C$6,Settings!$C$7))*100)</f>
        <v/>
      </c>
      <c r="Z1715" s="7">
        <f>IF($D1715="","",V1715*Y1715/100)</f>
        <v/>
      </c>
      <c r="AA1715" s="7">
        <f>IF($D1715="","",V1715-Z1715)</f>
        <v/>
      </c>
      <c r="AB1715" s="7">
        <f>IF($D1715="","",AA1715-N1715)</f>
        <v/>
      </c>
      <c r="AF1715" s="7" t="n"/>
      <c r="AI1715" s="11" t="n"/>
      <c r="AK1715">
        <f>IF($D1715="","",IF(COUNTIF($D$2:$D1715,$D1715)=1,1,0))</f>
        <v/>
      </c>
      <c r="AL1715">
        <f>IF($AK1715=1,SUMPRODUCT(--($AO$2:$AO$3001&lt;$AO1715))+1,"")</f>
        <v/>
      </c>
      <c r="AM1715">
        <f>IF($D1715="","",IF(OR($R1715=TRUE(),$R1715="TRUE"),1,0))</f>
        <v/>
      </c>
      <c r="AN1715">
        <f>IF($D1715="","",IF($X1715="Yes",1,0))</f>
        <v/>
      </c>
      <c r="AO1715">
        <f>IF($AK1715=1,IFERROR(IF(VALUE($D1715)&lt;100000000,VALUE($D1715),1000000000),IFERROR(IF(VALUE(MID($D1715,2,20))&lt;100000000,VALUE(MID($D1715,2,20)),1000000000),1000000000))+ROW()/100000,"")</f>
        <v/>
      </c>
    </row>
    <row r="1716">
      <c r="F1716" s="11" t="n"/>
      <c r="N1716" s="7">
        <f>IF($D1716="","",M1716*V1716/100)</f>
        <v/>
      </c>
      <c r="O1716" s="7" t="n"/>
      <c r="U1716" s="7" t="n"/>
      <c r="V1716" s="7" t="n"/>
      <c r="Y1716">
        <f>IF($D1716="","",IF($AN1716=1,0,IF($AM1716=1,Settings!$C$6,Settings!$C$7))*100)</f>
        <v/>
      </c>
      <c r="Z1716" s="7">
        <f>IF($D1716="","",V1716*Y1716/100)</f>
        <v/>
      </c>
      <c r="AA1716" s="7">
        <f>IF($D1716="","",V1716-Z1716)</f>
        <v/>
      </c>
      <c r="AB1716" s="7">
        <f>IF($D1716="","",AA1716-N1716)</f>
        <v/>
      </c>
      <c r="AF1716" s="7" t="n"/>
      <c r="AI1716" s="11" t="n"/>
      <c r="AK1716">
        <f>IF($D1716="","",IF(COUNTIF($D$2:$D1716,$D1716)=1,1,0))</f>
        <v/>
      </c>
      <c r="AL1716">
        <f>IF($AK1716=1,SUMPRODUCT(--($AO$2:$AO$3001&lt;$AO1716))+1,"")</f>
        <v/>
      </c>
      <c r="AM1716">
        <f>IF($D1716="","",IF(OR($R1716=TRUE(),$R1716="TRUE"),1,0))</f>
        <v/>
      </c>
      <c r="AN1716">
        <f>IF($D1716="","",IF($X1716="Yes",1,0))</f>
        <v/>
      </c>
      <c r="AO1716">
        <f>IF($AK1716=1,IFERROR(IF(VALUE($D1716)&lt;100000000,VALUE($D1716),1000000000),IFERROR(IF(VALUE(MID($D1716,2,20))&lt;100000000,VALUE(MID($D1716,2,20)),1000000000),1000000000))+ROW()/100000,"")</f>
        <v/>
      </c>
    </row>
    <row r="1717">
      <c r="F1717" s="11" t="n"/>
      <c r="N1717" s="7">
        <f>IF($D1717="","",M1717*V1717/100)</f>
        <v/>
      </c>
      <c r="O1717" s="7" t="n"/>
      <c r="U1717" s="7" t="n"/>
      <c r="V1717" s="7" t="n"/>
      <c r="Y1717">
        <f>IF($D1717="","",IF($AN1717=1,0,IF($AM1717=1,Settings!$C$6,Settings!$C$7))*100)</f>
        <v/>
      </c>
      <c r="Z1717" s="7">
        <f>IF($D1717="","",V1717*Y1717/100)</f>
        <v/>
      </c>
      <c r="AA1717" s="7">
        <f>IF($D1717="","",V1717-Z1717)</f>
        <v/>
      </c>
      <c r="AB1717" s="7">
        <f>IF($D1717="","",AA1717-N1717)</f>
        <v/>
      </c>
      <c r="AF1717" s="7" t="n"/>
      <c r="AI1717" s="11" t="n"/>
      <c r="AK1717">
        <f>IF($D1717="","",IF(COUNTIF($D$2:$D1717,$D1717)=1,1,0))</f>
        <v/>
      </c>
      <c r="AL1717">
        <f>IF($AK1717=1,SUMPRODUCT(--($AO$2:$AO$3001&lt;$AO1717))+1,"")</f>
        <v/>
      </c>
      <c r="AM1717">
        <f>IF($D1717="","",IF(OR($R1717=TRUE(),$R1717="TRUE"),1,0))</f>
        <v/>
      </c>
      <c r="AN1717">
        <f>IF($D1717="","",IF($X1717="Yes",1,0))</f>
        <v/>
      </c>
      <c r="AO1717">
        <f>IF($AK1717=1,IFERROR(IF(VALUE($D1717)&lt;100000000,VALUE($D1717),1000000000),IFERROR(IF(VALUE(MID($D1717,2,20))&lt;100000000,VALUE(MID($D1717,2,20)),1000000000),1000000000))+ROW()/100000,"")</f>
        <v/>
      </c>
    </row>
    <row r="1718">
      <c r="F1718" s="11" t="n"/>
      <c r="N1718" s="7">
        <f>IF($D1718="","",M1718*V1718/100)</f>
        <v/>
      </c>
      <c r="O1718" s="7" t="n"/>
      <c r="U1718" s="7" t="n"/>
      <c r="V1718" s="7" t="n"/>
      <c r="Y1718">
        <f>IF($D1718="","",IF($AN1718=1,0,IF($AM1718=1,Settings!$C$6,Settings!$C$7))*100)</f>
        <v/>
      </c>
      <c r="Z1718" s="7">
        <f>IF($D1718="","",V1718*Y1718/100)</f>
        <v/>
      </c>
      <c r="AA1718" s="7">
        <f>IF($D1718="","",V1718-Z1718)</f>
        <v/>
      </c>
      <c r="AB1718" s="7">
        <f>IF($D1718="","",AA1718-N1718)</f>
        <v/>
      </c>
      <c r="AF1718" s="7" t="n"/>
      <c r="AI1718" s="11" t="n"/>
      <c r="AK1718">
        <f>IF($D1718="","",IF(COUNTIF($D$2:$D1718,$D1718)=1,1,0))</f>
        <v/>
      </c>
      <c r="AL1718">
        <f>IF($AK1718=1,SUMPRODUCT(--($AO$2:$AO$3001&lt;$AO1718))+1,"")</f>
        <v/>
      </c>
      <c r="AM1718">
        <f>IF($D1718="","",IF(OR($R1718=TRUE(),$R1718="TRUE"),1,0))</f>
        <v/>
      </c>
      <c r="AN1718">
        <f>IF($D1718="","",IF($X1718="Yes",1,0))</f>
        <v/>
      </c>
      <c r="AO1718">
        <f>IF($AK1718=1,IFERROR(IF(VALUE($D1718)&lt;100000000,VALUE($D1718),1000000000),IFERROR(IF(VALUE(MID($D1718,2,20))&lt;100000000,VALUE(MID($D1718,2,20)),1000000000),1000000000))+ROW()/100000,"")</f>
        <v/>
      </c>
    </row>
    <row r="1719">
      <c r="F1719" s="11" t="n"/>
      <c r="N1719" s="7">
        <f>IF($D1719="","",M1719*V1719/100)</f>
        <v/>
      </c>
      <c r="O1719" s="7" t="n"/>
      <c r="U1719" s="7" t="n"/>
      <c r="V1719" s="7" t="n"/>
      <c r="Y1719">
        <f>IF($D1719="","",IF($AN1719=1,0,IF($AM1719=1,Settings!$C$6,Settings!$C$7))*100)</f>
        <v/>
      </c>
      <c r="Z1719" s="7">
        <f>IF($D1719="","",V1719*Y1719/100)</f>
        <v/>
      </c>
      <c r="AA1719" s="7">
        <f>IF($D1719="","",V1719-Z1719)</f>
        <v/>
      </c>
      <c r="AB1719" s="7">
        <f>IF($D1719="","",AA1719-N1719)</f>
        <v/>
      </c>
      <c r="AF1719" s="7" t="n"/>
      <c r="AI1719" s="11" t="n"/>
      <c r="AK1719">
        <f>IF($D1719="","",IF(COUNTIF($D$2:$D1719,$D1719)=1,1,0))</f>
        <v/>
      </c>
      <c r="AL1719">
        <f>IF($AK1719=1,SUMPRODUCT(--($AO$2:$AO$3001&lt;$AO1719))+1,"")</f>
        <v/>
      </c>
      <c r="AM1719">
        <f>IF($D1719="","",IF(OR($R1719=TRUE(),$R1719="TRUE"),1,0))</f>
        <v/>
      </c>
      <c r="AN1719">
        <f>IF($D1719="","",IF($X1719="Yes",1,0))</f>
        <v/>
      </c>
      <c r="AO1719">
        <f>IF($AK1719=1,IFERROR(IF(VALUE($D1719)&lt;100000000,VALUE($D1719),1000000000),IFERROR(IF(VALUE(MID($D1719,2,20))&lt;100000000,VALUE(MID($D1719,2,20)),1000000000),1000000000))+ROW()/100000,"")</f>
        <v/>
      </c>
    </row>
    <row r="1720">
      <c r="F1720" s="11" t="n"/>
      <c r="N1720" s="7">
        <f>IF($D1720="","",M1720*V1720/100)</f>
        <v/>
      </c>
      <c r="O1720" s="7" t="n"/>
      <c r="U1720" s="7" t="n"/>
      <c r="V1720" s="7" t="n"/>
      <c r="Y1720">
        <f>IF($D1720="","",IF($AN1720=1,0,IF($AM1720=1,Settings!$C$6,Settings!$C$7))*100)</f>
        <v/>
      </c>
      <c r="Z1720" s="7">
        <f>IF($D1720="","",V1720*Y1720/100)</f>
        <v/>
      </c>
      <c r="AA1720" s="7">
        <f>IF($D1720="","",V1720-Z1720)</f>
        <v/>
      </c>
      <c r="AB1720" s="7">
        <f>IF($D1720="","",AA1720-N1720)</f>
        <v/>
      </c>
      <c r="AF1720" s="7" t="n"/>
      <c r="AI1720" s="11" t="n"/>
      <c r="AK1720">
        <f>IF($D1720="","",IF(COUNTIF($D$2:$D1720,$D1720)=1,1,0))</f>
        <v/>
      </c>
      <c r="AL1720">
        <f>IF($AK1720=1,SUMPRODUCT(--($AO$2:$AO$3001&lt;$AO1720))+1,"")</f>
        <v/>
      </c>
      <c r="AM1720">
        <f>IF($D1720="","",IF(OR($R1720=TRUE(),$R1720="TRUE"),1,0))</f>
        <v/>
      </c>
      <c r="AN1720">
        <f>IF($D1720="","",IF($X1720="Yes",1,0))</f>
        <v/>
      </c>
      <c r="AO1720">
        <f>IF($AK1720=1,IFERROR(IF(VALUE($D1720)&lt;100000000,VALUE($D1720),1000000000),IFERROR(IF(VALUE(MID($D1720,2,20))&lt;100000000,VALUE(MID($D1720,2,20)),1000000000),1000000000))+ROW()/100000,"")</f>
        <v/>
      </c>
    </row>
    <row r="1721">
      <c r="F1721" s="11" t="n"/>
      <c r="N1721" s="7">
        <f>IF($D1721="","",M1721*V1721/100)</f>
        <v/>
      </c>
      <c r="O1721" s="7" t="n"/>
      <c r="U1721" s="7" t="n"/>
      <c r="V1721" s="7" t="n"/>
      <c r="Y1721">
        <f>IF($D1721="","",IF($AN1721=1,0,IF($AM1721=1,Settings!$C$6,Settings!$C$7))*100)</f>
        <v/>
      </c>
      <c r="Z1721" s="7">
        <f>IF($D1721="","",V1721*Y1721/100)</f>
        <v/>
      </c>
      <c r="AA1721" s="7">
        <f>IF($D1721="","",V1721-Z1721)</f>
        <v/>
      </c>
      <c r="AB1721" s="7">
        <f>IF($D1721="","",AA1721-N1721)</f>
        <v/>
      </c>
      <c r="AF1721" s="7" t="n"/>
      <c r="AI1721" s="11" t="n"/>
      <c r="AK1721">
        <f>IF($D1721="","",IF(COUNTIF($D$2:$D1721,$D1721)=1,1,0))</f>
        <v/>
      </c>
      <c r="AL1721">
        <f>IF($AK1721=1,SUMPRODUCT(--($AO$2:$AO$3001&lt;$AO1721))+1,"")</f>
        <v/>
      </c>
      <c r="AM1721">
        <f>IF($D1721="","",IF(OR($R1721=TRUE(),$R1721="TRUE"),1,0))</f>
        <v/>
      </c>
      <c r="AN1721">
        <f>IF($D1721="","",IF($X1721="Yes",1,0))</f>
        <v/>
      </c>
      <c r="AO1721">
        <f>IF($AK1721=1,IFERROR(IF(VALUE($D1721)&lt;100000000,VALUE($D1721),1000000000),IFERROR(IF(VALUE(MID($D1721,2,20))&lt;100000000,VALUE(MID($D1721,2,20)),1000000000),1000000000))+ROW()/100000,"")</f>
        <v/>
      </c>
    </row>
    <row r="1722">
      <c r="F1722" s="11" t="n"/>
      <c r="N1722" s="7">
        <f>IF($D1722="","",M1722*V1722/100)</f>
        <v/>
      </c>
      <c r="O1722" s="7" t="n"/>
      <c r="U1722" s="7" t="n"/>
      <c r="V1722" s="7" t="n"/>
      <c r="Y1722">
        <f>IF($D1722="","",IF($AN1722=1,0,IF($AM1722=1,Settings!$C$6,Settings!$C$7))*100)</f>
        <v/>
      </c>
      <c r="Z1722" s="7">
        <f>IF($D1722="","",V1722*Y1722/100)</f>
        <v/>
      </c>
      <c r="AA1722" s="7">
        <f>IF($D1722="","",V1722-Z1722)</f>
        <v/>
      </c>
      <c r="AB1722" s="7">
        <f>IF($D1722="","",AA1722-N1722)</f>
        <v/>
      </c>
      <c r="AF1722" s="7" t="n"/>
      <c r="AI1722" s="11" t="n"/>
      <c r="AK1722">
        <f>IF($D1722="","",IF(COUNTIF($D$2:$D1722,$D1722)=1,1,0))</f>
        <v/>
      </c>
      <c r="AL1722">
        <f>IF($AK1722=1,SUMPRODUCT(--($AO$2:$AO$3001&lt;$AO1722))+1,"")</f>
        <v/>
      </c>
      <c r="AM1722">
        <f>IF($D1722="","",IF(OR($R1722=TRUE(),$R1722="TRUE"),1,0))</f>
        <v/>
      </c>
      <c r="AN1722">
        <f>IF($D1722="","",IF($X1722="Yes",1,0))</f>
        <v/>
      </c>
      <c r="AO1722">
        <f>IF($AK1722=1,IFERROR(IF(VALUE($D1722)&lt;100000000,VALUE($D1722),1000000000),IFERROR(IF(VALUE(MID($D1722,2,20))&lt;100000000,VALUE(MID($D1722,2,20)),1000000000),1000000000))+ROW()/100000,"")</f>
        <v/>
      </c>
    </row>
    <row r="1723">
      <c r="F1723" s="11" t="n"/>
      <c r="N1723" s="7">
        <f>IF($D1723="","",M1723*V1723/100)</f>
        <v/>
      </c>
      <c r="O1723" s="7" t="n"/>
      <c r="U1723" s="7" t="n"/>
      <c r="V1723" s="7" t="n"/>
      <c r="Y1723">
        <f>IF($D1723="","",IF($AN1723=1,0,IF($AM1723=1,Settings!$C$6,Settings!$C$7))*100)</f>
        <v/>
      </c>
      <c r="Z1723" s="7">
        <f>IF($D1723="","",V1723*Y1723/100)</f>
        <v/>
      </c>
      <c r="AA1723" s="7">
        <f>IF($D1723="","",V1723-Z1723)</f>
        <v/>
      </c>
      <c r="AB1723" s="7">
        <f>IF($D1723="","",AA1723-N1723)</f>
        <v/>
      </c>
      <c r="AF1723" s="7" t="n"/>
      <c r="AI1723" s="11" t="n"/>
      <c r="AK1723">
        <f>IF($D1723="","",IF(COUNTIF($D$2:$D1723,$D1723)=1,1,0))</f>
        <v/>
      </c>
      <c r="AL1723">
        <f>IF($AK1723=1,SUMPRODUCT(--($AO$2:$AO$3001&lt;$AO1723))+1,"")</f>
        <v/>
      </c>
      <c r="AM1723">
        <f>IF($D1723="","",IF(OR($R1723=TRUE(),$R1723="TRUE"),1,0))</f>
        <v/>
      </c>
      <c r="AN1723">
        <f>IF($D1723="","",IF($X1723="Yes",1,0))</f>
        <v/>
      </c>
      <c r="AO1723">
        <f>IF($AK1723=1,IFERROR(IF(VALUE($D1723)&lt;100000000,VALUE($D1723),1000000000),IFERROR(IF(VALUE(MID($D1723,2,20))&lt;100000000,VALUE(MID($D1723,2,20)),1000000000),1000000000))+ROW()/100000,"")</f>
        <v/>
      </c>
    </row>
    <row r="1724">
      <c r="F1724" s="11" t="n"/>
      <c r="N1724" s="7">
        <f>IF($D1724="","",M1724*V1724/100)</f>
        <v/>
      </c>
      <c r="O1724" s="7" t="n"/>
      <c r="U1724" s="7" t="n"/>
      <c r="V1724" s="7" t="n"/>
      <c r="Y1724">
        <f>IF($D1724="","",IF($AN1724=1,0,IF($AM1724=1,Settings!$C$6,Settings!$C$7))*100)</f>
        <v/>
      </c>
      <c r="Z1724" s="7">
        <f>IF($D1724="","",V1724*Y1724/100)</f>
        <v/>
      </c>
      <c r="AA1724" s="7">
        <f>IF($D1724="","",V1724-Z1724)</f>
        <v/>
      </c>
      <c r="AB1724" s="7">
        <f>IF($D1724="","",AA1724-N1724)</f>
        <v/>
      </c>
      <c r="AF1724" s="7" t="n"/>
      <c r="AI1724" s="11" t="n"/>
      <c r="AK1724">
        <f>IF($D1724="","",IF(COUNTIF($D$2:$D1724,$D1724)=1,1,0))</f>
        <v/>
      </c>
      <c r="AL1724">
        <f>IF($AK1724=1,SUMPRODUCT(--($AO$2:$AO$3001&lt;$AO1724))+1,"")</f>
        <v/>
      </c>
      <c r="AM1724">
        <f>IF($D1724="","",IF(OR($R1724=TRUE(),$R1724="TRUE"),1,0))</f>
        <v/>
      </c>
      <c r="AN1724">
        <f>IF($D1724="","",IF($X1724="Yes",1,0))</f>
        <v/>
      </c>
      <c r="AO1724">
        <f>IF($AK1724=1,IFERROR(IF(VALUE($D1724)&lt;100000000,VALUE($D1724),1000000000),IFERROR(IF(VALUE(MID($D1724,2,20))&lt;100000000,VALUE(MID($D1724,2,20)),1000000000),1000000000))+ROW()/100000,"")</f>
        <v/>
      </c>
    </row>
    <row r="1725">
      <c r="F1725" s="11" t="n"/>
      <c r="N1725" s="7">
        <f>IF($D1725="","",M1725*V1725/100)</f>
        <v/>
      </c>
      <c r="O1725" s="7" t="n"/>
      <c r="U1725" s="7" t="n"/>
      <c r="V1725" s="7" t="n"/>
      <c r="Y1725">
        <f>IF($D1725="","",IF($AN1725=1,0,IF($AM1725=1,Settings!$C$6,Settings!$C$7))*100)</f>
        <v/>
      </c>
      <c r="Z1725" s="7">
        <f>IF($D1725="","",V1725*Y1725/100)</f>
        <v/>
      </c>
      <c r="AA1725" s="7">
        <f>IF($D1725="","",V1725-Z1725)</f>
        <v/>
      </c>
      <c r="AB1725" s="7">
        <f>IF($D1725="","",AA1725-N1725)</f>
        <v/>
      </c>
      <c r="AF1725" s="7" t="n"/>
      <c r="AI1725" s="11" t="n"/>
      <c r="AK1725">
        <f>IF($D1725="","",IF(COUNTIF($D$2:$D1725,$D1725)=1,1,0))</f>
        <v/>
      </c>
      <c r="AL1725">
        <f>IF($AK1725=1,SUMPRODUCT(--($AO$2:$AO$3001&lt;$AO1725))+1,"")</f>
        <v/>
      </c>
      <c r="AM1725">
        <f>IF($D1725="","",IF(OR($R1725=TRUE(),$R1725="TRUE"),1,0))</f>
        <v/>
      </c>
      <c r="AN1725">
        <f>IF($D1725="","",IF($X1725="Yes",1,0))</f>
        <v/>
      </c>
      <c r="AO1725">
        <f>IF($AK1725=1,IFERROR(IF(VALUE($D1725)&lt;100000000,VALUE($D1725),1000000000),IFERROR(IF(VALUE(MID($D1725,2,20))&lt;100000000,VALUE(MID($D1725,2,20)),1000000000),1000000000))+ROW()/100000,"")</f>
        <v/>
      </c>
    </row>
    <row r="1726">
      <c r="F1726" s="11" t="n"/>
      <c r="N1726" s="7">
        <f>IF($D1726="","",M1726*V1726/100)</f>
        <v/>
      </c>
      <c r="O1726" s="7" t="n"/>
      <c r="U1726" s="7" t="n"/>
      <c r="V1726" s="7" t="n"/>
      <c r="Y1726">
        <f>IF($D1726="","",IF($AN1726=1,0,IF($AM1726=1,Settings!$C$6,Settings!$C$7))*100)</f>
        <v/>
      </c>
      <c r="Z1726" s="7">
        <f>IF($D1726="","",V1726*Y1726/100)</f>
        <v/>
      </c>
      <c r="AA1726" s="7">
        <f>IF($D1726="","",V1726-Z1726)</f>
        <v/>
      </c>
      <c r="AB1726" s="7">
        <f>IF($D1726="","",AA1726-N1726)</f>
        <v/>
      </c>
      <c r="AF1726" s="7" t="n"/>
      <c r="AI1726" s="11" t="n"/>
      <c r="AK1726">
        <f>IF($D1726="","",IF(COUNTIF($D$2:$D1726,$D1726)=1,1,0))</f>
        <v/>
      </c>
      <c r="AL1726">
        <f>IF($AK1726=1,SUMPRODUCT(--($AO$2:$AO$3001&lt;$AO1726))+1,"")</f>
        <v/>
      </c>
      <c r="AM1726">
        <f>IF($D1726="","",IF(OR($R1726=TRUE(),$R1726="TRUE"),1,0))</f>
        <v/>
      </c>
      <c r="AN1726">
        <f>IF($D1726="","",IF($X1726="Yes",1,0))</f>
        <v/>
      </c>
      <c r="AO1726">
        <f>IF($AK1726=1,IFERROR(IF(VALUE($D1726)&lt;100000000,VALUE($D1726),1000000000),IFERROR(IF(VALUE(MID($D1726,2,20))&lt;100000000,VALUE(MID($D1726,2,20)),1000000000),1000000000))+ROW()/100000,"")</f>
        <v/>
      </c>
    </row>
    <row r="1727">
      <c r="F1727" s="11" t="n"/>
      <c r="N1727" s="7">
        <f>IF($D1727="","",M1727*V1727/100)</f>
        <v/>
      </c>
      <c r="O1727" s="7" t="n"/>
      <c r="U1727" s="7" t="n"/>
      <c r="V1727" s="7" t="n"/>
      <c r="Y1727">
        <f>IF($D1727="","",IF($AN1727=1,0,IF($AM1727=1,Settings!$C$6,Settings!$C$7))*100)</f>
        <v/>
      </c>
      <c r="Z1727" s="7">
        <f>IF($D1727="","",V1727*Y1727/100)</f>
        <v/>
      </c>
      <c r="AA1727" s="7">
        <f>IF($D1727="","",V1727-Z1727)</f>
        <v/>
      </c>
      <c r="AB1727" s="7">
        <f>IF($D1727="","",AA1727-N1727)</f>
        <v/>
      </c>
      <c r="AF1727" s="7" t="n"/>
      <c r="AI1727" s="11" t="n"/>
      <c r="AK1727">
        <f>IF($D1727="","",IF(COUNTIF($D$2:$D1727,$D1727)=1,1,0))</f>
        <v/>
      </c>
      <c r="AL1727">
        <f>IF($AK1727=1,SUMPRODUCT(--($AO$2:$AO$3001&lt;$AO1727))+1,"")</f>
        <v/>
      </c>
      <c r="AM1727">
        <f>IF($D1727="","",IF(OR($R1727=TRUE(),$R1727="TRUE"),1,0))</f>
        <v/>
      </c>
      <c r="AN1727">
        <f>IF($D1727="","",IF($X1727="Yes",1,0))</f>
        <v/>
      </c>
      <c r="AO1727">
        <f>IF($AK1727=1,IFERROR(IF(VALUE($D1727)&lt;100000000,VALUE($D1727),1000000000),IFERROR(IF(VALUE(MID($D1727,2,20))&lt;100000000,VALUE(MID($D1727,2,20)),1000000000),1000000000))+ROW()/100000,"")</f>
        <v/>
      </c>
    </row>
    <row r="1728">
      <c r="F1728" s="11" t="n"/>
      <c r="N1728" s="7">
        <f>IF($D1728="","",M1728*V1728/100)</f>
        <v/>
      </c>
      <c r="O1728" s="7" t="n"/>
      <c r="U1728" s="7" t="n"/>
      <c r="V1728" s="7" t="n"/>
      <c r="Y1728">
        <f>IF($D1728="","",IF($AN1728=1,0,IF($AM1728=1,Settings!$C$6,Settings!$C$7))*100)</f>
        <v/>
      </c>
      <c r="Z1728" s="7">
        <f>IF($D1728="","",V1728*Y1728/100)</f>
        <v/>
      </c>
      <c r="AA1728" s="7">
        <f>IF($D1728="","",V1728-Z1728)</f>
        <v/>
      </c>
      <c r="AB1728" s="7">
        <f>IF($D1728="","",AA1728-N1728)</f>
        <v/>
      </c>
      <c r="AF1728" s="7" t="n"/>
      <c r="AI1728" s="11" t="n"/>
      <c r="AK1728">
        <f>IF($D1728="","",IF(COUNTIF($D$2:$D1728,$D1728)=1,1,0))</f>
        <v/>
      </c>
      <c r="AL1728">
        <f>IF($AK1728=1,SUMPRODUCT(--($AO$2:$AO$3001&lt;$AO1728))+1,"")</f>
        <v/>
      </c>
      <c r="AM1728">
        <f>IF($D1728="","",IF(OR($R1728=TRUE(),$R1728="TRUE"),1,0))</f>
        <v/>
      </c>
      <c r="AN1728">
        <f>IF($D1728="","",IF($X1728="Yes",1,0))</f>
        <v/>
      </c>
      <c r="AO1728">
        <f>IF($AK1728=1,IFERROR(IF(VALUE($D1728)&lt;100000000,VALUE($D1728),1000000000),IFERROR(IF(VALUE(MID($D1728,2,20))&lt;100000000,VALUE(MID($D1728,2,20)),1000000000),1000000000))+ROW()/100000,"")</f>
        <v/>
      </c>
    </row>
    <row r="1729">
      <c r="F1729" s="11" t="n"/>
      <c r="N1729" s="7">
        <f>IF($D1729="","",M1729*V1729/100)</f>
        <v/>
      </c>
      <c r="O1729" s="7" t="n"/>
      <c r="U1729" s="7" t="n"/>
      <c r="V1729" s="7" t="n"/>
      <c r="Y1729">
        <f>IF($D1729="","",IF($AN1729=1,0,IF($AM1729=1,Settings!$C$6,Settings!$C$7))*100)</f>
        <v/>
      </c>
      <c r="Z1729" s="7">
        <f>IF($D1729="","",V1729*Y1729/100)</f>
        <v/>
      </c>
      <c r="AA1729" s="7">
        <f>IF($D1729="","",V1729-Z1729)</f>
        <v/>
      </c>
      <c r="AB1729" s="7">
        <f>IF($D1729="","",AA1729-N1729)</f>
        <v/>
      </c>
      <c r="AF1729" s="7" t="n"/>
      <c r="AI1729" s="11" t="n"/>
      <c r="AK1729">
        <f>IF($D1729="","",IF(COUNTIF($D$2:$D1729,$D1729)=1,1,0))</f>
        <v/>
      </c>
      <c r="AL1729">
        <f>IF($AK1729=1,SUMPRODUCT(--($AO$2:$AO$3001&lt;$AO1729))+1,"")</f>
        <v/>
      </c>
      <c r="AM1729">
        <f>IF($D1729="","",IF(OR($R1729=TRUE(),$R1729="TRUE"),1,0))</f>
        <v/>
      </c>
      <c r="AN1729">
        <f>IF($D1729="","",IF($X1729="Yes",1,0))</f>
        <v/>
      </c>
      <c r="AO1729">
        <f>IF($AK1729=1,IFERROR(IF(VALUE($D1729)&lt;100000000,VALUE($D1729),1000000000),IFERROR(IF(VALUE(MID($D1729,2,20))&lt;100000000,VALUE(MID($D1729,2,20)),1000000000),1000000000))+ROW()/100000,"")</f>
        <v/>
      </c>
    </row>
    <row r="1730">
      <c r="F1730" s="11" t="n"/>
      <c r="N1730" s="7">
        <f>IF($D1730="","",M1730*V1730/100)</f>
        <v/>
      </c>
      <c r="O1730" s="7" t="n"/>
      <c r="U1730" s="7" t="n"/>
      <c r="V1730" s="7" t="n"/>
      <c r="Y1730">
        <f>IF($D1730="","",IF($AN1730=1,0,IF($AM1730=1,Settings!$C$6,Settings!$C$7))*100)</f>
        <v/>
      </c>
      <c r="Z1730" s="7">
        <f>IF($D1730="","",V1730*Y1730/100)</f>
        <v/>
      </c>
      <c r="AA1730" s="7">
        <f>IF($D1730="","",V1730-Z1730)</f>
        <v/>
      </c>
      <c r="AB1730" s="7">
        <f>IF($D1730="","",AA1730-N1730)</f>
        <v/>
      </c>
      <c r="AF1730" s="7" t="n"/>
      <c r="AI1730" s="11" t="n"/>
      <c r="AK1730">
        <f>IF($D1730="","",IF(COUNTIF($D$2:$D1730,$D1730)=1,1,0))</f>
        <v/>
      </c>
      <c r="AL1730">
        <f>IF($AK1730=1,SUMPRODUCT(--($AO$2:$AO$3001&lt;$AO1730))+1,"")</f>
        <v/>
      </c>
      <c r="AM1730">
        <f>IF($D1730="","",IF(OR($R1730=TRUE(),$R1730="TRUE"),1,0))</f>
        <v/>
      </c>
      <c r="AN1730">
        <f>IF($D1730="","",IF($X1730="Yes",1,0))</f>
        <v/>
      </c>
      <c r="AO1730">
        <f>IF($AK1730=1,IFERROR(IF(VALUE($D1730)&lt;100000000,VALUE($D1730),1000000000),IFERROR(IF(VALUE(MID($D1730,2,20))&lt;100000000,VALUE(MID($D1730,2,20)),1000000000),1000000000))+ROW()/100000,"")</f>
        <v/>
      </c>
    </row>
    <row r="1731">
      <c r="F1731" s="11" t="n"/>
      <c r="N1731" s="7">
        <f>IF($D1731="","",M1731*V1731/100)</f>
        <v/>
      </c>
      <c r="O1731" s="7" t="n"/>
      <c r="U1731" s="7" t="n"/>
      <c r="V1731" s="7" t="n"/>
      <c r="Y1731">
        <f>IF($D1731="","",IF($AN1731=1,0,IF($AM1731=1,Settings!$C$6,Settings!$C$7))*100)</f>
        <v/>
      </c>
      <c r="Z1731" s="7">
        <f>IF($D1731="","",V1731*Y1731/100)</f>
        <v/>
      </c>
      <c r="AA1731" s="7">
        <f>IF($D1731="","",V1731-Z1731)</f>
        <v/>
      </c>
      <c r="AB1731" s="7">
        <f>IF($D1731="","",AA1731-N1731)</f>
        <v/>
      </c>
      <c r="AF1731" s="7" t="n"/>
      <c r="AI1731" s="11" t="n"/>
      <c r="AK1731">
        <f>IF($D1731="","",IF(COUNTIF($D$2:$D1731,$D1731)=1,1,0))</f>
        <v/>
      </c>
      <c r="AL1731">
        <f>IF($AK1731=1,SUMPRODUCT(--($AO$2:$AO$3001&lt;$AO1731))+1,"")</f>
        <v/>
      </c>
      <c r="AM1731">
        <f>IF($D1731="","",IF(OR($R1731=TRUE(),$R1731="TRUE"),1,0))</f>
        <v/>
      </c>
      <c r="AN1731">
        <f>IF($D1731="","",IF($X1731="Yes",1,0))</f>
        <v/>
      </c>
      <c r="AO1731">
        <f>IF($AK1731=1,IFERROR(IF(VALUE($D1731)&lt;100000000,VALUE($D1731),1000000000),IFERROR(IF(VALUE(MID($D1731,2,20))&lt;100000000,VALUE(MID($D1731,2,20)),1000000000),1000000000))+ROW()/100000,"")</f>
        <v/>
      </c>
    </row>
    <row r="1732">
      <c r="F1732" s="11" t="n"/>
      <c r="N1732" s="7">
        <f>IF($D1732="","",M1732*V1732/100)</f>
        <v/>
      </c>
      <c r="O1732" s="7" t="n"/>
      <c r="U1732" s="7" t="n"/>
      <c r="V1732" s="7" t="n"/>
      <c r="Y1732">
        <f>IF($D1732="","",IF($AN1732=1,0,IF($AM1732=1,Settings!$C$6,Settings!$C$7))*100)</f>
        <v/>
      </c>
      <c r="Z1732" s="7">
        <f>IF($D1732="","",V1732*Y1732/100)</f>
        <v/>
      </c>
      <c r="AA1732" s="7">
        <f>IF($D1732="","",V1732-Z1732)</f>
        <v/>
      </c>
      <c r="AB1732" s="7">
        <f>IF($D1732="","",AA1732-N1732)</f>
        <v/>
      </c>
      <c r="AF1732" s="7" t="n"/>
      <c r="AI1732" s="11" t="n"/>
      <c r="AK1732">
        <f>IF($D1732="","",IF(COUNTIF($D$2:$D1732,$D1732)=1,1,0))</f>
        <v/>
      </c>
      <c r="AL1732">
        <f>IF($AK1732=1,SUMPRODUCT(--($AO$2:$AO$3001&lt;$AO1732))+1,"")</f>
        <v/>
      </c>
      <c r="AM1732">
        <f>IF($D1732="","",IF(OR($R1732=TRUE(),$R1732="TRUE"),1,0))</f>
        <v/>
      </c>
      <c r="AN1732">
        <f>IF($D1732="","",IF($X1732="Yes",1,0))</f>
        <v/>
      </c>
      <c r="AO1732">
        <f>IF($AK1732=1,IFERROR(IF(VALUE($D1732)&lt;100000000,VALUE($D1732),1000000000),IFERROR(IF(VALUE(MID($D1732,2,20))&lt;100000000,VALUE(MID($D1732,2,20)),1000000000),1000000000))+ROW()/100000,"")</f>
        <v/>
      </c>
    </row>
    <row r="1733">
      <c r="F1733" s="11" t="n"/>
      <c r="N1733" s="7">
        <f>IF($D1733="","",M1733*V1733/100)</f>
        <v/>
      </c>
      <c r="O1733" s="7" t="n"/>
      <c r="U1733" s="7" t="n"/>
      <c r="V1733" s="7" t="n"/>
      <c r="Y1733">
        <f>IF($D1733="","",IF($AN1733=1,0,IF($AM1733=1,Settings!$C$6,Settings!$C$7))*100)</f>
        <v/>
      </c>
      <c r="Z1733" s="7">
        <f>IF($D1733="","",V1733*Y1733/100)</f>
        <v/>
      </c>
      <c r="AA1733" s="7">
        <f>IF($D1733="","",V1733-Z1733)</f>
        <v/>
      </c>
      <c r="AB1733" s="7">
        <f>IF($D1733="","",AA1733-N1733)</f>
        <v/>
      </c>
      <c r="AF1733" s="7" t="n"/>
      <c r="AI1733" s="11" t="n"/>
      <c r="AK1733">
        <f>IF($D1733="","",IF(COUNTIF($D$2:$D1733,$D1733)=1,1,0))</f>
        <v/>
      </c>
      <c r="AL1733">
        <f>IF($AK1733=1,SUMPRODUCT(--($AO$2:$AO$3001&lt;$AO1733))+1,"")</f>
        <v/>
      </c>
      <c r="AM1733">
        <f>IF($D1733="","",IF(OR($R1733=TRUE(),$R1733="TRUE"),1,0))</f>
        <v/>
      </c>
      <c r="AN1733">
        <f>IF($D1733="","",IF($X1733="Yes",1,0))</f>
        <v/>
      </c>
      <c r="AO1733">
        <f>IF($AK1733=1,IFERROR(IF(VALUE($D1733)&lt;100000000,VALUE($D1733),1000000000),IFERROR(IF(VALUE(MID($D1733,2,20))&lt;100000000,VALUE(MID($D1733,2,20)),1000000000),1000000000))+ROW()/100000,"")</f>
        <v/>
      </c>
    </row>
    <row r="1734">
      <c r="F1734" s="11" t="n"/>
      <c r="N1734" s="7">
        <f>IF($D1734="","",M1734*V1734/100)</f>
        <v/>
      </c>
      <c r="O1734" s="7" t="n"/>
      <c r="U1734" s="7" t="n"/>
      <c r="V1734" s="7" t="n"/>
      <c r="Y1734">
        <f>IF($D1734="","",IF($AN1734=1,0,IF($AM1734=1,Settings!$C$6,Settings!$C$7))*100)</f>
        <v/>
      </c>
      <c r="Z1734" s="7">
        <f>IF($D1734="","",V1734*Y1734/100)</f>
        <v/>
      </c>
      <c r="AA1734" s="7">
        <f>IF($D1734="","",V1734-Z1734)</f>
        <v/>
      </c>
      <c r="AB1734" s="7">
        <f>IF($D1734="","",AA1734-N1734)</f>
        <v/>
      </c>
      <c r="AF1734" s="7" t="n"/>
      <c r="AI1734" s="11" t="n"/>
      <c r="AK1734">
        <f>IF($D1734="","",IF(COUNTIF($D$2:$D1734,$D1734)=1,1,0))</f>
        <v/>
      </c>
      <c r="AL1734">
        <f>IF($AK1734=1,SUMPRODUCT(--($AO$2:$AO$3001&lt;$AO1734))+1,"")</f>
        <v/>
      </c>
      <c r="AM1734">
        <f>IF($D1734="","",IF(OR($R1734=TRUE(),$R1734="TRUE"),1,0))</f>
        <v/>
      </c>
      <c r="AN1734">
        <f>IF($D1734="","",IF($X1734="Yes",1,0))</f>
        <v/>
      </c>
      <c r="AO1734">
        <f>IF($AK1734=1,IFERROR(IF(VALUE($D1734)&lt;100000000,VALUE($D1734),1000000000),IFERROR(IF(VALUE(MID($D1734,2,20))&lt;100000000,VALUE(MID($D1734,2,20)),1000000000),1000000000))+ROW()/100000,"")</f>
        <v/>
      </c>
    </row>
    <row r="1735">
      <c r="F1735" s="11" t="n"/>
      <c r="N1735" s="7">
        <f>IF($D1735="","",M1735*V1735/100)</f>
        <v/>
      </c>
      <c r="O1735" s="7" t="n"/>
      <c r="U1735" s="7" t="n"/>
      <c r="V1735" s="7" t="n"/>
      <c r="Y1735">
        <f>IF($D1735="","",IF($AN1735=1,0,IF($AM1735=1,Settings!$C$6,Settings!$C$7))*100)</f>
        <v/>
      </c>
      <c r="Z1735" s="7">
        <f>IF($D1735="","",V1735*Y1735/100)</f>
        <v/>
      </c>
      <c r="AA1735" s="7">
        <f>IF($D1735="","",V1735-Z1735)</f>
        <v/>
      </c>
      <c r="AB1735" s="7">
        <f>IF($D1735="","",AA1735-N1735)</f>
        <v/>
      </c>
      <c r="AF1735" s="7" t="n"/>
      <c r="AI1735" s="11" t="n"/>
      <c r="AK1735">
        <f>IF($D1735="","",IF(COUNTIF($D$2:$D1735,$D1735)=1,1,0))</f>
        <v/>
      </c>
      <c r="AL1735">
        <f>IF($AK1735=1,SUMPRODUCT(--($AO$2:$AO$3001&lt;$AO1735))+1,"")</f>
        <v/>
      </c>
      <c r="AM1735">
        <f>IF($D1735="","",IF(OR($R1735=TRUE(),$R1735="TRUE"),1,0))</f>
        <v/>
      </c>
      <c r="AN1735">
        <f>IF($D1735="","",IF($X1735="Yes",1,0))</f>
        <v/>
      </c>
      <c r="AO1735">
        <f>IF($AK1735=1,IFERROR(IF(VALUE($D1735)&lt;100000000,VALUE($D1735),1000000000),IFERROR(IF(VALUE(MID($D1735,2,20))&lt;100000000,VALUE(MID($D1735,2,20)),1000000000),1000000000))+ROW()/100000,"")</f>
        <v/>
      </c>
    </row>
    <row r="1736">
      <c r="F1736" s="11" t="n"/>
      <c r="N1736" s="7">
        <f>IF($D1736="","",M1736*V1736/100)</f>
        <v/>
      </c>
      <c r="O1736" s="7" t="n"/>
      <c r="U1736" s="7" t="n"/>
      <c r="V1736" s="7" t="n"/>
      <c r="Y1736">
        <f>IF($D1736="","",IF($AN1736=1,0,IF($AM1736=1,Settings!$C$6,Settings!$C$7))*100)</f>
        <v/>
      </c>
      <c r="Z1736" s="7">
        <f>IF($D1736="","",V1736*Y1736/100)</f>
        <v/>
      </c>
      <c r="AA1736" s="7">
        <f>IF($D1736="","",V1736-Z1736)</f>
        <v/>
      </c>
      <c r="AB1736" s="7">
        <f>IF($D1736="","",AA1736-N1736)</f>
        <v/>
      </c>
      <c r="AF1736" s="7" t="n"/>
      <c r="AI1736" s="11" t="n"/>
      <c r="AK1736">
        <f>IF($D1736="","",IF(COUNTIF($D$2:$D1736,$D1736)=1,1,0))</f>
        <v/>
      </c>
      <c r="AL1736">
        <f>IF($AK1736=1,SUMPRODUCT(--($AO$2:$AO$3001&lt;$AO1736))+1,"")</f>
        <v/>
      </c>
      <c r="AM1736">
        <f>IF($D1736="","",IF(OR($R1736=TRUE(),$R1736="TRUE"),1,0))</f>
        <v/>
      </c>
      <c r="AN1736">
        <f>IF($D1736="","",IF($X1736="Yes",1,0))</f>
        <v/>
      </c>
      <c r="AO1736">
        <f>IF($AK1736=1,IFERROR(IF(VALUE($D1736)&lt;100000000,VALUE($D1736),1000000000),IFERROR(IF(VALUE(MID($D1736,2,20))&lt;100000000,VALUE(MID($D1736,2,20)),1000000000),1000000000))+ROW()/100000,"")</f>
        <v/>
      </c>
    </row>
    <row r="1737">
      <c r="F1737" s="11" t="n"/>
      <c r="N1737" s="7">
        <f>IF($D1737="","",M1737*V1737/100)</f>
        <v/>
      </c>
      <c r="O1737" s="7" t="n"/>
      <c r="U1737" s="7" t="n"/>
      <c r="V1737" s="7" t="n"/>
      <c r="Y1737">
        <f>IF($D1737="","",IF($AN1737=1,0,IF($AM1737=1,Settings!$C$6,Settings!$C$7))*100)</f>
        <v/>
      </c>
      <c r="Z1737" s="7">
        <f>IF($D1737="","",V1737*Y1737/100)</f>
        <v/>
      </c>
      <c r="AA1737" s="7">
        <f>IF($D1737="","",V1737-Z1737)</f>
        <v/>
      </c>
      <c r="AB1737" s="7">
        <f>IF($D1737="","",AA1737-N1737)</f>
        <v/>
      </c>
      <c r="AF1737" s="7" t="n"/>
      <c r="AI1737" s="11" t="n"/>
      <c r="AK1737">
        <f>IF($D1737="","",IF(COUNTIF($D$2:$D1737,$D1737)=1,1,0))</f>
        <v/>
      </c>
      <c r="AL1737">
        <f>IF($AK1737=1,SUMPRODUCT(--($AO$2:$AO$3001&lt;$AO1737))+1,"")</f>
        <v/>
      </c>
      <c r="AM1737">
        <f>IF($D1737="","",IF(OR($R1737=TRUE(),$R1737="TRUE"),1,0))</f>
        <v/>
      </c>
      <c r="AN1737">
        <f>IF($D1737="","",IF($X1737="Yes",1,0))</f>
        <v/>
      </c>
      <c r="AO1737">
        <f>IF($AK1737=1,IFERROR(IF(VALUE($D1737)&lt;100000000,VALUE($D1737),1000000000),IFERROR(IF(VALUE(MID($D1737,2,20))&lt;100000000,VALUE(MID($D1737,2,20)),1000000000),1000000000))+ROW()/100000,"")</f>
        <v/>
      </c>
    </row>
    <row r="1738">
      <c r="F1738" s="11" t="n"/>
      <c r="N1738" s="7">
        <f>IF($D1738="","",M1738*V1738/100)</f>
        <v/>
      </c>
      <c r="O1738" s="7" t="n"/>
      <c r="U1738" s="7" t="n"/>
      <c r="V1738" s="7" t="n"/>
      <c r="Y1738">
        <f>IF($D1738="","",IF($AN1738=1,0,IF($AM1738=1,Settings!$C$6,Settings!$C$7))*100)</f>
        <v/>
      </c>
      <c r="Z1738" s="7">
        <f>IF($D1738="","",V1738*Y1738/100)</f>
        <v/>
      </c>
      <c r="AA1738" s="7">
        <f>IF($D1738="","",V1738-Z1738)</f>
        <v/>
      </c>
      <c r="AB1738" s="7">
        <f>IF($D1738="","",AA1738-N1738)</f>
        <v/>
      </c>
      <c r="AF1738" s="7" t="n"/>
      <c r="AI1738" s="11" t="n"/>
      <c r="AK1738">
        <f>IF($D1738="","",IF(COUNTIF($D$2:$D1738,$D1738)=1,1,0))</f>
        <v/>
      </c>
      <c r="AL1738">
        <f>IF($AK1738=1,SUMPRODUCT(--($AO$2:$AO$3001&lt;$AO1738))+1,"")</f>
        <v/>
      </c>
      <c r="AM1738">
        <f>IF($D1738="","",IF(OR($R1738=TRUE(),$R1738="TRUE"),1,0))</f>
        <v/>
      </c>
      <c r="AN1738">
        <f>IF($D1738="","",IF($X1738="Yes",1,0))</f>
        <v/>
      </c>
      <c r="AO1738">
        <f>IF($AK1738=1,IFERROR(IF(VALUE($D1738)&lt;100000000,VALUE($D1738),1000000000),IFERROR(IF(VALUE(MID($D1738,2,20))&lt;100000000,VALUE(MID($D1738,2,20)),1000000000),1000000000))+ROW()/100000,"")</f>
        <v/>
      </c>
    </row>
    <row r="1739">
      <c r="F1739" s="11" t="n"/>
      <c r="N1739" s="7">
        <f>IF($D1739="","",M1739*V1739/100)</f>
        <v/>
      </c>
      <c r="O1739" s="7" t="n"/>
      <c r="U1739" s="7" t="n"/>
      <c r="V1739" s="7" t="n"/>
      <c r="Y1739">
        <f>IF($D1739="","",IF($AN1739=1,0,IF($AM1739=1,Settings!$C$6,Settings!$C$7))*100)</f>
        <v/>
      </c>
      <c r="Z1739" s="7">
        <f>IF($D1739="","",V1739*Y1739/100)</f>
        <v/>
      </c>
      <c r="AA1739" s="7">
        <f>IF($D1739="","",V1739-Z1739)</f>
        <v/>
      </c>
      <c r="AB1739" s="7">
        <f>IF($D1739="","",AA1739-N1739)</f>
        <v/>
      </c>
      <c r="AF1739" s="7" t="n"/>
      <c r="AI1739" s="11" t="n"/>
      <c r="AK1739">
        <f>IF($D1739="","",IF(COUNTIF($D$2:$D1739,$D1739)=1,1,0))</f>
        <v/>
      </c>
      <c r="AL1739">
        <f>IF($AK1739=1,SUMPRODUCT(--($AO$2:$AO$3001&lt;$AO1739))+1,"")</f>
        <v/>
      </c>
      <c r="AM1739">
        <f>IF($D1739="","",IF(OR($R1739=TRUE(),$R1739="TRUE"),1,0))</f>
        <v/>
      </c>
      <c r="AN1739">
        <f>IF($D1739="","",IF($X1739="Yes",1,0))</f>
        <v/>
      </c>
      <c r="AO1739">
        <f>IF($AK1739=1,IFERROR(IF(VALUE($D1739)&lt;100000000,VALUE($D1739),1000000000),IFERROR(IF(VALUE(MID($D1739,2,20))&lt;100000000,VALUE(MID($D1739,2,20)),1000000000),1000000000))+ROW()/100000,"")</f>
        <v/>
      </c>
    </row>
    <row r="1740">
      <c r="F1740" s="11" t="n"/>
      <c r="N1740" s="7">
        <f>IF($D1740="","",M1740*V1740/100)</f>
        <v/>
      </c>
      <c r="O1740" s="7" t="n"/>
      <c r="U1740" s="7" t="n"/>
      <c r="V1740" s="7" t="n"/>
      <c r="Y1740">
        <f>IF($D1740="","",IF($AN1740=1,0,IF($AM1740=1,Settings!$C$6,Settings!$C$7))*100)</f>
        <v/>
      </c>
      <c r="Z1740" s="7">
        <f>IF($D1740="","",V1740*Y1740/100)</f>
        <v/>
      </c>
      <c r="AA1740" s="7">
        <f>IF($D1740="","",V1740-Z1740)</f>
        <v/>
      </c>
      <c r="AB1740" s="7">
        <f>IF($D1740="","",AA1740-N1740)</f>
        <v/>
      </c>
      <c r="AF1740" s="7" t="n"/>
      <c r="AI1740" s="11" t="n"/>
      <c r="AK1740">
        <f>IF($D1740="","",IF(COUNTIF($D$2:$D1740,$D1740)=1,1,0))</f>
        <v/>
      </c>
      <c r="AL1740">
        <f>IF($AK1740=1,SUMPRODUCT(--($AO$2:$AO$3001&lt;$AO1740))+1,"")</f>
        <v/>
      </c>
      <c r="AM1740">
        <f>IF($D1740="","",IF(OR($R1740=TRUE(),$R1740="TRUE"),1,0))</f>
        <v/>
      </c>
      <c r="AN1740">
        <f>IF($D1740="","",IF($X1740="Yes",1,0))</f>
        <v/>
      </c>
      <c r="AO1740">
        <f>IF($AK1740=1,IFERROR(IF(VALUE($D1740)&lt;100000000,VALUE($D1740),1000000000),IFERROR(IF(VALUE(MID($D1740,2,20))&lt;100000000,VALUE(MID($D1740,2,20)),1000000000),1000000000))+ROW()/100000,"")</f>
        <v/>
      </c>
    </row>
    <row r="1741">
      <c r="F1741" s="11" t="n"/>
      <c r="N1741" s="7">
        <f>IF($D1741="","",M1741*V1741/100)</f>
        <v/>
      </c>
      <c r="O1741" s="7" t="n"/>
      <c r="U1741" s="7" t="n"/>
      <c r="V1741" s="7" t="n"/>
      <c r="Y1741">
        <f>IF($D1741="","",IF($AN1741=1,0,IF($AM1741=1,Settings!$C$6,Settings!$C$7))*100)</f>
        <v/>
      </c>
      <c r="Z1741" s="7">
        <f>IF($D1741="","",V1741*Y1741/100)</f>
        <v/>
      </c>
      <c r="AA1741" s="7">
        <f>IF($D1741="","",V1741-Z1741)</f>
        <v/>
      </c>
      <c r="AB1741" s="7">
        <f>IF($D1741="","",AA1741-N1741)</f>
        <v/>
      </c>
      <c r="AF1741" s="7" t="n"/>
      <c r="AI1741" s="11" t="n"/>
      <c r="AK1741">
        <f>IF($D1741="","",IF(COUNTIF($D$2:$D1741,$D1741)=1,1,0))</f>
        <v/>
      </c>
      <c r="AL1741">
        <f>IF($AK1741=1,SUMPRODUCT(--($AO$2:$AO$3001&lt;$AO1741))+1,"")</f>
        <v/>
      </c>
      <c r="AM1741">
        <f>IF($D1741="","",IF(OR($R1741=TRUE(),$R1741="TRUE"),1,0))</f>
        <v/>
      </c>
      <c r="AN1741">
        <f>IF($D1741="","",IF($X1741="Yes",1,0))</f>
        <v/>
      </c>
      <c r="AO1741">
        <f>IF($AK1741=1,IFERROR(IF(VALUE($D1741)&lt;100000000,VALUE($D1741),1000000000),IFERROR(IF(VALUE(MID($D1741,2,20))&lt;100000000,VALUE(MID($D1741,2,20)),1000000000),1000000000))+ROW()/100000,"")</f>
        <v/>
      </c>
    </row>
    <row r="1742">
      <c r="F1742" s="11" t="n"/>
      <c r="N1742" s="7">
        <f>IF($D1742="","",M1742*V1742/100)</f>
        <v/>
      </c>
      <c r="O1742" s="7" t="n"/>
      <c r="U1742" s="7" t="n"/>
      <c r="V1742" s="7" t="n"/>
      <c r="Y1742">
        <f>IF($D1742="","",IF($AN1742=1,0,IF($AM1742=1,Settings!$C$6,Settings!$C$7))*100)</f>
        <v/>
      </c>
      <c r="Z1742" s="7">
        <f>IF($D1742="","",V1742*Y1742/100)</f>
        <v/>
      </c>
      <c r="AA1742" s="7">
        <f>IF($D1742="","",V1742-Z1742)</f>
        <v/>
      </c>
      <c r="AB1742" s="7">
        <f>IF($D1742="","",AA1742-N1742)</f>
        <v/>
      </c>
      <c r="AF1742" s="7" t="n"/>
      <c r="AI1742" s="11" t="n"/>
      <c r="AK1742">
        <f>IF($D1742="","",IF(COUNTIF($D$2:$D1742,$D1742)=1,1,0))</f>
        <v/>
      </c>
      <c r="AL1742">
        <f>IF($AK1742=1,SUMPRODUCT(--($AO$2:$AO$3001&lt;$AO1742))+1,"")</f>
        <v/>
      </c>
      <c r="AM1742">
        <f>IF($D1742="","",IF(OR($R1742=TRUE(),$R1742="TRUE"),1,0))</f>
        <v/>
      </c>
      <c r="AN1742">
        <f>IF($D1742="","",IF($X1742="Yes",1,0))</f>
        <v/>
      </c>
      <c r="AO1742">
        <f>IF($AK1742=1,IFERROR(IF(VALUE($D1742)&lt;100000000,VALUE($D1742),1000000000),IFERROR(IF(VALUE(MID($D1742,2,20))&lt;100000000,VALUE(MID($D1742,2,20)),1000000000),1000000000))+ROW()/100000,"")</f>
        <v/>
      </c>
    </row>
    <row r="1743">
      <c r="F1743" s="11" t="n"/>
      <c r="N1743" s="7">
        <f>IF($D1743="","",M1743*V1743/100)</f>
        <v/>
      </c>
      <c r="O1743" s="7" t="n"/>
      <c r="U1743" s="7" t="n"/>
      <c r="V1743" s="7" t="n"/>
      <c r="Y1743">
        <f>IF($D1743="","",IF($AN1743=1,0,IF($AM1743=1,Settings!$C$6,Settings!$C$7))*100)</f>
        <v/>
      </c>
      <c r="Z1743" s="7">
        <f>IF($D1743="","",V1743*Y1743/100)</f>
        <v/>
      </c>
      <c r="AA1743" s="7">
        <f>IF($D1743="","",V1743-Z1743)</f>
        <v/>
      </c>
      <c r="AB1743" s="7">
        <f>IF($D1743="","",AA1743-N1743)</f>
        <v/>
      </c>
      <c r="AF1743" s="7" t="n"/>
      <c r="AI1743" s="11" t="n"/>
      <c r="AK1743">
        <f>IF($D1743="","",IF(COUNTIF($D$2:$D1743,$D1743)=1,1,0))</f>
        <v/>
      </c>
      <c r="AL1743">
        <f>IF($AK1743=1,SUMPRODUCT(--($AO$2:$AO$3001&lt;$AO1743))+1,"")</f>
        <v/>
      </c>
      <c r="AM1743">
        <f>IF($D1743="","",IF(OR($R1743=TRUE(),$R1743="TRUE"),1,0))</f>
        <v/>
      </c>
      <c r="AN1743">
        <f>IF($D1743="","",IF($X1743="Yes",1,0))</f>
        <v/>
      </c>
      <c r="AO1743">
        <f>IF($AK1743=1,IFERROR(IF(VALUE($D1743)&lt;100000000,VALUE($D1743),1000000000),IFERROR(IF(VALUE(MID($D1743,2,20))&lt;100000000,VALUE(MID($D1743,2,20)),1000000000),1000000000))+ROW()/100000,"")</f>
        <v/>
      </c>
    </row>
    <row r="1744">
      <c r="F1744" s="11" t="n"/>
      <c r="N1744" s="7">
        <f>IF($D1744="","",M1744*V1744/100)</f>
        <v/>
      </c>
      <c r="O1744" s="7" t="n"/>
      <c r="U1744" s="7" t="n"/>
      <c r="V1744" s="7" t="n"/>
      <c r="Y1744">
        <f>IF($D1744="","",IF($AN1744=1,0,IF($AM1744=1,Settings!$C$6,Settings!$C$7))*100)</f>
        <v/>
      </c>
      <c r="Z1744" s="7">
        <f>IF($D1744="","",V1744*Y1744/100)</f>
        <v/>
      </c>
      <c r="AA1744" s="7">
        <f>IF($D1744="","",V1744-Z1744)</f>
        <v/>
      </c>
      <c r="AB1744" s="7">
        <f>IF($D1744="","",AA1744-N1744)</f>
        <v/>
      </c>
      <c r="AF1744" s="7" t="n"/>
      <c r="AI1744" s="11" t="n"/>
      <c r="AK1744">
        <f>IF($D1744="","",IF(COUNTIF($D$2:$D1744,$D1744)=1,1,0))</f>
        <v/>
      </c>
      <c r="AL1744">
        <f>IF($AK1744=1,SUMPRODUCT(--($AO$2:$AO$3001&lt;$AO1744))+1,"")</f>
        <v/>
      </c>
      <c r="AM1744">
        <f>IF($D1744="","",IF(OR($R1744=TRUE(),$R1744="TRUE"),1,0))</f>
        <v/>
      </c>
      <c r="AN1744">
        <f>IF($D1744="","",IF($X1744="Yes",1,0))</f>
        <v/>
      </c>
      <c r="AO1744">
        <f>IF($AK1744=1,IFERROR(IF(VALUE($D1744)&lt;100000000,VALUE($D1744),1000000000),IFERROR(IF(VALUE(MID($D1744,2,20))&lt;100000000,VALUE(MID($D1744,2,20)),1000000000),1000000000))+ROW()/100000,"")</f>
        <v/>
      </c>
    </row>
    <row r="1745">
      <c r="F1745" s="11" t="n"/>
      <c r="N1745" s="7">
        <f>IF($D1745="","",M1745*V1745/100)</f>
        <v/>
      </c>
      <c r="O1745" s="7" t="n"/>
      <c r="U1745" s="7" t="n"/>
      <c r="V1745" s="7" t="n"/>
      <c r="Y1745">
        <f>IF($D1745="","",IF($AN1745=1,0,IF($AM1745=1,Settings!$C$6,Settings!$C$7))*100)</f>
        <v/>
      </c>
      <c r="Z1745" s="7">
        <f>IF($D1745="","",V1745*Y1745/100)</f>
        <v/>
      </c>
      <c r="AA1745" s="7">
        <f>IF($D1745="","",V1745-Z1745)</f>
        <v/>
      </c>
      <c r="AB1745" s="7">
        <f>IF($D1745="","",AA1745-N1745)</f>
        <v/>
      </c>
      <c r="AF1745" s="7" t="n"/>
      <c r="AI1745" s="11" t="n"/>
      <c r="AK1745">
        <f>IF($D1745="","",IF(COUNTIF($D$2:$D1745,$D1745)=1,1,0))</f>
        <v/>
      </c>
      <c r="AL1745">
        <f>IF($AK1745=1,SUMPRODUCT(--($AO$2:$AO$3001&lt;$AO1745))+1,"")</f>
        <v/>
      </c>
      <c r="AM1745">
        <f>IF($D1745="","",IF(OR($R1745=TRUE(),$R1745="TRUE"),1,0))</f>
        <v/>
      </c>
      <c r="AN1745">
        <f>IF($D1745="","",IF($X1745="Yes",1,0))</f>
        <v/>
      </c>
      <c r="AO1745">
        <f>IF($AK1745=1,IFERROR(IF(VALUE($D1745)&lt;100000000,VALUE($D1745),1000000000),IFERROR(IF(VALUE(MID($D1745,2,20))&lt;100000000,VALUE(MID($D1745,2,20)),1000000000),1000000000))+ROW()/100000,"")</f>
        <v/>
      </c>
    </row>
    <row r="1746">
      <c r="F1746" s="11" t="n"/>
      <c r="N1746" s="7">
        <f>IF($D1746="","",M1746*V1746/100)</f>
        <v/>
      </c>
      <c r="O1746" s="7" t="n"/>
      <c r="U1746" s="7" t="n"/>
      <c r="V1746" s="7" t="n"/>
      <c r="Y1746">
        <f>IF($D1746="","",IF($AN1746=1,0,IF($AM1746=1,Settings!$C$6,Settings!$C$7))*100)</f>
        <v/>
      </c>
      <c r="Z1746" s="7">
        <f>IF($D1746="","",V1746*Y1746/100)</f>
        <v/>
      </c>
      <c r="AA1746" s="7">
        <f>IF($D1746="","",V1746-Z1746)</f>
        <v/>
      </c>
      <c r="AB1746" s="7">
        <f>IF($D1746="","",AA1746-N1746)</f>
        <v/>
      </c>
      <c r="AF1746" s="7" t="n"/>
      <c r="AI1746" s="11" t="n"/>
      <c r="AK1746">
        <f>IF($D1746="","",IF(COUNTIF($D$2:$D1746,$D1746)=1,1,0))</f>
        <v/>
      </c>
      <c r="AL1746">
        <f>IF($AK1746=1,SUMPRODUCT(--($AO$2:$AO$3001&lt;$AO1746))+1,"")</f>
        <v/>
      </c>
      <c r="AM1746">
        <f>IF($D1746="","",IF(OR($R1746=TRUE(),$R1746="TRUE"),1,0))</f>
        <v/>
      </c>
      <c r="AN1746">
        <f>IF($D1746="","",IF($X1746="Yes",1,0))</f>
        <v/>
      </c>
      <c r="AO1746">
        <f>IF($AK1746=1,IFERROR(IF(VALUE($D1746)&lt;100000000,VALUE($D1746),1000000000),IFERROR(IF(VALUE(MID($D1746,2,20))&lt;100000000,VALUE(MID($D1746,2,20)),1000000000),1000000000))+ROW()/100000,"")</f>
        <v/>
      </c>
    </row>
    <row r="1747">
      <c r="F1747" s="11" t="n"/>
      <c r="N1747" s="7">
        <f>IF($D1747="","",M1747*V1747/100)</f>
        <v/>
      </c>
      <c r="O1747" s="7" t="n"/>
      <c r="U1747" s="7" t="n"/>
      <c r="V1747" s="7" t="n"/>
      <c r="Y1747">
        <f>IF($D1747="","",IF($AN1747=1,0,IF($AM1747=1,Settings!$C$6,Settings!$C$7))*100)</f>
        <v/>
      </c>
      <c r="Z1747" s="7">
        <f>IF($D1747="","",V1747*Y1747/100)</f>
        <v/>
      </c>
      <c r="AA1747" s="7">
        <f>IF($D1747="","",V1747-Z1747)</f>
        <v/>
      </c>
      <c r="AB1747" s="7">
        <f>IF($D1747="","",AA1747-N1747)</f>
        <v/>
      </c>
      <c r="AF1747" s="7" t="n"/>
      <c r="AI1747" s="11" t="n"/>
      <c r="AK1747">
        <f>IF($D1747="","",IF(COUNTIF($D$2:$D1747,$D1747)=1,1,0))</f>
        <v/>
      </c>
      <c r="AL1747">
        <f>IF($AK1747=1,SUMPRODUCT(--($AO$2:$AO$3001&lt;$AO1747))+1,"")</f>
        <v/>
      </c>
      <c r="AM1747">
        <f>IF($D1747="","",IF(OR($R1747=TRUE(),$R1747="TRUE"),1,0))</f>
        <v/>
      </c>
      <c r="AN1747">
        <f>IF($D1747="","",IF($X1747="Yes",1,0))</f>
        <v/>
      </c>
      <c r="AO1747">
        <f>IF($AK1747=1,IFERROR(IF(VALUE($D1747)&lt;100000000,VALUE($D1747),1000000000),IFERROR(IF(VALUE(MID($D1747,2,20))&lt;100000000,VALUE(MID($D1747,2,20)),1000000000),1000000000))+ROW()/100000,"")</f>
        <v/>
      </c>
    </row>
    <row r="1748">
      <c r="F1748" s="11" t="n"/>
      <c r="N1748" s="7">
        <f>IF($D1748="","",M1748*V1748/100)</f>
        <v/>
      </c>
      <c r="O1748" s="7" t="n"/>
      <c r="U1748" s="7" t="n"/>
      <c r="V1748" s="7" t="n"/>
      <c r="Y1748">
        <f>IF($D1748="","",IF($AN1748=1,0,IF($AM1748=1,Settings!$C$6,Settings!$C$7))*100)</f>
        <v/>
      </c>
      <c r="Z1748" s="7">
        <f>IF($D1748="","",V1748*Y1748/100)</f>
        <v/>
      </c>
      <c r="AA1748" s="7">
        <f>IF($D1748="","",V1748-Z1748)</f>
        <v/>
      </c>
      <c r="AB1748" s="7">
        <f>IF($D1748="","",AA1748-N1748)</f>
        <v/>
      </c>
      <c r="AF1748" s="7" t="n"/>
      <c r="AI1748" s="11" t="n"/>
      <c r="AK1748">
        <f>IF($D1748="","",IF(COUNTIF($D$2:$D1748,$D1748)=1,1,0))</f>
        <v/>
      </c>
      <c r="AL1748">
        <f>IF($AK1748=1,SUMPRODUCT(--($AO$2:$AO$3001&lt;$AO1748))+1,"")</f>
        <v/>
      </c>
      <c r="AM1748">
        <f>IF($D1748="","",IF(OR($R1748=TRUE(),$R1748="TRUE"),1,0))</f>
        <v/>
      </c>
      <c r="AN1748">
        <f>IF($D1748="","",IF($X1748="Yes",1,0))</f>
        <v/>
      </c>
      <c r="AO1748">
        <f>IF($AK1748=1,IFERROR(IF(VALUE($D1748)&lt;100000000,VALUE($D1748),1000000000),IFERROR(IF(VALUE(MID($D1748,2,20))&lt;100000000,VALUE(MID($D1748,2,20)),1000000000),1000000000))+ROW()/100000,"")</f>
        <v/>
      </c>
    </row>
    <row r="1749">
      <c r="F1749" s="11" t="n"/>
      <c r="N1749" s="7">
        <f>IF($D1749="","",M1749*V1749/100)</f>
        <v/>
      </c>
      <c r="O1749" s="7" t="n"/>
      <c r="U1749" s="7" t="n"/>
      <c r="V1749" s="7" t="n"/>
      <c r="Y1749">
        <f>IF($D1749="","",IF($AN1749=1,0,IF($AM1749=1,Settings!$C$6,Settings!$C$7))*100)</f>
        <v/>
      </c>
      <c r="Z1749" s="7">
        <f>IF($D1749="","",V1749*Y1749/100)</f>
        <v/>
      </c>
      <c r="AA1749" s="7">
        <f>IF($D1749="","",V1749-Z1749)</f>
        <v/>
      </c>
      <c r="AB1749" s="7">
        <f>IF($D1749="","",AA1749-N1749)</f>
        <v/>
      </c>
      <c r="AF1749" s="7" t="n"/>
      <c r="AI1749" s="11" t="n"/>
      <c r="AK1749">
        <f>IF($D1749="","",IF(COUNTIF($D$2:$D1749,$D1749)=1,1,0))</f>
        <v/>
      </c>
      <c r="AL1749">
        <f>IF($AK1749=1,SUMPRODUCT(--($AO$2:$AO$3001&lt;$AO1749))+1,"")</f>
        <v/>
      </c>
      <c r="AM1749">
        <f>IF($D1749="","",IF(OR($R1749=TRUE(),$R1749="TRUE"),1,0))</f>
        <v/>
      </c>
      <c r="AN1749">
        <f>IF($D1749="","",IF($X1749="Yes",1,0))</f>
        <v/>
      </c>
      <c r="AO1749">
        <f>IF($AK1749=1,IFERROR(IF(VALUE($D1749)&lt;100000000,VALUE($D1749),1000000000),IFERROR(IF(VALUE(MID($D1749,2,20))&lt;100000000,VALUE(MID($D1749,2,20)),1000000000),1000000000))+ROW()/100000,"")</f>
        <v/>
      </c>
    </row>
    <row r="1750">
      <c r="F1750" s="11" t="n"/>
      <c r="N1750" s="7">
        <f>IF($D1750="","",M1750*V1750/100)</f>
        <v/>
      </c>
      <c r="O1750" s="7" t="n"/>
      <c r="U1750" s="7" t="n"/>
      <c r="V1750" s="7" t="n"/>
      <c r="Y1750">
        <f>IF($D1750="","",IF($AN1750=1,0,IF($AM1750=1,Settings!$C$6,Settings!$C$7))*100)</f>
        <v/>
      </c>
      <c r="Z1750" s="7">
        <f>IF($D1750="","",V1750*Y1750/100)</f>
        <v/>
      </c>
      <c r="AA1750" s="7">
        <f>IF($D1750="","",V1750-Z1750)</f>
        <v/>
      </c>
      <c r="AB1750" s="7">
        <f>IF($D1750="","",AA1750-N1750)</f>
        <v/>
      </c>
      <c r="AF1750" s="7" t="n"/>
      <c r="AI1750" s="11" t="n"/>
      <c r="AK1750">
        <f>IF($D1750="","",IF(COUNTIF($D$2:$D1750,$D1750)=1,1,0))</f>
        <v/>
      </c>
      <c r="AL1750">
        <f>IF($AK1750=1,SUMPRODUCT(--($AO$2:$AO$3001&lt;$AO1750))+1,"")</f>
        <v/>
      </c>
      <c r="AM1750">
        <f>IF($D1750="","",IF(OR($R1750=TRUE(),$R1750="TRUE"),1,0))</f>
        <v/>
      </c>
      <c r="AN1750">
        <f>IF($D1750="","",IF($X1750="Yes",1,0))</f>
        <v/>
      </c>
      <c r="AO1750">
        <f>IF($AK1750=1,IFERROR(IF(VALUE($D1750)&lt;100000000,VALUE($D1750),1000000000),IFERROR(IF(VALUE(MID($D1750,2,20))&lt;100000000,VALUE(MID($D1750,2,20)),1000000000),1000000000))+ROW()/100000,"")</f>
        <v/>
      </c>
    </row>
    <row r="1751">
      <c r="F1751" s="11" t="n"/>
      <c r="N1751" s="7">
        <f>IF($D1751="","",M1751*V1751/100)</f>
        <v/>
      </c>
      <c r="O1751" s="7" t="n"/>
      <c r="U1751" s="7" t="n"/>
      <c r="V1751" s="7" t="n"/>
      <c r="Y1751">
        <f>IF($D1751="","",IF($AN1751=1,0,IF($AM1751=1,Settings!$C$6,Settings!$C$7))*100)</f>
        <v/>
      </c>
      <c r="Z1751" s="7">
        <f>IF($D1751="","",V1751*Y1751/100)</f>
        <v/>
      </c>
      <c r="AA1751" s="7">
        <f>IF($D1751="","",V1751-Z1751)</f>
        <v/>
      </c>
      <c r="AB1751" s="7">
        <f>IF($D1751="","",AA1751-N1751)</f>
        <v/>
      </c>
      <c r="AF1751" s="7" t="n"/>
      <c r="AI1751" s="11" t="n"/>
      <c r="AK1751">
        <f>IF($D1751="","",IF(COUNTIF($D$2:$D1751,$D1751)=1,1,0))</f>
        <v/>
      </c>
      <c r="AL1751">
        <f>IF($AK1751=1,SUMPRODUCT(--($AO$2:$AO$3001&lt;$AO1751))+1,"")</f>
        <v/>
      </c>
      <c r="AM1751">
        <f>IF($D1751="","",IF(OR($R1751=TRUE(),$R1751="TRUE"),1,0))</f>
        <v/>
      </c>
      <c r="AN1751">
        <f>IF($D1751="","",IF($X1751="Yes",1,0))</f>
        <v/>
      </c>
      <c r="AO1751">
        <f>IF($AK1751=1,IFERROR(IF(VALUE($D1751)&lt;100000000,VALUE($D1751),1000000000),IFERROR(IF(VALUE(MID($D1751,2,20))&lt;100000000,VALUE(MID($D1751,2,20)),1000000000),1000000000))+ROW()/100000,"")</f>
        <v/>
      </c>
    </row>
    <row r="1752">
      <c r="F1752" s="11" t="n"/>
      <c r="N1752" s="7">
        <f>IF($D1752="","",M1752*V1752/100)</f>
        <v/>
      </c>
      <c r="O1752" s="7" t="n"/>
      <c r="U1752" s="7" t="n"/>
      <c r="V1752" s="7" t="n"/>
      <c r="Y1752">
        <f>IF($D1752="","",IF($AN1752=1,0,IF($AM1752=1,Settings!$C$6,Settings!$C$7))*100)</f>
        <v/>
      </c>
      <c r="Z1752" s="7">
        <f>IF($D1752="","",V1752*Y1752/100)</f>
        <v/>
      </c>
      <c r="AA1752" s="7">
        <f>IF($D1752="","",V1752-Z1752)</f>
        <v/>
      </c>
      <c r="AB1752" s="7">
        <f>IF($D1752="","",AA1752-N1752)</f>
        <v/>
      </c>
      <c r="AF1752" s="7" t="n"/>
      <c r="AI1752" s="11" t="n"/>
      <c r="AK1752">
        <f>IF($D1752="","",IF(COUNTIF($D$2:$D1752,$D1752)=1,1,0))</f>
        <v/>
      </c>
      <c r="AL1752">
        <f>IF($AK1752=1,SUMPRODUCT(--($AO$2:$AO$3001&lt;$AO1752))+1,"")</f>
        <v/>
      </c>
      <c r="AM1752">
        <f>IF($D1752="","",IF(OR($R1752=TRUE(),$R1752="TRUE"),1,0))</f>
        <v/>
      </c>
      <c r="AN1752">
        <f>IF($D1752="","",IF($X1752="Yes",1,0))</f>
        <v/>
      </c>
      <c r="AO1752">
        <f>IF($AK1752=1,IFERROR(IF(VALUE($D1752)&lt;100000000,VALUE($D1752),1000000000),IFERROR(IF(VALUE(MID($D1752,2,20))&lt;100000000,VALUE(MID($D1752,2,20)),1000000000),1000000000))+ROW()/100000,"")</f>
        <v/>
      </c>
    </row>
    <row r="1753">
      <c r="F1753" s="11" t="n"/>
      <c r="N1753" s="7">
        <f>IF($D1753="","",M1753*V1753/100)</f>
        <v/>
      </c>
      <c r="O1753" s="7" t="n"/>
      <c r="U1753" s="7" t="n"/>
      <c r="V1753" s="7" t="n"/>
      <c r="Y1753">
        <f>IF($D1753="","",IF($AN1753=1,0,IF($AM1753=1,Settings!$C$6,Settings!$C$7))*100)</f>
        <v/>
      </c>
      <c r="Z1753" s="7">
        <f>IF($D1753="","",V1753*Y1753/100)</f>
        <v/>
      </c>
      <c r="AA1753" s="7">
        <f>IF($D1753="","",V1753-Z1753)</f>
        <v/>
      </c>
      <c r="AB1753" s="7">
        <f>IF($D1753="","",AA1753-N1753)</f>
        <v/>
      </c>
      <c r="AF1753" s="7" t="n"/>
      <c r="AI1753" s="11" t="n"/>
      <c r="AK1753">
        <f>IF($D1753="","",IF(COUNTIF($D$2:$D1753,$D1753)=1,1,0))</f>
        <v/>
      </c>
      <c r="AL1753">
        <f>IF($AK1753=1,SUMPRODUCT(--($AO$2:$AO$3001&lt;$AO1753))+1,"")</f>
        <v/>
      </c>
      <c r="AM1753">
        <f>IF($D1753="","",IF(OR($R1753=TRUE(),$R1753="TRUE"),1,0))</f>
        <v/>
      </c>
      <c r="AN1753">
        <f>IF($D1753="","",IF($X1753="Yes",1,0))</f>
        <v/>
      </c>
      <c r="AO1753">
        <f>IF($AK1753=1,IFERROR(IF(VALUE($D1753)&lt;100000000,VALUE($D1753),1000000000),IFERROR(IF(VALUE(MID($D1753,2,20))&lt;100000000,VALUE(MID($D1753,2,20)),1000000000),1000000000))+ROW()/100000,"")</f>
        <v/>
      </c>
    </row>
    <row r="1754">
      <c r="F1754" s="11" t="n"/>
      <c r="N1754" s="7">
        <f>IF($D1754="","",M1754*V1754/100)</f>
        <v/>
      </c>
      <c r="O1754" s="7" t="n"/>
      <c r="U1754" s="7" t="n"/>
      <c r="V1754" s="7" t="n"/>
      <c r="Y1754">
        <f>IF($D1754="","",IF($AN1754=1,0,IF($AM1754=1,Settings!$C$6,Settings!$C$7))*100)</f>
        <v/>
      </c>
      <c r="Z1754" s="7">
        <f>IF($D1754="","",V1754*Y1754/100)</f>
        <v/>
      </c>
      <c r="AA1754" s="7">
        <f>IF($D1754="","",V1754-Z1754)</f>
        <v/>
      </c>
      <c r="AB1754" s="7">
        <f>IF($D1754="","",AA1754-N1754)</f>
        <v/>
      </c>
      <c r="AF1754" s="7" t="n"/>
      <c r="AI1754" s="11" t="n"/>
      <c r="AK1754">
        <f>IF($D1754="","",IF(COUNTIF($D$2:$D1754,$D1754)=1,1,0))</f>
        <v/>
      </c>
      <c r="AL1754">
        <f>IF($AK1754=1,SUMPRODUCT(--($AO$2:$AO$3001&lt;$AO1754))+1,"")</f>
        <v/>
      </c>
      <c r="AM1754">
        <f>IF($D1754="","",IF(OR($R1754=TRUE(),$R1754="TRUE"),1,0))</f>
        <v/>
      </c>
      <c r="AN1754">
        <f>IF($D1754="","",IF($X1754="Yes",1,0))</f>
        <v/>
      </c>
      <c r="AO1754">
        <f>IF($AK1754=1,IFERROR(IF(VALUE($D1754)&lt;100000000,VALUE($D1754),1000000000),IFERROR(IF(VALUE(MID($D1754,2,20))&lt;100000000,VALUE(MID($D1754,2,20)),1000000000),1000000000))+ROW()/100000,"")</f>
        <v/>
      </c>
    </row>
    <row r="1755">
      <c r="F1755" s="11" t="n"/>
      <c r="N1755" s="7">
        <f>IF($D1755="","",M1755*V1755/100)</f>
        <v/>
      </c>
      <c r="O1755" s="7" t="n"/>
      <c r="U1755" s="7" t="n"/>
      <c r="V1755" s="7" t="n"/>
      <c r="Y1755">
        <f>IF($D1755="","",IF($AN1755=1,0,IF($AM1755=1,Settings!$C$6,Settings!$C$7))*100)</f>
        <v/>
      </c>
      <c r="Z1755" s="7">
        <f>IF($D1755="","",V1755*Y1755/100)</f>
        <v/>
      </c>
      <c r="AA1755" s="7">
        <f>IF($D1755="","",V1755-Z1755)</f>
        <v/>
      </c>
      <c r="AB1755" s="7">
        <f>IF($D1755="","",AA1755-N1755)</f>
        <v/>
      </c>
      <c r="AF1755" s="7" t="n"/>
      <c r="AI1755" s="11" t="n"/>
      <c r="AK1755">
        <f>IF($D1755="","",IF(COUNTIF($D$2:$D1755,$D1755)=1,1,0))</f>
        <v/>
      </c>
      <c r="AL1755">
        <f>IF($AK1755=1,SUMPRODUCT(--($AO$2:$AO$3001&lt;$AO1755))+1,"")</f>
        <v/>
      </c>
      <c r="AM1755">
        <f>IF($D1755="","",IF(OR($R1755=TRUE(),$R1755="TRUE"),1,0))</f>
        <v/>
      </c>
      <c r="AN1755">
        <f>IF($D1755="","",IF($X1755="Yes",1,0))</f>
        <v/>
      </c>
      <c r="AO1755">
        <f>IF($AK1755=1,IFERROR(IF(VALUE($D1755)&lt;100000000,VALUE($D1755),1000000000),IFERROR(IF(VALUE(MID($D1755,2,20))&lt;100000000,VALUE(MID($D1755,2,20)),1000000000),1000000000))+ROW()/100000,"")</f>
        <v/>
      </c>
    </row>
    <row r="1756">
      <c r="F1756" s="11" t="n"/>
      <c r="N1756" s="7">
        <f>IF($D1756="","",M1756*V1756/100)</f>
        <v/>
      </c>
      <c r="O1756" s="7" t="n"/>
      <c r="U1756" s="7" t="n"/>
      <c r="V1756" s="7" t="n"/>
      <c r="Y1756">
        <f>IF($D1756="","",IF($AN1756=1,0,IF($AM1756=1,Settings!$C$6,Settings!$C$7))*100)</f>
        <v/>
      </c>
      <c r="Z1756" s="7">
        <f>IF($D1756="","",V1756*Y1756/100)</f>
        <v/>
      </c>
      <c r="AA1756" s="7">
        <f>IF($D1756="","",V1756-Z1756)</f>
        <v/>
      </c>
      <c r="AB1756" s="7">
        <f>IF($D1756="","",AA1756-N1756)</f>
        <v/>
      </c>
      <c r="AF1756" s="7" t="n"/>
      <c r="AI1756" s="11" t="n"/>
      <c r="AK1756">
        <f>IF($D1756="","",IF(COUNTIF($D$2:$D1756,$D1756)=1,1,0))</f>
        <v/>
      </c>
      <c r="AL1756">
        <f>IF($AK1756=1,SUMPRODUCT(--($AO$2:$AO$3001&lt;$AO1756))+1,"")</f>
        <v/>
      </c>
      <c r="AM1756">
        <f>IF($D1756="","",IF(OR($R1756=TRUE(),$R1756="TRUE"),1,0))</f>
        <v/>
      </c>
      <c r="AN1756">
        <f>IF($D1756="","",IF($X1756="Yes",1,0))</f>
        <v/>
      </c>
      <c r="AO1756">
        <f>IF($AK1756=1,IFERROR(IF(VALUE($D1756)&lt;100000000,VALUE($D1756),1000000000),IFERROR(IF(VALUE(MID($D1756,2,20))&lt;100000000,VALUE(MID($D1756,2,20)),1000000000),1000000000))+ROW()/100000,"")</f>
        <v/>
      </c>
    </row>
    <row r="1757">
      <c r="F1757" s="11" t="n"/>
      <c r="N1757" s="7">
        <f>IF($D1757="","",M1757*V1757/100)</f>
        <v/>
      </c>
      <c r="O1757" s="7" t="n"/>
      <c r="U1757" s="7" t="n"/>
      <c r="V1757" s="7" t="n"/>
      <c r="Y1757">
        <f>IF($D1757="","",IF($AN1757=1,0,IF($AM1757=1,Settings!$C$6,Settings!$C$7))*100)</f>
        <v/>
      </c>
      <c r="Z1757" s="7">
        <f>IF($D1757="","",V1757*Y1757/100)</f>
        <v/>
      </c>
      <c r="AA1757" s="7">
        <f>IF($D1757="","",V1757-Z1757)</f>
        <v/>
      </c>
      <c r="AB1757" s="7">
        <f>IF($D1757="","",AA1757-N1757)</f>
        <v/>
      </c>
      <c r="AF1757" s="7" t="n"/>
      <c r="AI1757" s="11" t="n"/>
      <c r="AK1757">
        <f>IF($D1757="","",IF(COUNTIF($D$2:$D1757,$D1757)=1,1,0))</f>
        <v/>
      </c>
      <c r="AL1757">
        <f>IF($AK1757=1,SUMPRODUCT(--($AO$2:$AO$3001&lt;$AO1757))+1,"")</f>
        <v/>
      </c>
      <c r="AM1757">
        <f>IF($D1757="","",IF(OR($R1757=TRUE(),$R1757="TRUE"),1,0))</f>
        <v/>
      </c>
      <c r="AN1757">
        <f>IF($D1757="","",IF($X1757="Yes",1,0))</f>
        <v/>
      </c>
      <c r="AO1757">
        <f>IF($AK1757=1,IFERROR(IF(VALUE($D1757)&lt;100000000,VALUE($D1757),1000000000),IFERROR(IF(VALUE(MID($D1757,2,20))&lt;100000000,VALUE(MID($D1757,2,20)),1000000000),1000000000))+ROW()/100000,"")</f>
        <v/>
      </c>
    </row>
    <row r="1758">
      <c r="F1758" s="11" t="n"/>
      <c r="N1758" s="7">
        <f>IF($D1758="","",M1758*V1758/100)</f>
        <v/>
      </c>
      <c r="O1758" s="7" t="n"/>
      <c r="U1758" s="7" t="n"/>
      <c r="V1758" s="7" t="n"/>
      <c r="Y1758">
        <f>IF($D1758="","",IF($AN1758=1,0,IF($AM1758=1,Settings!$C$6,Settings!$C$7))*100)</f>
        <v/>
      </c>
      <c r="Z1758" s="7">
        <f>IF($D1758="","",V1758*Y1758/100)</f>
        <v/>
      </c>
      <c r="AA1758" s="7">
        <f>IF($D1758="","",V1758-Z1758)</f>
        <v/>
      </c>
      <c r="AB1758" s="7">
        <f>IF($D1758="","",AA1758-N1758)</f>
        <v/>
      </c>
      <c r="AF1758" s="7" t="n"/>
      <c r="AI1758" s="11" t="n"/>
      <c r="AK1758">
        <f>IF($D1758="","",IF(COUNTIF($D$2:$D1758,$D1758)=1,1,0))</f>
        <v/>
      </c>
      <c r="AL1758">
        <f>IF($AK1758=1,SUMPRODUCT(--($AO$2:$AO$3001&lt;$AO1758))+1,"")</f>
        <v/>
      </c>
      <c r="AM1758">
        <f>IF($D1758="","",IF(OR($R1758=TRUE(),$R1758="TRUE"),1,0))</f>
        <v/>
      </c>
      <c r="AN1758">
        <f>IF($D1758="","",IF($X1758="Yes",1,0))</f>
        <v/>
      </c>
      <c r="AO1758">
        <f>IF($AK1758=1,IFERROR(IF(VALUE($D1758)&lt;100000000,VALUE($D1758),1000000000),IFERROR(IF(VALUE(MID($D1758,2,20))&lt;100000000,VALUE(MID($D1758,2,20)),1000000000),1000000000))+ROW()/100000,"")</f>
        <v/>
      </c>
    </row>
    <row r="1759">
      <c r="F1759" s="11" t="n"/>
      <c r="N1759" s="7">
        <f>IF($D1759="","",M1759*V1759/100)</f>
        <v/>
      </c>
      <c r="O1759" s="7" t="n"/>
      <c r="U1759" s="7" t="n"/>
      <c r="V1759" s="7" t="n"/>
      <c r="Y1759">
        <f>IF($D1759="","",IF($AN1759=1,0,IF($AM1759=1,Settings!$C$6,Settings!$C$7))*100)</f>
        <v/>
      </c>
      <c r="Z1759" s="7">
        <f>IF($D1759="","",V1759*Y1759/100)</f>
        <v/>
      </c>
      <c r="AA1759" s="7">
        <f>IF($D1759="","",V1759-Z1759)</f>
        <v/>
      </c>
      <c r="AB1759" s="7">
        <f>IF($D1759="","",AA1759-N1759)</f>
        <v/>
      </c>
      <c r="AF1759" s="7" t="n"/>
      <c r="AI1759" s="11" t="n"/>
      <c r="AK1759">
        <f>IF($D1759="","",IF(COUNTIF($D$2:$D1759,$D1759)=1,1,0))</f>
        <v/>
      </c>
      <c r="AL1759">
        <f>IF($AK1759=1,SUMPRODUCT(--($AO$2:$AO$3001&lt;$AO1759))+1,"")</f>
        <v/>
      </c>
      <c r="AM1759">
        <f>IF($D1759="","",IF(OR($R1759=TRUE(),$R1759="TRUE"),1,0))</f>
        <v/>
      </c>
      <c r="AN1759">
        <f>IF($D1759="","",IF($X1759="Yes",1,0))</f>
        <v/>
      </c>
      <c r="AO1759">
        <f>IF($AK1759=1,IFERROR(IF(VALUE($D1759)&lt;100000000,VALUE($D1759),1000000000),IFERROR(IF(VALUE(MID($D1759,2,20))&lt;100000000,VALUE(MID($D1759,2,20)),1000000000),1000000000))+ROW()/100000,"")</f>
        <v/>
      </c>
    </row>
    <row r="1760">
      <c r="F1760" s="11" t="n"/>
      <c r="N1760" s="7">
        <f>IF($D1760="","",M1760*V1760/100)</f>
        <v/>
      </c>
      <c r="O1760" s="7" t="n"/>
      <c r="U1760" s="7" t="n"/>
      <c r="V1760" s="7" t="n"/>
      <c r="Y1760">
        <f>IF($D1760="","",IF($AN1760=1,0,IF($AM1760=1,Settings!$C$6,Settings!$C$7))*100)</f>
        <v/>
      </c>
      <c r="Z1760" s="7">
        <f>IF($D1760="","",V1760*Y1760/100)</f>
        <v/>
      </c>
      <c r="AA1760" s="7">
        <f>IF($D1760="","",V1760-Z1760)</f>
        <v/>
      </c>
      <c r="AB1760" s="7">
        <f>IF($D1760="","",AA1760-N1760)</f>
        <v/>
      </c>
      <c r="AF1760" s="7" t="n"/>
      <c r="AI1760" s="11" t="n"/>
      <c r="AK1760">
        <f>IF($D1760="","",IF(COUNTIF($D$2:$D1760,$D1760)=1,1,0))</f>
        <v/>
      </c>
      <c r="AL1760">
        <f>IF($AK1760=1,SUMPRODUCT(--($AO$2:$AO$3001&lt;$AO1760))+1,"")</f>
        <v/>
      </c>
      <c r="AM1760">
        <f>IF($D1760="","",IF(OR($R1760=TRUE(),$R1760="TRUE"),1,0))</f>
        <v/>
      </c>
      <c r="AN1760">
        <f>IF($D1760="","",IF($X1760="Yes",1,0))</f>
        <v/>
      </c>
      <c r="AO1760">
        <f>IF($AK1760=1,IFERROR(IF(VALUE($D1760)&lt;100000000,VALUE($D1760),1000000000),IFERROR(IF(VALUE(MID($D1760,2,20))&lt;100000000,VALUE(MID($D1760,2,20)),1000000000),1000000000))+ROW()/100000,"")</f>
        <v/>
      </c>
    </row>
    <row r="1761">
      <c r="F1761" s="11" t="n"/>
      <c r="N1761" s="7">
        <f>IF($D1761="","",M1761*V1761/100)</f>
        <v/>
      </c>
      <c r="O1761" s="7" t="n"/>
      <c r="U1761" s="7" t="n"/>
      <c r="V1761" s="7" t="n"/>
      <c r="Y1761">
        <f>IF($D1761="","",IF($AN1761=1,0,IF($AM1761=1,Settings!$C$6,Settings!$C$7))*100)</f>
        <v/>
      </c>
      <c r="Z1761" s="7">
        <f>IF($D1761="","",V1761*Y1761/100)</f>
        <v/>
      </c>
      <c r="AA1761" s="7">
        <f>IF($D1761="","",V1761-Z1761)</f>
        <v/>
      </c>
      <c r="AB1761" s="7">
        <f>IF($D1761="","",AA1761-N1761)</f>
        <v/>
      </c>
      <c r="AF1761" s="7" t="n"/>
      <c r="AI1761" s="11" t="n"/>
      <c r="AK1761">
        <f>IF($D1761="","",IF(COUNTIF($D$2:$D1761,$D1761)=1,1,0))</f>
        <v/>
      </c>
      <c r="AL1761">
        <f>IF($AK1761=1,SUMPRODUCT(--($AO$2:$AO$3001&lt;$AO1761))+1,"")</f>
        <v/>
      </c>
      <c r="AM1761">
        <f>IF($D1761="","",IF(OR($R1761=TRUE(),$R1761="TRUE"),1,0))</f>
        <v/>
      </c>
      <c r="AN1761">
        <f>IF($D1761="","",IF($X1761="Yes",1,0))</f>
        <v/>
      </c>
      <c r="AO1761">
        <f>IF($AK1761=1,IFERROR(IF(VALUE($D1761)&lt;100000000,VALUE($D1761),1000000000),IFERROR(IF(VALUE(MID($D1761,2,20))&lt;100000000,VALUE(MID($D1761,2,20)),1000000000),1000000000))+ROW()/100000,"")</f>
        <v/>
      </c>
    </row>
    <row r="1762">
      <c r="F1762" s="11" t="n"/>
      <c r="N1762" s="7">
        <f>IF($D1762="","",M1762*V1762/100)</f>
        <v/>
      </c>
      <c r="O1762" s="7" t="n"/>
      <c r="U1762" s="7" t="n"/>
      <c r="V1762" s="7" t="n"/>
      <c r="Y1762">
        <f>IF($D1762="","",IF($AN1762=1,0,IF($AM1762=1,Settings!$C$6,Settings!$C$7))*100)</f>
        <v/>
      </c>
      <c r="Z1762" s="7">
        <f>IF($D1762="","",V1762*Y1762/100)</f>
        <v/>
      </c>
      <c r="AA1762" s="7">
        <f>IF($D1762="","",V1762-Z1762)</f>
        <v/>
      </c>
      <c r="AB1762" s="7">
        <f>IF($D1762="","",AA1762-N1762)</f>
        <v/>
      </c>
      <c r="AF1762" s="7" t="n"/>
      <c r="AI1762" s="11" t="n"/>
      <c r="AK1762">
        <f>IF($D1762="","",IF(COUNTIF($D$2:$D1762,$D1762)=1,1,0))</f>
        <v/>
      </c>
      <c r="AL1762">
        <f>IF($AK1762=1,SUMPRODUCT(--($AO$2:$AO$3001&lt;$AO1762))+1,"")</f>
        <v/>
      </c>
      <c r="AM1762">
        <f>IF($D1762="","",IF(OR($R1762=TRUE(),$R1762="TRUE"),1,0))</f>
        <v/>
      </c>
      <c r="AN1762">
        <f>IF($D1762="","",IF($X1762="Yes",1,0))</f>
        <v/>
      </c>
      <c r="AO1762">
        <f>IF($AK1762=1,IFERROR(IF(VALUE($D1762)&lt;100000000,VALUE($D1762),1000000000),IFERROR(IF(VALUE(MID($D1762,2,20))&lt;100000000,VALUE(MID($D1762,2,20)),1000000000),1000000000))+ROW()/100000,"")</f>
        <v/>
      </c>
    </row>
    <row r="1763">
      <c r="F1763" s="11" t="n"/>
      <c r="N1763" s="7">
        <f>IF($D1763="","",M1763*V1763/100)</f>
        <v/>
      </c>
      <c r="O1763" s="7" t="n"/>
      <c r="U1763" s="7" t="n"/>
      <c r="V1763" s="7" t="n"/>
      <c r="Y1763">
        <f>IF($D1763="","",IF($AN1763=1,0,IF($AM1763=1,Settings!$C$6,Settings!$C$7))*100)</f>
        <v/>
      </c>
      <c r="Z1763" s="7">
        <f>IF($D1763="","",V1763*Y1763/100)</f>
        <v/>
      </c>
      <c r="AA1763" s="7">
        <f>IF($D1763="","",V1763-Z1763)</f>
        <v/>
      </c>
      <c r="AB1763" s="7">
        <f>IF($D1763="","",AA1763-N1763)</f>
        <v/>
      </c>
      <c r="AF1763" s="7" t="n"/>
      <c r="AI1763" s="11" t="n"/>
      <c r="AK1763">
        <f>IF($D1763="","",IF(COUNTIF($D$2:$D1763,$D1763)=1,1,0))</f>
        <v/>
      </c>
      <c r="AL1763">
        <f>IF($AK1763=1,SUMPRODUCT(--($AO$2:$AO$3001&lt;$AO1763))+1,"")</f>
        <v/>
      </c>
      <c r="AM1763">
        <f>IF($D1763="","",IF(OR($R1763=TRUE(),$R1763="TRUE"),1,0))</f>
        <v/>
      </c>
      <c r="AN1763">
        <f>IF($D1763="","",IF($X1763="Yes",1,0))</f>
        <v/>
      </c>
      <c r="AO1763">
        <f>IF($AK1763=1,IFERROR(IF(VALUE($D1763)&lt;100000000,VALUE($D1763),1000000000),IFERROR(IF(VALUE(MID($D1763,2,20))&lt;100000000,VALUE(MID($D1763,2,20)),1000000000),1000000000))+ROW()/100000,"")</f>
        <v/>
      </c>
    </row>
    <row r="1764">
      <c r="F1764" s="11" t="n"/>
      <c r="N1764" s="7">
        <f>IF($D1764="","",M1764*V1764/100)</f>
        <v/>
      </c>
      <c r="O1764" s="7" t="n"/>
      <c r="U1764" s="7" t="n"/>
      <c r="V1764" s="7" t="n"/>
      <c r="Y1764">
        <f>IF($D1764="","",IF($AN1764=1,0,IF($AM1764=1,Settings!$C$6,Settings!$C$7))*100)</f>
        <v/>
      </c>
      <c r="Z1764" s="7">
        <f>IF($D1764="","",V1764*Y1764/100)</f>
        <v/>
      </c>
      <c r="AA1764" s="7">
        <f>IF($D1764="","",V1764-Z1764)</f>
        <v/>
      </c>
      <c r="AB1764" s="7">
        <f>IF($D1764="","",AA1764-N1764)</f>
        <v/>
      </c>
      <c r="AF1764" s="7" t="n"/>
      <c r="AI1764" s="11" t="n"/>
      <c r="AK1764">
        <f>IF($D1764="","",IF(COUNTIF($D$2:$D1764,$D1764)=1,1,0))</f>
        <v/>
      </c>
      <c r="AL1764">
        <f>IF($AK1764=1,SUMPRODUCT(--($AO$2:$AO$3001&lt;$AO1764))+1,"")</f>
        <v/>
      </c>
      <c r="AM1764">
        <f>IF($D1764="","",IF(OR($R1764=TRUE(),$R1764="TRUE"),1,0))</f>
        <v/>
      </c>
      <c r="AN1764">
        <f>IF($D1764="","",IF($X1764="Yes",1,0))</f>
        <v/>
      </c>
      <c r="AO1764">
        <f>IF($AK1764=1,IFERROR(IF(VALUE($D1764)&lt;100000000,VALUE($D1764),1000000000),IFERROR(IF(VALUE(MID($D1764,2,20))&lt;100000000,VALUE(MID($D1764,2,20)),1000000000),1000000000))+ROW()/100000,"")</f>
        <v/>
      </c>
    </row>
    <row r="1765">
      <c r="F1765" s="11" t="n"/>
      <c r="N1765" s="7">
        <f>IF($D1765="","",M1765*V1765/100)</f>
        <v/>
      </c>
      <c r="O1765" s="7" t="n"/>
      <c r="U1765" s="7" t="n"/>
      <c r="V1765" s="7" t="n"/>
      <c r="Y1765">
        <f>IF($D1765="","",IF($AN1765=1,0,IF($AM1765=1,Settings!$C$6,Settings!$C$7))*100)</f>
        <v/>
      </c>
      <c r="Z1765" s="7">
        <f>IF($D1765="","",V1765*Y1765/100)</f>
        <v/>
      </c>
      <c r="AA1765" s="7">
        <f>IF($D1765="","",V1765-Z1765)</f>
        <v/>
      </c>
      <c r="AB1765" s="7">
        <f>IF($D1765="","",AA1765-N1765)</f>
        <v/>
      </c>
      <c r="AF1765" s="7" t="n"/>
      <c r="AI1765" s="11" t="n"/>
      <c r="AK1765">
        <f>IF($D1765="","",IF(COUNTIF($D$2:$D1765,$D1765)=1,1,0))</f>
        <v/>
      </c>
      <c r="AL1765">
        <f>IF($AK1765=1,SUMPRODUCT(--($AO$2:$AO$3001&lt;$AO1765))+1,"")</f>
        <v/>
      </c>
      <c r="AM1765">
        <f>IF($D1765="","",IF(OR($R1765=TRUE(),$R1765="TRUE"),1,0))</f>
        <v/>
      </c>
      <c r="AN1765">
        <f>IF($D1765="","",IF($X1765="Yes",1,0))</f>
        <v/>
      </c>
      <c r="AO1765">
        <f>IF($AK1765=1,IFERROR(IF(VALUE($D1765)&lt;100000000,VALUE($D1765),1000000000),IFERROR(IF(VALUE(MID($D1765,2,20))&lt;100000000,VALUE(MID($D1765,2,20)),1000000000),1000000000))+ROW()/100000,"")</f>
        <v/>
      </c>
    </row>
    <row r="1766">
      <c r="F1766" s="11" t="n"/>
      <c r="N1766" s="7">
        <f>IF($D1766="","",M1766*V1766/100)</f>
        <v/>
      </c>
      <c r="O1766" s="7" t="n"/>
      <c r="U1766" s="7" t="n"/>
      <c r="V1766" s="7" t="n"/>
      <c r="Y1766">
        <f>IF($D1766="","",IF($AN1766=1,0,IF($AM1766=1,Settings!$C$6,Settings!$C$7))*100)</f>
        <v/>
      </c>
      <c r="Z1766" s="7">
        <f>IF($D1766="","",V1766*Y1766/100)</f>
        <v/>
      </c>
      <c r="AA1766" s="7">
        <f>IF($D1766="","",V1766-Z1766)</f>
        <v/>
      </c>
      <c r="AB1766" s="7">
        <f>IF($D1766="","",AA1766-N1766)</f>
        <v/>
      </c>
      <c r="AF1766" s="7" t="n"/>
      <c r="AI1766" s="11" t="n"/>
      <c r="AK1766">
        <f>IF($D1766="","",IF(COUNTIF($D$2:$D1766,$D1766)=1,1,0))</f>
        <v/>
      </c>
      <c r="AL1766">
        <f>IF($AK1766=1,SUMPRODUCT(--($AO$2:$AO$3001&lt;$AO1766))+1,"")</f>
        <v/>
      </c>
      <c r="AM1766">
        <f>IF($D1766="","",IF(OR($R1766=TRUE(),$R1766="TRUE"),1,0))</f>
        <v/>
      </c>
      <c r="AN1766">
        <f>IF($D1766="","",IF($X1766="Yes",1,0))</f>
        <v/>
      </c>
      <c r="AO1766">
        <f>IF($AK1766=1,IFERROR(IF(VALUE($D1766)&lt;100000000,VALUE($D1766),1000000000),IFERROR(IF(VALUE(MID($D1766,2,20))&lt;100000000,VALUE(MID($D1766,2,20)),1000000000),1000000000))+ROW()/100000,"")</f>
        <v/>
      </c>
    </row>
    <row r="1767">
      <c r="F1767" s="11" t="n"/>
      <c r="N1767" s="7">
        <f>IF($D1767="","",M1767*V1767/100)</f>
        <v/>
      </c>
      <c r="O1767" s="7" t="n"/>
      <c r="U1767" s="7" t="n"/>
      <c r="V1767" s="7" t="n"/>
      <c r="Y1767">
        <f>IF($D1767="","",IF($AN1767=1,0,IF($AM1767=1,Settings!$C$6,Settings!$C$7))*100)</f>
        <v/>
      </c>
      <c r="Z1767" s="7">
        <f>IF($D1767="","",V1767*Y1767/100)</f>
        <v/>
      </c>
      <c r="AA1767" s="7">
        <f>IF($D1767="","",V1767-Z1767)</f>
        <v/>
      </c>
      <c r="AB1767" s="7">
        <f>IF($D1767="","",AA1767-N1767)</f>
        <v/>
      </c>
      <c r="AF1767" s="7" t="n"/>
      <c r="AI1767" s="11" t="n"/>
      <c r="AK1767">
        <f>IF($D1767="","",IF(COUNTIF($D$2:$D1767,$D1767)=1,1,0))</f>
        <v/>
      </c>
      <c r="AL1767">
        <f>IF($AK1767=1,SUMPRODUCT(--($AO$2:$AO$3001&lt;$AO1767))+1,"")</f>
        <v/>
      </c>
      <c r="AM1767">
        <f>IF($D1767="","",IF(OR($R1767=TRUE(),$R1767="TRUE"),1,0))</f>
        <v/>
      </c>
      <c r="AN1767">
        <f>IF($D1767="","",IF($X1767="Yes",1,0))</f>
        <v/>
      </c>
      <c r="AO1767">
        <f>IF($AK1767=1,IFERROR(IF(VALUE($D1767)&lt;100000000,VALUE($D1767),1000000000),IFERROR(IF(VALUE(MID($D1767,2,20))&lt;100000000,VALUE(MID($D1767,2,20)),1000000000),1000000000))+ROW()/100000,"")</f>
        <v/>
      </c>
    </row>
    <row r="1768">
      <c r="F1768" s="11" t="n"/>
      <c r="N1768" s="7">
        <f>IF($D1768="","",M1768*V1768/100)</f>
        <v/>
      </c>
      <c r="O1768" s="7" t="n"/>
      <c r="U1768" s="7" t="n"/>
      <c r="V1768" s="7" t="n"/>
      <c r="Y1768">
        <f>IF($D1768="","",IF($AN1768=1,0,IF($AM1768=1,Settings!$C$6,Settings!$C$7))*100)</f>
        <v/>
      </c>
      <c r="Z1768" s="7">
        <f>IF($D1768="","",V1768*Y1768/100)</f>
        <v/>
      </c>
      <c r="AA1768" s="7">
        <f>IF($D1768="","",V1768-Z1768)</f>
        <v/>
      </c>
      <c r="AB1768" s="7">
        <f>IF($D1768="","",AA1768-N1768)</f>
        <v/>
      </c>
      <c r="AF1768" s="7" t="n"/>
      <c r="AI1768" s="11" t="n"/>
      <c r="AK1768">
        <f>IF($D1768="","",IF(COUNTIF($D$2:$D1768,$D1768)=1,1,0))</f>
        <v/>
      </c>
      <c r="AL1768">
        <f>IF($AK1768=1,SUMPRODUCT(--($AO$2:$AO$3001&lt;$AO1768))+1,"")</f>
        <v/>
      </c>
      <c r="AM1768">
        <f>IF($D1768="","",IF(OR($R1768=TRUE(),$R1768="TRUE"),1,0))</f>
        <v/>
      </c>
      <c r="AN1768">
        <f>IF($D1768="","",IF($X1768="Yes",1,0))</f>
        <v/>
      </c>
      <c r="AO1768">
        <f>IF($AK1768=1,IFERROR(IF(VALUE($D1768)&lt;100000000,VALUE($D1768),1000000000),IFERROR(IF(VALUE(MID($D1768,2,20))&lt;100000000,VALUE(MID($D1768,2,20)),1000000000),1000000000))+ROW()/100000,"")</f>
        <v/>
      </c>
    </row>
    <row r="1769">
      <c r="F1769" s="11" t="n"/>
      <c r="N1769" s="7">
        <f>IF($D1769="","",M1769*V1769/100)</f>
        <v/>
      </c>
      <c r="O1769" s="7" t="n"/>
      <c r="U1769" s="7" t="n"/>
      <c r="V1769" s="7" t="n"/>
      <c r="Y1769">
        <f>IF($D1769="","",IF($AN1769=1,0,IF($AM1769=1,Settings!$C$6,Settings!$C$7))*100)</f>
        <v/>
      </c>
      <c r="Z1769" s="7">
        <f>IF($D1769="","",V1769*Y1769/100)</f>
        <v/>
      </c>
      <c r="AA1769" s="7">
        <f>IF($D1769="","",V1769-Z1769)</f>
        <v/>
      </c>
      <c r="AB1769" s="7">
        <f>IF($D1769="","",AA1769-N1769)</f>
        <v/>
      </c>
      <c r="AF1769" s="7" t="n"/>
      <c r="AI1769" s="11" t="n"/>
      <c r="AK1769">
        <f>IF($D1769="","",IF(COUNTIF($D$2:$D1769,$D1769)=1,1,0))</f>
        <v/>
      </c>
      <c r="AL1769">
        <f>IF($AK1769=1,SUMPRODUCT(--($AO$2:$AO$3001&lt;$AO1769))+1,"")</f>
        <v/>
      </c>
      <c r="AM1769">
        <f>IF($D1769="","",IF(OR($R1769=TRUE(),$R1769="TRUE"),1,0))</f>
        <v/>
      </c>
      <c r="AN1769">
        <f>IF($D1769="","",IF($X1769="Yes",1,0))</f>
        <v/>
      </c>
      <c r="AO1769">
        <f>IF($AK1769=1,IFERROR(IF(VALUE($D1769)&lt;100000000,VALUE($D1769),1000000000),IFERROR(IF(VALUE(MID($D1769,2,20))&lt;100000000,VALUE(MID($D1769,2,20)),1000000000),1000000000))+ROW()/100000,"")</f>
        <v/>
      </c>
    </row>
    <row r="1770">
      <c r="F1770" s="11" t="n"/>
      <c r="N1770" s="7">
        <f>IF($D1770="","",M1770*V1770/100)</f>
        <v/>
      </c>
      <c r="O1770" s="7" t="n"/>
      <c r="U1770" s="7" t="n"/>
      <c r="V1770" s="7" t="n"/>
      <c r="Y1770">
        <f>IF($D1770="","",IF($AN1770=1,0,IF($AM1770=1,Settings!$C$6,Settings!$C$7))*100)</f>
        <v/>
      </c>
      <c r="Z1770" s="7">
        <f>IF($D1770="","",V1770*Y1770/100)</f>
        <v/>
      </c>
      <c r="AA1770" s="7">
        <f>IF($D1770="","",V1770-Z1770)</f>
        <v/>
      </c>
      <c r="AB1770" s="7">
        <f>IF($D1770="","",AA1770-N1770)</f>
        <v/>
      </c>
      <c r="AF1770" s="7" t="n"/>
      <c r="AI1770" s="11" t="n"/>
      <c r="AK1770">
        <f>IF($D1770="","",IF(COUNTIF($D$2:$D1770,$D1770)=1,1,0))</f>
        <v/>
      </c>
      <c r="AL1770">
        <f>IF($AK1770=1,SUMPRODUCT(--($AO$2:$AO$3001&lt;$AO1770))+1,"")</f>
        <v/>
      </c>
      <c r="AM1770">
        <f>IF($D1770="","",IF(OR($R1770=TRUE(),$R1770="TRUE"),1,0))</f>
        <v/>
      </c>
      <c r="AN1770">
        <f>IF($D1770="","",IF($X1770="Yes",1,0))</f>
        <v/>
      </c>
      <c r="AO1770">
        <f>IF($AK1770=1,IFERROR(IF(VALUE($D1770)&lt;100000000,VALUE($D1770),1000000000),IFERROR(IF(VALUE(MID($D1770,2,20))&lt;100000000,VALUE(MID($D1770,2,20)),1000000000),1000000000))+ROW()/100000,"")</f>
        <v/>
      </c>
    </row>
    <row r="1771">
      <c r="F1771" s="11" t="n"/>
      <c r="N1771" s="7">
        <f>IF($D1771="","",M1771*V1771/100)</f>
        <v/>
      </c>
      <c r="O1771" s="7" t="n"/>
      <c r="U1771" s="7" t="n"/>
      <c r="V1771" s="7" t="n"/>
      <c r="Y1771">
        <f>IF($D1771="","",IF($AN1771=1,0,IF($AM1771=1,Settings!$C$6,Settings!$C$7))*100)</f>
        <v/>
      </c>
      <c r="Z1771" s="7">
        <f>IF($D1771="","",V1771*Y1771/100)</f>
        <v/>
      </c>
      <c r="AA1771" s="7">
        <f>IF($D1771="","",V1771-Z1771)</f>
        <v/>
      </c>
      <c r="AB1771" s="7">
        <f>IF($D1771="","",AA1771-N1771)</f>
        <v/>
      </c>
      <c r="AF1771" s="7" t="n"/>
      <c r="AI1771" s="11" t="n"/>
      <c r="AK1771">
        <f>IF($D1771="","",IF(COUNTIF($D$2:$D1771,$D1771)=1,1,0))</f>
        <v/>
      </c>
      <c r="AL1771">
        <f>IF($AK1771=1,SUMPRODUCT(--($AO$2:$AO$3001&lt;$AO1771))+1,"")</f>
        <v/>
      </c>
      <c r="AM1771">
        <f>IF($D1771="","",IF(OR($R1771=TRUE(),$R1771="TRUE"),1,0))</f>
        <v/>
      </c>
      <c r="AN1771">
        <f>IF($D1771="","",IF($X1771="Yes",1,0))</f>
        <v/>
      </c>
      <c r="AO1771">
        <f>IF($AK1771=1,IFERROR(IF(VALUE($D1771)&lt;100000000,VALUE($D1771),1000000000),IFERROR(IF(VALUE(MID($D1771,2,20))&lt;100000000,VALUE(MID($D1771,2,20)),1000000000),1000000000))+ROW()/100000,"")</f>
        <v/>
      </c>
    </row>
    <row r="1772">
      <c r="F1772" s="11" t="n"/>
      <c r="N1772" s="7">
        <f>IF($D1772="","",M1772*V1772/100)</f>
        <v/>
      </c>
      <c r="O1772" s="7" t="n"/>
      <c r="U1772" s="7" t="n"/>
      <c r="V1772" s="7" t="n"/>
      <c r="Y1772">
        <f>IF($D1772="","",IF($AN1772=1,0,IF($AM1772=1,Settings!$C$6,Settings!$C$7))*100)</f>
        <v/>
      </c>
      <c r="Z1772" s="7">
        <f>IF($D1772="","",V1772*Y1772/100)</f>
        <v/>
      </c>
      <c r="AA1772" s="7">
        <f>IF($D1772="","",V1772-Z1772)</f>
        <v/>
      </c>
      <c r="AB1772" s="7">
        <f>IF($D1772="","",AA1772-N1772)</f>
        <v/>
      </c>
      <c r="AF1772" s="7" t="n"/>
      <c r="AI1772" s="11" t="n"/>
      <c r="AK1772">
        <f>IF($D1772="","",IF(COUNTIF($D$2:$D1772,$D1772)=1,1,0))</f>
        <v/>
      </c>
      <c r="AL1772">
        <f>IF($AK1772=1,SUMPRODUCT(--($AO$2:$AO$3001&lt;$AO1772))+1,"")</f>
        <v/>
      </c>
      <c r="AM1772">
        <f>IF($D1772="","",IF(OR($R1772=TRUE(),$R1772="TRUE"),1,0))</f>
        <v/>
      </c>
      <c r="AN1772">
        <f>IF($D1772="","",IF($X1772="Yes",1,0))</f>
        <v/>
      </c>
      <c r="AO1772">
        <f>IF($AK1772=1,IFERROR(IF(VALUE($D1772)&lt;100000000,VALUE($D1772),1000000000),IFERROR(IF(VALUE(MID($D1772,2,20))&lt;100000000,VALUE(MID($D1772,2,20)),1000000000),1000000000))+ROW()/100000,"")</f>
        <v/>
      </c>
    </row>
    <row r="1773">
      <c r="F1773" s="11" t="n"/>
      <c r="N1773" s="7">
        <f>IF($D1773="","",M1773*V1773/100)</f>
        <v/>
      </c>
      <c r="O1773" s="7" t="n"/>
      <c r="U1773" s="7" t="n"/>
      <c r="V1773" s="7" t="n"/>
      <c r="Y1773">
        <f>IF($D1773="","",IF($AN1773=1,0,IF($AM1773=1,Settings!$C$6,Settings!$C$7))*100)</f>
        <v/>
      </c>
      <c r="Z1773" s="7">
        <f>IF($D1773="","",V1773*Y1773/100)</f>
        <v/>
      </c>
      <c r="AA1773" s="7">
        <f>IF($D1773="","",V1773-Z1773)</f>
        <v/>
      </c>
      <c r="AB1773" s="7">
        <f>IF($D1773="","",AA1773-N1773)</f>
        <v/>
      </c>
      <c r="AF1773" s="7" t="n"/>
      <c r="AI1773" s="11" t="n"/>
      <c r="AK1773">
        <f>IF($D1773="","",IF(COUNTIF($D$2:$D1773,$D1773)=1,1,0))</f>
        <v/>
      </c>
      <c r="AL1773">
        <f>IF($AK1773=1,SUMPRODUCT(--($AO$2:$AO$3001&lt;$AO1773))+1,"")</f>
        <v/>
      </c>
      <c r="AM1773">
        <f>IF($D1773="","",IF(OR($R1773=TRUE(),$R1773="TRUE"),1,0))</f>
        <v/>
      </c>
      <c r="AN1773">
        <f>IF($D1773="","",IF($X1773="Yes",1,0))</f>
        <v/>
      </c>
      <c r="AO1773">
        <f>IF($AK1773=1,IFERROR(IF(VALUE($D1773)&lt;100000000,VALUE($D1773),1000000000),IFERROR(IF(VALUE(MID($D1773,2,20))&lt;100000000,VALUE(MID($D1773,2,20)),1000000000),1000000000))+ROW()/100000,"")</f>
        <v/>
      </c>
    </row>
    <row r="1774">
      <c r="F1774" s="11" t="n"/>
      <c r="N1774" s="7">
        <f>IF($D1774="","",M1774*V1774/100)</f>
        <v/>
      </c>
      <c r="O1774" s="7" t="n"/>
      <c r="U1774" s="7" t="n"/>
      <c r="V1774" s="7" t="n"/>
      <c r="Y1774">
        <f>IF($D1774="","",IF($AN1774=1,0,IF($AM1774=1,Settings!$C$6,Settings!$C$7))*100)</f>
        <v/>
      </c>
      <c r="Z1774" s="7">
        <f>IF($D1774="","",V1774*Y1774/100)</f>
        <v/>
      </c>
      <c r="AA1774" s="7">
        <f>IF($D1774="","",V1774-Z1774)</f>
        <v/>
      </c>
      <c r="AB1774" s="7">
        <f>IF($D1774="","",AA1774-N1774)</f>
        <v/>
      </c>
      <c r="AF1774" s="7" t="n"/>
      <c r="AI1774" s="11" t="n"/>
      <c r="AK1774">
        <f>IF($D1774="","",IF(COUNTIF($D$2:$D1774,$D1774)=1,1,0))</f>
        <v/>
      </c>
      <c r="AL1774">
        <f>IF($AK1774=1,SUMPRODUCT(--($AO$2:$AO$3001&lt;$AO1774))+1,"")</f>
        <v/>
      </c>
      <c r="AM1774">
        <f>IF($D1774="","",IF(OR($R1774=TRUE(),$R1774="TRUE"),1,0))</f>
        <v/>
      </c>
      <c r="AN1774">
        <f>IF($D1774="","",IF($X1774="Yes",1,0))</f>
        <v/>
      </c>
      <c r="AO1774">
        <f>IF($AK1774=1,IFERROR(IF(VALUE($D1774)&lt;100000000,VALUE($D1774),1000000000),IFERROR(IF(VALUE(MID($D1774,2,20))&lt;100000000,VALUE(MID($D1774,2,20)),1000000000),1000000000))+ROW()/100000,"")</f>
        <v/>
      </c>
    </row>
    <row r="1775">
      <c r="F1775" s="11" t="n"/>
      <c r="N1775" s="7">
        <f>IF($D1775="","",M1775*V1775/100)</f>
        <v/>
      </c>
      <c r="O1775" s="7" t="n"/>
      <c r="U1775" s="7" t="n"/>
      <c r="V1775" s="7" t="n"/>
      <c r="Y1775">
        <f>IF($D1775="","",IF($AN1775=1,0,IF($AM1775=1,Settings!$C$6,Settings!$C$7))*100)</f>
        <v/>
      </c>
      <c r="Z1775" s="7">
        <f>IF($D1775="","",V1775*Y1775/100)</f>
        <v/>
      </c>
      <c r="AA1775" s="7">
        <f>IF($D1775="","",V1775-Z1775)</f>
        <v/>
      </c>
      <c r="AB1775" s="7">
        <f>IF($D1775="","",AA1775-N1775)</f>
        <v/>
      </c>
      <c r="AF1775" s="7" t="n"/>
      <c r="AI1775" s="11" t="n"/>
      <c r="AK1775">
        <f>IF($D1775="","",IF(COUNTIF($D$2:$D1775,$D1775)=1,1,0))</f>
        <v/>
      </c>
      <c r="AL1775">
        <f>IF($AK1775=1,SUMPRODUCT(--($AO$2:$AO$3001&lt;$AO1775))+1,"")</f>
        <v/>
      </c>
      <c r="AM1775">
        <f>IF($D1775="","",IF(OR($R1775=TRUE(),$R1775="TRUE"),1,0))</f>
        <v/>
      </c>
      <c r="AN1775">
        <f>IF($D1775="","",IF($X1775="Yes",1,0))</f>
        <v/>
      </c>
      <c r="AO1775">
        <f>IF($AK1775=1,IFERROR(IF(VALUE($D1775)&lt;100000000,VALUE($D1775),1000000000),IFERROR(IF(VALUE(MID($D1775,2,20))&lt;100000000,VALUE(MID($D1775,2,20)),1000000000),1000000000))+ROW()/100000,"")</f>
        <v/>
      </c>
    </row>
    <row r="1776">
      <c r="F1776" s="11" t="n"/>
      <c r="N1776" s="7">
        <f>IF($D1776="","",M1776*V1776/100)</f>
        <v/>
      </c>
      <c r="O1776" s="7" t="n"/>
      <c r="U1776" s="7" t="n"/>
      <c r="V1776" s="7" t="n"/>
      <c r="Y1776">
        <f>IF($D1776="","",IF($AN1776=1,0,IF($AM1776=1,Settings!$C$6,Settings!$C$7))*100)</f>
        <v/>
      </c>
      <c r="Z1776" s="7">
        <f>IF($D1776="","",V1776*Y1776/100)</f>
        <v/>
      </c>
      <c r="AA1776" s="7">
        <f>IF($D1776="","",V1776-Z1776)</f>
        <v/>
      </c>
      <c r="AB1776" s="7">
        <f>IF($D1776="","",AA1776-N1776)</f>
        <v/>
      </c>
      <c r="AF1776" s="7" t="n"/>
      <c r="AI1776" s="11" t="n"/>
      <c r="AK1776">
        <f>IF($D1776="","",IF(COUNTIF($D$2:$D1776,$D1776)=1,1,0))</f>
        <v/>
      </c>
      <c r="AL1776">
        <f>IF($AK1776=1,SUMPRODUCT(--($AO$2:$AO$3001&lt;$AO1776))+1,"")</f>
        <v/>
      </c>
      <c r="AM1776">
        <f>IF($D1776="","",IF(OR($R1776=TRUE(),$R1776="TRUE"),1,0))</f>
        <v/>
      </c>
      <c r="AN1776">
        <f>IF($D1776="","",IF($X1776="Yes",1,0))</f>
        <v/>
      </c>
      <c r="AO1776">
        <f>IF($AK1776=1,IFERROR(IF(VALUE($D1776)&lt;100000000,VALUE($D1776),1000000000),IFERROR(IF(VALUE(MID($D1776,2,20))&lt;100000000,VALUE(MID($D1776,2,20)),1000000000),1000000000))+ROW()/100000,"")</f>
        <v/>
      </c>
    </row>
    <row r="1777">
      <c r="F1777" s="11" t="n"/>
      <c r="N1777" s="7">
        <f>IF($D1777="","",M1777*V1777/100)</f>
        <v/>
      </c>
      <c r="O1777" s="7" t="n"/>
      <c r="U1777" s="7" t="n"/>
      <c r="V1777" s="7" t="n"/>
      <c r="Y1777">
        <f>IF($D1777="","",IF($AN1777=1,0,IF($AM1777=1,Settings!$C$6,Settings!$C$7))*100)</f>
        <v/>
      </c>
      <c r="Z1777" s="7">
        <f>IF($D1777="","",V1777*Y1777/100)</f>
        <v/>
      </c>
      <c r="AA1777" s="7">
        <f>IF($D1777="","",V1777-Z1777)</f>
        <v/>
      </c>
      <c r="AB1777" s="7">
        <f>IF($D1777="","",AA1777-N1777)</f>
        <v/>
      </c>
      <c r="AF1777" s="7" t="n"/>
      <c r="AI1777" s="11" t="n"/>
      <c r="AK1777">
        <f>IF($D1777="","",IF(COUNTIF($D$2:$D1777,$D1777)=1,1,0))</f>
        <v/>
      </c>
      <c r="AL1777">
        <f>IF($AK1777=1,SUMPRODUCT(--($AO$2:$AO$3001&lt;$AO1777))+1,"")</f>
        <v/>
      </c>
      <c r="AM1777">
        <f>IF($D1777="","",IF(OR($R1777=TRUE(),$R1777="TRUE"),1,0))</f>
        <v/>
      </c>
      <c r="AN1777">
        <f>IF($D1777="","",IF($X1777="Yes",1,0))</f>
        <v/>
      </c>
      <c r="AO1777">
        <f>IF($AK1777=1,IFERROR(IF(VALUE($D1777)&lt;100000000,VALUE($D1777),1000000000),IFERROR(IF(VALUE(MID($D1777,2,20))&lt;100000000,VALUE(MID($D1777,2,20)),1000000000),1000000000))+ROW()/100000,"")</f>
        <v/>
      </c>
    </row>
    <row r="1778">
      <c r="F1778" s="11" t="n"/>
      <c r="N1778" s="7">
        <f>IF($D1778="","",M1778*V1778/100)</f>
        <v/>
      </c>
      <c r="O1778" s="7" t="n"/>
      <c r="U1778" s="7" t="n"/>
      <c r="V1778" s="7" t="n"/>
      <c r="Y1778">
        <f>IF($D1778="","",IF($AN1778=1,0,IF($AM1778=1,Settings!$C$6,Settings!$C$7))*100)</f>
        <v/>
      </c>
      <c r="Z1778" s="7">
        <f>IF($D1778="","",V1778*Y1778/100)</f>
        <v/>
      </c>
      <c r="AA1778" s="7">
        <f>IF($D1778="","",V1778-Z1778)</f>
        <v/>
      </c>
      <c r="AB1778" s="7">
        <f>IF($D1778="","",AA1778-N1778)</f>
        <v/>
      </c>
      <c r="AF1778" s="7" t="n"/>
      <c r="AI1778" s="11" t="n"/>
      <c r="AK1778">
        <f>IF($D1778="","",IF(COUNTIF($D$2:$D1778,$D1778)=1,1,0))</f>
        <v/>
      </c>
      <c r="AL1778">
        <f>IF($AK1778=1,SUMPRODUCT(--($AO$2:$AO$3001&lt;$AO1778))+1,"")</f>
        <v/>
      </c>
      <c r="AM1778">
        <f>IF($D1778="","",IF(OR($R1778=TRUE(),$R1778="TRUE"),1,0))</f>
        <v/>
      </c>
      <c r="AN1778">
        <f>IF($D1778="","",IF($X1778="Yes",1,0))</f>
        <v/>
      </c>
      <c r="AO1778">
        <f>IF($AK1778=1,IFERROR(IF(VALUE($D1778)&lt;100000000,VALUE($D1778),1000000000),IFERROR(IF(VALUE(MID($D1778,2,20))&lt;100000000,VALUE(MID($D1778,2,20)),1000000000),1000000000))+ROW()/100000,"")</f>
        <v/>
      </c>
    </row>
    <row r="1779">
      <c r="F1779" s="11" t="n"/>
      <c r="N1779" s="7">
        <f>IF($D1779="","",M1779*V1779/100)</f>
        <v/>
      </c>
      <c r="O1779" s="7" t="n"/>
      <c r="U1779" s="7" t="n"/>
      <c r="V1779" s="7" t="n"/>
      <c r="Y1779">
        <f>IF($D1779="","",IF($AN1779=1,0,IF($AM1779=1,Settings!$C$6,Settings!$C$7))*100)</f>
        <v/>
      </c>
      <c r="Z1779" s="7">
        <f>IF($D1779="","",V1779*Y1779/100)</f>
        <v/>
      </c>
      <c r="AA1779" s="7">
        <f>IF($D1779="","",V1779-Z1779)</f>
        <v/>
      </c>
      <c r="AB1779" s="7">
        <f>IF($D1779="","",AA1779-N1779)</f>
        <v/>
      </c>
      <c r="AF1779" s="7" t="n"/>
      <c r="AI1779" s="11" t="n"/>
      <c r="AK1779">
        <f>IF($D1779="","",IF(COUNTIF($D$2:$D1779,$D1779)=1,1,0))</f>
        <v/>
      </c>
      <c r="AL1779">
        <f>IF($AK1779=1,SUMPRODUCT(--($AO$2:$AO$3001&lt;$AO1779))+1,"")</f>
        <v/>
      </c>
      <c r="AM1779">
        <f>IF($D1779="","",IF(OR($R1779=TRUE(),$R1779="TRUE"),1,0))</f>
        <v/>
      </c>
      <c r="AN1779">
        <f>IF($D1779="","",IF($X1779="Yes",1,0))</f>
        <v/>
      </c>
      <c r="AO1779">
        <f>IF($AK1779=1,IFERROR(IF(VALUE($D1779)&lt;100000000,VALUE($D1779),1000000000),IFERROR(IF(VALUE(MID($D1779,2,20))&lt;100000000,VALUE(MID($D1779,2,20)),1000000000),1000000000))+ROW()/100000,"")</f>
        <v/>
      </c>
    </row>
    <row r="1780">
      <c r="F1780" s="11" t="n"/>
      <c r="N1780" s="7">
        <f>IF($D1780="","",M1780*V1780/100)</f>
        <v/>
      </c>
      <c r="O1780" s="7" t="n"/>
      <c r="U1780" s="7" t="n"/>
      <c r="V1780" s="7" t="n"/>
      <c r="Y1780">
        <f>IF($D1780="","",IF($AN1780=1,0,IF($AM1780=1,Settings!$C$6,Settings!$C$7))*100)</f>
        <v/>
      </c>
      <c r="Z1780" s="7">
        <f>IF($D1780="","",V1780*Y1780/100)</f>
        <v/>
      </c>
      <c r="AA1780" s="7">
        <f>IF($D1780="","",V1780-Z1780)</f>
        <v/>
      </c>
      <c r="AB1780" s="7">
        <f>IF($D1780="","",AA1780-N1780)</f>
        <v/>
      </c>
      <c r="AF1780" s="7" t="n"/>
      <c r="AI1780" s="11" t="n"/>
      <c r="AK1780">
        <f>IF($D1780="","",IF(COUNTIF($D$2:$D1780,$D1780)=1,1,0))</f>
        <v/>
      </c>
      <c r="AL1780">
        <f>IF($AK1780=1,SUMPRODUCT(--($AO$2:$AO$3001&lt;$AO1780))+1,"")</f>
        <v/>
      </c>
      <c r="AM1780">
        <f>IF($D1780="","",IF(OR($R1780=TRUE(),$R1780="TRUE"),1,0))</f>
        <v/>
      </c>
      <c r="AN1780">
        <f>IF($D1780="","",IF($X1780="Yes",1,0))</f>
        <v/>
      </c>
      <c r="AO1780">
        <f>IF($AK1780=1,IFERROR(IF(VALUE($D1780)&lt;100000000,VALUE($D1780),1000000000),IFERROR(IF(VALUE(MID($D1780,2,20))&lt;100000000,VALUE(MID($D1780,2,20)),1000000000),1000000000))+ROW()/100000,"")</f>
        <v/>
      </c>
    </row>
    <row r="1781">
      <c r="F1781" s="11" t="n"/>
      <c r="N1781" s="7">
        <f>IF($D1781="","",M1781*V1781/100)</f>
        <v/>
      </c>
      <c r="O1781" s="7" t="n"/>
      <c r="U1781" s="7" t="n"/>
      <c r="V1781" s="7" t="n"/>
      <c r="Y1781">
        <f>IF($D1781="","",IF($AN1781=1,0,IF($AM1781=1,Settings!$C$6,Settings!$C$7))*100)</f>
        <v/>
      </c>
      <c r="Z1781" s="7">
        <f>IF($D1781="","",V1781*Y1781/100)</f>
        <v/>
      </c>
      <c r="AA1781" s="7">
        <f>IF($D1781="","",V1781-Z1781)</f>
        <v/>
      </c>
      <c r="AB1781" s="7">
        <f>IF($D1781="","",AA1781-N1781)</f>
        <v/>
      </c>
      <c r="AF1781" s="7" t="n"/>
      <c r="AI1781" s="11" t="n"/>
      <c r="AK1781">
        <f>IF($D1781="","",IF(COUNTIF($D$2:$D1781,$D1781)=1,1,0))</f>
        <v/>
      </c>
      <c r="AL1781">
        <f>IF($AK1781=1,SUMPRODUCT(--($AO$2:$AO$3001&lt;$AO1781))+1,"")</f>
        <v/>
      </c>
      <c r="AM1781">
        <f>IF($D1781="","",IF(OR($R1781=TRUE(),$R1781="TRUE"),1,0))</f>
        <v/>
      </c>
      <c r="AN1781">
        <f>IF($D1781="","",IF($X1781="Yes",1,0))</f>
        <v/>
      </c>
      <c r="AO1781">
        <f>IF($AK1781=1,IFERROR(IF(VALUE($D1781)&lt;100000000,VALUE($D1781),1000000000),IFERROR(IF(VALUE(MID($D1781,2,20))&lt;100000000,VALUE(MID($D1781,2,20)),1000000000),1000000000))+ROW()/100000,"")</f>
        <v/>
      </c>
    </row>
    <row r="1782">
      <c r="F1782" s="11" t="n"/>
      <c r="N1782" s="7">
        <f>IF($D1782="","",M1782*V1782/100)</f>
        <v/>
      </c>
      <c r="O1782" s="7" t="n"/>
      <c r="U1782" s="7" t="n"/>
      <c r="V1782" s="7" t="n"/>
      <c r="Y1782">
        <f>IF($D1782="","",IF($AN1782=1,0,IF($AM1782=1,Settings!$C$6,Settings!$C$7))*100)</f>
        <v/>
      </c>
      <c r="Z1782" s="7">
        <f>IF($D1782="","",V1782*Y1782/100)</f>
        <v/>
      </c>
      <c r="AA1782" s="7">
        <f>IF($D1782="","",V1782-Z1782)</f>
        <v/>
      </c>
      <c r="AB1782" s="7">
        <f>IF($D1782="","",AA1782-N1782)</f>
        <v/>
      </c>
      <c r="AF1782" s="7" t="n"/>
      <c r="AI1782" s="11" t="n"/>
      <c r="AK1782">
        <f>IF($D1782="","",IF(COUNTIF($D$2:$D1782,$D1782)=1,1,0))</f>
        <v/>
      </c>
      <c r="AL1782">
        <f>IF($AK1782=1,SUMPRODUCT(--($AO$2:$AO$3001&lt;$AO1782))+1,"")</f>
        <v/>
      </c>
      <c r="AM1782">
        <f>IF($D1782="","",IF(OR($R1782=TRUE(),$R1782="TRUE"),1,0))</f>
        <v/>
      </c>
      <c r="AN1782">
        <f>IF($D1782="","",IF($X1782="Yes",1,0))</f>
        <v/>
      </c>
      <c r="AO1782">
        <f>IF($AK1782=1,IFERROR(IF(VALUE($D1782)&lt;100000000,VALUE($D1782),1000000000),IFERROR(IF(VALUE(MID($D1782,2,20))&lt;100000000,VALUE(MID($D1782,2,20)),1000000000),1000000000))+ROW()/100000,"")</f>
        <v/>
      </c>
    </row>
    <row r="1783">
      <c r="F1783" s="11" t="n"/>
      <c r="N1783" s="7">
        <f>IF($D1783="","",M1783*V1783/100)</f>
        <v/>
      </c>
      <c r="O1783" s="7" t="n"/>
      <c r="U1783" s="7" t="n"/>
      <c r="V1783" s="7" t="n"/>
      <c r="Y1783">
        <f>IF($D1783="","",IF($AN1783=1,0,IF($AM1783=1,Settings!$C$6,Settings!$C$7))*100)</f>
        <v/>
      </c>
      <c r="Z1783" s="7">
        <f>IF($D1783="","",V1783*Y1783/100)</f>
        <v/>
      </c>
      <c r="AA1783" s="7">
        <f>IF($D1783="","",V1783-Z1783)</f>
        <v/>
      </c>
      <c r="AB1783" s="7">
        <f>IF($D1783="","",AA1783-N1783)</f>
        <v/>
      </c>
      <c r="AF1783" s="7" t="n"/>
      <c r="AI1783" s="11" t="n"/>
      <c r="AK1783">
        <f>IF($D1783="","",IF(COUNTIF($D$2:$D1783,$D1783)=1,1,0))</f>
        <v/>
      </c>
      <c r="AL1783">
        <f>IF($AK1783=1,SUMPRODUCT(--($AO$2:$AO$3001&lt;$AO1783))+1,"")</f>
        <v/>
      </c>
      <c r="AM1783">
        <f>IF($D1783="","",IF(OR($R1783=TRUE(),$R1783="TRUE"),1,0))</f>
        <v/>
      </c>
      <c r="AN1783">
        <f>IF($D1783="","",IF($X1783="Yes",1,0))</f>
        <v/>
      </c>
      <c r="AO1783">
        <f>IF($AK1783=1,IFERROR(IF(VALUE($D1783)&lt;100000000,VALUE($D1783),1000000000),IFERROR(IF(VALUE(MID($D1783,2,20))&lt;100000000,VALUE(MID($D1783,2,20)),1000000000),1000000000))+ROW()/100000,"")</f>
        <v/>
      </c>
    </row>
    <row r="1784">
      <c r="F1784" s="11" t="n"/>
      <c r="N1784" s="7">
        <f>IF($D1784="","",M1784*V1784/100)</f>
        <v/>
      </c>
      <c r="O1784" s="7" t="n"/>
      <c r="U1784" s="7" t="n"/>
      <c r="V1784" s="7" t="n"/>
      <c r="Y1784">
        <f>IF($D1784="","",IF($AN1784=1,0,IF($AM1784=1,Settings!$C$6,Settings!$C$7))*100)</f>
        <v/>
      </c>
      <c r="Z1784" s="7">
        <f>IF($D1784="","",V1784*Y1784/100)</f>
        <v/>
      </c>
      <c r="AA1784" s="7">
        <f>IF($D1784="","",V1784-Z1784)</f>
        <v/>
      </c>
      <c r="AB1784" s="7">
        <f>IF($D1784="","",AA1784-N1784)</f>
        <v/>
      </c>
      <c r="AF1784" s="7" t="n"/>
      <c r="AI1784" s="11" t="n"/>
      <c r="AK1784">
        <f>IF($D1784="","",IF(COUNTIF($D$2:$D1784,$D1784)=1,1,0))</f>
        <v/>
      </c>
      <c r="AL1784">
        <f>IF($AK1784=1,SUMPRODUCT(--($AO$2:$AO$3001&lt;$AO1784))+1,"")</f>
        <v/>
      </c>
      <c r="AM1784">
        <f>IF($D1784="","",IF(OR($R1784=TRUE(),$R1784="TRUE"),1,0))</f>
        <v/>
      </c>
      <c r="AN1784">
        <f>IF($D1784="","",IF($X1784="Yes",1,0))</f>
        <v/>
      </c>
      <c r="AO1784">
        <f>IF($AK1784=1,IFERROR(IF(VALUE($D1784)&lt;100000000,VALUE($D1784),1000000000),IFERROR(IF(VALUE(MID($D1784,2,20))&lt;100000000,VALUE(MID($D1784,2,20)),1000000000),1000000000))+ROW()/100000,"")</f>
        <v/>
      </c>
    </row>
    <row r="1785">
      <c r="F1785" s="11" t="n"/>
      <c r="N1785" s="7">
        <f>IF($D1785="","",M1785*V1785/100)</f>
        <v/>
      </c>
      <c r="O1785" s="7" t="n"/>
      <c r="U1785" s="7" t="n"/>
      <c r="V1785" s="7" t="n"/>
      <c r="Y1785">
        <f>IF($D1785="","",IF($AN1785=1,0,IF($AM1785=1,Settings!$C$6,Settings!$C$7))*100)</f>
        <v/>
      </c>
      <c r="Z1785" s="7">
        <f>IF($D1785="","",V1785*Y1785/100)</f>
        <v/>
      </c>
      <c r="AA1785" s="7">
        <f>IF($D1785="","",V1785-Z1785)</f>
        <v/>
      </c>
      <c r="AB1785" s="7">
        <f>IF($D1785="","",AA1785-N1785)</f>
        <v/>
      </c>
      <c r="AF1785" s="7" t="n"/>
      <c r="AI1785" s="11" t="n"/>
      <c r="AK1785">
        <f>IF($D1785="","",IF(COUNTIF($D$2:$D1785,$D1785)=1,1,0))</f>
        <v/>
      </c>
      <c r="AL1785">
        <f>IF($AK1785=1,SUMPRODUCT(--($AO$2:$AO$3001&lt;$AO1785))+1,"")</f>
        <v/>
      </c>
      <c r="AM1785">
        <f>IF($D1785="","",IF(OR($R1785=TRUE(),$R1785="TRUE"),1,0))</f>
        <v/>
      </c>
      <c r="AN1785">
        <f>IF($D1785="","",IF($X1785="Yes",1,0))</f>
        <v/>
      </c>
      <c r="AO1785">
        <f>IF($AK1785=1,IFERROR(IF(VALUE($D1785)&lt;100000000,VALUE($D1785),1000000000),IFERROR(IF(VALUE(MID($D1785,2,20))&lt;100000000,VALUE(MID($D1785,2,20)),1000000000),1000000000))+ROW()/100000,"")</f>
        <v/>
      </c>
    </row>
    <row r="1786">
      <c r="F1786" s="11" t="n"/>
      <c r="N1786" s="7">
        <f>IF($D1786="","",M1786*V1786/100)</f>
        <v/>
      </c>
      <c r="O1786" s="7" t="n"/>
      <c r="U1786" s="7" t="n"/>
      <c r="V1786" s="7" t="n"/>
      <c r="Y1786">
        <f>IF($D1786="","",IF($AN1786=1,0,IF($AM1786=1,Settings!$C$6,Settings!$C$7))*100)</f>
        <v/>
      </c>
      <c r="Z1786" s="7">
        <f>IF($D1786="","",V1786*Y1786/100)</f>
        <v/>
      </c>
      <c r="AA1786" s="7">
        <f>IF($D1786="","",V1786-Z1786)</f>
        <v/>
      </c>
      <c r="AB1786" s="7">
        <f>IF($D1786="","",AA1786-N1786)</f>
        <v/>
      </c>
      <c r="AF1786" s="7" t="n"/>
      <c r="AI1786" s="11" t="n"/>
      <c r="AK1786">
        <f>IF($D1786="","",IF(COUNTIF($D$2:$D1786,$D1786)=1,1,0))</f>
        <v/>
      </c>
      <c r="AL1786">
        <f>IF($AK1786=1,SUMPRODUCT(--($AO$2:$AO$3001&lt;$AO1786))+1,"")</f>
        <v/>
      </c>
      <c r="AM1786">
        <f>IF($D1786="","",IF(OR($R1786=TRUE(),$R1786="TRUE"),1,0))</f>
        <v/>
      </c>
      <c r="AN1786">
        <f>IF($D1786="","",IF($X1786="Yes",1,0))</f>
        <v/>
      </c>
      <c r="AO1786">
        <f>IF($AK1786=1,IFERROR(IF(VALUE($D1786)&lt;100000000,VALUE($D1786),1000000000),IFERROR(IF(VALUE(MID($D1786,2,20))&lt;100000000,VALUE(MID($D1786,2,20)),1000000000),1000000000))+ROW()/100000,"")</f>
        <v/>
      </c>
    </row>
    <row r="1787">
      <c r="F1787" s="11" t="n"/>
      <c r="N1787" s="7">
        <f>IF($D1787="","",M1787*V1787/100)</f>
        <v/>
      </c>
      <c r="O1787" s="7" t="n"/>
      <c r="U1787" s="7" t="n"/>
      <c r="V1787" s="7" t="n"/>
      <c r="Y1787">
        <f>IF($D1787="","",IF($AN1787=1,0,IF($AM1787=1,Settings!$C$6,Settings!$C$7))*100)</f>
        <v/>
      </c>
      <c r="Z1787" s="7">
        <f>IF($D1787="","",V1787*Y1787/100)</f>
        <v/>
      </c>
      <c r="AA1787" s="7">
        <f>IF($D1787="","",V1787-Z1787)</f>
        <v/>
      </c>
      <c r="AB1787" s="7">
        <f>IF($D1787="","",AA1787-N1787)</f>
        <v/>
      </c>
      <c r="AF1787" s="7" t="n"/>
      <c r="AI1787" s="11" t="n"/>
      <c r="AK1787">
        <f>IF($D1787="","",IF(COUNTIF($D$2:$D1787,$D1787)=1,1,0))</f>
        <v/>
      </c>
      <c r="AL1787">
        <f>IF($AK1787=1,SUMPRODUCT(--($AO$2:$AO$3001&lt;$AO1787))+1,"")</f>
        <v/>
      </c>
      <c r="AM1787">
        <f>IF($D1787="","",IF(OR($R1787=TRUE(),$R1787="TRUE"),1,0))</f>
        <v/>
      </c>
      <c r="AN1787">
        <f>IF($D1787="","",IF($X1787="Yes",1,0))</f>
        <v/>
      </c>
      <c r="AO1787">
        <f>IF($AK1787=1,IFERROR(IF(VALUE($D1787)&lt;100000000,VALUE($D1787),1000000000),IFERROR(IF(VALUE(MID($D1787,2,20))&lt;100000000,VALUE(MID($D1787,2,20)),1000000000),1000000000))+ROW()/100000,"")</f>
        <v/>
      </c>
    </row>
    <row r="1788">
      <c r="F1788" s="11" t="n"/>
      <c r="N1788" s="7">
        <f>IF($D1788="","",M1788*V1788/100)</f>
        <v/>
      </c>
      <c r="O1788" s="7" t="n"/>
      <c r="U1788" s="7" t="n"/>
      <c r="V1788" s="7" t="n"/>
      <c r="Y1788">
        <f>IF($D1788="","",IF($AN1788=1,0,IF($AM1788=1,Settings!$C$6,Settings!$C$7))*100)</f>
        <v/>
      </c>
      <c r="Z1788" s="7">
        <f>IF($D1788="","",V1788*Y1788/100)</f>
        <v/>
      </c>
      <c r="AA1788" s="7">
        <f>IF($D1788="","",V1788-Z1788)</f>
        <v/>
      </c>
      <c r="AB1788" s="7">
        <f>IF($D1788="","",AA1788-N1788)</f>
        <v/>
      </c>
      <c r="AF1788" s="7" t="n"/>
      <c r="AI1788" s="11" t="n"/>
      <c r="AK1788">
        <f>IF($D1788="","",IF(COUNTIF($D$2:$D1788,$D1788)=1,1,0))</f>
        <v/>
      </c>
      <c r="AL1788">
        <f>IF($AK1788=1,SUMPRODUCT(--($AO$2:$AO$3001&lt;$AO1788))+1,"")</f>
        <v/>
      </c>
      <c r="AM1788">
        <f>IF($D1788="","",IF(OR($R1788=TRUE(),$R1788="TRUE"),1,0))</f>
        <v/>
      </c>
      <c r="AN1788">
        <f>IF($D1788="","",IF($X1788="Yes",1,0))</f>
        <v/>
      </c>
      <c r="AO1788">
        <f>IF($AK1788=1,IFERROR(IF(VALUE($D1788)&lt;100000000,VALUE($D1788),1000000000),IFERROR(IF(VALUE(MID($D1788,2,20))&lt;100000000,VALUE(MID($D1788,2,20)),1000000000),1000000000))+ROW()/100000,"")</f>
        <v/>
      </c>
    </row>
    <row r="1789">
      <c r="F1789" s="11" t="n"/>
      <c r="N1789" s="7">
        <f>IF($D1789="","",M1789*V1789/100)</f>
        <v/>
      </c>
      <c r="O1789" s="7" t="n"/>
      <c r="U1789" s="7" t="n"/>
      <c r="V1789" s="7" t="n"/>
      <c r="Y1789">
        <f>IF($D1789="","",IF($AN1789=1,0,IF($AM1789=1,Settings!$C$6,Settings!$C$7))*100)</f>
        <v/>
      </c>
      <c r="Z1789" s="7">
        <f>IF($D1789="","",V1789*Y1789/100)</f>
        <v/>
      </c>
      <c r="AA1789" s="7">
        <f>IF($D1789="","",V1789-Z1789)</f>
        <v/>
      </c>
      <c r="AB1789" s="7">
        <f>IF($D1789="","",AA1789-N1789)</f>
        <v/>
      </c>
      <c r="AF1789" s="7" t="n"/>
      <c r="AI1789" s="11" t="n"/>
      <c r="AK1789">
        <f>IF($D1789="","",IF(COUNTIF($D$2:$D1789,$D1789)=1,1,0))</f>
        <v/>
      </c>
      <c r="AL1789">
        <f>IF($AK1789=1,SUMPRODUCT(--($AO$2:$AO$3001&lt;$AO1789))+1,"")</f>
        <v/>
      </c>
      <c r="AM1789">
        <f>IF($D1789="","",IF(OR($R1789=TRUE(),$R1789="TRUE"),1,0))</f>
        <v/>
      </c>
      <c r="AN1789">
        <f>IF($D1789="","",IF($X1789="Yes",1,0))</f>
        <v/>
      </c>
      <c r="AO1789">
        <f>IF($AK1789=1,IFERROR(IF(VALUE($D1789)&lt;100000000,VALUE($D1789),1000000000),IFERROR(IF(VALUE(MID($D1789,2,20))&lt;100000000,VALUE(MID($D1789,2,20)),1000000000),1000000000))+ROW()/100000,"")</f>
        <v/>
      </c>
    </row>
    <row r="1790">
      <c r="F1790" s="11" t="n"/>
      <c r="N1790" s="7">
        <f>IF($D1790="","",M1790*V1790/100)</f>
        <v/>
      </c>
      <c r="O1790" s="7" t="n"/>
      <c r="U1790" s="7" t="n"/>
      <c r="V1790" s="7" t="n"/>
      <c r="Y1790">
        <f>IF($D1790="","",IF($AN1790=1,0,IF($AM1790=1,Settings!$C$6,Settings!$C$7))*100)</f>
        <v/>
      </c>
      <c r="Z1790" s="7">
        <f>IF($D1790="","",V1790*Y1790/100)</f>
        <v/>
      </c>
      <c r="AA1790" s="7">
        <f>IF($D1790="","",V1790-Z1790)</f>
        <v/>
      </c>
      <c r="AB1790" s="7">
        <f>IF($D1790="","",AA1790-N1790)</f>
        <v/>
      </c>
      <c r="AF1790" s="7" t="n"/>
      <c r="AI1790" s="11" t="n"/>
      <c r="AK1790">
        <f>IF($D1790="","",IF(COUNTIF($D$2:$D1790,$D1790)=1,1,0))</f>
        <v/>
      </c>
      <c r="AL1790">
        <f>IF($AK1790=1,SUMPRODUCT(--($AO$2:$AO$3001&lt;$AO1790))+1,"")</f>
        <v/>
      </c>
      <c r="AM1790">
        <f>IF($D1790="","",IF(OR($R1790=TRUE(),$R1790="TRUE"),1,0))</f>
        <v/>
      </c>
      <c r="AN1790">
        <f>IF($D1790="","",IF($X1790="Yes",1,0))</f>
        <v/>
      </c>
      <c r="AO1790">
        <f>IF($AK1790=1,IFERROR(IF(VALUE($D1790)&lt;100000000,VALUE($D1790),1000000000),IFERROR(IF(VALUE(MID($D1790,2,20))&lt;100000000,VALUE(MID($D1790,2,20)),1000000000),1000000000))+ROW()/100000,"")</f>
        <v/>
      </c>
    </row>
    <row r="1791">
      <c r="F1791" s="11" t="n"/>
      <c r="N1791" s="7">
        <f>IF($D1791="","",M1791*V1791/100)</f>
        <v/>
      </c>
      <c r="O1791" s="7" t="n"/>
      <c r="U1791" s="7" t="n"/>
      <c r="V1791" s="7" t="n"/>
      <c r="Y1791">
        <f>IF($D1791="","",IF($AN1791=1,0,IF($AM1791=1,Settings!$C$6,Settings!$C$7))*100)</f>
        <v/>
      </c>
      <c r="Z1791" s="7">
        <f>IF($D1791="","",V1791*Y1791/100)</f>
        <v/>
      </c>
      <c r="AA1791" s="7">
        <f>IF($D1791="","",V1791-Z1791)</f>
        <v/>
      </c>
      <c r="AB1791" s="7">
        <f>IF($D1791="","",AA1791-N1791)</f>
        <v/>
      </c>
      <c r="AF1791" s="7" t="n"/>
      <c r="AI1791" s="11" t="n"/>
      <c r="AK1791">
        <f>IF($D1791="","",IF(COUNTIF($D$2:$D1791,$D1791)=1,1,0))</f>
        <v/>
      </c>
      <c r="AL1791">
        <f>IF($AK1791=1,SUMPRODUCT(--($AO$2:$AO$3001&lt;$AO1791))+1,"")</f>
        <v/>
      </c>
      <c r="AM1791">
        <f>IF($D1791="","",IF(OR($R1791=TRUE(),$R1791="TRUE"),1,0))</f>
        <v/>
      </c>
      <c r="AN1791">
        <f>IF($D1791="","",IF($X1791="Yes",1,0))</f>
        <v/>
      </c>
      <c r="AO1791">
        <f>IF($AK1791=1,IFERROR(IF(VALUE($D1791)&lt;100000000,VALUE($D1791),1000000000),IFERROR(IF(VALUE(MID($D1791,2,20))&lt;100000000,VALUE(MID($D1791,2,20)),1000000000),1000000000))+ROW()/100000,"")</f>
        <v/>
      </c>
    </row>
    <row r="1792">
      <c r="F1792" s="11" t="n"/>
      <c r="N1792" s="7">
        <f>IF($D1792="","",M1792*V1792/100)</f>
        <v/>
      </c>
      <c r="O1792" s="7" t="n"/>
      <c r="U1792" s="7" t="n"/>
      <c r="V1792" s="7" t="n"/>
      <c r="Y1792">
        <f>IF($D1792="","",IF($AN1792=1,0,IF($AM1792=1,Settings!$C$6,Settings!$C$7))*100)</f>
        <v/>
      </c>
      <c r="Z1792" s="7">
        <f>IF($D1792="","",V1792*Y1792/100)</f>
        <v/>
      </c>
      <c r="AA1792" s="7">
        <f>IF($D1792="","",V1792-Z1792)</f>
        <v/>
      </c>
      <c r="AB1792" s="7">
        <f>IF($D1792="","",AA1792-N1792)</f>
        <v/>
      </c>
      <c r="AF1792" s="7" t="n"/>
      <c r="AI1792" s="11" t="n"/>
      <c r="AK1792">
        <f>IF($D1792="","",IF(COUNTIF($D$2:$D1792,$D1792)=1,1,0))</f>
        <v/>
      </c>
      <c r="AL1792">
        <f>IF($AK1792=1,SUMPRODUCT(--($AO$2:$AO$3001&lt;$AO1792))+1,"")</f>
        <v/>
      </c>
      <c r="AM1792">
        <f>IF($D1792="","",IF(OR($R1792=TRUE(),$R1792="TRUE"),1,0))</f>
        <v/>
      </c>
      <c r="AN1792">
        <f>IF($D1792="","",IF($X1792="Yes",1,0))</f>
        <v/>
      </c>
      <c r="AO1792">
        <f>IF($AK1792=1,IFERROR(IF(VALUE($D1792)&lt;100000000,VALUE($D1792),1000000000),IFERROR(IF(VALUE(MID($D1792,2,20))&lt;100000000,VALUE(MID($D1792,2,20)),1000000000),1000000000))+ROW()/100000,"")</f>
        <v/>
      </c>
    </row>
    <row r="1793">
      <c r="F1793" s="11" t="n"/>
      <c r="N1793" s="7">
        <f>IF($D1793="","",M1793*V1793/100)</f>
        <v/>
      </c>
      <c r="O1793" s="7" t="n"/>
      <c r="U1793" s="7" t="n"/>
      <c r="V1793" s="7" t="n"/>
      <c r="Y1793">
        <f>IF($D1793="","",IF($AN1793=1,0,IF($AM1793=1,Settings!$C$6,Settings!$C$7))*100)</f>
        <v/>
      </c>
      <c r="Z1793" s="7">
        <f>IF($D1793="","",V1793*Y1793/100)</f>
        <v/>
      </c>
      <c r="AA1793" s="7">
        <f>IF($D1793="","",V1793-Z1793)</f>
        <v/>
      </c>
      <c r="AB1793" s="7">
        <f>IF($D1793="","",AA1793-N1793)</f>
        <v/>
      </c>
      <c r="AF1793" s="7" t="n"/>
      <c r="AI1793" s="11" t="n"/>
      <c r="AK1793">
        <f>IF($D1793="","",IF(COUNTIF($D$2:$D1793,$D1793)=1,1,0))</f>
        <v/>
      </c>
      <c r="AL1793">
        <f>IF($AK1793=1,SUMPRODUCT(--($AO$2:$AO$3001&lt;$AO1793))+1,"")</f>
        <v/>
      </c>
      <c r="AM1793">
        <f>IF($D1793="","",IF(OR($R1793=TRUE(),$R1793="TRUE"),1,0))</f>
        <v/>
      </c>
      <c r="AN1793">
        <f>IF($D1793="","",IF($X1793="Yes",1,0))</f>
        <v/>
      </c>
      <c r="AO1793">
        <f>IF($AK1793=1,IFERROR(IF(VALUE($D1793)&lt;100000000,VALUE($D1793),1000000000),IFERROR(IF(VALUE(MID($D1793,2,20))&lt;100000000,VALUE(MID($D1793,2,20)),1000000000),1000000000))+ROW()/100000,"")</f>
        <v/>
      </c>
    </row>
    <row r="1794">
      <c r="F1794" s="11" t="n"/>
      <c r="N1794" s="7">
        <f>IF($D1794="","",M1794*V1794/100)</f>
        <v/>
      </c>
      <c r="O1794" s="7" t="n"/>
      <c r="U1794" s="7" t="n"/>
      <c r="V1794" s="7" t="n"/>
      <c r="Y1794">
        <f>IF($D1794="","",IF($AN1794=1,0,IF($AM1794=1,Settings!$C$6,Settings!$C$7))*100)</f>
        <v/>
      </c>
      <c r="Z1794" s="7">
        <f>IF($D1794="","",V1794*Y1794/100)</f>
        <v/>
      </c>
      <c r="AA1794" s="7">
        <f>IF($D1794="","",V1794-Z1794)</f>
        <v/>
      </c>
      <c r="AB1794" s="7">
        <f>IF($D1794="","",AA1794-N1794)</f>
        <v/>
      </c>
      <c r="AF1794" s="7" t="n"/>
      <c r="AI1794" s="11" t="n"/>
      <c r="AK1794">
        <f>IF($D1794="","",IF(COUNTIF($D$2:$D1794,$D1794)=1,1,0))</f>
        <v/>
      </c>
      <c r="AL1794">
        <f>IF($AK1794=1,SUMPRODUCT(--($AO$2:$AO$3001&lt;$AO1794))+1,"")</f>
        <v/>
      </c>
      <c r="AM1794">
        <f>IF($D1794="","",IF(OR($R1794=TRUE(),$R1794="TRUE"),1,0))</f>
        <v/>
      </c>
      <c r="AN1794">
        <f>IF($D1794="","",IF($X1794="Yes",1,0))</f>
        <v/>
      </c>
      <c r="AO1794">
        <f>IF($AK1794=1,IFERROR(IF(VALUE($D1794)&lt;100000000,VALUE($D1794),1000000000),IFERROR(IF(VALUE(MID($D1794,2,20))&lt;100000000,VALUE(MID($D1794,2,20)),1000000000),1000000000))+ROW()/100000,"")</f>
        <v/>
      </c>
    </row>
    <row r="1795">
      <c r="F1795" s="11" t="n"/>
      <c r="N1795" s="7">
        <f>IF($D1795="","",M1795*V1795/100)</f>
        <v/>
      </c>
      <c r="O1795" s="7" t="n"/>
      <c r="U1795" s="7" t="n"/>
      <c r="V1795" s="7" t="n"/>
      <c r="Y1795">
        <f>IF($D1795="","",IF($AN1795=1,0,IF($AM1795=1,Settings!$C$6,Settings!$C$7))*100)</f>
        <v/>
      </c>
      <c r="Z1795" s="7">
        <f>IF($D1795="","",V1795*Y1795/100)</f>
        <v/>
      </c>
      <c r="AA1795" s="7">
        <f>IF($D1795="","",V1795-Z1795)</f>
        <v/>
      </c>
      <c r="AB1795" s="7">
        <f>IF($D1795="","",AA1795-N1795)</f>
        <v/>
      </c>
      <c r="AF1795" s="7" t="n"/>
      <c r="AI1795" s="11" t="n"/>
      <c r="AK1795">
        <f>IF($D1795="","",IF(COUNTIF($D$2:$D1795,$D1795)=1,1,0))</f>
        <v/>
      </c>
      <c r="AL1795">
        <f>IF($AK1795=1,SUMPRODUCT(--($AO$2:$AO$3001&lt;$AO1795))+1,"")</f>
        <v/>
      </c>
      <c r="AM1795">
        <f>IF($D1795="","",IF(OR($R1795=TRUE(),$R1795="TRUE"),1,0))</f>
        <v/>
      </c>
      <c r="AN1795">
        <f>IF($D1795="","",IF($X1795="Yes",1,0))</f>
        <v/>
      </c>
      <c r="AO1795">
        <f>IF($AK1795=1,IFERROR(IF(VALUE($D1795)&lt;100000000,VALUE($D1795),1000000000),IFERROR(IF(VALUE(MID($D1795,2,20))&lt;100000000,VALUE(MID($D1795,2,20)),1000000000),1000000000))+ROW()/100000,"")</f>
        <v/>
      </c>
    </row>
    <row r="1796">
      <c r="F1796" s="11" t="n"/>
      <c r="N1796" s="7">
        <f>IF($D1796="","",M1796*V1796/100)</f>
        <v/>
      </c>
      <c r="O1796" s="7" t="n"/>
      <c r="U1796" s="7" t="n"/>
      <c r="V1796" s="7" t="n"/>
      <c r="Y1796">
        <f>IF($D1796="","",IF($AN1796=1,0,IF($AM1796=1,Settings!$C$6,Settings!$C$7))*100)</f>
        <v/>
      </c>
      <c r="Z1796" s="7">
        <f>IF($D1796="","",V1796*Y1796/100)</f>
        <v/>
      </c>
      <c r="AA1796" s="7">
        <f>IF($D1796="","",V1796-Z1796)</f>
        <v/>
      </c>
      <c r="AB1796" s="7">
        <f>IF($D1796="","",AA1796-N1796)</f>
        <v/>
      </c>
      <c r="AF1796" s="7" t="n"/>
      <c r="AI1796" s="11" t="n"/>
      <c r="AK1796">
        <f>IF($D1796="","",IF(COUNTIF($D$2:$D1796,$D1796)=1,1,0))</f>
        <v/>
      </c>
      <c r="AL1796">
        <f>IF($AK1796=1,SUMPRODUCT(--($AO$2:$AO$3001&lt;$AO1796))+1,"")</f>
        <v/>
      </c>
      <c r="AM1796">
        <f>IF($D1796="","",IF(OR($R1796=TRUE(),$R1796="TRUE"),1,0))</f>
        <v/>
      </c>
      <c r="AN1796">
        <f>IF($D1796="","",IF($X1796="Yes",1,0))</f>
        <v/>
      </c>
      <c r="AO1796">
        <f>IF($AK1796=1,IFERROR(IF(VALUE($D1796)&lt;100000000,VALUE($D1796),1000000000),IFERROR(IF(VALUE(MID($D1796,2,20))&lt;100000000,VALUE(MID($D1796,2,20)),1000000000),1000000000))+ROW()/100000,"")</f>
        <v/>
      </c>
    </row>
    <row r="1797">
      <c r="F1797" s="11" t="n"/>
      <c r="N1797" s="7">
        <f>IF($D1797="","",M1797*V1797/100)</f>
        <v/>
      </c>
      <c r="O1797" s="7" t="n"/>
      <c r="U1797" s="7" t="n"/>
      <c r="V1797" s="7" t="n"/>
      <c r="Y1797">
        <f>IF($D1797="","",IF($AN1797=1,0,IF($AM1797=1,Settings!$C$6,Settings!$C$7))*100)</f>
        <v/>
      </c>
      <c r="Z1797" s="7">
        <f>IF($D1797="","",V1797*Y1797/100)</f>
        <v/>
      </c>
      <c r="AA1797" s="7">
        <f>IF($D1797="","",V1797-Z1797)</f>
        <v/>
      </c>
      <c r="AB1797" s="7">
        <f>IF($D1797="","",AA1797-N1797)</f>
        <v/>
      </c>
      <c r="AF1797" s="7" t="n"/>
      <c r="AI1797" s="11" t="n"/>
      <c r="AK1797">
        <f>IF($D1797="","",IF(COUNTIF($D$2:$D1797,$D1797)=1,1,0))</f>
        <v/>
      </c>
      <c r="AL1797">
        <f>IF($AK1797=1,SUMPRODUCT(--($AO$2:$AO$3001&lt;$AO1797))+1,"")</f>
        <v/>
      </c>
      <c r="AM1797">
        <f>IF($D1797="","",IF(OR($R1797=TRUE(),$R1797="TRUE"),1,0))</f>
        <v/>
      </c>
      <c r="AN1797">
        <f>IF($D1797="","",IF($X1797="Yes",1,0))</f>
        <v/>
      </c>
      <c r="AO1797">
        <f>IF($AK1797=1,IFERROR(IF(VALUE($D1797)&lt;100000000,VALUE($D1797),1000000000),IFERROR(IF(VALUE(MID($D1797,2,20))&lt;100000000,VALUE(MID($D1797,2,20)),1000000000),1000000000))+ROW()/100000,"")</f>
        <v/>
      </c>
    </row>
    <row r="1798">
      <c r="F1798" s="11" t="n"/>
      <c r="N1798" s="7">
        <f>IF($D1798="","",M1798*V1798/100)</f>
        <v/>
      </c>
      <c r="O1798" s="7" t="n"/>
      <c r="U1798" s="7" t="n"/>
      <c r="V1798" s="7" t="n"/>
      <c r="Y1798">
        <f>IF($D1798="","",IF($AN1798=1,0,IF($AM1798=1,Settings!$C$6,Settings!$C$7))*100)</f>
        <v/>
      </c>
      <c r="Z1798" s="7">
        <f>IF($D1798="","",V1798*Y1798/100)</f>
        <v/>
      </c>
      <c r="AA1798" s="7">
        <f>IF($D1798="","",V1798-Z1798)</f>
        <v/>
      </c>
      <c r="AB1798" s="7">
        <f>IF($D1798="","",AA1798-N1798)</f>
        <v/>
      </c>
      <c r="AF1798" s="7" t="n"/>
      <c r="AI1798" s="11" t="n"/>
      <c r="AK1798">
        <f>IF($D1798="","",IF(COUNTIF($D$2:$D1798,$D1798)=1,1,0))</f>
        <v/>
      </c>
      <c r="AL1798">
        <f>IF($AK1798=1,SUMPRODUCT(--($AO$2:$AO$3001&lt;$AO1798))+1,"")</f>
        <v/>
      </c>
      <c r="AM1798">
        <f>IF($D1798="","",IF(OR($R1798=TRUE(),$R1798="TRUE"),1,0))</f>
        <v/>
      </c>
      <c r="AN1798">
        <f>IF($D1798="","",IF($X1798="Yes",1,0))</f>
        <v/>
      </c>
      <c r="AO1798">
        <f>IF($AK1798=1,IFERROR(IF(VALUE($D1798)&lt;100000000,VALUE($D1798),1000000000),IFERROR(IF(VALUE(MID($D1798,2,20))&lt;100000000,VALUE(MID($D1798,2,20)),1000000000),1000000000))+ROW()/100000,"")</f>
        <v/>
      </c>
    </row>
    <row r="1799">
      <c r="F1799" s="11" t="n"/>
      <c r="N1799" s="7">
        <f>IF($D1799="","",M1799*V1799/100)</f>
        <v/>
      </c>
      <c r="O1799" s="7" t="n"/>
      <c r="U1799" s="7" t="n"/>
      <c r="V1799" s="7" t="n"/>
      <c r="Y1799">
        <f>IF($D1799="","",IF($AN1799=1,0,IF($AM1799=1,Settings!$C$6,Settings!$C$7))*100)</f>
        <v/>
      </c>
      <c r="Z1799" s="7">
        <f>IF($D1799="","",V1799*Y1799/100)</f>
        <v/>
      </c>
      <c r="AA1799" s="7">
        <f>IF($D1799="","",V1799-Z1799)</f>
        <v/>
      </c>
      <c r="AB1799" s="7">
        <f>IF($D1799="","",AA1799-N1799)</f>
        <v/>
      </c>
      <c r="AF1799" s="7" t="n"/>
      <c r="AI1799" s="11" t="n"/>
      <c r="AK1799">
        <f>IF($D1799="","",IF(COUNTIF($D$2:$D1799,$D1799)=1,1,0))</f>
        <v/>
      </c>
      <c r="AL1799">
        <f>IF($AK1799=1,SUMPRODUCT(--($AO$2:$AO$3001&lt;$AO1799))+1,"")</f>
        <v/>
      </c>
      <c r="AM1799">
        <f>IF($D1799="","",IF(OR($R1799=TRUE(),$R1799="TRUE"),1,0))</f>
        <v/>
      </c>
      <c r="AN1799">
        <f>IF($D1799="","",IF($X1799="Yes",1,0))</f>
        <v/>
      </c>
      <c r="AO1799">
        <f>IF($AK1799=1,IFERROR(IF(VALUE($D1799)&lt;100000000,VALUE($D1799),1000000000),IFERROR(IF(VALUE(MID($D1799,2,20))&lt;100000000,VALUE(MID($D1799,2,20)),1000000000),1000000000))+ROW()/100000,"")</f>
        <v/>
      </c>
    </row>
    <row r="1800">
      <c r="F1800" s="11" t="n"/>
      <c r="N1800" s="7">
        <f>IF($D1800="","",M1800*V1800/100)</f>
        <v/>
      </c>
      <c r="O1800" s="7" t="n"/>
      <c r="U1800" s="7" t="n"/>
      <c r="V1800" s="7" t="n"/>
      <c r="Y1800">
        <f>IF($D1800="","",IF($AN1800=1,0,IF($AM1800=1,Settings!$C$6,Settings!$C$7))*100)</f>
        <v/>
      </c>
      <c r="Z1800" s="7">
        <f>IF($D1800="","",V1800*Y1800/100)</f>
        <v/>
      </c>
      <c r="AA1800" s="7">
        <f>IF($D1800="","",V1800-Z1800)</f>
        <v/>
      </c>
      <c r="AB1800" s="7">
        <f>IF($D1800="","",AA1800-N1800)</f>
        <v/>
      </c>
      <c r="AF1800" s="7" t="n"/>
      <c r="AI1800" s="11" t="n"/>
      <c r="AK1800">
        <f>IF($D1800="","",IF(COUNTIF($D$2:$D1800,$D1800)=1,1,0))</f>
        <v/>
      </c>
      <c r="AL1800">
        <f>IF($AK1800=1,SUMPRODUCT(--($AO$2:$AO$3001&lt;$AO1800))+1,"")</f>
        <v/>
      </c>
      <c r="AM1800">
        <f>IF($D1800="","",IF(OR($R1800=TRUE(),$R1800="TRUE"),1,0))</f>
        <v/>
      </c>
      <c r="AN1800">
        <f>IF($D1800="","",IF($X1800="Yes",1,0))</f>
        <v/>
      </c>
      <c r="AO1800">
        <f>IF($AK1800=1,IFERROR(IF(VALUE($D1800)&lt;100000000,VALUE($D1800),1000000000),IFERROR(IF(VALUE(MID($D1800,2,20))&lt;100000000,VALUE(MID($D1800,2,20)),1000000000),1000000000))+ROW()/100000,"")</f>
        <v/>
      </c>
    </row>
    <row r="1801">
      <c r="F1801" s="11" t="n"/>
      <c r="N1801" s="7">
        <f>IF($D1801="","",M1801*V1801/100)</f>
        <v/>
      </c>
      <c r="O1801" s="7" t="n"/>
      <c r="U1801" s="7" t="n"/>
      <c r="V1801" s="7" t="n"/>
      <c r="Y1801">
        <f>IF($D1801="","",IF($AN1801=1,0,IF($AM1801=1,Settings!$C$6,Settings!$C$7))*100)</f>
        <v/>
      </c>
      <c r="Z1801" s="7">
        <f>IF($D1801="","",V1801*Y1801/100)</f>
        <v/>
      </c>
      <c r="AA1801" s="7">
        <f>IF($D1801="","",V1801-Z1801)</f>
        <v/>
      </c>
      <c r="AB1801" s="7">
        <f>IF($D1801="","",AA1801-N1801)</f>
        <v/>
      </c>
      <c r="AF1801" s="7" t="n"/>
      <c r="AI1801" s="11" t="n"/>
      <c r="AK1801">
        <f>IF($D1801="","",IF(COUNTIF($D$2:$D1801,$D1801)=1,1,0))</f>
        <v/>
      </c>
      <c r="AL1801">
        <f>IF($AK1801=1,SUMPRODUCT(--($AO$2:$AO$3001&lt;$AO1801))+1,"")</f>
        <v/>
      </c>
      <c r="AM1801">
        <f>IF($D1801="","",IF(OR($R1801=TRUE(),$R1801="TRUE"),1,0))</f>
        <v/>
      </c>
      <c r="AN1801">
        <f>IF($D1801="","",IF($X1801="Yes",1,0))</f>
        <v/>
      </c>
      <c r="AO1801">
        <f>IF($AK1801=1,IFERROR(IF(VALUE($D1801)&lt;100000000,VALUE($D1801),1000000000),IFERROR(IF(VALUE(MID($D1801,2,20))&lt;100000000,VALUE(MID($D1801,2,20)),1000000000),1000000000))+ROW()/100000,"")</f>
        <v/>
      </c>
    </row>
    <row r="1802">
      <c r="F1802" s="11" t="n"/>
      <c r="N1802" s="7">
        <f>IF($D1802="","",M1802*V1802/100)</f>
        <v/>
      </c>
      <c r="O1802" s="7" t="n"/>
      <c r="U1802" s="7" t="n"/>
      <c r="V1802" s="7" t="n"/>
      <c r="Y1802">
        <f>IF($D1802="","",IF($AN1802=1,0,IF($AM1802=1,Settings!$C$6,Settings!$C$7))*100)</f>
        <v/>
      </c>
      <c r="Z1802" s="7">
        <f>IF($D1802="","",V1802*Y1802/100)</f>
        <v/>
      </c>
      <c r="AA1802" s="7">
        <f>IF($D1802="","",V1802-Z1802)</f>
        <v/>
      </c>
      <c r="AB1802" s="7">
        <f>IF($D1802="","",AA1802-N1802)</f>
        <v/>
      </c>
      <c r="AF1802" s="7" t="n"/>
      <c r="AI1802" s="11" t="n"/>
      <c r="AK1802">
        <f>IF($D1802="","",IF(COUNTIF($D$2:$D1802,$D1802)=1,1,0))</f>
        <v/>
      </c>
      <c r="AL1802">
        <f>IF($AK1802=1,SUMPRODUCT(--($AO$2:$AO$3001&lt;$AO1802))+1,"")</f>
        <v/>
      </c>
      <c r="AM1802">
        <f>IF($D1802="","",IF(OR($R1802=TRUE(),$R1802="TRUE"),1,0))</f>
        <v/>
      </c>
      <c r="AN1802">
        <f>IF($D1802="","",IF($X1802="Yes",1,0))</f>
        <v/>
      </c>
      <c r="AO1802">
        <f>IF($AK1802=1,IFERROR(IF(VALUE($D1802)&lt;100000000,VALUE($D1802),1000000000),IFERROR(IF(VALUE(MID($D1802,2,20))&lt;100000000,VALUE(MID($D1802,2,20)),1000000000),1000000000))+ROW()/100000,"")</f>
        <v/>
      </c>
    </row>
    <row r="1803">
      <c r="F1803" s="11" t="n"/>
      <c r="N1803" s="7">
        <f>IF($D1803="","",M1803*V1803/100)</f>
        <v/>
      </c>
      <c r="O1803" s="7" t="n"/>
      <c r="U1803" s="7" t="n"/>
      <c r="V1803" s="7" t="n"/>
      <c r="Y1803">
        <f>IF($D1803="","",IF($AN1803=1,0,IF($AM1803=1,Settings!$C$6,Settings!$C$7))*100)</f>
        <v/>
      </c>
      <c r="Z1803" s="7">
        <f>IF($D1803="","",V1803*Y1803/100)</f>
        <v/>
      </c>
      <c r="AA1803" s="7">
        <f>IF($D1803="","",V1803-Z1803)</f>
        <v/>
      </c>
      <c r="AB1803" s="7">
        <f>IF($D1803="","",AA1803-N1803)</f>
        <v/>
      </c>
      <c r="AF1803" s="7" t="n"/>
      <c r="AI1803" s="11" t="n"/>
      <c r="AK1803">
        <f>IF($D1803="","",IF(COUNTIF($D$2:$D1803,$D1803)=1,1,0))</f>
        <v/>
      </c>
      <c r="AL1803">
        <f>IF($AK1803=1,SUMPRODUCT(--($AO$2:$AO$3001&lt;$AO1803))+1,"")</f>
        <v/>
      </c>
      <c r="AM1803">
        <f>IF($D1803="","",IF(OR($R1803=TRUE(),$R1803="TRUE"),1,0))</f>
        <v/>
      </c>
      <c r="AN1803">
        <f>IF($D1803="","",IF($X1803="Yes",1,0))</f>
        <v/>
      </c>
      <c r="AO1803">
        <f>IF($AK1803=1,IFERROR(IF(VALUE($D1803)&lt;100000000,VALUE($D1803),1000000000),IFERROR(IF(VALUE(MID($D1803,2,20))&lt;100000000,VALUE(MID($D1803,2,20)),1000000000),1000000000))+ROW()/100000,"")</f>
        <v/>
      </c>
    </row>
    <row r="1804">
      <c r="F1804" s="11" t="n"/>
      <c r="N1804" s="7">
        <f>IF($D1804="","",M1804*V1804/100)</f>
        <v/>
      </c>
      <c r="O1804" s="7" t="n"/>
      <c r="U1804" s="7" t="n"/>
      <c r="V1804" s="7" t="n"/>
      <c r="Y1804">
        <f>IF($D1804="","",IF($AN1804=1,0,IF($AM1804=1,Settings!$C$6,Settings!$C$7))*100)</f>
        <v/>
      </c>
      <c r="Z1804" s="7">
        <f>IF($D1804="","",V1804*Y1804/100)</f>
        <v/>
      </c>
      <c r="AA1804" s="7">
        <f>IF($D1804="","",V1804-Z1804)</f>
        <v/>
      </c>
      <c r="AB1804" s="7">
        <f>IF($D1804="","",AA1804-N1804)</f>
        <v/>
      </c>
      <c r="AF1804" s="7" t="n"/>
      <c r="AI1804" s="11" t="n"/>
      <c r="AK1804">
        <f>IF($D1804="","",IF(COUNTIF($D$2:$D1804,$D1804)=1,1,0))</f>
        <v/>
      </c>
      <c r="AL1804">
        <f>IF($AK1804=1,SUMPRODUCT(--($AO$2:$AO$3001&lt;$AO1804))+1,"")</f>
        <v/>
      </c>
      <c r="AM1804">
        <f>IF($D1804="","",IF(OR($R1804=TRUE(),$R1804="TRUE"),1,0))</f>
        <v/>
      </c>
      <c r="AN1804">
        <f>IF($D1804="","",IF($X1804="Yes",1,0))</f>
        <v/>
      </c>
      <c r="AO1804">
        <f>IF($AK1804=1,IFERROR(IF(VALUE($D1804)&lt;100000000,VALUE($D1804),1000000000),IFERROR(IF(VALUE(MID($D1804,2,20))&lt;100000000,VALUE(MID($D1804,2,20)),1000000000),1000000000))+ROW()/100000,"")</f>
        <v/>
      </c>
    </row>
    <row r="1805">
      <c r="F1805" s="11" t="n"/>
      <c r="N1805" s="7">
        <f>IF($D1805="","",M1805*V1805/100)</f>
        <v/>
      </c>
      <c r="O1805" s="7" t="n"/>
      <c r="U1805" s="7" t="n"/>
      <c r="V1805" s="7" t="n"/>
      <c r="Y1805">
        <f>IF($D1805="","",IF($AN1805=1,0,IF($AM1805=1,Settings!$C$6,Settings!$C$7))*100)</f>
        <v/>
      </c>
      <c r="Z1805" s="7">
        <f>IF($D1805="","",V1805*Y1805/100)</f>
        <v/>
      </c>
      <c r="AA1805" s="7">
        <f>IF($D1805="","",V1805-Z1805)</f>
        <v/>
      </c>
      <c r="AB1805" s="7">
        <f>IF($D1805="","",AA1805-N1805)</f>
        <v/>
      </c>
      <c r="AF1805" s="7" t="n"/>
      <c r="AI1805" s="11" t="n"/>
      <c r="AK1805">
        <f>IF($D1805="","",IF(COUNTIF($D$2:$D1805,$D1805)=1,1,0))</f>
        <v/>
      </c>
      <c r="AL1805">
        <f>IF($AK1805=1,SUMPRODUCT(--($AO$2:$AO$3001&lt;$AO1805))+1,"")</f>
        <v/>
      </c>
      <c r="AM1805">
        <f>IF($D1805="","",IF(OR($R1805=TRUE(),$R1805="TRUE"),1,0))</f>
        <v/>
      </c>
      <c r="AN1805">
        <f>IF($D1805="","",IF($X1805="Yes",1,0))</f>
        <v/>
      </c>
      <c r="AO1805">
        <f>IF($AK1805=1,IFERROR(IF(VALUE($D1805)&lt;100000000,VALUE($D1805),1000000000),IFERROR(IF(VALUE(MID($D1805,2,20))&lt;100000000,VALUE(MID($D1805,2,20)),1000000000),1000000000))+ROW()/100000,"")</f>
        <v/>
      </c>
    </row>
    <row r="1806">
      <c r="F1806" s="11" t="n"/>
      <c r="N1806" s="7">
        <f>IF($D1806="","",M1806*V1806/100)</f>
        <v/>
      </c>
      <c r="O1806" s="7" t="n"/>
      <c r="U1806" s="7" t="n"/>
      <c r="V1806" s="7" t="n"/>
      <c r="Y1806">
        <f>IF($D1806="","",IF($AN1806=1,0,IF($AM1806=1,Settings!$C$6,Settings!$C$7))*100)</f>
        <v/>
      </c>
      <c r="Z1806" s="7">
        <f>IF($D1806="","",V1806*Y1806/100)</f>
        <v/>
      </c>
      <c r="AA1806" s="7">
        <f>IF($D1806="","",V1806-Z1806)</f>
        <v/>
      </c>
      <c r="AB1806" s="7">
        <f>IF($D1806="","",AA1806-N1806)</f>
        <v/>
      </c>
      <c r="AF1806" s="7" t="n"/>
      <c r="AI1806" s="11" t="n"/>
      <c r="AK1806">
        <f>IF($D1806="","",IF(COUNTIF($D$2:$D1806,$D1806)=1,1,0))</f>
        <v/>
      </c>
      <c r="AL1806">
        <f>IF($AK1806=1,SUMPRODUCT(--($AO$2:$AO$3001&lt;$AO1806))+1,"")</f>
        <v/>
      </c>
      <c r="AM1806">
        <f>IF($D1806="","",IF(OR($R1806=TRUE(),$R1806="TRUE"),1,0))</f>
        <v/>
      </c>
      <c r="AN1806">
        <f>IF($D1806="","",IF($X1806="Yes",1,0))</f>
        <v/>
      </c>
      <c r="AO1806">
        <f>IF($AK1806=1,IFERROR(IF(VALUE($D1806)&lt;100000000,VALUE($D1806),1000000000),IFERROR(IF(VALUE(MID($D1806,2,20))&lt;100000000,VALUE(MID($D1806,2,20)),1000000000),1000000000))+ROW()/100000,"")</f>
        <v/>
      </c>
    </row>
    <row r="1807">
      <c r="F1807" s="11" t="n"/>
      <c r="N1807" s="7">
        <f>IF($D1807="","",M1807*V1807/100)</f>
        <v/>
      </c>
      <c r="O1807" s="7" t="n"/>
      <c r="U1807" s="7" t="n"/>
      <c r="V1807" s="7" t="n"/>
      <c r="Y1807">
        <f>IF($D1807="","",IF($AN1807=1,0,IF($AM1807=1,Settings!$C$6,Settings!$C$7))*100)</f>
        <v/>
      </c>
      <c r="Z1807" s="7">
        <f>IF($D1807="","",V1807*Y1807/100)</f>
        <v/>
      </c>
      <c r="AA1807" s="7">
        <f>IF($D1807="","",V1807-Z1807)</f>
        <v/>
      </c>
      <c r="AB1807" s="7">
        <f>IF($D1807="","",AA1807-N1807)</f>
        <v/>
      </c>
      <c r="AF1807" s="7" t="n"/>
      <c r="AI1807" s="11" t="n"/>
      <c r="AK1807">
        <f>IF($D1807="","",IF(COUNTIF($D$2:$D1807,$D1807)=1,1,0))</f>
        <v/>
      </c>
      <c r="AL1807">
        <f>IF($AK1807=1,SUMPRODUCT(--($AO$2:$AO$3001&lt;$AO1807))+1,"")</f>
        <v/>
      </c>
      <c r="AM1807">
        <f>IF($D1807="","",IF(OR($R1807=TRUE(),$R1807="TRUE"),1,0))</f>
        <v/>
      </c>
      <c r="AN1807">
        <f>IF($D1807="","",IF($X1807="Yes",1,0))</f>
        <v/>
      </c>
      <c r="AO1807">
        <f>IF($AK1807=1,IFERROR(IF(VALUE($D1807)&lt;100000000,VALUE($D1807),1000000000),IFERROR(IF(VALUE(MID($D1807,2,20))&lt;100000000,VALUE(MID($D1807,2,20)),1000000000),1000000000))+ROW()/100000,"")</f>
        <v/>
      </c>
    </row>
    <row r="1808">
      <c r="F1808" s="11" t="n"/>
      <c r="N1808" s="7">
        <f>IF($D1808="","",M1808*V1808/100)</f>
        <v/>
      </c>
      <c r="O1808" s="7" t="n"/>
      <c r="U1808" s="7" t="n"/>
      <c r="V1808" s="7" t="n"/>
      <c r="Y1808">
        <f>IF($D1808="","",IF($AN1808=1,0,IF($AM1808=1,Settings!$C$6,Settings!$C$7))*100)</f>
        <v/>
      </c>
      <c r="Z1808" s="7">
        <f>IF($D1808="","",V1808*Y1808/100)</f>
        <v/>
      </c>
      <c r="AA1808" s="7">
        <f>IF($D1808="","",V1808-Z1808)</f>
        <v/>
      </c>
      <c r="AB1808" s="7">
        <f>IF($D1808="","",AA1808-N1808)</f>
        <v/>
      </c>
      <c r="AF1808" s="7" t="n"/>
      <c r="AI1808" s="11" t="n"/>
      <c r="AK1808">
        <f>IF($D1808="","",IF(COUNTIF($D$2:$D1808,$D1808)=1,1,0))</f>
        <v/>
      </c>
      <c r="AL1808">
        <f>IF($AK1808=1,SUMPRODUCT(--($AO$2:$AO$3001&lt;$AO1808))+1,"")</f>
        <v/>
      </c>
      <c r="AM1808">
        <f>IF($D1808="","",IF(OR($R1808=TRUE(),$R1808="TRUE"),1,0))</f>
        <v/>
      </c>
      <c r="AN1808">
        <f>IF($D1808="","",IF($X1808="Yes",1,0))</f>
        <v/>
      </c>
      <c r="AO1808">
        <f>IF($AK1808=1,IFERROR(IF(VALUE($D1808)&lt;100000000,VALUE($D1808),1000000000),IFERROR(IF(VALUE(MID($D1808,2,20))&lt;100000000,VALUE(MID($D1808,2,20)),1000000000),1000000000))+ROW()/100000,"")</f>
        <v/>
      </c>
    </row>
    <row r="1809">
      <c r="F1809" s="11" t="n"/>
      <c r="N1809" s="7">
        <f>IF($D1809="","",M1809*V1809/100)</f>
        <v/>
      </c>
      <c r="O1809" s="7" t="n"/>
      <c r="U1809" s="7" t="n"/>
      <c r="V1809" s="7" t="n"/>
      <c r="Y1809">
        <f>IF($D1809="","",IF($AN1809=1,0,IF($AM1809=1,Settings!$C$6,Settings!$C$7))*100)</f>
        <v/>
      </c>
      <c r="Z1809" s="7">
        <f>IF($D1809="","",V1809*Y1809/100)</f>
        <v/>
      </c>
      <c r="AA1809" s="7">
        <f>IF($D1809="","",V1809-Z1809)</f>
        <v/>
      </c>
      <c r="AB1809" s="7">
        <f>IF($D1809="","",AA1809-N1809)</f>
        <v/>
      </c>
      <c r="AF1809" s="7" t="n"/>
      <c r="AI1809" s="11" t="n"/>
      <c r="AK1809">
        <f>IF($D1809="","",IF(COUNTIF($D$2:$D1809,$D1809)=1,1,0))</f>
        <v/>
      </c>
      <c r="AL1809">
        <f>IF($AK1809=1,SUMPRODUCT(--($AO$2:$AO$3001&lt;$AO1809))+1,"")</f>
        <v/>
      </c>
      <c r="AM1809">
        <f>IF($D1809="","",IF(OR($R1809=TRUE(),$R1809="TRUE"),1,0))</f>
        <v/>
      </c>
      <c r="AN1809">
        <f>IF($D1809="","",IF($X1809="Yes",1,0))</f>
        <v/>
      </c>
      <c r="AO1809">
        <f>IF($AK1809=1,IFERROR(IF(VALUE($D1809)&lt;100000000,VALUE($D1809),1000000000),IFERROR(IF(VALUE(MID($D1809,2,20))&lt;100000000,VALUE(MID($D1809,2,20)),1000000000),1000000000))+ROW()/100000,"")</f>
        <v/>
      </c>
    </row>
    <row r="1810">
      <c r="F1810" s="11" t="n"/>
      <c r="N1810" s="7">
        <f>IF($D1810="","",M1810*V1810/100)</f>
        <v/>
      </c>
      <c r="O1810" s="7" t="n"/>
      <c r="U1810" s="7" t="n"/>
      <c r="V1810" s="7" t="n"/>
      <c r="Y1810">
        <f>IF($D1810="","",IF($AN1810=1,0,IF($AM1810=1,Settings!$C$6,Settings!$C$7))*100)</f>
        <v/>
      </c>
      <c r="Z1810" s="7">
        <f>IF($D1810="","",V1810*Y1810/100)</f>
        <v/>
      </c>
      <c r="AA1810" s="7">
        <f>IF($D1810="","",V1810-Z1810)</f>
        <v/>
      </c>
      <c r="AB1810" s="7">
        <f>IF($D1810="","",AA1810-N1810)</f>
        <v/>
      </c>
      <c r="AF1810" s="7" t="n"/>
      <c r="AI1810" s="11" t="n"/>
      <c r="AK1810">
        <f>IF($D1810="","",IF(COUNTIF($D$2:$D1810,$D1810)=1,1,0))</f>
        <v/>
      </c>
      <c r="AL1810">
        <f>IF($AK1810=1,SUMPRODUCT(--($AO$2:$AO$3001&lt;$AO1810))+1,"")</f>
        <v/>
      </c>
      <c r="AM1810">
        <f>IF($D1810="","",IF(OR($R1810=TRUE(),$R1810="TRUE"),1,0))</f>
        <v/>
      </c>
      <c r="AN1810">
        <f>IF($D1810="","",IF($X1810="Yes",1,0))</f>
        <v/>
      </c>
      <c r="AO1810">
        <f>IF($AK1810=1,IFERROR(IF(VALUE($D1810)&lt;100000000,VALUE($D1810),1000000000),IFERROR(IF(VALUE(MID($D1810,2,20))&lt;100000000,VALUE(MID($D1810,2,20)),1000000000),1000000000))+ROW()/100000,"")</f>
        <v/>
      </c>
    </row>
    <row r="1811">
      <c r="F1811" s="11" t="n"/>
      <c r="N1811" s="7">
        <f>IF($D1811="","",M1811*V1811/100)</f>
        <v/>
      </c>
      <c r="O1811" s="7" t="n"/>
      <c r="U1811" s="7" t="n"/>
      <c r="V1811" s="7" t="n"/>
      <c r="Y1811">
        <f>IF($D1811="","",IF($AN1811=1,0,IF($AM1811=1,Settings!$C$6,Settings!$C$7))*100)</f>
        <v/>
      </c>
      <c r="Z1811" s="7">
        <f>IF($D1811="","",V1811*Y1811/100)</f>
        <v/>
      </c>
      <c r="AA1811" s="7">
        <f>IF($D1811="","",V1811-Z1811)</f>
        <v/>
      </c>
      <c r="AB1811" s="7">
        <f>IF($D1811="","",AA1811-N1811)</f>
        <v/>
      </c>
      <c r="AF1811" s="7" t="n"/>
      <c r="AI1811" s="11" t="n"/>
      <c r="AK1811">
        <f>IF($D1811="","",IF(COUNTIF($D$2:$D1811,$D1811)=1,1,0))</f>
        <v/>
      </c>
      <c r="AL1811">
        <f>IF($AK1811=1,SUMPRODUCT(--($AO$2:$AO$3001&lt;$AO1811))+1,"")</f>
        <v/>
      </c>
      <c r="AM1811">
        <f>IF($D1811="","",IF(OR($R1811=TRUE(),$R1811="TRUE"),1,0))</f>
        <v/>
      </c>
      <c r="AN1811">
        <f>IF($D1811="","",IF($X1811="Yes",1,0))</f>
        <v/>
      </c>
      <c r="AO1811">
        <f>IF($AK1811=1,IFERROR(IF(VALUE($D1811)&lt;100000000,VALUE($D1811),1000000000),IFERROR(IF(VALUE(MID($D1811,2,20))&lt;100000000,VALUE(MID($D1811,2,20)),1000000000),1000000000))+ROW()/100000,"")</f>
        <v/>
      </c>
    </row>
    <row r="1812">
      <c r="F1812" s="11" t="n"/>
      <c r="N1812" s="7">
        <f>IF($D1812="","",M1812*V1812/100)</f>
        <v/>
      </c>
      <c r="O1812" s="7" t="n"/>
      <c r="U1812" s="7" t="n"/>
      <c r="V1812" s="7" t="n"/>
      <c r="Y1812">
        <f>IF($D1812="","",IF($AN1812=1,0,IF($AM1812=1,Settings!$C$6,Settings!$C$7))*100)</f>
        <v/>
      </c>
      <c r="Z1812" s="7">
        <f>IF($D1812="","",V1812*Y1812/100)</f>
        <v/>
      </c>
      <c r="AA1812" s="7">
        <f>IF($D1812="","",V1812-Z1812)</f>
        <v/>
      </c>
      <c r="AB1812" s="7">
        <f>IF($D1812="","",AA1812-N1812)</f>
        <v/>
      </c>
      <c r="AF1812" s="7" t="n"/>
      <c r="AI1812" s="11" t="n"/>
      <c r="AK1812">
        <f>IF($D1812="","",IF(COUNTIF($D$2:$D1812,$D1812)=1,1,0))</f>
        <v/>
      </c>
      <c r="AL1812">
        <f>IF($AK1812=1,SUMPRODUCT(--($AO$2:$AO$3001&lt;$AO1812))+1,"")</f>
        <v/>
      </c>
      <c r="AM1812">
        <f>IF($D1812="","",IF(OR($R1812=TRUE(),$R1812="TRUE"),1,0))</f>
        <v/>
      </c>
      <c r="AN1812">
        <f>IF($D1812="","",IF($X1812="Yes",1,0))</f>
        <v/>
      </c>
      <c r="AO1812">
        <f>IF($AK1812=1,IFERROR(IF(VALUE($D1812)&lt;100000000,VALUE($D1812),1000000000),IFERROR(IF(VALUE(MID($D1812,2,20))&lt;100000000,VALUE(MID($D1812,2,20)),1000000000),1000000000))+ROW()/100000,"")</f>
        <v/>
      </c>
    </row>
    <row r="1813">
      <c r="F1813" s="11" t="n"/>
      <c r="N1813" s="7">
        <f>IF($D1813="","",M1813*V1813/100)</f>
        <v/>
      </c>
      <c r="O1813" s="7" t="n"/>
      <c r="U1813" s="7" t="n"/>
      <c r="V1813" s="7" t="n"/>
      <c r="Y1813">
        <f>IF($D1813="","",IF($AN1813=1,0,IF($AM1813=1,Settings!$C$6,Settings!$C$7))*100)</f>
        <v/>
      </c>
      <c r="Z1813" s="7">
        <f>IF($D1813="","",V1813*Y1813/100)</f>
        <v/>
      </c>
      <c r="AA1813" s="7">
        <f>IF($D1813="","",V1813-Z1813)</f>
        <v/>
      </c>
      <c r="AB1813" s="7">
        <f>IF($D1813="","",AA1813-N1813)</f>
        <v/>
      </c>
      <c r="AF1813" s="7" t="n"/>
      <c r="AI1813" s="11" t="n"/>
      <c r="AK1813">
        <f>IF($D1813="","",IF(COUNTIF($D$2:$D1813,$D1813)=1,1,0))</f>
        <v/>
      </c>
      <c r="AL1813">
        <f>IF($AK1813=1,SUMPRODUCT(--($AO$2:$AO$3001&lt;$AO1813))+1,"")</f>
        <v/>
      </c>
      <c r="AM1813">
        <f>IF($D1813="","",IF(OR($R1813=TRUE(),$R1813="TRUE"),1,0))</f>
        <v/>
      </c>
      <c r="AN1813">
        <f>IF($D1813="","",IF($X1813="Yes",1,0))</f>
        <v/>
      </c>
      <c r="AO1813">
        <f>IF($AK1813=1,IFERROR(IF(VALUE($D1813)&lt;100000000,VALUE($D1813),1000000000),IFERROR(IF(VALUE(MID($D1813,2,20))&lt;100000000,VALUE(MID($D1813,2,20)),1000000000),1000000000))+ROW()/100000,"")</f>
        <v/>
      </c>
    </row>
    <row r="1814">
      <c r="F1814" s="11" t="n"/>
      <c r="N1814" s="7">
        <f>IF($D1814="","",M1814*V1814/100)</f>
        <v/>
      </c>
      <c r="O1814" s="7" t="n"/>
      <c r="U1814" s="7" t="n"/>
      <c r="V1814" s="7" t="n"/>
      <c r="Y1814">
        <f>IF($D1814="","",IF($AN1814=1,0,IF($AM1814=1,Settings!$C$6,Settings!$C$7))*100)</f>
        <v/>
      </c>
      <c r="Z1814" s="7">
        <f>IF($D1814="","",V1814*Y1814/100)</f>
        <v/>
      </c>
      <c r="AA1814" s="7">
        <f>IF($D1814="","",V1814-Z1814)</f>
        <v/>
      </c>
      <c r="AB1814" s="7">
        <f>IF($D1814="","",AA1814-N1814)</f>
        <v/>
      </c>
      <c r="AF1814" s="7" t="n"/>
      <c r="AI1814" s="11" t="n"/>
      <c r="AK1814">
        <f>IF($D1814="","",IF(COUNTIF($D$2:$D1814,$D1814)=1,1,0))</f>
        <v/>
      </c>
      <c r="AL1814">
        <f>IF($AK1814=1,SUMPRODUCT(--($AO$2:$AO$3001&lt;$AO1814))+1,"")</f>
        <v/>
      </c>
      <c r="AM1814">
        <f>IF($D1814="","",IF(OR($R1814=TRUE(),$R1814="TRUE"),1,0))</f>
        <v/>
      </c>
      <c r="AN1814">
        <f>IF($D1814="","",IF($X1814="Yes",1,0))</f>
        <v/>
      </c>
      <c r="AO1814">
        <f>IF($AK1814=1,IFERROR(IF(VALUE($D1814)&lt;100000000,VALUE($D1814),1000000000),IFERROR(IF(VALUE(MID($D1814,2,20))&lt;100000000,VALUE(MID($D1814,2,20)),1000000000),1000000000))+ROW()/100000,"")</f>
        <v/>
      </c>
    </row>
    <row r="1815">
      <c r="F1815" s="11" t="n"/>
      <c r="N1815" s="7">
        <f>IF($D1815="","",M1815*V1815/100)</f>
        <v/>
      </c>
      <c r="O1815" s="7" t="n"/>
      <c r="U1815" s="7" t="n"/>
      <c r="V1815" s="7" t="n"/>
      <c r="Y1815">
        <f>IF($D1815="","",IF($AN1815=1,0,IF($AM1815=1,Settings!$C$6,Settings!$C$7))*100)</f>
        <v/>
      </c>
      <c r="Z1815" s="7">
        <f>IF($D1815="","",V1815*Y1815/100)</f>
        <v/>
      </c>
      <c r="AA1815" s="7">
        <f>IF($D1815="","",V1815-Z1815)</f>
        <v/>
      </c>
      <c r="AB1815" s="7">
        <f>IF($D1815="","",AA1815-N1815)</f>
        <v/>
      </c>
      <c r="AF1815" s="7" t="n"/>
      <c r="AI1815" s="11" t="n"/>
      <c r="AK1815">
        <f>IF($D1815="","",IF(COUNTIF($D$2:$D1815,$D1815)=1,1,0))</f>
        <v/>
      </c>
      <c r="AL1815">
        <f>IF($AK1815=1,SUMPRODUCT(--($AO$2:$AO$3001&lt;$AO1815))+1,"")</f>
        <v/>
      </c>
      <c r="AM1815">
        <f>IF($D1815="","",IF(OR($R1815=TRUE(),$R1815="TRUE"),1,0))</f>
        <v/>
      </c>
      <c r="AN1815">
        <f>IF($D1815="","",IF($X1815="Yes",1,0))</f>
        <v/>
      </c>
      <c r="AO1815">
        <f>IF($AK1815=1,IFERROR(IF(VALUE($D1815)&lt;100000000,VALUE($D1815),1000000000),IFERROR(IF(VALUE(MID($D1815,2,20))&lt;100000000,VALUE(MID($D1815,2,20)),1000000000),1000000000))+ROW()/100000,"")</f>
        <v/>
      </c>
    </row>
    <row r="1816">
      <c r="F1816" s="11" t="n"/>
      <c r="N1816" s="7">
        <f>IF($D1816="","",M1816*V1816/100)</f>
        <v/>
      </c>
      <c r="O1816" s="7" t="n"/>
      <c r="U1816" s="7" t="n"/>
      <c r="V1816" s="7" t="n"/>
      <c r="Y1816">
        <f>IF($D1816="","",IF($AN1816=1,0,IF($AM1816=1,Settings!$C$6,Settings!$C$7))*100)</f>
        <v/>
      </c>
      <c r="Z1816" s="7">
        <f>IF($D1816="","",V1816*Y1816/100)</f>
        <v/>
      </c>
      <c r="AA1816" s="7">
        <f>IF($D1816="","",V1816-Z1816)</f>
        <v/>
      </c>
      <c r="AB1816" s="7">
        <f>IF($D1816="","",AA1816-N1816)</f>
        <v/>
      </c>
      <c r="AF1816" s="7" t="n"/>
      <c r="AI1816" s="11" t="n"/>
      <c r="AK1816">
        <f>IF($D1816="","",IF(COUNTIF($D$2:$D1816,$D1816)=1,1,0))</f>
        <v/>
      </c>
      <c r="AL1816">
        <f>IF($AK1816=1,SUMPRODUCT(--($AO$2:$AO$3001&lt;$AO1816))+1,"")</f>
        <v/>
      </c>
      <c r="AM1816">
        <f>IF($D1816="","",IF(OR($R1816=TRUE(),$R1816="TRUE"),1,0))</f>
        <v/>
      </c>
      <c r="AN1816">
        <f>IF($D1816="","",IF($X1816="Yes",1,0))</f>
        <v/>
      </c>
      <c r="AO1816">
        <f>IF($AK1816=1,IFERROR(IF(VALUE($D1816)&lt;100000000,VALUE($D1816),1000000000),IFERROR(IF(VALUE(MID($D1816,2,20))&lt;100000000,VALUE(MID($D1816,2,20)),1000000000),1000000000))+ROW()/100000,"")</f>
        <v/>
      </c>
    </row>
    <row r="1817">
      <c r="F1817" s="11" t="n"/>
      <c r="N1817" s="7">
        <f>IF($D1817="","",M1817*V1817/100)</f>
        <v/>
      </c>
      <c r="O1817" s="7" t="n"/>
      <c r="U1817" s="7" t="n"/>
      <c r="V1817" s="7" t="n"/>
      <c r="Y1817">
        <f>IF($D1817="","",IF($AN1817=1,0,IF($AM1817=1,Settings!$C$6,Settings!$C$7))*100)</f>
        <v/>
      </c>
      <c r="Z1817" s="7">
        <f>IF($D1817="","",V1817*Y1817/100)</f>
        <v/>
      </c>
      <c r="AA1817" s="7">
        <f>IF($D1817="","",V1817-Z1817)</f>
        <v/>
      </c>
      <c r="AB1817" s="7">
        <f>IF($D1817="","",AA1817-N1817)</f>
        <v/>
      </c>
      <c r="AF1817" s="7" t="n"/>
      <c r="AI1817" s="11" t="n"/>
      <c r="AK1817">
        <f>IF($D1817="","",IF(COUNTIF($D$2:$D1817,$D1817)=1,1,0))</f>
        <v/>
      </c>
      <c r="AL1817">
        <f>IF($AK1817=1,SUMPRODUCT(--($AO$2:$AO$3001&lt;$AO1817))+1,"")</f>
        <v/>
      </c>
      <c r="AM1817">
        <f>IF($D1817="","",IF(OR($R1817=TRUE(),$R1817="TRUE"),1,0))</f>
        <v/>
      </c>
      <c r="AN1817">
        <f>IF($D1817="","",IF($X1817="Yes",1,0))</f>
        <v/>
      </c>
      <c r="AO1817">
        <f>IF($AK1817=1,IFERROR(IF(VALUE($D1817)&lt;100000000,VALUE($D1817),1000000000),IFERROR(IF(VALUE(MID($D1817,2,20))&lt;100000000,VALUE(MID($D1817,2,20)),1000000000),1000000000))+ROW()/100000,"")</f>
        <v/>
      </c>
    </row>
    <row r="1818">
      <c r="F1818" s="11" t="n"/>
      <c r="N1818" s="7">
        <f>IF($D1818="","",M1818*V1818/100)</f>
        <v/>
      </c>
      <c r="O1818" s="7" t="n"/>
      <c r="U1818" s="7" t="n"/>
      <c r="V1818" s="7" t="n"/>
      <c r="Y1818">
        <f>IF($D1818="","",IF($AN1818=1,0,IF($AM1818=1,Settings!$C$6,Settings!$C$7))*100)</f>
        <v/>
      </c>
      <c r="Z1818" s="7">
        <f>IF($D1818="","",V1818*Y1818/100)</f>
        <v/>
      </c>
      <c r="AA1818" s="7">
        <f>IF($D1818="","",V1818-Z1818)</f>
        <v/>
      </c>
      <c r="AB1818" s="7">
        <f>IF($D1818="","",AA1818-N1818)</f>
        <v/>
      </c>
      <c r="AF1818" s="7" t="n"/>
      <c r="AI1818" s="11" t="n"/>
      <c r="AK1818">
        <f>IF($D1818="","",IF(COUNTIF($D$2:$D1818,$D1818)=1,1,0))</f>
        <v/>
      </c>
      <c r="AL1818">
        <f>IF($AK1818=1,SUMPRODUCT(--($AO$2:$AO$3001&lt;$AO1818))+1,"")</f>
        <v/>
      </c>
      <c r="AM1818">
        <f>IF($D1818="","",IF(OR($R1818=TRUE(),$R1818="TRUE"),1,0))</f>
        <v/>
      </c>
      <c r="AN1818">
        <f>IF($D1818="","",IF($X1818="Yes",1,0))</f>
        <v/>
      </c>
      <c r="AO1818">
        <f>IF($AK1818=1,IFERROR(IF(VALUE($D1818)&lt;100000000,VALUE($D1818),1000000000),IFERROR(IF(VALUE(MID($D1818,2,20))&lt;100000000,VALUE(MID($D1818,2,20)),1000000000),1000000000))+ROW()/100000,"")</f>
        <v/>
      </c>
    </row>
    <row r="1819">
      <c r="F1819" s="11" t="n"/>
      <c r="N1819" s="7">
        <f>IF($D1819="","",M1819*V1819/100)</f>
        <v/>
      </c>
      <c r="O1819" s="7" t="n"/>
      <c r="U1819" s="7" t="n"/>
      <c r="V1819" s="7" t="n"/>
      <c r="Y1819">
        <f>IF($D1819="","",IF($AN1819=1,0,IF($AM1819=1,Settings!$C$6,Settings!$C$7))*100)</f>
        <v/>
      </c>
      <c r="Z1819" s="7">
        <f>IF($D1819="","",V1819*Y1819/100)</f>
        <v/>
      </c>
      <c r="AA1819" s="7">
        <f>IF($D1819="","",V1819-Z1819)</f>
        <v/>
      </c>
      <c r="AB1819" s="7">
        <f>IF($D1819="","",AA1819-N1819)</f>
        <v/>
      </c>
      <c r="AF1819" s="7" t="n"/>
      <c r="AI1819" s="11" t="n"/>
      <c r="AK1819">
        <f>IF($D1819="","",IF(COUNTIF($D$2:$D1819,$D1819)=1,1,0))</f>
        <v/>
      </c>
      <c r="AL1819">
        <f>IF($AK1819=1,SUMPRODUCT(--($AO$2:$AO$3001&lt;$AO1819))+1,"")</f>
        <v/>
      </c>
      <c r="AM1819">
        <f>IF($D1819="","",IF(OR($R1819=TRUE(),$R1819="TRUE"),1,0))</f>
        <v/>
      </c>
      <c r="AN1819">
        <f>IF($D1819="","",IF($X1819="Yes",1,0))</f>
        <v/>
      </c>
      <c r="AO1819">
        <f>IF($AK1819=1,IFERROR(IF(VALUE($D1819)&lt;100000000,VALUE($D1819),1000000000),IFERROR(IF(VALUE(MID($D1819,2,20))&lt;100000000,VALUE(MID($D1819,2,20)),1000000000),1000000000))+ROW()/100000,"")</f>
        <v/>
      </c>
    </row>
    <row r="1820">
      <c r="F1820" s="11" t="n"/>
      <c r="N1820" s="7">
        <f>IF($D1820="","",M1820*V1820/100)</f>
        <v/>
      </c>
      <c r="O1820" s="7" t="n"/>
      <c r="U1820" s="7" t="n"/>
      <c r="V1820" s="7" t="n"/>
      <c r="Y1820">
        <f>IF($D1820="","",IF($AN1820=1,0,IF($AM1820=1,Settings!$C$6,Settings!$C$7))*100)</f>
        <v/>
      </c>
      <c r="Z1820" s="7">
        <f>IF($D1820="","",V1820*Y1820/100)</f>
        <v/>
      </c>
      <c r="AA1820" s="7">
        <f>IF($D1820="","",V1820-Z1820)</f>
        <v/>
      </c>
      <c r="AB1820" s="7">
        <f>IF($D1820="","",AA1820-N1820)</f>
        <v/>
      </c>
      <c r="AF1820" s="7" t="n"/>
      <c r="AI1820" s="11" t="n"/>
      <c r="AK1820">
        <f>IF($D1820="","",IF(COUNTIF($D$2:$D1820,$D1820)=1,1,0))</f>
        <v/>
      </c>
      <c r="AL1820">
        <f>IF($AK1820=1,SUMPRODUCT(--($AO$2:$AO$3001&lt;$AO1820))+1,"")</f>
        <v/>
      </c>
      <c r="AM1820">
        <f>IF($D1820="","",IF(OR($R1820=TRUE(),$R1820="TRUE"),1,0))</f>
        <v/>
      </c>
      <c r="AN1820">
        <f>IF($D1820="","",IF($X1820="Yes",1,0))</f>
        <v/>
      </c>
      <c r="AO1820">
        <f>IF($AK1820=1,IFERROR(IF(VALUE($D1820)&lt;100000000,VALUE($D1820),1000000000),IFERROR(IF(VALUE(MID($D1820,2,20))&lt;100000000,VALUE(MID($D1820,2,20)),1000000000),1000000000))+ROW()/100000,"")</f>
        <v/>
      </c>
    </row>
    <row r="1821">
      <c r="F1821" s="11" t="n"/>
      <c r="N1821" s="7">
        <f>IF($D1821="","",M1821*V1821/100)</f>
        <v/>
      </c>
      <c r="O1821" s="7" t="n"/>
      <c r="U1821" s="7" t="n"/>
      <c r="V1821" s="7" t="n"/>
      <c r="Y1821">
        <f>IF($D1821="","",IF($AN1821=1,0,IF($AM1821=1,Settings!$C$6,Settings!$C$7))*100)</f>
        <v/>
      </c>
      <c r="Z1821" s="7">
        <f>IF($D1821="","",V1821*Y1821/100)</f>
        <v/>
      </c>
      <c r="AA1821" s="7">
        <f>IF($D1821="","",V1821-Z1821)</f>
        <v/>
      </c>
      <c r="AB1821" s="7">
        <f>IF($D1821="","",AA1821-N1821)</f>
        <v/>
      </c>
      <c r="AF1821" s="7" t="n"/>
      <c r="AI1821" s="11" t="n"/>
      <c r="AK1821">
        <f>IF($D1821="","",IF(COUNTIF($D$2:$D1821,$D1821)=1,1,0))</f>
        <v/>
      </c>
      <c r="AL1821">
        <f>IF($AK1821=1,SUMPRODUCT(--($AO$2:$AO$3001&lt;$AO1821))+1,"")</f>
        <v/>
      </c>
      <c r="AM1821">
        <f>IF($D1821="","",IF(OR($R1821=TRUE(),$R1821="TRUE"),1,0))</f>
        <v/>
      </c>
      <c r="AN1821">
        <f>IF($D1821="","",IF($X1821="Yes",1,0))</f>
        <v/>
      </c>
      <c r="AO1821">
        <f>IF($AK1821=1,IFERROR(IF(VALUE($D1821)&lt;100000000,VALUE($D1821),1000000000),IFERROR(IF(VALUE(MID($D1821,2,20))&lt;100000000,VALUE(MID($D1821,2,20)),1000000000),1000000000))+ROW()/100000,"")</f>
        <v/>
      </c>
    </row>
    <row r="1822">
      <c r="F1822" s="11" t="n"/>
      <c r="N1822" s="7">
        <f>IF($D1822="","",M1822*V1822/100)</f>
        <v/>
      </c>
      <c r="O1822" s="7" t="n"/>
      <c r="U1822" s="7" t="n"/>
      <c r="V1822" s="7" t="n"/>
      <c r="Y1822">
        <f>IF($D1822="","",IF($AN1822=1,0,IF($AM1822=1,Settings!$C$6,Settings!$C$7))*100)</f>
        <v/>
      </c>
      <c r="Z1822" s="7">
        <f>IF($D1822="","",V1822*Y1822/100)</f>
        <v/>
      </c>
      <c r="AA1822" s="7">
        <f>IF($D1822="","",V1822-Z1822)</f>
        <v/>
      </c>
      <c r="AB1822" s="7">
        <f>IF($D1822="","",AA1822-N1822)</f>
        <v/>
      </c>
      <c r="AF1822" s="7" t="n"/>
      <c r="AI1822" s="11" t="n"/>
      <c r="AK1822">
        <f>IF($D1822="","",IF(COUNTIF($D$2:$D1822,$D1822)=1,1,0))</f>
        <v/>
      </c>
      <c r="AL1822">
        <f>IF($AK1822=1,SUMPRODUCT(--($AO$2:$AO$3001&lt;$AO1822))+1,"")</f>
        <v/>
      </c>
      <c r="AM1822">
        <f>IF($D1822="","",IF(OR($R1822=TRUE(),$R1822="TRUE"),1,0))</f>
        <v/>
      </c>
      <c r="AN1822">
        <f>IF($D1822="","",IF($X1822="Yes",1,0))</f>
        <v/>
      </c>
      <c r="AO1822">
        <f>IF($AK1822=1,IFERROR(IF(VALUE($D1822)&lt;100000000,VALUE($D1822),1000000000),IFERROR(IF(VALUE(MID($D1822,2,20))&lt;100000000,VALUE(MID($D1822,2,20)),1000000000),1000000000))+ROW()/100000,"")</f>
        <v/>
      </c>
    </row>
    <row r="1823">
      <c r="F1823" s="11" t="n"/>
      <c r="N1823" s="7">
        <f>IF($D1823="","",M1823*V1823/100)</f>
        <v/>
      </c>
      <c r="O1823" s="7" t="n"/>
      <c r="U1823" s="7" t="n"/>
      <c r="V1823" s="7" t="n"/>
      <c r="Y1823">
        <f>IF($D1823="","",IF($AN1823=1,0,IF($AM1823=1,Settings!$C$6,Settings!$C$7))*100)</f>
        <v/>
      </c>
      <c r="Z1823" s="7">
        <f>IF($D1823="","",V1823*Y1823/100)</f>
        <v/>
      </c>
      <c r="AA1823" s="7">
        <f>IF($D1823="","",V1823-Z1823)</f>
        <v/>
      </c>
      <c r="AB1823" s="7">
        <f>IF($D1823="","",AA1823-N1823)</f>
        <v/>
      </c>
      <c r="AF1823" s="7" t="n"/>
      <c r="AI1823" s="11" t="n"/>
      <c r="AK1823">
        <f>IF($D1823="","",IF(COUNTIF($D$2:$D1823,$D1823)=1,1,0))</f>
        <v/>
      </c>
      <c r="AL1823">
        <f>IF($AK1823=1,SUMPRODUCT(--($AO$2:$AO$3001&lt;$AO1823))+1,"")</f>
        <v/>
      </c>
      <c r="AM1823">
        <f>IF($D1823="","",IF(OR($R1823=TRUE(),$R1823="TRUE"),1,0))</f>
        <v/>
      </c>
      <c r="AN1823">
        <f>IF($D1823="","",IF($X1823="Yes",1,0))</f>
        <v/>
      </c>
      <c r="AO1823">
        <f>IF($AK1823=1,IFERROR(IF(VALUE($D1823)&lt;100000000,VALUE($D1823),1000000000),IFERROR(IF(VALUE(MID($D1823,2,20))&lt;100000000,VALUE(MID($D1823,2,20)),1000000000),1000000000))+ROW()/100000,"")</f>
        <v/>
      </c>
    </row>
    <row r="1824">
      <c r="F1824" s="11" t="n"/>
      <c r="N1824" s="7">
        <f>IF($D1824="","",M1824*V1824/100)</f>
        <v/>
      </c>
      <c r="O1824" s="7" t="n"/>
      <c r="U1824" s="7" t="n"/>
      <c r="V1824" s="7" t="n"/>
      <c r="Y1824">
        <f>IF($D1824="","",IF($AN1824=1,0,IF($AM1824=1,Settings!$C$6,Settings!$C$7))*100)</f>
        <v/>
      </c>
      <c r="Z1824" s="7">
        <f>IF($D1824="","",V1824*Y1824/100)</f>
        <v/>
      </c>
      <c r="AA1824" s="7">
        <f>IF($D1824="","",V1824-Z1824)</f>
        <v/>
      </c>
      <c r="AB1824" s="7">
        <f>IF($D1824="","",AA1824-N1824)</f>
        <v/>
      </c>
      <c r="AF1824" s="7" t="n"/>
      <c r="AI1824" s="11" t="n"/>
      <c r="AK1824">
        <f>IF($D1824="","",IF(COUNTIF($D$2:$D1824,$D1824)=1,1,0))</f>
        <v/>
      </c>
      <c r="AL1824">
        <f>IF($AK1824=1,SUMPRODUCT(--($AO$2:$AO$3001&lt;$AO1824))+1,"")</f>
        <v/>
      </c>
      <c r="AM1824">
        <f>IF($D1824="","",IF(OR($R1824=TRUE(),$R1824="TRUE"),1,0))</f>
        <v/>
      </c>
      <c r="AN1824">
        <f>IF($D1824="","",IF($X1824="Yes",1,0))</f>
        <v/>
      </c>
      <c r="AO1824">
        <f>IF($AK1824=1,IFERROR(IF(VALUE($D1824)&lt;100000000,VALUE($D1824),1000000000),IFERROR(IF(VALUE(MID($D1824,2,20))&lt;100000000,VALUE(MID($D1824,2,20)),1000000000),1000000000))+ROW()/100000,"")</f>
        <v/>
      </c>
    </row>
    <row r="1825">
      <c r="F1825" s="11" t="n"/>
      <c r="N1825" s="7">
        <f>IF($D1825="","",M1825*V1825/100)</f>
        <v/>
      </c>
      <c r="O1825" s="7" t="n"/>
      <c r="U1825" s="7" t="n"/>
      <c r="V1825" s="7" t="n"/>
      <c r="Y1825">
        <f>IF($D1825="","",IF($AN1825=1,0,IF($AM1825=1,Settings!$C$6,Settings!$C$7))*100)</f>
        <v/>
      </c>
      <c r="Z1825" s="7">
        <f>IF($D1825="","",V1825*Y1825/100)</f>
        <v/>
      </c>
      <c r="AA1825" s="7">
        <f>IF($D1825="","",V1825-Z1825)</f>
        <v/>
      </c>
      <c r="AB1825" s="7">
        <f>IF($D1825="","",AA1825-N1825)</f>
        <v/>
      </c>
      <c r="AF1825" s="7" t="n"/>
      <c r="AI1825" s="11" t="n"/>
      <c r="AK1825">
        <f>IF($D1825="","",IF(COUNTIF($D$2:$D1825,$D1825)=1,1,0))</f>
        <v/>
      </c>
      <c r="AL1825">
        <f>IF($AK1825=1,SUMPRODUCT(--($AO$2:$AO$3001&lt;$AO1825))+1,"")</f>
        <v/>
      </c>
      <c r="AM1825">
        <f>IF($D1825="","",IF(OR($R1825=TRUE(),$R1825="TRUE"),1,0))</f>
        <v/>
      </c>
      <c r="AN1825">
        <f>IF($D1825="","",IF($X1825="Yes",1,0))</f>
        <v/>
      </c>
      <c r="AO1825">
        <f>IF($AK1825=1,IFERROR(IF(VALUE($D1825)&lt;100000000,VALUE($D1825),1000000000),IFERROR(IF(VALUE(MID($D1825,2,20))&lt;100000000,VALUE(MID($D1825,2,20)),1000000000),1000000000))+ROW()/100000,"")</f>
        <v/>
      </c>
    </row>
    <row r="1826">
      <c r="F1826" s="11" t="n"/>
      <c r="N1826" s="7">
        <f>IF($D1826="","",M1826*V1826/100)</f>
        <v/>
      </c>
      <c r="O1826" s="7" t="n"/>
      <c r="U1826" s="7" t="n"/>
      <c r="V1826" s="7" t="n"/>
      <c r="Y1826">
        <f>IF($D1826="","",IF($AN1826=1,0,IF($AM1826=1,Settings!$C$6,Settings!$C$7))*100)</f>
        <v/>
      </c>
      <c r="Z1826" s="7">
        <f>IF($D1826="","",V1826*Y1826/100)</f>
        <v/>
      </c>
      <c r="AA1826" s="7">
        <f>IF($D1826="","",V1826-Z1826)</f>
        <v/>
      </c>
      <c r="AB1826" s="7">
        <f>IF($D1826="","",AA1826-N1826)</f>
        <v/>
      </c>
      <c r="AF1826" s="7" t="n"/>
      <c r="AI1826" s="11" t="n"/>
      <c r="AK1826">
        <f>IF($D1826="","",IF(COUNTIF($D$2:$D1826,$D1826)=1,1,0))</f>
        <v/>
      </c>
      <c r="AL1826">
        <f>IF($AK1826=1,SUMPRODUCT(--($AO$2:$AO$3001&lt;$AO1826))+1,"")</f>
        <v/>
      </c>
      <c r="AM1826">
        <f>IF($D1826="","",IF(OR($R1826=TRUE(),$R1826="TRUE"),1,0))</f>
        <v/>
      </c>
      <c r="AN1826">
        <f>IF($D1826="","",IF($X1826="Yes",1,0))</f>
        <v/>
      </c>
      <c r="AO1826">
        <f>IF($AK1826=1,IFERROR(IF(VALUE($D1826)&lt;100000000,VALUE($D1826),1000000000),IFERROR(IF(VALUE(MID($D1826,2,20))&lt;100000000,VALUE(MID($D1826,2,20)),1000000000),1000000000))+ROW()/100000,"")</f>
        <v/>
      </c>
    </row>
    <row r="1827">
      <c r="F1827" s="11" t="n"/>
      <c r="N1827" s="7">
        <f>IF($D1827="","",M1827*V1827/100)</f>
        <v/>
      </c>
      <c r="O1827" s="7" t="n"/>
      <c r="U1827" s="7" t="n"/>
      <c r="V1827" s="7" t="n"/>
      <c r="Y1827">
        <f>IF($D1827="","",IF($AN1827=1,0,IF($AM1827=1,Settings!$C$6,Settings!$C$7))*100)</f>
        <v/>
      </c>
      <c r="Z1827" s="7">
        <f>IF($D1827="","",V1827*Y1827/100)</f>
        <v/>
      </c>
      <c r="AA1827" s="7">
        <f>IF($D1827="","",V1827-Z1827)</f>
        <v/>
      </c>
      <c r="AB1827" s="7">
        <f>IF($D1827="","",AA1827-N1827)</f>
        <v/>
      </c>
      <c r="AF1827" s="7" t="n"/>
      <c r="AI1827" s="11" t="n"/>
      <c r="AK1827">
        <f>IF($D1827="","",IF(COUNTIF($D$2:$D1827,$D1827)=1,1,0))</f>
        <v/>
      </c>
      <c r="AL1827">
        <f>IF($AK1827=1,SUMPRODUCT(--($AO$2:$AO$3001&lt;$AO1827))+1,"")</f>
        <v/>
      </c>
      <c r="AM1827">
        <f>IF($D1827="","",IF(OR($R1827=TRUE(),$R1827="TRUE"),1,0))</f>
        <v/>
      </c>
      <c r="AN1827">
        <f>IF($D1827="","",IF($X1827="Yes",1,0))</f>
        <v/>
      </c>
      <c r="AO1827">
        <f>IF($AK1827=1,IFERROR(IF(VALUE($D1827)&lt;100000000,VALUE($D1827),1000000000),IFERROR(IF(VALUE(MID($D1827,2,20))&lt;100000000,VALUE(MID($D1827,2,20)),1000000000),1000000000))+ROW()/100000,"")</f>
        <v/>
      </c>
    </row>
    <row r="1828">
      <c r="F1828" s="11" t="n"/>
      <c r="N1828" s="7">
        <f>IF($D1828="","",M1828*V1828/100)</f>
        <v/>
      </c>
      <c r="O1828" s="7" t="n"/>
      <c r="U1828" s="7" t="n"/>
      <c r="V1828" s="7" t="n"/>
      <c r="Y1828">
        <f>IF($D1828="","",IF($AN1828=1,0,IF($AM1828=1,Settings!$C$6,Settings!$C$7))*100)</f>
        <v/>
      </c>
      <c r="Z1828" s="7">
        <f>IF($D1828="","",V1828*Y1828/100)</f>
        <v/>
      </c>
      <c r="AA1828" s="7">
        <f>IF($D1828="","",V1828-Z1828)</f>
        <v/>
      </c>
      <c r="AB1828" s="7">
        <f>IF($D1828="","",AA1828-N1828)</f>
        <v/>
      </c>
      <c r="AF1828" s="7" t="n"/>
      <c r="AI1828" s="11" t="n"/>
      <c r="AK1828">
        <f>IF($D1828="","",IF(COUNTIF($D$2:$D1828,$D1828)=1,1,0))</f>
        <v/>
      </c>
      <c r="AL1828">
        <f>IF($AK1828=1,SUMPRODUCT(--($AO$2:$AO$3001&lt;$AO1828))+1,"")</f>
        <v/>
      </c>
      <c r="AM1828">
        <f>IF($D1828="","",IF(OR($R1828=TRUE(),$R1828="TRUE"),1,0))</f>
        <v/>
      </c>
      <c r="AN1828">
        <f>IF($D1828="","",IF($X1828="Yes",1,0))</f>
        <v/>
      </c>
      <c r="AO1828">
        <f>IF($AK1828=1,IFERROR(IF(VALUE($D1828)&lt;100000000,VALUE($D1828),1000000000),IFERROR(IF(VALUE(MID($D1828,2,20))&lt;100000000,VALUE(MID($D1828,2,20)),1000000000),1000000000))+ROW()/100000,"")</f>
        <v/>
      </c>
    </row>
    <row r="1829">
      <c r="F1829" s="11" t="n"/>
      <c r="N1829" s="7">
        <f>IF($D1829="","",M1829*V1829/100)</f>
        <v/>
      </c>
      <c r="O1829" s="7" t="n"/>
      <c r="U1829" s="7" t="n"/>
      <c r="V1829" s="7" t="n"/>
      <c r="Y1829">
        <f>IF($D1829="","",IF($AN1829=1,0,IF($AM1829=1,Settings!$C$6,Settings!$C$7))*100)</f>
        <v/>
      </c>
      <c r="Z1829" s="7">
        <f>IF($D1829="","",V1829*Y1829/100)</f>
        <v/>
      </c>
      <c r="AA1829" s="7">
        <f>IF($D1829="","",V1829-Z1829)</f>
        <v/>
      </c>
      <c r="AB1829" s="7">
        <f>IF($D1829="","",AA1829-N1829)</f>
        <v/>
      </c>
      <c r="AF1829" s="7" t="n"/>
      <c r="AI1829" s="11" t="n"/>
      <c r="AK1829">
        <f>IF($D1829="","",IF(COUNTIF($D$2:$D1829,$D1829)=1,1,0))</f>
        <v/>
      </c>
      <c r="AL1829">
        <f>IF($AK1829=1,SUMPRODUCT(--($AO$2:$AO$3001&lt;$AO1829))+1,"")</f>
        <v/>
      </c>
      <c r="AM1829">
        <f>IF($D1829="","",IF(OR($R1829=TRUE(),$R1829="TRUE"),1,0))</f>
        <v/>
      </c>
      <c r="AN1829">
        <f>IF($D1829="","",IF($X1829="Yes",1,0))</f>
        <v/>
      </c>
      <c r="AO1829">
        <f>IF($AK1829=1,IFERROR(IF(VALUE($D1829)&lt;100000000,VALUE($D1829),1000000000),IFERROR(IF(VALUE(MID($D1829,2,20))&lt;100000000,VALUE(MID($D1829,2,20)),1000000000),1000000000))+ROW()/100000,"")</f>
        <v/>
      </c>
    </row>
    <row r="1830">
      <c r="F1830" s="11" t="n"/>
      <c r="N1830" s="7">
        <f>IF($D1830="","",M1830*V1830/100)</f>
        <v/>
      </c>
      <c r="O1830" s="7" t="n"/>
      <c r="U1830" s="7" t="n"/>
      <c r="V1830" s="7" t="n"/>
      <c r="Y1830">
        <f>IF($D1830="","",IF($AN1830=1,0,IF($AM1830=1,Settings!$C$6,Settings!$C$7))*100)</f>
        <v/>
      </c>
      <c r="Z1830" s="7">
        <f>IF($D1830="","",V1830*Y1830/100)</f>
        <v/>
      </c>
      <c r="AA1830" s="7">
        <f>IF($D1830="","",V1830-Z1830)</f>
        <v/>
      </c>
      <c r="AB1830" s="7">
        <f>IF($D1830="","",AA1830-N1830)</f>
        <v/>
      </c>
      <c r="AF1830" s="7" t="n"/>
      <c r="AI1830" s="11" t="n"/>
      <c r="AK1830">
        <f>IF($D1830="","",IF(COUNTIF($D$2:$D1830,$D1830)=1,1,0))</f>
        <v/>
      </c>
      <c r="AL1830">
        <f>IF($AK1830=1,SUMPRODUCT(--($AO$2:$AO$3001&lt;$AO1830))+1,"")</f>
        <v/>
      </c>
      <c r="AM1830">
        <f>IF($D1830="","",IF(OR($R1830=TRUE(),$R1830="TRUE"),1,0))</f>
        <v/>
      </c>
      <c r="AN1830">
        <f>IF($D1830="","",IF($X1830="Yes",1,0))</f>
        <v/>
      </c>
      <c r="AO1830">
        <f>IF($AK1830=1,IFERROR(IF(VALUE($D1830)&lt;100000000,VALUE($D1830),1000000000),IFERROR(IF(VALUE(MID($D1830,2,20))&lt;100000000,VALUE(MID($D1830,2,20)),1000000000),1000000000))+ROW()/100000,"")</f>
        <v/>
      </c>
    </row>
    <row r="1831">
      <c r="F1831" s="11" t="n"/>
      <c r="N1831" s="7">
        <f>IF($D1831="","",M1831*V1831/100)</f>
        <v/>
      </c>
      <c r="O1831" s="7" t="n"/>
      <c r="U1831" s="7" t="n"/>
      <c r="V1831" s="7" t="n"/>
      <c r="Y1831">
        <f>IF($D1831="","",IF($AN1831=1,0,IF($AM1831=1,Settings!$C$6,Settings!$C$7))*100)</f>
        <v/>
      </c>
      <c r="Z1831" s="7">
        <f>IF($D1831="","",V1831*Y1831/100)</f>
        <v/>
      </c>
      <c r="AA1831" s="7">
        <f>IF($D1831="","",V1831-Z1831)</f>
        <v/>
      </c>
      <c r="AB1831" s="7">
        <f>IF($D1831="","",AA1831-N1831)</f>
        <v/>
      </c>
      <c r="AF1831" s="7" t="n"/>
      <c r="AI1831" s="11" t="n"/>
      <c r="AK1831">
        <f>IF($D1831="","",IF(COUNTIF($D$2:$D1831,$D1831)=1,1,0))</f>
        <v/>
      </c>
      <c r="AL1831">
        <f>IF($AK1831=1,SUMPRODUCT(--($AO$2:$AO$3001&lt;$AO1831))+1,"")</f>
        <v/>
      </c>
      <c r="AM1831">
        <f>IF($D1831="","",IF(OR($R1831=TRUE(),$R1831="TRUE"),1,0))</f>
        <v/>
      </c>
      <c r="AN1831">
        <f>IF($D1831="","",IF($X1831="Yes",1,0))</f>
        <v/>
      </c>
      <c r="AO1831">
        <f>IF($AK1831=1,IFERROR(IF(VALUE($D1831)&lt;100000000,VALUE($D1831),1000000000),IFERROR(IF(VALUE(MID($D1831,2,20))&lt;100000000,VALUE(MID($D1831,2,20)),1000000000),1000000000))+ROW()/100000,"")</f>
        <v/>
      </c>
    </row>
    <row r="1832">
      <c r="F1832" s="11" t="n"/>
      <c r="N1832" s="7">
        <f>IF($D1832="","",M1832*V1832/100)</f>
        <v/>
      </c>
      <c r="O1832" s="7" t="n"/>
      <c r="U1832" s="7" t="n"/>
      <c r="V1832" s="7" t="n"/>
      <c r="Y1832">
        <f>IF($D1832="","",IF($AN1832=1,0,IF($AM1832=1,Settings!$C$6,Settings!$C$7))*100)</f>
        <v/>
      </c>
      <c r="Z1832" s="7">
        <f>IF($D1832="","",V1832*Y1832/100)</f>
        <v/>
      </c>
      <c r="AA1832" s="7">
        <f>IF($D1832="","",V1832-Z1832)</f>
        <v/>
      </c>
      <c r="AB1832" s="7">
        <f>IF($D1832="","",AA1832-N1832)</f>
        <v/>
      </c>
      <c r="AF1832" s="7" t="n"/>
      <c r="AI1832" s="11" t="n"/>
      <c r="AK1832">
        <f>IF($D1832="","",IF(COUNTIF($D$2:$D1832,$D1832)=1,1,0))</f>
        <v/>
      </c>
      <c r="AL1832">
        <f>IF($AK1832=1,SUMPRODUCT(--($AO$2:$AO$3001&lt;$AO1832))+1,"")</f>
        <v/>
      </c>
      <c r="AM1832">
        <f>IF($D1832="","",IF(OR($R1832=TRUE(),$R1832="TRUE"),1,0))</f>
        <v/>
      </c>
      <c r="AN1832">
        <f>IF($D1832="","",IF($X1832="Yes",1,0))</f>
        <v/>
      </c>
      <c r="AO1832">
        <f>IF($AK1832=1,IFERROR(IF(VALUE($D1832)&lt;100000000,VALUE($D1832),1000000000),IFERROR(IF(VALUE(MID($D1832,2,20))&lt;100000000,VALUE(MID($D1832,2,20)),1000000000),1000000000))+ROW()/100000,"")</f>
        <v/>
      </c>
    </row>
    <row r="1833">
      <c r="F1833" s="11" t="n"/>
      <c r="N1833" s="7">
        <f>IF($D1833="","",M1833*V1833/100)</f>
        <v/>
      </c>
      <c r="O1833" s="7" t="n"/>
      <c r="U1833" s="7" t="n"/>
      <c r="V1833" s="7" t="n"/>
      <c r="Y1833">
        <f>IF($D1833="","",IF($AN1833=1,0,IF($AM1833=1,Settings!$C$6,Settings!$C$7))*100)</f>
        <v/>
      </c>
      <c r="Z1833" s="7">
        <f>IF($D1833="","",V1833*Y1833/100)</f>
        <v/>
      </c>
      <c r="AA1833" s="7">
        <f>IF($D1833="","",V1833-Z1833)</f>
        <v/>
      </c>
      <c r="AB1833" s="7">
        <f>IF($D1833="","",AA1833-N1833)</f>
        <v/>
      </c>
      <c r="AF1833" s="7" t="n"/>
      <c r="AI1833" s="11" t="n"/>
      <c r="AK1833">
        <f>IF($D1833="","",IF(COUNTIF($D$2:$D1833,$D1833)=1,1,0))</f>
        <v/>
      </c>
      <c r="AL1833">
        <f>IF($AK1833=1,SUMPRODUCT(--($AO$2:$AO$3001&lt;$AO1833))+1,"")</f>
        <v/>
      </c>
      <c r="AM1833">
        <f>IF($D1833="","",IF(OR($R1833=TRUE(),$R1833="TRUE"),1,0))</f>
        <v/>
      </c>
      <c r="AN1833">
        <f>IF($D1833="","",IF($X1833="Yes",1,0))</f>
        <v/>
      </c>
      <c r="AO1833">
        <f>IF($AK1833=1,IFERROR(IF(VALUE($D1833)&lt;100000000,VALUE($D1833),1000000000),IFERROR(IF(VALUE(MID($D1833,2,20))&lt;100000000,VALUE(MID($D1833,2,20)),1000000000),1000000000))+ROW()/100000,"")</f>
        <v/>
      </c>
    </row>
    <row r="1834">
      <c r="F1834" s="11" t="n"/>
      <c r="N1834" s="7">
        <f>IF($D1834="","",M1834*V1834/100)</f>
        <v/>
      </c>
      <c r="O1834" s="7" t="n"/>
      <c r="U1834" s="7" t="n"/>
      <c r="V1834" s="7" t="n"/>
      <c r="Y1834">
        <f>IF($D1834="","",IF($AN1834=1,0,IF($AM1834=1,Settings!$C$6,Settings!$C$7))*100)</f>
        <v/>
      </c>
      <c r="Z1834" s="7">
        <f>IF($D1834="","",V1834*Y1834/100)</f>
        <v/>
      </c>
      <c r="AA1834" s="7">
        <f>IF($D1834="","",V1834-Z1834)</f>
        <v/>
      </c>
      <c r="AB1834" s="7">
        <f>IF($D1834="","",AA1834-N1834)</f>
        <v/>
      </c>
      <c r="AF1834" s="7" t="n"/>
      <c r="AI1834" s="11" t="n"/>
      <c r="AK1834">
        <f>IF($D1834="","",IF(COUNTIF($D$2:$D1834,$D1834)=1,1,0))</f>
        <v/>
      </c>
      <c r="AL1834">
        <f>IF($AK1834=1,SUMPRODUCT(--($AO$2:$AO$3001&lt;$AO1834))+1,"")</f>
        <v/>
      </c>
      <c r="AM1834">
        <f>IF($D1834="","",IF(OR($R1834=TRUE(),$R1834="TRUE"),1,0))</f>
        <v/>
      </c>
      <c r="AN1834">
        <f>IF($D1834="","",IF($X1834="Yes",1,0))</f>
        <v/>
      </c>
      <c r="AO1834">
        <f>IF($AK1834=1,IFERROR(IF(VALUE($D1834)&lt;100000000,VALUE($D1834),1000000000),IFERROR(IF(VALUE(MID($D1834,2,20))&lt;100000000,VALUE(MID($D1834,2,20)),1000000000),1000000000))+ROW()/100000,"")</f>
        <v/>
      </c>
    </row>
    <row r="1835">
      <c r="F1835" s="11" t="n"/>
      <c r="N1835" s="7">
        <f>IF($D1835="","",M1835*V1835/100)</f>
        <v/>
      </c>
      <c r="O1835" s="7" t="n"/>
      <c r="U1835" s="7" t="n"/>
      <c r="V1835" s="7" t="n"/>
      <c r="Y1835">
        <f>IF($D1835="","",IF($AN1835=1,0,IF($AM1835=1,Settings!$C$6,Settings!$C$7))*100)</f>
        <v/>
      </c>
      <c r="Z1835" s="7">
        <f>IF($D1835="","",V1835*Y1835/100)</f>
        <v/>
      </c>
      <c r="AA1835" s="7">
        <f>IF($D1835="","",V1835-Z1835)</f>
        <v/>
      </c>
      <c r="AB1835" s="7">
        <f>IF($D1835="","",AA1835-N1835)</f>
        <v/>
      </c>
      <c r="AF1835" s="7" t="n"/>
      <c r="AI1835" s="11" t="n"/>
      <c r="AK1835">
        <f>IF($D1835="","",IF(COUNTIF($D$2:$D1835,$D1835)=1,1,0))</f>
        <v/>
      </c>
      <c r="AL1835">
        <f>IF($AK1835=1,SUMPRODUCT(--($AO$2:$AO$3001&lt;$AO1835))+1,"")</f>
        <v/>
      </c>
      <c r="AM1835">
        <f>IF($D1835="","",IF(OR($R1835=TRUE(),$R1835="TRUE"),1,0))</f>
        <v/>
      </c>
      <c r="AN1835">
        <f>IF($D1835="","",IF($X1835="Yes",1,0))</f>
        <v/>
      </c>
      <c r="AO1835">
        <f>IF($AK1835=1,IFERROR(IF(VALUE($D1835)&lt;100000000,VALUE($D1835),1000000000),IFERROR(IF(VALUE(MID($D1835,2,20))&lt;100000000,VALUE(MID($D1835,2,20)),1000000000),1000000000))+ROW()/100000,"")</f>
        <v/>
      </c>
    </row>
    <row r="1836">
      <c r="F1836" s="11" t="n"/>
      <c r="N1836" s="7">
        <f>IF($D1836="","",M1836*V1836/100)</f>
        <v/>
      </c>
      <c r="O1836" s="7" t="n"/>
      <c r="U1836" s="7" t="n"/>
      <c r="V1836" s="7" t="n"/>
      <c r="Y1836">
        <f>IF($D1836="","",IF($AN1836=1,0,IF($AM1836=1,Settings!$C$6,Settings!$C$7))*100)</f>
        <v/>
      </c>
      <c r="Z1836" s="7">
        <f>IF($D1836="","",V1836*Y1836/100)</f>
        <v/>
      </c>
      <c r="AA1836" s="7">
        <f>IF($D1836="","",V1836-Z1836)</f>
        <v/>
      </c>
      <c r="AB1836" s="7">
        <f>IF($D1836="","",AA1836-N1836)</f>
        <v/>
      </c>
      <c r="AF1836" s="7" t="n"/>
      <c r="AI1836" s="11" t="n"/>
      <c r="AK1836">
        <f>IF($D1836="","",IF(COUNTIF($D$2:$D1836,$D1836)=1,1,0))</f>
        <v/>
      </c>
      <c r="AL1836">
        <f>IF($AK1836=1,SUMPRODUCT(--($AO$2:$AO$3001&lt;$AO1836))+1,"")</f>
        <v/>
      </c>
      <c r="AM1836">
        <f>IF($D1836="","",IF(OR($R1836=TRUE(),$R1836="TRUE"),1,0))</f>
        <v/>
      </c>
      <c r="AN1836">
        <f>IF($D1836="","",IF($X1836="Yes",1,0))</f>
        <v/>
      </c>
      <c r="AO1836">
        <f>IF($AK1836=1,IFERROR(IF(VALUE($D1836)&lt;100000000,VALUE($D1836),1000000000),IFERROR(IF(VALUE(MID($D1836,2,20))&lt;100000000,VALUE(MID($D1836,2,20)),1000000000),1000000000))+ROW()/100000,"")</f>
        <v/>
      </c>
    </row>
    <row r="1837">
      <c r="F1837" s="11" t="n"/>
      <c r="N1837" s="7">
        <f>IF($D1837="","",M1837*V1837/100)</f>
        <v/>
      </c>
      <c r="O1837" s="7" t="n"/>
      <c r="U1837" s="7" t="n"/>
      <c r="V1837" s="7" t="n"/>
      <c r="Y1837">
        <f>IF($D1837="","",IF($AN1837=1,0,IF($AM1837=1,Settings!$C$6,Settings!$C$7))*100)</f>
        <v/>
      </c>
      <c r="Z1837" s="7">
        <f>IF($D1837="","",V1837*Y1837/100)</f>
        <v/>
      </c>
      <c r="AA1837" s="7">
        <f>IF($D1837="","",V1837-Z1837)</f>
        <v/>
      </c>
      <c r="AB1837" s="7">
        <f>IF($D1837="","",AA1837-N1837)</f>
        <v/>
      </c>
      <c r="AF1837" s="7" t="n"/>
      <c r="AI1837" s="11" t="n"/>
      <c r="AK1837">
        <f>IF($D1837="","",IF(COUNTIF($D$2:$D1837,$D1837)=1,1,0))</f>
        <v/>
      </c>
      <c r="AL1837">
        <f>IF($AK1837=1,SUMPRODUCT(--($AO$2:$AO$3001&lt;$AO1837))+1,"")</f>
        <v/>
      </c>
      <c r="AM1837">
        <f>IF($D1837="","",IF(OR($R1837=TRUE(),$R1837="TRUE"),1,0))</f>
        <v/>
      </c>
      <c r="AN1837">
        <f>IF($D1837="","",IF($X1837="Yes",1,0))</f>
        <v/>
      </c>
      <c r="AO1837">
        <f>IF($AK1837=1,IFERROR(IF(VALUE($D1837)&lt;100000000,VALUE($D1837),1000000000),IFERROR(IF(VALUE(MID($D1837,2,20))&lt;100000000,VALUE(MID($D1837,2,20)),1000000000),1000000000))+ROW()/100000,"")</f>
        <v/>
      </c>
    </row>
    <row r="1838">
      <c r="F1838" s="11" t="n"/>
      <c r="N1838" s="7">
        <f>IF($D1838="","",M1838*V1838/100)</f>
        <v/>
      </c>
      <c r="O1838" s="7" t="n"/>
      <c r="U1838" s="7" t="n"/>
      <c r="V1838" s="7" t="n"/>
      <c r="Y1838">
        <f>IF($D1838="","",IF($AN1838=1,0,IF($AM1838=1,Settings!$C$6,Settings!$C$7))*100)</f>
        <v/>
      </c>
      <c r="Z1838" s="7">
        <f>IF($D1838="","",V1838*Y1838/100)</f>
        <v/>
      </c>
      <c r="AA1838" s="7">
        <f>IF($D1838="","",V1838-Z1838)</f>
        <v/>
      </c>
      <c r="AB1838" s="7">
        <f>IF($D1838="","",AA1838-N1838)</f>
        <v/>
      </c>
      <c r="AF1838" s="7" t="n"/>
      <c r="AI1838" s="11" t="n"/>
      <c r="AK1838">
        <f>IF($D1838="","",IF(COUNTIF($D$2:$D1838,$D1838)=1,1,0))</f>
        <v/>
      </c>
      <c r="AL1838">
        <f>IF($AK1838=1,SUMPRODUCT(--($AO$2:$AO$3001&lt;$AO1838))+1,"")</f>
        <v/>
      </c>
      <c r="AM1838">
        <f>IF($D1838="","",IF(OR($R1838=TRUE(),$R1838="TRUE"),1,0))</f>
        <v/>
      </c>
      <c r="AN1838">
        <f>IF($D1838="","",IF($X1838="Yes",1,0))</f>
        <v/>
      </c>
      <c r="AO1838">
        <f>IF($AK1838=1,IFERROR(IF(VALUE($D1838)&lt;100000000,VALUE($D1838),1000000000),IFERROR(IF(VALUE(MID($D1838,2,20))&lt;100000000,VALUE(MID($D1838,2,20)),1000000000),1000000000))+ROW()/100000,"")</f>
        <v/>
      </c>
    </row>
    <row r="1839">
      <c r="F1839" s="11" t="n"/>
      <c r="N1839" s="7">
        <f>IF($D1839="","",M1839*V1839/100)</f>
        <v/>
      </c>
      <c r="O1839" s="7" t="n"/>
      <c r="U1839" s="7" t="n"/>
      <c r="V1839" s="7" t="n"/>
      <c r="Y1839">
        <f>IF($D1839="","",IF($AN1839=1,0,IF($AM1839=1,Settings!$C$6,Settings!$C$7))*100)</f>
        <v/>
      </c>
      <c r="Z1839" s="7">
        <f>IF($D1839="","",V1839*Y1839/100)</f>
        <v/>
      </c>
      <c r="AA1839" s="7">
        <f>IF($D1839="","",V1839-Z1839)</f>
        <v/>
      </c>
      <c r="AB1839" s="7">
        <f>IF($D1839="","",AA1839-N1839)</f>
        <v/>
      </c>
      <c r="AF1839" s="7" t="n"/>
      <c r="AI1839" s="11" t="n"/>
      <c r="AK1839">
        <f>IF($D1839="","",IF(COUNTIF($D$2:$D1839,$D1839)=1,1,0))</f>
        <v/>
      </c>
      <c r="AL1839">
        <f>IF($AK1839=1,SUMPRODUCT(--($AO$2:$AO$3001&lt;$AO1839))+1,"")</f>
        <v/>
      </c>
      <c r="AM1839">
        <f>IF($D1839="","",IF(OR($R1839=TRUE(),$R1839="TRUE"),1,0))</f>
        <v/>
      </c>
      <c r="AN1839">
        <f>IF($D1839="","",IF($X1839="Yes",1,0))</f>
        <v/>
      </c>
      <c r="AO1839">
        <f>IF($AK1839=1,IFERROR(IF(VALUE($D1839)&lt;100000000,VALUE($D1839),1000000000),IFERROR(IF(VALUE(MID($D1839,2,20))&lt;100000000,VALUE(MID($D1839,2,20)),1000000000),1000000000))+ROW()/100000,"")</f>
        <v/>
      </c>
    </row>
    <row r="1840">
      <c r="F1840" s="11" t="n"/>
      <c r="N1840" s="7">
        <f>IF($D1840="","",M1840*V1840/100)</f>
        <v/>
      </c>
      <c r="O1840" s="7" t="n"/>
      <c r="U1840" s="7" t="n"/>
      <c r="V1840" s="7" t="n"/>
      <c r="Y1840">
        <f>IF($D1840="","",IF($AN1840=1,0,IF($AM1840=1,Settings!$C$6,Settings!$C$7))*100)</f>
        <v/>
      </c>
      <c r="Z1840" s="7">
        <f>IF($D1840="","",V1840*Y1840/100)</f>
        <v/>
      </c>
      <c r="AA1840" s="7">
        <f>IF($D1840="","",V1840-Z1840)</f>
        <v/>
      </c>
      <c r="AB1840" s="7">
        <f>IF($D1840="","",AA1840-N1840)</f>
        <v/>
      </c>
      <c r="AF1840" s="7" t="n"/>
      <c r="AI1840" s="11" t="n"/>
      <c r="AK1840">
        <f>IF($D1840="","",IF(COUNTIF($D$2:$D1840,$D1840)=1,1,0))</f>
        <v/>
      </c>
      <c r="AL1840">
        <f>IF($AK1840=1,SUMPRODUCT(--($AO$2:$AO$3001&lt;$AO1840))+1,"")</f>
        <v/>
      </c>
      <c r="AM1840">
        <f>IF($D1840="","",IF(OR($R1840=TRUE(),$R1840="TRUE"),1,0))</f>
        <v/>
      </c>
      <c r="AN1840">
        <f>IF($D1840="","",IF($X1840="Yes",1,0))</f>
        <v/>
      </c>
      <c r="AO1840">
        <f>IF($AK1840=1,IFERROR(IF(VALUE($D1840)&lt;100000000,VALUE($D1840),1000000000),IFERROR(IF(VALUE(MID($D1840,2,20))&lt;100000000,VALUE(MID($D1840,2,20)),1000000000),1000000000))+ROW()/100000,"")</f>
        <v/>
      </c>
    </row>
    <row r="1841">
      <c r="F1841" s="11" t="n"/>
      <c r="N1841" s="7">
        <f>IF($D1841="","",M1841*V1841/100)</f>
        <v/>
      </c>
      <c r="O1841" s="7" t="n"/>
      <c r="U1841" s="7" t="n"/>
      <c r="V1841" s="7" t="n"/>
      <c r="Y1841">
        <f>IF($D1841="","",IF($AN1841=1,0,IF($AM1841=1,Settings!$C$6,Settings!$C$7))*100)</f>
        <v/>
      </c>
      <c r="Z1841" s="7">
        <f>IF($D1841="","",V1841*Y1841/100)</f>
        <v/>
      </c>
      <c r="AA1841" s="7">
        <f>IF($D1841="","",V1841-Z1841)</f>
        <v/>
      </c>
      <c r="AB1841" s="7">
        <f>IF($D1841="","",AA1841-N1841)</f>
        <v/>
      </c>
      <c r="AF1841" s="7" t="n"/>
      <c r="AI1841" s="11" t="n"/>
      <c r="AK1841">
        <f>IF($D1841="","",IF(COUNTIF($D$2:$D1841,$D1841)=1,1,0))</f>
        <v/>
      </c>
      <c r="AL1841">
        <f>IF($AK1841=1,SUMPRODUCT(--($AO$2:$AO$3001&lt;$AO1841))+1,"")</f>
        <v/>
      </c>
      <c r="AM1841">
        <f>IF($D1841="","",IF(OR($R1841=TRUE(),$R1841="TRUE"),1,0))</f>
        <v/>
      </c>
      <c r="AN1841">
        <f>IF($D1841="","",IF($X1841="Yes",1,0))</f>
        <v/>
      </c>
      <c r="AO1841">
        <f>IF($AK1841=1,IFERROR(IF(VALUE($D1841)&lt;100000000,VALUE($D1841),1000000000),IFERROR(IF(VALUE(MID($D1841,2,20))&lt;100000000,VALUE(MID($D1841,2,20)),1000000000),1000000000))+ROW()/100000,"")</f>
        <v/>
      </c>
    </row>
    <row r="1842">
      <c r="F1842" s="11" t="n"/>
      <c r="N1842" s="7">
        <f>IF($D1842="","",M1842*V1842/100)</f>
        <v/>
      </c>
      <c r="O1842" s="7" t="n"/>
      <c r="U1842" s="7" t="n"/>
      <c r="V1842" s="7" t="n"/>
      <c r="Y1842">
        <f>IF($D1842="","",IF($AN1842=1,0,IF($AM1842=1,Settings!$C$6,Settings!$C$7))*100)</f>
        <v/>
      </c>
      <c r="Z1842" s="7">
        <f>IF($D1842="","",V1842*Y1842/100)</f>
        <v/>
      </c>
      <c r="AA1842" s="7">
        <f>IF($D1842="","",V1842-Z1842)</f>
        <v/>
      </c>
      <c r="AB1842" s="7">
        <f>IF($D1842="","",AA1842-N1842)</f>
        <v/>
      </c>
      <c r="AF1842" s="7" t="n"/>
      <c r="AI1842" s="11" t="n"/>
      <c r="AK1842">
        <f>IF($D1842="","",IF(COUNTIF($D$2:$D1842,$D1842)=1,1,0))</f>
        <v/>
      </c>
      <c r="AL1842">
        <f>IF($AK1842=1,SUMPRODUCT(--($AO$2:$AO$3001&lt;$AO1842))+1,"")</f>
        <v/>
      </c>
      <c r="AM1842">
        <f>IF($D1842="","",IF(OR($R1842=TRUE(),$R1842="TRUE"),1,0))</f>
        <v/>
      </c>
      <c r="AN1842">
        <f>IF($D1842="","",IF($X1842="Yes",1,0))</f>
        <v/>
      </c>
      <c r="AO1842">
        <f>IF($AK1842=1,IFERROR(IF(VALUE($D1842)&lt;100000000,VALUE($D1842),1000000000),IFERROR(IF(VALUE(MID($D1842,2,20))&lt;100000000,VALUE(MID($D1842,2,20)),1000000000),1000000000))+ROW()/100000,"")</f>
        <v/>
      </c>
    </row>
    <row r="1843">
      <c r="F1843" s="11" t="n"/>
      <c r="N1843" s="7">
        <f>IF($D1843="","",M1843*V1843/100)</f>
        <v/>
      </c>
      <c r="O1843" s="7" t="n"/>
      <c r="U1843" s="7" t="n"/>
      <c r="V1843" s="7" t="n"/>
      <c r="Y1843">
        <f>IF($D1843="","",IF($AN1843=1,0,IF($AM1843=1,Settings!$C$6,Settings!$C$7))*100)</f>
        <v/>
      </c>
      <c r="Z1843" s="7">
        <f>IF($D1843="","",V1843*Y1843/100)</f>
        <v/>
      </c>
      <c r="AA1843" s="7">
        <f>IF($D1843="","",V1843-Z1843)</f>
        <v/>
      </c>
      <c r="AB1843" s="7">
        <f>IF($D1843="","",AA1843-N1843)</f>
        <v/>
      </c>
      <c r="AF1843" s="7" t="n"/>
      <c r="AI1843" s="11" t="n"/>
      <c r="AK1843">
        <f>IF($D1843="","",IF(COUNTIF($D$2:$D1843,$D1843)=1,1,0))</f>
        <v/>
      </c>
      <c r="AL1843">
        <f>IF($AK1843=1,SUMPRODUCT(--($AO$2:$AO$3001&lt;$AO1843))+1,"")</f>
        <v/>
      </c>
      <c r="AM1843">
        <f>IF($D1843="","",IF(OR($R1843=TRUE(),$R1843="TRUE"),1,0))</f>
        <v/>
      </c>
      <c r="AN1843">
        <f>IF($D1843="","",IF($X1843="Yes",1,0))</f>
        <v/>
      </c>
      <c r="AO1843">
        <f>IF($AK1843=1,IFERROR(IF(VALUE($D1843)&lt;100000000,VALUE($D1843),1000000000),IFERROR(IF(VALUE(MID($D1843,2,20))&lt;100000000,VALUE(MID($D1843,2,20)),1000000000),1000000000))+ROW()/100000,"")</f>
        <v/>
      </c>
    </row>
    <row r="1844">
      <c r="F1844" s="11" t="n"/>
      <c r="N1844" s="7">
        <f>IF($D1844="","",M1844*V1844/100)</f>
        <v/>
      </c>
      <c r="O1844" s="7" t="n"/>
      <c r="U1844" s="7" t="n"/>
      <c r="V1844" s="7" t="n"/>
      <c r="Y1844">
        <f>IF($D1844="","",IF($AN1844=1,0,IF($AM1844=1,Settings!$C$6,Settings!$C$7))*100)</f>
        <v/>
      </c>
      <c r="Z1844" s="7">
        <f>IF($D1844="","",V1844*Y1844/100)</f>
        <v/>
      </c>
      <c r="AA1844" s="7">
        <f>IF($D1844="","",V1844-Z1844)</f>
        <v/>
      </c>
      <c r="AB1844" s="7">
        <f>IF($D1844="","",AA1844-N1844)</f>
        <v/>
      </c>
      <c r="AF1844" s="7" t="n"/>
      <c r="AI1844" s="11" t="n"/>
      <c r="AK1844">
        <f>IF($D1844="","",IF(COUNTIF($D$2:$D1844,$D1844)=1,1,0))</f>
        <v/>
      </c>
      <c r="AL1844">
        <f>IF($AK1844=1,SUMPRODUCT(--($AO$2:$AO$3001&lt;$AO1844))+1,"")</f>
        <v/>
      </c>
      <c r="AM1844">
        <f>IF($D1844="","",IF(OR($R1844=TRUE(),$R1844="TRUE"),1,0))</f>
        <v/>
      </c>
      <c r="AN1844">
        <f>IF($D1844="","",IF($X1844="Yes",1,0))</f>
        <v/>
      </c>
      <c r="AO1844">
        <f>IF($AK1844=1,IFERROR(IF(VALUE($D1844)&lt;100000000,VALUE($D1844),1000000000),IFERROR(IF(VALUE(MID($D1844,2,20))&lt;100000000,VALUE(MID($D1844,2,20)),1000000000),1000000000))+ROW()/100000,"")</f>
        <v/>
      </c>
    </row>
    <row r="1845">
      <c r="F1845" s="11" t="n"/>
      <c r="N1845" s="7">
        <f>IF($D1845="","",M1845*V1845/100)</f>
        <v/>
      </c>
      <c r="O1845" s="7" t="n"/>
      <c r="U1845" s="7" t="n"/>
      <c r="V1845" s="7" t="n"/>
      <c r="Y1845">
        <f>IF($D1845="","",IF($AN1845=1,0,IF($AM1845=1,Settings!$C$6,Settings!$C$7))*100)</f>
        <v/>
      </c>
      <c r="Z1845" s="7">
        <f>IF($D1845="","",V1845*Y1845/100)</f>
        <v/>
      </c>
      <c r="AA1845" s="7">
        <f>IF($D1845="","",V1845-Z1845)</f>
        <v/>
      </c>
      <c r="AB1845" s="7">
        <f>IF($D1845="","",AA1845-N1845)</f>
        <v/>
      </c>
      <c r="AF1845" s="7" t="n"/>
      <c r="AI1845" s="11" t="n"/>
      <c r="AK1845">
        <f>IF($D1845="","",IF(COUNTIF($D$2:$D1845,$D1845)=1,1,0))</f>
        <v/>
      </c>
      <c r="AL1845">
        <f>IF($AK1845=1,SUMPRODUCT(--($AO$2:$AO$3001&lt;$AO1845))+1,"")</f>
        <v/>
      </c>
      <c r="AM1845">
        <f>IF($D1845="","",IF(OR($R1845=TRUE(),$R1845="TRUE"),1,0))</f>
        <v/>
      </c>
      <c r="AN1845">
        <f>IF($D1845="","",IF($X1845="Yes",1,0))</f>
        <v/>
      </c>
      <c r="AO1845">
        <f>IF($AK1845=1,IFERROR(IF(VALUE($D1845)&lt;100000000,VALUE($D1845),1000000000),IFERROR(IF(VALUE(MID($D1845,2,20))&lt;100000000,VALUE(MID($D1845,2,20)),1000000000),1000000000))+ROW()/100000,"")</f>
        <v/>
      </c>
    </row>
    <row r="1846">
      <c r="F1846" s="11" t="n"/>
      <c r="N1846" s="7">
        <f>IF($D1846="","",M1846*V1846/100)</f>
        <v/>
      </c>
      <c r="O1846" s="7" t="n"/>
      <c r="U1846" s="7" t="n"/>
      <c r="V1846" s="7" t="n"/>
      <c r="Y1846">
        <f>IF($D1846="","",IF($AN1846=1,0,IF($AM1846=1,Settings!$C$6,Settings!$C$7))*100)</f>
        <v/>
      </c>
      <c r="Z1846" s="7">
        <f>IF($D1846="","",V1846*Y1846/100)</f>
        <v/>
      </c>
      <c r="AA1846" s="7">
        <f>IF($D1846="","",V1846-Z1846)</f>
        <v/>
      </c>
      <c r="AB1846" s="7">
        <f>IF($D1846="","",AA1846-N1846)</f>
        <v/>
      </c>
      <c r="AF1846" s="7" t="n"/>
      <c r="AI1846" s="11" t="n"/>
      <c r="AK1846">
        <f>IF($D1846="","",IF(COUNTIF($D$2:$D1846,$D1846)=1,1,0))</f>
        <v/>
      </c>
      <c r="AL1846">
        <f>IF($AK1846=1,SUMPRODUCT(--($AO$2:$AO$3001&lt;$AO1846))+1,"")</f>
        <v/>
      </c>
      <c r="AM1846">
        <f>IF($D1846="","",IF(OR($R1846=TRUE(),$R1846="TRUE"),1,0))</f>
        <v/>
      </c>
      <c r="AN1846">
        <f>IF($D1846="","",IF($X1846="Yes",1,0))</f>
        <v/>
      </c>
      <c r="AO1846">
        <f>IF($AK1846=1,IFERROR(IF(VALUE($D1846)&lt;100000000,VALUE($D1846),1000000000),IFERROR(IF(VALUE(MID($D1846,2,20))&lt;100000000,VALUE(MID($D1846,2,20)),1000000000),1000000000))+ROW()/100000,"")</f>
        <v/>
      </c>
    </row>
    <row r="1847">
      <c r="F1847" s="11" t="n"/>
      <c r="N1847" s="7">
        <f>IF($D1847="","",M1847*V1847/100)</f>
        <v/>
      </c>
      <c r="O1847" s="7" t="n"/>
      <c r="U1847" s="7" t="n"/>
      <c r="V1847" s="7" t="n"/>
      <c r="Y1847">
        <f>IF($D1847="","",IF($AN1847=1,0,IF($AM1847=1,Settings!$C$6,Settings!$C$7))*100)</f>
        <v/>
      </c>
      <c r="Z1847" s="7">
        <f>IF($D1847="","",V1847*Y1847/100)</f>
        <v/>
      </c>
      <c r="AA1847" s="7">
        <f>IF($D1847="","",V1847-Z1847)</f>
        <v/>
      </c>
      <c r="AB1847" s="7">
        <f>IF($D1847="","",AA1847-N1847)</f>
        <v/>
      </c>
      <c r="AF1847" s="7" t="n"/>
      <c r="AI1847" s="11" t="n"/>
      <c r="AK1847">
        <f>IF($D1847="","",IF(COUNTIF($D$2:$D1847,$D1847)=1,1,0))</f>
        <v/>
      </c>
      <c r="AL1847">
        <f>IF($AK1847=1,SUMPRODUCT(--($AO$2:$AO$3001&lt;$AO1847))+1,"")</f>
        <v/>
      </c>
      <c r="AM1847">
        <f>IF($D1847="","",IF(OR($R1847=TRUE(),$R1847="TRUE"),1,0))</f>
        <v/>
      </c>
      <c r="AN1847">
        <f>IF($D1847="","",IF($X1847="Yes",1,0))</f>
        <v/>
      </c>
      <c r="AO1847">
        <f>IF($AK1847=1,IFERROR(IF(VALUE($D1847)&lt;100000000,VALUE($D1847),1000000000),IFERROR(IF(VALUE(MID($D1847,2,20))&lt;100000000,VALUE(MID($D1847,2,20)),1000000000),1000000000))+ROW()/100000,"")</f>
        <v/>
      </c>
    </row>
    <row r="1848">
      <c r="F1848" s="11" t="n"/>
      <c r="N1848" s="7">
        <f>IF($D1848="","",M1848*V1848/100)</f>
        <v/>
      </c>
      <c r="O1848" s="7" t="n"/>
      <c r="U1848" s="7" t="n"/>
      <c r="V1848" s="7" t="n"/>
      <c r="Y1848">
        <f>IF($D1848="","",IF($AN1848=1,0,IF($AM1848=1,Settings!$C$6,Settings!$C$7))*100)</f>
        <v/>
      </c>
      <c r="Z1848" s="7">
        <f>IF($D1848="","",V1848*Y1848/100)</f>
        <v/>
      </c>
      <c r="AA1848" s="7">
        <f>IF($D1848="","",V1848-Z1848)</f>
        <v/>
      </c>
      <c r="AB1848" s="7">
        <f>IF($D1848="","",AA1848-N1848)</f>
        <v/>
      </c>
      <c r="AF1848" s="7" t="n"/>
      <c r="AI1848" s="11" t="n"/>
      <c r="AK1848">
        <f>IF($D1848="","",IF(COUNTIF($D$2:$D1848,$D1848)=1,1,0))</f>
        <v/>
      </c>
      <c r="AL1848">
        <f>IF($AK1848=1,SUMPRODUCT(--($AO$2:$AO$3001&lt;$AO1848))+1,"")</f>
        <v/>
      </c>
      <c r="AM1848">
        <f>IF($D1848="","",IF(OR($R1848=TRUE(),$R1848="TRUE"),1,0))</f>
        <v/>
      </c>
      <c r="AN1848">
        <f>IF($D1848="","",IF($X1848="Yes",1,0))</f>
        <v/>
      </c>
      <c r="AO1848">
        <f>IF($AK1848=1,IFERROR(IF(VALUE($D1848)&lt;100000000,VALUE($D1848),1000000000),IFERROR(IF(VALUE(MID($D1848,2,20))&lt;100000000,VALUE(MID($D1848,2,20)),1000000000),1000000000))+ROW()/100000,"")</f>
        <v/>
      </c>
    </row>
    <row r="1849">
      <c r="F1849" s="11" t="n"/>
      <c r="N1849" s="7">
        <f>IF($D1849="","",M1849*V1849/100)</f>
        <v/>
      </c>
      <c r="O1849" s="7" t="n"/>
      <c r="U1849" s="7" t="n"/>
      <c r="V1849" s="7" t="n"/>
      <c r="Y1849">
        <f>IF($D1849="","",IF($AN1849=1,0,IF($AM1849=1,Settings!$C$6,Settings!$C$7))*100)</f>
        <v/>
      </c>
      <c r="Z1849" s="7">
        <f>IF($D1849="","",V1849*Y1849/100)</f>
        <v/>
      </c>
      <c r="AA1849" s="7">
        <f>IF($D1849="","",V1849-Z1849)</f>
        <v/>
      </c>
      <c r="AB1849" s="7">
        <f>IF($D1849="","",AA1849-N1849)</f>
        <v/>
      </c>
      <c r="AF1849" s="7" t="n"/>
      <c r="AI1849" s="11" t="n"/>
      <c r="AK1849">
        <f>IF($D1849="","",IF(COUNTIF($D$2:$D1849,$D1849)=1,1,0))</f>
        <v/>
      </c>
      <c r="AL1849">
        <f>IF($AK1849=1,SUMPRODUCT(--($AO$2:$AO$3001&lt;$AO1849))+1,"")</f>
        <v/>
      </c>
      <c r="AM1849">
        <f>IF($D1849="","",IF(OR($R1849=TRUE(),$R1849="TRUE"),1,0))</f>
        <v/>
      </c>
      <c r="AN1849">
        <f>IF($D1849="","",IF($X1849="Yes",1,0))</f>
        <v/>
      </c>
      <c r="AO1849">
        <f>IF($AK1849=1,IFERROR(IF(VALUE($D1849)&lt;100000000,VALUE($D1849),1000000000),IFERROR(IF(VALUE(MID($D1849,2,20))&lt;100000000,VALUE(MID($D1849,2,20)),1000000000),1000000000))+ROW()/100000,"")</f>
        <v/>
      </c>
    </row>
    <row r="1850">
      <c r="F1850" s="11" t="n"/>
      <c r="N1850" s="7">
        <f>IF($D1850="","",M1850*V1850/100)</f>
        <v/>
      </c>
      <c r="O1850" s="7" t="n"/>
      <c r="U1850" s="7" t="n"/>
      <c r="V1850" s="7" t="n"/>
      <c r="Y1850">
        <f>IF($D1850="","",IF($AN1850=1,0,IF($AM1850=1,Settings!$C$6,Settings!$C$7))*100)</f>
        <v/>
      </c>
      <c r="Z1850" s="7">
        <f>IF($D1850="","",V1850*Y1850/100)</f>
        <v/>
      </c>
      <c r="AA1850" s="7">
        <f>IF($D1850="","",V1850-Z1850)</f>
        <v/>
      </c>
      <c r="AB1850" s="7">
        <f>IF($D1850="","",AA1850-N1850)</f>
        <v/>
      </c>
      <c r="AF1850" s="7" t="n"/>
      <c r="AI1850" s="11" t="n"/>
      <c r="AK1850">
        <f>IF($D1850="","",IF(COUNTIF($D$2:$D1850,$D1850)=1,1,0))</f>
        <v/>
      </c>
      <c r="AL1850">
        <f>IF($AK1850=1,SUMPRODUCT(--($AO$2:$AO$3001&lt;$AO1850))+1,"")</f>
        <v/>
      </c>
      <c r="AM1850">
        <f>IF($D1850="","",IF(OR($R1850=TRUE(),$R1850="TRUE"),1,0))</f>
        <v/>
      </c>
      <c r="AN1850">
        <f>IF($D1850="","",IF($X1850="Yes",1,0))</f>
        <v/>
      </c>
      <c r="AO1850">
        <f>IF($AK1850=1,IFERROR(IF(VALUE($D1850)&lt;100000000,VALUE($D1850),1000000000),IFERROR(IF(VALUE(MID($D1850,2,20))&lt;100000000,VALUE(MID($D1850,2,20)),1000000000),1000000000))+ROW()/100000,"")</f>
        <v/>
      </c>
    </row>
    <row r="1851">
      <c r="F1851" s="11" t="n"/>
      <c r="N1851" s="7">
        <f>IF($D1851="","",M1851*V1851/100)</f>
        <v/>
      </c>
      <c r="O1851" s="7" t="n"/>
      <c r="U1851" s="7" t="n"/>
      <c r="V1851" s="7" t="n"/>
      <c r="Y1851">
        <f>IF($D1851="","",IF($AN1851=1,0,IF($AM1851=1,Settings!$C$6,Settings!$C$7))*100)</f>
        <v/>
      </c>
      <c r="Z1851" s="7">
        <f>IF($D1851="","",V1851*Y1851/100)</f>
        <v/>
      </c>
      <c r="AA1851" s="7">
        <f>IF($D1851="","",V1851-Z1851)</f>
        <v/>
      </c>
      <c r="AB1851" s="7">
        <f>IF($D1851="","",AA1851-N1851)</f>
        <v/>
      </c>
      <c r="AF1851" s="7" t="n"/>
      <c r="AI1851" s="11" t="n"/>
      <c r="AK1851">
        <f>IF($D1851="","",IF(COUNTIF($D$2:$D1851,$D1851)=1,1,0))</f>
        <v/>
      </c>
      <c r="AL1851">
        <f>IF($AK1851=1,SUMPRODUCT(--($AO$2:$AO$3001&lt;$AO1851))+1,"")</f>
        <v/>
      </c>
      <c r="AM1851">
        <f>IF($D1851="","",IF(OR($R1851=TRUE(),$R1851="TRUE"),1,0))</f>
        <v/>
      </c>
      <c r="AN1851">
        <f>IF($D1851="","",IF($X1851="Yes",1,0))</f>
        <v/>
      </c>
      <c r="AO1851">
        <f>IF($AK1851=1,IFERROR(IF(VALUE($D1851)&lt;100000000,VALUE($D1851),1000000000),IFERROR(IF(VALUE(MID($D1851,2,20))&lt;100000000,VALUE(MID($D1851,2,20)),1000000000),1000000000))+ROW()/100000,"")</f>
        <v/>
      </c>
    </row>
    <row r="1852">
      <c r="F1852" s="11" t="n"/>
      <c r="N1852" s="7">
        <f>IF($D1852="","",M1852*V1852/100)</f>
        <v/>
      </c>
      <c r="O1852" s="7" t="n"/>
      <c r="U1852" s="7" t="n"/>
      <c r="V1852" s="7" t="n"/>
      <c r="Y1852">
        <f>IF($D1852="","",IF($AN1852=1,0,IF($AM1852=1,Settings!$C$6,Settings!$C$7))*100)</f>
        <v/>
      </c>
      <c r="Z1852" s="7">
        <f>IF($D1852="","",V1852*Y1852/100)</f>
        <v/>
      </c>
      <c r="AA1852" s="7">
        <f>IF($D1852="","",V1852-Z1852)</f>
        <v/>
      </c>
      <c r="AB1852" s="7">
        <f>IF($D1852="","",AA1852-N1852)</f>
        <v/>
      </c>
      <c r="AF1852" s="7" t="n"/>
      <c r="AI1852" s="11" t="n"/>
      <c r="AK1852">
        <f>IF($D1852="","",IF(COUNTIF($D$2:$D1852,$D1852)=1,1,0))</f>
        <v/>
      </c>
      <c r="AL1852">
        <f>IF($AK1852=1,SUMPRODUCT(--($AO$2:$AO$3001&lt;$AO1852))+1,"")</f>
        <v/>
      </c>
      <c r="AM1852">
        <f>IF($D1852="","",IF(OR($R1852=TRUE(),$R1852="TRUE"),1,0))</f>
        <v/>
      </c>
      <c r="AN1852">
        <f>IF($D1852="","",IF($X1852="Yes",1,0))</f>
        <v/>
      </c>
      <c r="AO1852">
        <f>IF($AK1852=1,IFERROR(IF(VALUE($D1852)&lt;100000000,VALUE($D1852),1000000000),IFERROR(IF(VALUE(MID($D1852,2,20))&lt;100000000,VALUE(MID($D1852,2,20)),1000000000),1000000000))+ROW()/100000,"")</f>
        <v/>
      </c>
    </row>
    <row r="1853">
      <c r="F1853" s="11" t="n"/>
      <c r="N1853" s="7">
        <f>IF($D1853="","",M1853*V1853/100)</f>
        <v/>
      </c>
      <c r="O1853" s="7" t="n"/>
      <c r="U1853" s="7" t="n"/>
      <c r="V1853" s="7" t="n"/>
      <c r="Y1853">
        <f>IF($D1853="","",IF($AN1853=1,0,IF($AM1853=1,Settings!$C$6,Settings!$C$7))*100)</f>
        <v/>
      </c>
      <c r="Z1853" s="7">
        <f>IF($D1853="","",V1853*Y1853/100)</f>
        <v/>
      </c>
      <c r="AA1853" s="7">
        <f>IF($D1853="","",V1853-Z1853)</f>
        <v/>
      </c>
      <c r="AB1853" s="7">
        <f>IF($D1853="","",AA1853-N1853)</f>
        <v/>
      </c>
      <c r="AF1853" s="7" t="n"/>
      <c r="AI1853" s="11" t="n"/>
      <c r="AK1853">
        <f>IF($D1853="","",IF(COUNTIF($D$2:$D1853,$D1853)=1,1,0))</f>
        <v/>
      </c>
      <c r="AL1853">
        <f>IF($AK1853=1,SUMPRODUCT(--($AO$2:$AO$3001&lt;$AO1853))+1,"")</f>
        <v/>
      </c>
      <c r="AM1853">
        <f>IF($D1853="","",IF(OR($R1853=TRUE(),$R1853="TRUE"),1,0))</f>
        <v/>
      </c>
      <c r="AN1853">
        <f>IF($D1853="","",IF($X1853="Yes",1,0))</f>
        <v/>
      </c>
      <c r="AO1853">
        <f>IF($AK1853=1,IFERROR(IF(VALUE($D1853)&lt;100000000,VALUE($D1853),1000000000),IFERROR(IF(VALUE(MID($D1853,2,20))&lt;100000000,VALUE(MID($D1853,2,20)),1000000000),1000000000))+ROW()/100000,"")</f>
        <v/>
      </c>
    </row>
    <row r="1854">
      <c r="F1854" s="11" t="n"/>
      <c r="N1854" s="7">
        <f>IF($D1854="","",M1854*V1854/100)</f>
        <v/>
      </c>
      <c r="O1854" s="7" t="n"/>
      <c r="U1854" s="7" t="n"/>
      <c r="V1854" s="7" t="n"/>
      <c r="Y1854">
        <f>IF($D1854="","",IF($AN1854=1,0,IF($AM1854=1,Settings!$C$6,Settings!$C$7))*100)</f>
        <v/>
      </c>
      <c r="Z1854" s="7">
        <f>IF($D1854="","",V1854*Y1854/100)</f>
        <v/>
      </c>
      <c r="AA1854" s="7">
        <f>IF($D1854="","",V1854-Z1854)</f>
        <v/>
      </c>
      <c r="AB1854" s="7">
        <f>IF($D1854="","",AA1854-N1854)</f>
        <v/>
      </c>
      <c r="AF1854" s="7" t="n"/>
      <c r="AI1854" s="11" t="n"/>
      <c r="AK1854">
        <f>IF($D1854="","",IF(COUNTIF($D$2:$D1854,$D1854)=1,1,0))</f>
        <v/>
      </c>
      <c r="AL1854">
        <f>IF($AK1854=1,SUMPRODUCT(--($AO$2:$AO$3001&lt;$AO1854))+1,"")</f>
        <v/>
      </c>
      <c r="AM1854">
        <f>IF($D1854="","",IF(OR($R1854=TRUE(),$R1854="TRUE"),1,0))</f>
        <v/>
      </c>
      <c r="AN1854">
        <f>IF($D1854="","",IF($X1854="Yes",1,0))</f>
        <v/>
      </c>
      <c r="AO1854">
        <f>IF($AK1854=1,IFERROR(IF(VALUE($D1854)&lt;100000000,VALUE($D1854),1000000000),IFERROR(IF(VALUE(MID($D1854,2,20))&lt;100000000,VALUE(MID($D1854,2,20)),1000000000),1000000000))+ROW()/100000,"")</f>
        <v/>
      </c>
    </row>
    <row r="1855">
      <c r="F1855" s="11" t="n"/>
      <c r="N1855" s="7">
        <f>IF($D1855="","",M1855*V1855/100)</f>
        <v/>
      </c>
      <c r="O1855" s="7" t="n"/>
      <c r="U1855" s="7" t="n"/>
      <c r="V1855" s="7" t="n"/>
      <c r="Y1855">
        <f>IF($D1855="","",IF($AN1855=1,0,IF($AM1855=1,Settings!$C$6,Settings!$C$7))*100)</f>
        <v/>
      </c>
      <c r="Z1855" s="7">
        <f>IF($D1855="","",V1855*Y1855/100)</f>
        <v/>
      </c>
      <c r="AA1855" s="7">
        <f>IF($D1855="","",V1855-Z1855)</f>
        <v/>
      </c>
      <c r="AB1855" s="7">
        <f>IF($D1855="","",AA1855-N1855)</f>
        <v/>
      </c>
      <c r="AF1855" s="7" t="n"/>
      <c r="AI1855" s="11" t="n"/>
      <c r="AK1855">
        <f>IF($D1855="","",IF(COUNTIF($D$2:$D1855,$D1855)=1,1,0))</f>
        <v/>
      </c>
      <c r="AL1855">
        <f>IF($AK1855=1,SUMPRODUCT(--($AO$2:$AO$3001&lt;$AO1855))+1,"")</f>
        <v/>
      </c>
      <c r="AM1855">
        <f>IF($D1855="","",IF(OR($R1855=TRUE(),$R1855="TRUE"),1,0))</f>
        <v/>
      </c>
      <c r="AN1855">
        <f>IF($D1855="","",IF($X1855="Yes",1,0))</f>
        <v/>
      </c>
      <c r="AO1855">
        <f>IF($AK1855=1,IFERROR(IF(VALUE($D1855)&lt;100000000,VALUE($D1855),1000000000),IFERROR(IF(VALUE(MID($D1855,2,20))&lt;100000000,VALUE(MID($D1855,2,20)),1000000000),1000000000))+ROW()/100000,"")</f>
        <v/>
      </c>
    </row>
    <row r="1856">
      <c r="F1856" s="11" t="n"/>
      <c r="N1856" s="7">
        <f>IF($D1856="","",M1856*V1856/100)</f>
        <v/>
      </c>
      <c r="O1856" s="7" t="n"/>
      <c r="U1856" s="7" t="n"/>
      <c r="V1856" s="7" t="n"/>
      <c r="Y1856">
        <f>IF($D1856="","",IF($AN1856=1,0,IF($AM1856=1,Settings!$C$6,Settings!$C$7))*100)</f>
        <v/>
      </c>
      <c r="Z1856" s="7">
        <f>IF($D1856="","",V1856*Y1856/100)</f>
        <v/>
      </c>
      <c r="AA1856" s="7">
        <f>IF($D1856="","",V1856-Z1856)</f>
        <v/>
      </c>
      <c r="AB1856" s="7">
        <f>IF($D1856="","",AA1856-N1856)</f>
        <v/>
      </c>
      <c r="AF1856" s="7" t="n"/>
      <c r="AI1856" s="11" t="n"/>
      <c r="AK1856">
        <f>IF($D1856="","",IF(COUNTIF($D$2:$D1856,$D1856)=1,1,0))</f>
        <v/>
      </c>
      <c r="AL1856">
        <f>IF($AK1856=1,SUMPRODUCT(--($AO$2:$AO$3001&lt;$AO1856))+1,"")</f>
        <v/>
      </c>
      <c r="AM1856">
        <f>IF($D1856="","",IF(OR($R1856=TRUE(),$R1856="TRUE"),1,0))</f>
        <v/>
      </c>
      <c r="AN1856">
        <f>IF($D1856="","",IF($X1856="Yes",1,0))</f>
        <v/>
      </c>
      <c r="AO1856">
        <f>IF($AK1856=1,IFERROR(IF(VALUE($D1856)&lt;100000000,VALUE($D1856),1000000000),IFERROR(IF(VALUE(MID($D1856,2,20))&lt;100000000,VALUE(MID($D1856,2,20)),1000000000),1000000000))+ROW()/100000,"")</f>
        <v/>
      </c>
    </row>
    <row r="1857">
      <c r="F1857" s="11" t="n"/>
      <c r="N1857" s="7">
        <f>IF($D1857="","",M1857*V1857/100)</f>
        <v/>
      </c>
      <c r="O1857" s="7" t="n"/>
      <c r="U1857" s="7" t="n"/>
      <c r="V1857" s="7" t="n"/>
      <c r="Y1857">
        <f>IF($D1857="","",IF($AN1857=1,0,IF($AM1857=1,Settings!$C$6,Settings!$C$7))*100)</f>
        <v/>
      </c>
      <c r="Z1857" s="7">
        <f>IF($D1857="","",V1857*Y1857/100)</f>
        <v/>
      </c>
      <c r="AA1857" s="7">
        <f>IF($D1857="","",V1857-Z1857)</f>
        <v/>
      </c>
      <c r="AB1857" s="7">
        <f>IF($D1857="","",AA1857-N1857)</f>
        <v/>
      </c>
      <c r="AF1857" s="7" t="n"/>
      <c r="AI1857" s="11" t="n"/>
      <c r="AK1857">
        <f>IF($D1857="","",IF(COUNTIF($D$2:$D1857,$D1857)=1,1,0))</f>
        <v/>
      </c>
      <c r="AL1857">
        <f>IF($AK1857=1,SUMPRODUCT(--($AO$2:$AO$3001&lt;$AO1857))+1,"")</f>
        <v/>
      </c>
      <c r="AM1857">
        <f>IF($D1857="","",IF(OR($R1857=TRUE(),$R1857="TRUE"),1,0))</f>
        <v/>
      </c>
      <c r="AN1857">
        <f>IF($D1857="","",IF($X1857="Yes",1,0))</f>
        <v/>
      </c>
      <c r="AO1857">
        <f>IF($AK1857=1,IFERROR(IF(VALUE($D1857)&lt;100000000,VALUE($D1857),1000000000),IFERROR(IF(VALUE(MID($D1857,2,20))&lt;100000000,VALUE(MID($D1857,2,20)),1000000000),1000000000))+ROW()/100000,"")</f>
        <v/>
      </c>
    </row>
    <row r="1858">
      <c r="F1858" s="11" t="n"/>
      <c r="N1858" s="7">
        <f>IF($D1858="","",M1858*V1858/100)</f>
        <v/>
      </c>
      <c r="O1858" s="7" t="n"/>
      <c r="U1858" s="7" t="n"/>
      <c r="V1858" s="7" t="n"/>
      <c r="Y1858">
        <f>IF($D1858="","",IF($AN1858=1,0,IF($AM1858=1,Settings!$C$6,Settings!$C$7))*100)</f>
        <v/>
      </c>
      <c r="Z1858" s="7">
        <f>IF($D1858="","",V1858*Y1858/100)</f>
        <v/>
      </c>
      <c r="AA1858" s="7">
        <f>IF($D1858="","",V1858-Z1858)</f>
        <v/>
      </c>
      <c r="AB1858" s="7">
        <f>IF($D1858="","",AA1858-N1858)</f>
        <v/>
      </c>
      <c r="AF1858" s="7" t="n"/>
      <c r="AI1858" s="11" t="n"/>
      <c r="AK1858">
        <f>IF($D1858="","",IF(COUNTIF($D$2:$D1858,$D1858)=1,1,0))</f>
        <v/>
      </c>
      <c r="AL1858">
        <f>IF($AK1858=1,SUMPRODUCT(--($AO$2:$AO$3001&lt;$AO1858))+1,"")</f>
        <v/>
      </c>
      <c r="AM1858">
        <f>IF($D1858="","",IF(OR($R1858=TRUE(),$R1858="TRUE"),1,0))</f>
        <v/>
      </c>
      <c r="AN1858">
        <f>IF($D1858="","",IF($X1858="Yes",1,0))</f>
        <v/>
      </c>
      <c r="AO1858">
        <f>IF($AK1858=1,IFERROR(IF(VALUE($D1858)&lt;100000000,VALUE($D1858),1000000000),IFERROR(IF(VALUE(MID($D1858,2,20))&lt;100000000,VALUE(MID($D1858,2,20)),1000000000),1000000000))+ROW()/100000,"")</f>
        <v/>
      </c>
    </row>
    <row r="1859">
      <c r="F1859" s="11" t="n"/>
      <c r="N1859" s="7">
        <f>IF($D1859="","",M1859*V1859/100)</f>
        <v/>
      </c>
      <c r="O1859" s="7" t="n"/>
      <c r="U1859" s="7" t="n"/>
      <c r="V1859" s="7" t="n"/>
      <c r="Y1859">
        <f>IF($D1859="","",IF($AN1859=1,0,IF($AM1859=1,Settings!$C$6,Settings!$C$7))*100)</f>
        <v/>
      </c>
      <c r="Z1859" s="7">
        <f>IF($D1859="","",V1859*Y1859/100)</f>
        <v/>
      </c>
      <c r="AA1859" s="7">
        <f>IF($D1859="","",V1859-Z1859)</f>
        <v/>
      </c>
      <c r="AB1859" s="7">
        <f>IF($D1859="","",AA1859-N1859)</f>
        <v/>
      </c>
      <c r="AF1859" s="7" t="n"/>
      <c r="AI1859" s="11" t="n"/>
      <c r="AK1859">
        <f>IF($D1859="","",IF(COUNTIF($D$2:$D1859,$D1859)=1,1,0))</f>
        <v/>
      </c>
      <c r="AL1859">
        <f>IF($AK1859=1,SUMPRODUCT(--($AO$2:$AO$3001&lt;$AO1859))+1,"")</f>
        <v/>
      </c>
      <c r="AM1859">
        <f>IF($D1859="","",IF(OR($R1859=TRUE(),$R1859="TRUE"),1,0))</f>
        <v/>
      </c>
      <c r="AN1859">
        <f>IF($D1859="","",IF($X1859="Yes",1,0))</f>
        <v/>
      </c>
      <c r="AO1859">
        <f>IF($AK1859=1,IFERROR(IF(VALUE($D1859)&lt;100000000,VALUE($D1859),1000000000),IFERROR(IF(VALUE(MID($D1859,2,20))&lt;100000000,VALUE(MID($D1859,2,20)),1000000000),1000000000))+ROW()/100000,"")</f>
        <v/>
      </c>
    </row>
    <row r="1860">
      <c r="F1860" s="11" t="n"/>
      <c r="N1860" s="7">
        <f>IF($D1860="","",M1860*V1860/100)</f>
        <v/>
      </c>
      <c r="O1860" s="7" t="n"/>
      <c r="U1860" s="7" t="n"/>
      <c r="V1860" s="7" t="n"/>
      <c r="Y1860">
        <f>IF($D1860="","",IF($AN1860=1,0,IF($AM1860=1,Settings!$C$6,Settings!$C$7))*100)</f>
        <v/>
      </c>
      <c r="Z1860" s="7">
        <f>IF($D1860="","",V1860*Y1860/100)</f>
        <v/>
      </c>
      <c r="AA1860" s="7">
        <f>IF($D1860="","",V1860-Z1860)</f>
        <v/>
      </c>
      <c r="AB1860" s="7">
        <f>IF($D1860="","",AA1860-N1860)</f>
        <v/>
      </c>
      <c r="AF1860" s="7" t="n"/>
      <c r="AI1860" s="11" t="n"/>
      <c r="AK1860">
        <f>IF($D1860="","",IF(COUNTIF($D$2:$D1860,$D1860)=1,1,0))</f>
        <v/>
      </c>
      <c r="AL1860">
        <f>IF($AK1860=1,SUMPRODUCT(--($AO$2:$AO$3001&lt;$AO1860))+1,"")</f>
        <v/>
      </c>
      <c r="AM1860">
        <f>IF($D1860="","",IF(OR($R1860=TRUE(),$R1860="TRUE"),1,0))</f>
        <v/>
      </c>
      <c r="AN1860">
        <f>IF($D1860="","",IF($X1860="Yes",1,0))</f>
        <v/>
      </c>
      <c r="AO1860">
        <f>IF($AK1860=1,IFERROR(IF(VALUE($D1860)&lt;100000000,VALUE($D1860),1000000000),IFERROR(IF(VALUE(MID($D1860,2,20))&lt;100000000,VALUE(MID($D1860,2,20)),1000000000),1000000000))+ROW()/100000,"")</f>
        <v/>
      </c>
    </row>
    <row r="1861">
      <c r="F1861" s="11" t="n"/>
      <c r="N1861" s="7">
        <f>IF($D1861="","",M1861*V1861/100)</f>
        <v/>
      </c>
      <c r="O1861" s="7" t="n"/>
      <c r="U1861" s="7" t="n"/>
      <c r="V1861" s="7" t="n"/>
      <c r="Y1861">
        <f>IF($D1861="","",IF($AN1861=1,0,IF($AM1861=1,Settings!$C$6,Settings!$C$7))*100)</f>
        <v/>
      </c>
      <c r="Z1861" s="7">
        <f>IF($D1861="","",V1861*Y1861/100)</f>
        <v/>
      </c>
      <c r="AA1861" s="7">
        <f>IF($D1861="","",V1861-Z1861)</f>
        <v/>
      </c>
      <c r="AB1861" s="7">
        <f>IF($D1861="","",AA1861-N1861)</f>
        <v/>
      </c>
      <c r="AF1861" s="7" t="n"/>
      <c r="AI1861" s="11" t="n"/>
      <c r="AK1861">
        <f>IF($D1861="","",IF(COUNTIF($D$2:$D1861,$D1861)=1,1,0))</f>
        <v/>
      </c>
      <c r="AL1861">
        <f>IF($AK1861=1,SUMPRODUCT(--($AO$2:$AO$3001&lt;$AO1861))+1,"")</f>
        <v/>
      </c>
      <c r="AM1861">
        <f>IF($D1861="","",IF(OR($R1861=TRUE(),$R1861="TRUE"),1,0))</f>
        <v/>
      </c>
      <c r="AN1861">
        <f>IF($D1861="","",IF($X1861="Yes",1,0))</f>
        <v/>
      </c>
      <c r="AO1861">
        <f>IF($AK1861=1,IFERROR(IF(VALUE($D1861)&lt;100000000,VALUE($D1861),1000000000),IFERROR(IF(VALUE(MID($D1861,2,20))&lt;100000000,VALUE(MID($D1861,2,20)),1000000000),1000000000))+ROW()/100000,"")</f>
        <v/>
      </c>
    </row>
    <row r="1862">
      <c r="F1862" s="11" t="n"/>
      <c r="N1862" s="7">
        <f>IF($D1862="","",M1862*V1862/100)</f>
        <v/>
      </c>
      <c r="O1862" s="7" t="n"/>
      <c r="U1862" s="7" t="n"/>
      <c r="V1862" s="7" t="n"/>
      <c r="Y1862">
        <f>IF($D1862="","",IF($AN1862=1,0,IF($AM1862=1,Settings!$C$6,Settings!$C$7))*100)</f>
        <v/>
      </c>
      <c r="Z1862" s="7">
        <f>IF($D1862="","",V1862*Y1862/100)</f>
        <v/>
      </c>
      <c r="AA1862" s="7">
        <f>IF($D1862="","",V1862-Z1862)</f>
        <v/>
      </c>
      <c r="AB1862" s="7">
        <f>IF($D1862="","",AA1862-N1862)</f>
        <v/>
      </c>
      <c r="AF1862" s="7" t="n"/>
      <c r="AI1862" s="11" t="n"/>
      <c r="AK1862">
        <f>IF($D1862="","",IF(COUNTIF($D$2:$D1862,$D1862)=1,1,0))</f>
        <v/>
      </c>
      <c r="AL1862">
        <f>IF($AK1862=1,SUMPRODUCT(--($AO$2:$AO$3001&lt;$AO1862))+1,"")</f>
        <v/>
      </c>
      <c r="AM1862">
        <f>IF($D1862="","",IF(OR($R1862=TRUE(),$R1862="TRUE"),1,0))</f>
        <v/>
      </c>
      <c r="AN1862">
        <f>IF($D1862="","",IF($X1862="Yes",1,0))</f>
        <v/>
      </c>
      <c r="AO1862">
        <f>IF($AK1862=1,IFERROR(IF(VALUE($D1862)&lt;100000000,VALUE($D1862),1000000000),IFERROR(IF(VALUE(MID($D1862,2,20))&lt;100000000,VALUE(MID($D1862,2,20)),1000000000),1000000000))+ROW()/100000,"")</f>
        <v/>
      </c>
    </row>
    <row r="1863">
      <c r="F1863" s="11" t="n"/>
      <c r="N1863" s="7">
        <f>IF($D1863="","",M1863*V1863/100)</f>
        <v/>
      </c>
      <c r="O1863" s="7" t="n"/>
      <c r="U1863" s="7" t="n"/>
      <c r="V1863" s="7" t="n"/>
      <c r="Y1863">
        <f>IF($D1863="","",IF($AN1863=1,0,IF($AM1863=1,Settings!$C$6,Settings!$C$7))*100)</f>
        <v/>
      </c>
      <c r="Z1863" s="7">
        <f>IF($D1863="","",V1863*Y1863/100)</f>
        <v/>
      </c>
      <c r="AA1863" s="7">
        <f>IF($D1863="","",V1863-Z1863)</f>
        <v/>
      </c>
      <c r="AB1863" s="7">
        <f>IF($D1863="","",AA1863-N1863)</f>
        <v/>
      </c>
      <c r="AF1863" s="7" t="n"/>
      <c r="AI1863" s="11" t="n"/>
      <c r="AK1863">
        <f>IF($D1863="","",IF(COUNTIF($D$2:$D1863,$D1863)=1,1,0))</f>
        <v/>
      </c>
      <c r="AL1863">
        <f>IF($AK1863=1,SUMPRODUCT(--($AO$2:$AO$3001&lt;$AO1863))+1,"")</f>
        <v/>
      </c>
      <c r="AM1863">
        <f>IF($D1863="","",IF(OR($R1863=TRUE(),$R1863="TRUE"),1,0))</f>
        <v/>
      </c>
      <c r="AN1863">
        <f>IF($D1863="","",IF($X1863="Yes",1,0))</f>
        <v/>
      </c>
      <c r="AO1863">
        <f>IF($AK1863=1,IFERROR(IF(VALUE($D1863)&lt;100000000,VALUE($D1863),1000000000),IFERROR(IF(VALUE(MID($D1863,2,20))&lt;100000000,VALUE(MID($D1863,2,20)),1000000000),1000000000))+ROW()/100000,"")</f>
        <v/>
      </c>
    </row>
    <row r="1864">
      <c r="F1864" s="11" t="n"/>
      <c r="N1864" s="7">
        <f>IF($D1864="","",M1864*V1864/100)</f>
        <v/>
      </c>
      <c r="O1864" s="7" t="n"/>
      <c r="U1864" s="7" t="n"/>
      <c r="V1864" s="7" t="n"/>
      <c r="Y1864">
        <f>IF($D1864="","",IF($AN1864=1,0,IF($AM1864=1,Settings!$C$6,Settings!$C$7))*100)</f>
        <v/>
      </c>
      <c r="Z1864" s="7">
        <f>IF($D1864="","",V1864*Y1864/100)</f>
        <v/>
      </c>
      <c r="AA1864" s="7">
        <f>IF($D1864="","",V1864-Z1864)</f>
        <v/>
      </c>
      <c r="AB1864" s="7">
        <f>IF($D1864="","",AA1864-N1864)</f>
        <v/>
      </c>
      <c r="AF1864" s="7" t="n"/>
      <c r="AI1864" s="11" t="n"/>
      <c r="AK1864">
        <f>IF($D1864="","",IF(COUNTIF($D$2:$D1864,$D1864)=1,1,0))</f>
        <v/>
      </c>
      <c r="AL1864">
        <f>IF($AK1864=1,SUMPRODUCT(--($AO$2:$AO$3001&lt;$AO1864))+1,"")</f>
        <v/>
      </c>
      <c r="AM1864">
        <f>IF($D1864="","",IF(OR($R1864=TRUE(),$R1864="TRUE"),1,0))</f>
        <v/>
      </c>
      <c r="AN1864">
        <f>IF($D1864="","",IF($X1864="Yes",1,0))</f>
        <v/>
      </c>
      <c r="AO1864">
        <f>IF($AK1864=1,IFERROR(IF(VALUE($D1864)&lt;100000000,VALUE($D1864),1000000000),IFERROR(IF(VALUE(MID($D1864,2,20))&lt;100000000,VALUE(MID($D1864,2,20)),1000000000),1000000000))+ROW()/100000,"")</f>
        <v/>
      </c>
    </row>
    <row r="1865">
      <c r="F1865" s="11" t="n"/>
      <c r="N1865" s="7">
        <f>IF($D1865="","",M1865*V1865/100)</f>
        <v/>
      </c>
      <c r="O1865" s="7" t="n"/>
      <c r="U1865" s="7" t="n"/>
      <c r="V1865" s="7" t="n"/>
      <c r="Y1865">
        <f>IF($D1865="","",IF($AN1865=1,0,IF($AM1865=1,Settings!$C$6,Settings!$C$7))*100)</f>
        <v/>
      </c>
      <c r="Z1865" s="7">
        <f>IF($D1865="","",V1865*Y1865/100)</f>
        <v/>
      </c>
      <c r="AA1865" s="7">
        <f>IF($D1865="","",V1865-Z1865)</f>
        <v/>
      </c>
      <c r="AB1865" s="7">
        <f>IF($D1865="","",AA1865-N1865)</f>
        <v/>
      </c>
      <c r="AF1865" s="7" t="n"/>
      <c r="AI1865" s="11" t="n"/>
      <c r="AK1865">
        <f>IF($D1865="","",IF(COUNTIF($D$2:$D1865,$D1865)=1,1,0))</f>
        <v/>
      </c>
      <c r="AL1865">
        <f>IF($AK1865=1,SUMPRODUCT(--($AO$2:$AO$3001&lt;$AO1865))+1,"")</f>
        <v/>
      </c>
      <c r="AM1865">
        <f>IF($D1865="","",IF(OR($R1865=TRUE(),$R1865="TRUE"),1,0))</f>
        <v/>
      </c>
      <c r="AN1865">
        <f>IF($D1865="","",IF($X1865="Yes",1,0))</f>
        <v/>
      </c>
      <c r="AO1865">
        <f>IF($AK1865=1,IFERROR(IF(VALUE($D1865)&lt;100000000,VALUE($D1865),1000000000),IFERROR(IF(VALUE(MID($D1865,2,20))&lt;100000000,VALUE(MID($D1865,2,20)),1000000000),1000000000))+ROW()/100000,"")</f>
        <v/>
      </c>
    </row>
    <row r="1866">
      <c r="F1866" s="11" t="n"/>
      <c r="N1866" s="7">
        <f>IF($D1866="","",M1866*V1866/100)</f>
        <v/>
      </c>
      <c r="O1866" s="7" t="n"/>
      <c r="U1866" s="7" t="n"/>
      <c r="V1866" s="7" t="n"/>
      <c r="Y1866">
        <f>IF($D1866="","",IF($AN1866=1,0,IF($AM1866=1,Settings!$C$6,Settings!$C$7))*100)</f>
        <v/>
      </c>
      <c r="Z1866" s="7">
        <f>IF($D1866="","",V1866*Y1866/100)</f>
        <v/>
      </c>
      <c r="AA1866" s="7">
        <f>IF($D1866="","",V1866-Z1866)</f>
        <v/>
      </c>
      <c r="AB1866" s="7">
        <f>IF($D1866="","",AA1866-N1866)</f>
        <v/>
      </c>
      <c r="AF1866" s="7" t="n"/>
      <c r="AI1866" s="11" t="n"/>
      <c r="AK1866">
        <f>IF($D1866="","",IF(COUNTIF($D$2:$D1866,$D1866)=1,1,0))</f>
        <v/>
      </c>
      <c r="AL1866">
        <f>IF($AK1866=1,SUMPRODUCT(--($AO$2:$AO$3001&lt;$AO1866))+1,"")</f>
        <v/>
      </c>
      <c r="AM1866">
        <f>IF($D1866="","",IF(OR($R1866=TRUE(),$R1866="TRUE"),1,0))</f>
        <v/>
      </c>
      <c r="AN1866">
        <f>IF($D1866="","",IF($X1866="Yes",1,0))</f>
        <v/>
      </c>
      <c r="AO1866">
        <f>IF($AK1866=1,IFERROR(IF(VALUE($D1866)&lt;100000000,VALUE($D1866),1000000000),IFERROR(IF(VALUE(MID($D1866,2,20))&lt;100000000,VALUE(MID($D1866,2,20)),1000000000),1000000000))+ROW()/100000,"")</f>
        <v/>
      </c>
    </row>
    <row r="1867">
      <c r="F1867" s="11" t="n"/>
      <c r="N1867" s="7">
        <f>IF($D1867="","",M1867*V1867/100)</f>
        <v/>
      </c>
      <c r="O1867" s="7" t="n"/>
      <c r="U1867" s="7" t="n"/>
      <c r="V1867" s="7" t="n"/>
      <c r="Y1867">
        <f>IF($D1867="","",IF($AN1867=1,0,IF($AM1867=1,Settings!$C$6,Settings!$C$7))*100)</f>
        <v/>
      </c>
      <c r="Z1867" s="7">
        <f>IF($D1867="","",V1867*Y1867/100)</f>
        <v/>
      </c>
      <c r="AA1867" s="7">
        <f>IF($D1867="","",V1867-Z1867)</f>
        <v/>
      </c>
      <c r="AB1867" s="7">
        <f>IF($D1867="","",AA1867-N1867)</f>
        <v/>
      </c>
      <c r="AF1867" s="7" t="n"/>
      <c r="AI1867" s="11" t="n"/>
      <c r="AK1867">
        <f>IF($D1867="","",IF(COUNTIF($D$2:$D1867,$D1867)=1,1,0))</f>
        <v/>
      </c>
      <c r="AL1867">
        <f>IF($AK1867=1,SUMPRODUCT(--($AO$2:$AO$3001&lt;$AO1867))+1,"")</f>
        <v/>
      </c>
      <c r="AM1867">
        <f>IF($D1867="","",IF(OR($R1867=TRUE(),$R1867="TRUE"),1,0))</f>
        <v/>
      </c>
      <c r="AN1867">
        <f>IF($D1867="","",IF($X1867="Yes",1,0))</f>
        <v/>
      </c>
      <c r="AO1867">
        <f>IF($AK1867=1,IFERROR(IF(VALUE($D1867)&lt;100000000,VALUE($D1867),1000000000),IFERROR(IF(VALUE(MID($D1867,2,20))&lt;100000000,VALUE(MID($D1867,2,20)),1000000000),1000000000))+ROW()/100000,"")</f>
        <v/>
      </c>
    </row>
    <row r="1868">
      <c r="F1868" s="11" t="n"/>
      <c r="N1868" s="7">
        <f>IF($D1868="","",M1868*V1868/100)</f>
        <v/>
      </c>
      <c r="O1868" s="7" t="n"/>
      <c r="U1868" s="7" t="n"/>
      <c r="V1868" s="7" t="n"/>
      <c r="Y1868">
        <f>IF($D1868="","",IF($AN1868=1,0,IF($AM1868=1,Settings!$C$6,Settings!$C$7))*100)</f>
        <v/>
      </c>
      <c r="Z1868" s="7">
        <f>IF($D1868="","",V1868*Y1868/100)</f>
        <v/>
      </c>
      <c r="AA1868" s="7">
        <f>IF($D1868="","",V1868-Z1868)</f>
        <v/>
      </c>
      <c r="AB1868" s="7">
        <f>IF($D1868="","",AA1868-N1868)</f>
        <v/>
      </c>
      <c r="AF1868" s="7" t="n"/>
      <c r="AI1868" s="11" t="n"/>
      <c r="AK1868">
        <f>IF($D1868="","",IF(COUNTIF($D$2:$D1868,$D1868)=1,1,0))</f>
        <v/>
      </c>
      <c r="AL1868">
        <f>IF($AK1868=1,SUMPRODUCT(--($AO$2:$AO$3001&lt;$AO1868))+1,"")</f>
        <v/>
      </c>
      <c r="AM1868">
        <f>IF($D1868="","",IF(OR($R1868=TRUE(),$R1868="TRUE"),1,0))</f>
        <v/>
      </c>
      <c r="AN1868">
        <f>IF($D1868="","",IF($X1868="Yes",1,0))</f>
        <v/>
      </c>
      <c r="AO1868">
        <f>IF($AK1868=1,IFERROR(IF(VALUE($D1868)&lt;100000000,VALUE($D1868),1000000000),IFERROR(IF(VALUE(MID($D1868,2,20))&lt;100000000,VALUE(MID($D1868,2,20)),1000000000),1000000000))+ROW()/100000,"")</f>
        <v/>
      </c>
    </row>
    <row r="1869">
      <c r="F1869" s="11" t="n"/>
      <c r="N1869" s="7">
        <f>IF($D1869="","",M1869*V1869/100)</f>
        <v/>
      </c>
      <c r="O1869" s="7" t="n"/>
      <c r="U1869" s="7" t="n"/>
      <c r="V1869" s="7" t="n"/>
      <c r="Y1869">
        <f>IF($D1869="","",IF($AN1869=1,0,IF($AM1869=1,Settings!$C$6,Settings!$C$7))*100)</f>
        <v/>
      </c>
      <c r="Z1869" s="7">
        <f>IF($D1869="","",V1869*Y1869/100)</f>
        <v/>
      </c>
      <c r="AA1869" s="7">
        <f>IF($D1869="","",V1869-Z1869)</f>
        <v/>
      </c>
      <c r="AB1869" s="7">
        <f>IF($D1869="","",AA1869-N1869)</f>
        <v/>
      </c>
      <c r="AF1869" s="7" t="n"/>
      <c r="AI1869" s="11" t="n"/>
      <c r="AK1869">
        <f>IF($D1869="","",IF(COUNTIF($D$2:$D1869,$D1869)=1,1,0))</f>
        <v/>
      </c>
      <c r="AL1869">
        <f>IF($AK1869=1,SUMPRODUCT(--($AO$2:$AO$3001&lt;$AO1869))+1,"")</f>
        <v/>
      </c>
      <c r="AM1869">
        <f>IF($D1869="","",IF(OR($R1869=TRUE(),$R1869="TRUE"),1,0))</f>
        <v/>
      </c>
      <c r="AN1869">
        <f>IF($D1869="","",IF($X1869="Yes",1,0))</f>
        <v/>
      </c>
      <c r="AO1869">
        <f>IF($AK1869=1,IFERROR(IF(VALUE($D1869)&lt;100000000,VALUE($D1869),1000000000),IFERROR(IF(VALUE(MID($D1869,2,20))&lt;100000000,VALUE(MID($D1869,2,20)),1000000000),1000000000))+ROW()/100000,"")</f>
        <v/>
      </c>
    </row>
    <row r="1870">
      <c r="F1870" s="11" t="n"/>
      <c r="N1870" s="7">
        <f>IF($D1870="","",M1870*V1870/100)</f>
        <v/>
      </c>
      <c r="O1870" s="7" t="n"/>
      <c r="U1870" s="7" t="n"/>
      <c r="V1870" s="7" t="n"/>
      <c r="Y1870">
        <f>IF($D1870="","",IF($AN1870=1,0,IF($AM1870=1,Settings!$C$6,Settings!$C$7))*100)</f>
        <v/>
      </c>
      <c r="Z1870" s="7">
        <f>IF($D1870="","",V1870*Y1870/100)</f>
        <v/>
      </c>
      <c r="AA1870" s="7">
        <f>IF($D1870="","",V1870-Z1870)</f>
        <v/>
      </c>
      <c r="AB1870" s="7">
        <f>IF($D1870="","",AA1870-N1870)</f>
        <v/>
      </c>
      <c r="AF1870" s="7" t="n"/>
      <c r="AI1870" s="11" t="n"/>
      <c r="AK1870">
        <f>IF($D1870="","",IF(COUNTIF($D$2:$D1870,$D1870)=1,1,0))</f>
        <v/>
      </c>
      <c r="AL1870">
        <f>IF($AK1870=1,SUMPRODUCT(--($AO$2:$AO$3001&lt;$AO1870))+1,"")</f>
        <v/>
      </c>
      <c r="AM1870">
        <f>IF($D1870="","",IF(OR($R1870=TRUE(),$R1870="TRUE"),1,0))</f>
        <v/>
      </c>
      <c r="AN1870">
        <f>IF($D1870="","",IF($X1870="Yes",1,0))</f>
        <v/>
      </c>
      <c r="AO1870">
        <f>IF($AK1870=1,IFERROR(IF(VALUE($D1870)&lt;100000000,VALUE($D1870),1000000000),IFERROR(IF(VALUE(MID($D1870,2,20))&lt;100000000,VALUE(MID($D1870,2,20)),1000000000),1000000000))+ROW()/100000,"")</f>
        <v/>
      </c>
    </row>
    <row r="1871">
      <c r="F1871" s="11" t="n"/>
      <c r="N1871" s="7">
        <f>IF($D1871="","",M1871*V1871/100)</f>
        <v/>
      </c>
      <c r="O1871" s="7" t="n"/>
      <c r="U1871" s="7" t="n"/>
      <c r="V1871" s="7" t="n"/>
      <c r="Y1871">
        <f>IF($D1871="","",IF($AN1871=1,0,IF($AM1871=1,Settings!$C$6,Settings!$C$7))*100)</f>
        <v/>
      </c>
      <c r="Z1871" s="7">
        <f>IF($D1871="","",V1871*Y1871/100)</f>
        <v/>
      </c>
      <c r="AA1871" s="7">
        <f>IF($D1871="","",V1871-Z1871)</f>
        <v/>
      </c>
      <c r="AB1871" s="7">
        <f>IF($D1871="","",AA1871-N1871)</f>
        <v/>
      </c>
      <c r="AF1871" s="7" t="n"/>
      <c r="AI1871" s="11" t="n"/>
      <c r="AK1871">
        <f>IF($D1871="","",IF(COUNTIF($D$2:$D1871,$D1871)=1,1,0))</f>
        <v/>
      </c>
      <c r="AL1871">
        <f>IF($AK1871=1,SUMPRODUCT(--($AO$2:$AO$3001&lt;$AO1871))+1,"")</f>
        <v/>
      </c>
      <c r="AM1871">
        <f>IF($D1871="","",IF(OR($R1871=TRUE(),$R1871="TRUE"),1,0))</f>
        <v/>
      </c>
      <c r="AN1871">
        <f>IF($D1871="","",IF($X1871="Yes",1,0))</f>
        <v/>
      </c>
      <c r="AO1871">
        <f>IF($AK1871=1,IFERROR(IF(VALUE($D1871)&lt;100000000,VALUE($D1871),1000000000),IFERROR(IF(VALUE(MID($D1871,2,20))&lt;100000000,VALUE(MID($D1871,2,20)),1000000000),1000000000))+ROW()/100000,"")</f>
        <v/>
      </c>
    </row>
    <row r="1872">
      <c r="F1872" s="11" t="n"/>
      <c r="N1872" s="7">
        <f>IF($D1872="","",M1872*V1872/100)</f>
        <v/>
      </c>
      <c r="O1872" s="7" t="n"/>
      <c r="U1872" s="7" t="n"/>
      <c r="V1872" s="7" t="n"/>
      <c r="Y1872">
        <f>IF($D1872="","",IF($AN1872=1,0,IF($AM1872=1,Settings!$C$6,Settings!$C$7))*100)</f>
        <v/>
      </c>
      <c r="Z1872" s="7">
        <f>IF($D1872="","",V1872*Y1872/100)</f>
        <v/>
      </c>
      <c r="AA1872" s="7">
        <f>IF($D1872="","",V1872-Z1872)</f>
        <v/>
      </c>
      <c r="AB1872" s="7">
        <f>IF($D1872="","",AA1872-N1872)</f>
        <v/>
      </c>
      <c r="AF1872" s="7" t="n"/>
      <c r="AI1872" s="11" t="n"/>
      <c r="AK1872">
        <f>IF($D1872="","",IF(COUNTIF($D$2:$D1872,$D1872)=1,1,0))</f>
        <v/>
      </c>
      <c r="AL1872">
        <f>IF($AK1872=1,SUMPRODUCT(--($AO$2:$AO$3001&lt;$AO1872))+1,"")</f>
        <v/>
      </c>
      <c r="AM1872">
        <f>IF($D1872="","",IF(OR($R1872=TRUE(),$R1872="TRUE"),1,0))</f>
        <v/>
      </c>
      <c r="AN1872">
        <f>IF($D1872="","",IF($X1872="Yes",1,0))</f>
        <v/>
      </c>
      <c r="AO1872">
        <f>IF($AK1872=1,IFERROR(IF(VALUE($D1872)&lt;100000000,VALUE($D1872),1000000000),IFERROR(IF(VALUE(MID($D1872,2,20))&lt;100000000,VALUE(MID($D1872,2,20)),1000000000),1000000000))+ROW()/100000,"")</f>
        <v/>
      </c>
    </row>
    <row r="1873">
      <c r="F1873" s="11" t="n"/>
      <c r="N1873" s="7">
        <f>IF($D1873="","",M1873*V1873/100)</f>
        <v/>
      </c>
      <c r="O1873" s="7" t="n"/>
      <c r="U1873" s="7" t="n"/>
      <c r="V1873" s="7" t="n"/>
      <c r="Y1873">
        <f>IF($D1873="","",IF($AN1873=1,0,IF($AM1873=1,Settings!$C$6,Settings!$C$7))*100)</f>
        <v/>
      </c>
      <c r="Z1873" s="7">
        <f>IF($D1873="","",V1873*Y1873/100)</f>
        <v/>
      </c>
      <c r="AA1873" s="7">
        <f>IF($D1873="","",V1873-Z1873)</f>
        <v/>
      </c>
      <c r="AB1873" s="7">
        <f>IF($D1873="","",AA1873-N1873)</f>
        <v/>
      </c>
      <c r="AF1873" s="7" t="n"/>
      <c r="AI1873" s="11" t="n"/>
      <c r="AK1873">
        <f>IF($D1873="","",IF(COUNTIF($D$2:$D1873,$D1873)=1,1,0))</f>
        <v/>
      </c>
      <c r="AL1873">
        <f>IF($AK1873=1,SUMPRODUCT(--($AO$2:$AO$3001&lt;$AO1873))+1,"")</f>
        <v/>
      </c>
      <c r="AM1873">
        <f>IF($D1873="","",IF(OR($R1873=TRUE(),$R1873="TRUE"),1,0))</f>
        <v/>
      </c>
      <c r="AN1873">
        <f>IF($D1873="","",IF($X1873="Yes",1,0))</f>
        <v/>
      </c>
      <c r="AO1873">
        <f>IF($AK1873=1,IFERROR(IF(VALUE($D1873)&lt;100000000,VALUE($D1873),1000000000),IFERROR(IF(VALUE(MID($D1873,2,20))&lt;100000000,VALUE(MID($D1873,2,20)),1000000000),1000000000))+ROW()/100000,"")</f>
        <v/>
      </c>
    </row>
    <row r="1874">
      <c r="F1874" s="11" t="n"/>
      <c r="N1874" s="7">
        <f>IF($D1874="","",M1874*V1874/100)</f>
        <v/>
      </c>
      <c r="O1874" s="7" t="n"/>
      <c r="U1874" s="7" t="n"/>
      <c r="V1874" s="7" t="n"/>
      <c r="Y1874">
        <f>IF($D1874="","",IF($AN1874=1,0,IF($AM1874=1,Settings!$C$6,Settings!$C$7))*100)</f>
        <v/>
      </c>
      <c r="Z1874" s="7">
        <f>IF($D1874="","",V1874*Y1874/100)</f>
        <v/>
      </c>
      <c r="AA1874" s="7">
        <f>IF($D1874="","",V1874-Z1874)</f>
        <v/>
      </c>
      <c r="AB1874" s="7">
        <f>IF($D1874="","",AA1874-N1874)</f>
        <v/>
      </c>
      <c r="AF1874" s="7" t="n"/>
      <c r="AI1874" s="11" t="n"/>
      <c r="AK1874">
        <f>IF($D1874="","",IF(COUNTIF($D$2:$D1874,$D1874)=1,1,0))</f>
        <v/>
      </c>
      <c r="AL1874">
        <f>IF($AK1874=1,SUMPRODUCT(--($AO$2:$AO$3001&lt;$AO1874))+1,"")</f>
        <v/>
      </c>
      <c r="AM1874">
        <f>IF($D1874="","",IF(OR($R1874=TRUE(),$R1874="TRUE"),1,0))</f>
        <v/>
      </c>
      <c r="AN1874">
        <f>IF($D1874="","",IF($X1874="Yes",1,0))</f>
        <v/>
      </c>
      <c r="AO1874">
        <f>IF($AK1874=1,IFERROR(IF(VALUE($D1874)&lt;100000000,VALUE($D1874),1000000000),IFERROR(IF(VALUE(MID($D1874,2,20))&lt;100000000,VALUE(MID($D1874,2,20)),1000000000),1000000000))+ROW()/100000,"")</f>
        <v/>
      </c>
    </row>
    <row r="1875">
      <c r="F1875" s="11" t="n"/>
      <c r="N1875" s="7">
        <f>IF($D1875="","",M1875*V1875/100)</f>
        <v/>
      </c>
      <c r="O1875" s="7" t="n"/>
      <c r="U1875" s="7" t="n"/>
      <c r="V1875" s="7" t="n"/>
      <c r="Y1875">
        <f>IF($D1875="","",IF($AN1875=1,0,IF($AM1875=1,Settings!$C$6,Settings!$C$7))*100)</f>
        <v/>
      </c>
      <c r="Z1875" s="7">
        <f>IF($D1875="","",V1875*Y1875/100)</f>
        <v/>
      </c>
      <c r="AA1875" s="7">
        <f>IF($D1875="","",V1875-Z1875)</f>
        <v/>
      </c>
      <c r="AB1875" s="7">
        <f>IF($D1875="","",AA1875-N1875)</f>
        <v/>
      </c>
      <c r="AF1875" s="7" t="n"/>
      <c r="AI1875" s="11" t="n"/>
      <c r="AK1875">
        <f>IF($D1875="","",IF(COUNTIF($D$2:$D1875,$D1875)=1,1,0))</f>
        <v/>
      </c>
      <c r="AL1875">
        <f>IF($AK1875=1,SUMPRODUCT(--($AO$2:$AO$3001&lt;$AO1875))+1,"")</f>
        <v/>
      </c>
      <c r="AM1875">
        <f>IF($D1875="","",IF(OR($R1875=TRUE(),$R1875="TRUE"),1,0))</f>
        <v/>
      </c>
      <c r="AN1875">
        <f>IF($D1875="","",IF($X1875="Yes",1,0))</f>
        <v/>
      </c>
      <c r="AO1875">
        <f>IF($AK1875=1,IFERROR(IF(VALUE($D1875)&lt;100000000,VALUE($D1875),1000000000),IFERROR(IF(VALUE(MID($D1875,2,20))&lt;100000000,VALUE(MID($D1875,2,20)),1000000000),1000000000))+ROW()/100000,"")</f>
        <v/>
      </c>
    </row>
    <row r="1876">
      <c r="F1876" s="11" t="n"/>
      <c r="N1876" s="7">
        <f>IF($D1876="","",M1876*V1876/100)</f>
        <v/>
      </c>
      <c r="O1876" s="7" t="n"/>
      <c r="U1876" s="7" t="n"/>
      <c r="V1876" s="7" t="n"/>
      <c r="Y1876">
        <f>IF($D1876="","",IF($AN1876=1,0,IF($AM1876=1,Settings!$C$6,Settings!$C$7))*100)</f>
        <v/>
      </c>
      <c r="Z1876" s="7">
        <f>IF($D1876="","",V1876*Y1876/100)</f>
        <v/>
      </c>
      <c r="AA1876" s="7">
        <f>IF($D1876="","",V1876-Z1876)</f>
        <v/>
      </c>
      <c r="AB1876" s="7">
        <f>IF($D1876="","",AA1876-N1876)</f>
        <v/>
      </c>
      <c r="AF1876" s="7" t="n"/>
      <c r="AI1876" s="11" t="n"/>
      <c r="AK1876">
        <f>IF($D1876="","",IF(COUNTIF($D$2:$D1876,$D1876)=1,1,0))</f>
        <v/>
      </c>
      <c r="AL1876">
        <f>IF($AK1876=1,SUMPRODUCT(--($AO$2:$AO$3001&lt;$AO1876))+1,"")</f>
        <v/>
      </c>
      <c r="AM1876">
        <f>IF($D1876="","",IF(OR($R1876=TRUE(),$R1876="TRUE"),1,0))</f>
        <v/>
      </c>
      <c r="AN1876">
        <f>IF($D1876="","",IF($X1876="Yes",1,0))</f>
        <v/>
      </c>
      <c r="AO1876">
        <f>IF($AK1876=1,IFERROR(IF(VALUE($D1876)&lt;100000000,VALUE($D1876),1000000000),IFERROR(IF(VALUE(MID($D1876,2,20))&lt;100000000,VALUE(MID($D1876,2,20)),1000000000),1000000000))+ROW()/100000,"")</f>
        <v/>
      </c>
    </row>
    <row r="1877">
      <c r="F1877" s="11" t="n"/>
      <c r="N1877" s="7">
        <f>IF($D1877="","",M1877*V1877/100)</f>
        <v/>
      </c>
      <c r="O1877" s="7" t="n"/>
      <c r="U1877" s="7" t="n"/>
      <c r="V1877" s="7" t="n"/>
      <c r="Y1877">
        <f>IF($D1877="","",IF($AN1877=1,0,IF($AM1877=1,Settings!$C$6,Settings!$C$7))*100)</f>
        <v/>
      </c>
      <c r="Z1877" s="7">
        <f>IF($D1877="","",V1877*Y1877/100)</f>
        <v/>
      </c>
      <c r="AA1877" s="7">
        <f>IF($D1877="","",V1877-Z1877)</f>
        <v/>
      </c>
      <c r="AB1877" s="7">
        <f>IF($D1877="","",AA1877-N1877)</f>
        <v/>
      </c>
      <c r="AF1877" s="7" t="n"/>
      <c r="AI1877" s="11" t="n"/>
      <c r="AK1877">
        <f>IF($D1877="","",IF(COUNTIF($D$2:$D1877,$D1877)=1,1,0))</f>
        <v/>
      </c>
      <c r="AL1877">
        <f>IF($AK1877=1,SUMPRODUCT(--($AO$2:$AO$3001&lt;$AO1877))+1,"")</f>
        <v/>
      </c>
      <c r="AM1877">
        <f>IF($D1877="","",IF(OR($R1877=TRUE(),$R1877="TRUE"),1,0))</f>
        <v/>
      </c>
      <c r="AN1877">
        <f>IF($D1877="","",IF($X1877="Yes",1,0))</f>
        <v/>
      </c>
      <c r="AO1877">
        <f>IF($AK1877=1,IFERROR(IF(VALUE($D1877)&lt;100000000,VALUE($D1877),1000000000),IFERROR(IF(VALUE(MID($D1877,2,20))&lt;100000000,VALUE(MID($D1877,2,20)),1000000000),1000000000))+ROW()/100000,"")</f>
        <v/>
      </c>
    </row>
    <row r="1878">
      <c r="F1878" s="11" t="n"/>
      <c r="N1878" s="7">
        <f>IF($D1878="","",M1878*V1878/100)</f>
        <v/>
      </c>
      <c r="O1878" s="7" t="n"/>
      <c r="U1878" s="7" t="n"/>
      <c r="V1878" s="7" t="n"/>
      <c r="Y1878">
        <f>IF($D1878="","",IF($AN1878=1,0,IF($AM1878=1,Settings!$C$6,Settings!$C$7))*100)</f>
        <v/>
      </c>
      <c r="Z1878" s="7">
        <f>IF($D1878="","",V1878*Y1878/100)</f>
        <v/>
      </c>
      <c r="AA1878" s="7">
        <f>IF($D1878="","",V1878-Z1878)</f>
        <v/>
      </c>
      <c r="AB1878" s="7">
        <f>IF($D1878="","",AA1878-N1878)</f>
        <v/>
      </c>
      <c r="AF1878" s="7" t="n"/>
      <c r="AI1878" s="11" t="n"/>
      <c r="AK1878">
        <f>IF($D1878="","",IF(COUNTIF($D$2:$D1878,$D1878)=1,1,0))</f>
        <v/>
      </c>
      <c r="AL1878">
        <f>IF($AK1878=1,SUMPRODUCT(--($AO$2:$AO$3001&lt;$AO1878))+1,"")</f>
        <v/>
      </c>
      <c r="AM1878">
        <f>IF($D1878="","",IF(OR($R1878=TRUE(),$R1878="TRUE"),1,0))</f>
        <v/>
      </c>
      <c r="AN1878">
        <f>IF($D1878="","",IF($X1878="Yes",1,0))</f>
        <v/>
      </c>
      <c r="AO1878">
        <f>IF($AK1878=1,IFERROR(IF(VALUE($D1878)&lt;100000000,VALUE($D1878),1000000000),IFERROR(IF(VALUE(MID($D1878,2,20))&lt;100000000,VALUE(MID($D1878,2,20)),1000000000),1000000000))+ROW()/100000,"")</f>
        <v/>
      </c>
    </row>
    <row r="1879">
      <c r="F1879" s="11" t="n"/>
      <c r="N1879" s="7">
        <f>IF($D1879="","",M1879*V1879/100)</f>
        <v/>
      </c>
      <c r="O1879" s="7" t="n"/>
      <c r="U1879" s="7" t="n"/>
      <c r="V1879" s="7" t="n"/>
      <c r="Y1879">
        <f>IF($D1879="","",IF($AN1879=1,0,IF($AM1879=1,Settings!$C$6,Settings!$C$7))*100)</f>
        <v/>
      </c>
      <c r="Z1879" s="7">
        <f>IF($D1879="","",V1879*Y1879/100)</f>
        <v/>
      </c>
      <c r="AA1879" s="7">
        <f>IF($D1879="","",V1879-Z1879)</f>
        <v/>
      </c>
      <c r="AB1879" s="7">
        <f>IF($D1879="","",AA1879-N1879)</f>
        <v/>
      </c>
      <c r="AF1879" s="7" t="n"/>
      <c r="AI1879" s="11" t="n"/>
      <c r="AK1879">
        <f>IF($D1879="","",IF(COUNTIF($D$2:$D1879,$D1879)=1,1,0))</f>
        <v/>
      </c>
      <c r="AL1879">
        <f>IF($AK1879=1,SUMPRODUCT(--($AO$2:$AO$3001&lt;$AO1879))+1,"")</f>
        <v/>
      </c>
      <c r="AM1879">
        <f>IF($D1879="","",IF(OR($R1879=TRUE(),$R1879="TRUE"),1,0))</f>
        <v/>
      </c>
      <c r="AN1879">
        <f>IF($D1879="","",IF($X1879="Yes",1,0))</f>
        <v/>
      </c>
      <c r="AO1879">
        <f>IF($AK1879=1,IFERROR(IF(VALUE($D1879)&lt;100000000,VALUE($D1879),1000000000),IFERROR(IF(VALUE(MID($D1879,2,20))&lt;100000000,VALUE(MID($D1879,2,20)),1000000000),1000000000))+ROW()/100000,"")</f>
        <v/>
      </c>
    </row>
    <row r="1880">
      <c r="F1880" s="11" t="n"/>
      <c r="N1880" s="7">
        <f>IF($D1880="","",M1880*V1880/100)</f>
        <v/>
      </c>
      <c r="O1880" s="7" t="n"/>
      <c r="U1880" s="7" t="n"/>
      <c r="V1880" s="7" t="n"/>
      <c r="Y1880">
        <f>IF($D1880="","",IF($AN1880=1,0,IF($AM1880=1,Settings!$C$6,Settings!$C$7))*100)</f>
        <v/>
      </c>
      <c r="Z1880" s="7">
        <f>IF($D1880="","",V1880*Y1880/100)</f>
        <v/>
      </c>
      <c r="AA1880" s="7">
        <f>IF($D1880="","",V1880-Z1880)</f>
        <v/>
      </c>
      <c r="AB1880" s="7">
        <f>IF($D1880="","",AA1880-N1880)</f>
        <v/>
      </c>
      <c r="AF1880" s="7" t="n"/>
      <c r="AI1880" s="11" t="n"/>
      <c r="AK1880">
        <f>IF($D1880="","",IF(COUNTIF($D$2:$D1880,$D1880)=1,1,0))</f>
        <v/>
      </c>
      <c r="AL1880">
        <f>IF($AK1880=1,SUMPRODUCT(--($AO$2:$AO$3001&lt;$AO1880))+1,"")</f>
        <v/>
      </c>
      <c r="AM1880">
        <f>IF($D1880="","",IF(OR($R1880=TRUE(),$R1880="TRUE"),1,0))</f>
        <v/>
      </c>
      <c r="AN1880">
        <f>IF($D1880="","",IF($X1880="Yes",1,0))</f>
        <v/>
      </c>
      <c r="AO1880">
        <f>IF($AK1880=1,IFERROR(IF(VALUE($D1880)&lt;100000000,VALUE($D1880),1000000000),IFERROR(IF(VALUE(MID($D1880,2,20))&lt;100000000,VALUE(MID($D1880,2,20)),1000000000),1000000000))+ROW()/100000,"")</f>
        <v/>
      </c>
    </row>
    <row r="1881">
      <c r="F1881" s="11" t="n"/>
      <c r="N1881" s="7">
        <f>IF($D1881="","",M1881*V1881/100)</f>
        <v/>
      </c>
      <c r="O1881" s="7" t="n"/>
      <c r="U1881" s="7" t="n"/>
      <c r="V1881" s="7" t="n"/>
      <c r="Y1881">
        <f>IF($D1881="","",IF($AN1881=1,0,IF($AM1881=1,Settings!$C$6,Settings!$C$7))*100)</f>
        <v/>
      </c>
      <c r="Z1881" s="7">
        <f>IF($D1881="","",V1881*Y1881/100)</f>
        <v/>
      </c>
      <c r="AA1881" s="7">
        <f>IF($D1881="","",V1881-Z1881)</f>
        <v/>
      </c>
      <c r="AB1881" s="7">
        <f>IF($D1881="","",AA1881-N1881)</f>
        <v/>
      </c>
      <c r="AF1881" s="7" t="n"/>
      <c r="AI1881" s="11" t="n"/>
      <c r="AK1881">
        <f>IF($D1881="","",IF(COUNTIF($D$2:$D1881,$D1881)=1,1,0))</f>
        <v/>
      </c>
      <c r="AL1881">
        <f>IF($AK1881=1,SUMPRODUCT(--($AO$2:$AO$3001&lt;$AO1881))+1,"")</f>
        <v/>
      </c>
      <c r="AM1881">
        <f>IF($D1881="","",IF(OR($R1881=TRUE(),$R1881="TRUE"),1,0))</f>
        <v/>
      </c>
      <c r="AN1881">
        <f>IF($D1881="","",IF($X1881="Yes",1,0))</f>
        <v/>
      </c>
      <c r="AO1881">
        <f>IF($AK1881=1,IFERROR(IF(VALUE($D1881)&lt;100000000,VALUE($D1881),1000000000),IFERROR(IF(VALUE(MID($D1881,2,20))&lt;100000000,VALUE(MID($D1881,2,20)),1000000000),1000000000))+ROW()/100000,"")</f>
        <v/>
      </c>
    </row>
    <row r="1882">
      <c r="F1882" s="11" t="n"/>
      <c r="N1882" s="7">
        <f>IF($D1882="","",M1882*V1882/100)</f>
        <v/>
      </c>
      <c r="O1882" s="7" t="n"/>
      <c r="U1882" s="7" t="n"/>
      <c r="V1882" s="7" t="n"/>
      <c r="Y1882">
        <f>IF($D1882="","",IF($AN1882=1,0,IF($AM1882=1,Settings!$C$6,Settings!$C$7))*100)</f>
        <v/>
      </c>
      <c r="Z1882" s="7">
        <f>IF($D1882="","",V1882*Y1882/100)</f>
        <v/>
      </c>
      <c r="AA1882" s="7">
        <f>IF($D1882="","",V1882-Z1882)</f>
        <v/>
      </c>
      <c r="AB1882" s="7">
        <f>IF($D1882="","",AA1882-N1882)</f>
        <v/>
      </c>
      <c r="AF1882" s="7" t="n"/>
      <c r="AI1882" s="11" t="n"/>
      <c r="AK1882">
        <f>IF($D1882="","",IF(COUNTIF($D$2:$D1882,$D1882)=1,1,0))</f>
        <v/>
      </c>
      <c r="AL1882">
        <f>IF($AK1882=1,SUMPRODUCT(--($AO$2:$AO$3001&lt;$AO1882))+1,"")</f>
        <v/>
      </c>
      <c r="AM1882">
        <f>IF($D1882="","",IF(OR($R1882=TRUE(),$R1882="TRUE"),1,0))</f>
        <v/>
      </c>
      <c r="AN1882">
        <f>IF($D1882="","",IF($X1882="Yes",1,0))</f>
        <v/>
      </c>
      <c r="AO1882">
        <f>IF($AK1882=1,IFERROR(IF(VALUE($D1882)&lt;100000000,VALUE($D1882),1000000000),IFERROR(IF(VALUE(MID($D1882,2,20))&lt;100000000,VALUE(MID($D1882,2,20)),1000000000),1000000000))+ROW()/100000,"")</f>
        <v/>
      </c>
    </row>
    <row r="1883">
      <c r="F1883" s="11" t="n"/>
      <c r="N1883" s="7">
        <f>IF($D1883="","",M1883*V1883/100)</f>
        <v/>
      </c>
      <c r="O1883" s="7" t="n"/>
      <c r="U1883" s="7" t="n"/>
      <c r="V1883" s="7" t="n"/>
      <c r="Y1883">
        <f>IF($D1883="","",IF($AN1883=1,0,IF($AM1883=1,Settings!$C$6,Settings!$C$7))*100)</f>
        <v/>
      </c>
      <c r="Z1883" s="7">
        <f>IF($D1883="","",V1883*Y1883/100)</f>
        <v/>
      </c>
      <c r="AA1883" s="7">
        <f>IF($D1883="","",V1883-Z1883)</f>
        <v/>
      </c>
      <c r="AB1883" s="7">
        <f>IF($D1883="","",AA1883-N1883)</f>
        <v/>
      </c>
      <c r="AF1883" s="7" t="n"/>
      <c r="AI1883" s="11" t="n"/>
      <c r="AK1883">
        <f>IF($D1883="","",IF(COUNTIF($D$2:$D1883,$D1883)=1,1,0))</f>
        <v/>
      </c>
      <c r="AL1883">
        <f>IF($AK1883=1,SUMPRODUCT(--($AO$2:$AO$3001&lt;$AO1883))+1,"")</f>
        <v/>
      </c>
      <c r="AM1883">
        <f>IF($D1883="","",IF(OR($R1883=TRUE(),$R1883="TRUE"),1,0))</f>
        <v/>
      </c>
      <c r="AN1883">
        <f>IF($D1883="","",IF($X1883="Yes",1,0))</f>
        <v/>
      </c>
      <c r="AO1883">
        <f>IF($AK1883=1,IFERROR(IF(VALUE($D1883)&lt;100000000,VALUE($D1883),1000000000),IFERROR(IF(VALUE(MID($D1883,2,20))&lt;100000000,VALUE(MID($D1883,2,20)),1000000000),1000000000))+ROW()/100000,"")</f>
        <v/>
      </c>
    </row>
    <row r="1884">
      <c r="F1884" s="11" t="n"/>
      <c r="N1884" s="7">
        <f>IF($D1884="","",M1884*V1884/100)</f>
        <v/>
      </c>
      <c r="O1884" s="7" t="n"/>
      <c r="U1884" s="7" t="n"/>
      <c r="V1884" s="7" t="n"/>
      <c r="Y1884">
        <f>IF($D1884="","",IF($AN1884=1,0,IF($AM1884=1,Settings!$C$6,Settings!$C$7))*100)</f>
        <v/>
      </c>
      <c r="Z1884" s="7">
        <f>IF($D1884="","",V1884*Y1884/100)</f>
        <v/>
      </c>
      <c r="AA1884" s="7">
        <f>IF($D1884="","",V1884-Z1884)</f>
        <v/>
      </c>
      <c r="AB1884" s="7">
        <f>IF($D1884="","",AA1884-N1884)</f>
        <v/>
      </c>
      <c r="AF1884" s="7" t="n"/>
      <c r="AI1884" s="11" t="n"/>
      <c r="AK1884">
        <f>IF($D1884="","",IF(COUNTIF($D$2:$D1884,$D1884)=1,1,0))</f>
        <v/>
      </c>
      <c r="AL1884">
        <f>IF($AK1884=1,SUMPRODUCT(--($AO$2:$AO$3001&lt;$AO1884))+1,"")</f>
        <v/>
      </c>
      <c r="AM1884">
        <f>IF($D1884="","",IF(OR($R1884=TRUE(),$R1884="TRUE"),1,0))</f>
        <v/>
      </c>
      <c r="AN1884">
        <f>IF($D1884="","",IF($X1884="Yes",1,0))</f>
        <v/>
      </c>
      <c r="AO1884">
        <f>IF($AK1884=1,IFERROR(IF(VALUE($D1884)&lt;100000000,VALUE($D1884),1000000000),IFERROR(IF(VALUE(MID($D1884,2,20))&lt;100000000,VALUE(MID($D1884,2,20)),1000000000),1000000000))+ROW()/100000,"")</f>
        <v/>
      </c>
    </row>
    <row r="1885">
      <c r="F1885" s="11" t="n"/>
      <c r="N1885" s="7">
        <f>IF($D1885="","",M1885*V1885/100)</f>
        <v/>
      </c>
      <c r="O1885" s="7" t="n"/>
      <c r="U1885" s="7" t="n"/>
      <c r="V1885" s="7" t="n"/>
      <c r="Y1885">
        <f>IF($D1885="","",IF($AN1885=1,0,IF($AM1885=1,Settings!$C$6,Settings!$C$7))*100)</f>
        <v/>
      </c>
      <c r="Z1885" s="7">
        <f>IF($D1885="","",V1885*Y1885/100)</f>
        <v/>
      </c>
      <c r="AA1885" s="7">
        <f>IF($D1885="","",V1885-Z1885)</f>
        <v/>
      </c>
      <c r="AB1885" s="7">
        <f>IF($D1885="","",AA1885-N1885)</f>
        <v/>
      </c>
      <c r="AF1885" s="7" t="n"/>
      <c r="AI1885" s="11" t="n"/>
      <c r="AK1885">
        <f>IF($D1885="","",IF(COUNTIF($D$2:$D1885,$D1885)=1,1,0))</f>
        <v/>
      </c>
      <c r="AL1885">
        <f>IF($AK1885=1,SUMPRODUCT(--($AO$2:$AO$3001&lt;$AO1885))+1,"")</f>
        <v/>
      </c>
      <c r="AM1885">
        <f>IF($D1885="","",IF(OR($R1885=TRUE(),$R1885="TRUE"),1,0))</f>
        <v/>
      </c>
      <c r="AN1885">
        <f>IF($D1885="","",IF($X1885="Yes",1,0))</f>
        <v/>
      </c>
      <c r="AO1885">
        <f>IF($AK1885=1,IFERROR(IF(VALUE($D1885)&lt;100000000,VALUE($D1885),1000000000),IFERROR(IF(VALUE(MID($D1885,2,20))&lt;100000000,VALUE(MID($D1885,2,20)),1000000000),1000000000))+ROW()/100000,"")</f>
        <v/>
      </c>
    </row>
    <row r="1886">
      <c r="F1886" s="11" t="n"/>
      <c r="N1886" s="7">
        <f>IF($D1886="","",M1886*V1886/100)</f>
        <v/>
      </c>
      <c r="O1886" s="7" t="n"/>
      <c r="U1886" s="7" t="n"/>
      <c r="V1886" s="7" t="n"/>
      <c r="Y1886">
        <f>IF($D1886="","",IF($AN1886=1,0,IF($AM1886=1,Settings!$C$6,Settings!$C$7))*100)</f>
        <v/>
      </c>
      <c r="Z1886" s="7">
        <f>IF($D1886="","",V1886*Y1886/100)</f>
        <v/>
      </c>
      <c r="AA1886" s="7">
        <f>IF($D1886="","",V1886-Z1886)</f>
        <v/>
      </c>
      <c r="AB1886" s="7">
        <f>IF($D1886="","",AA1886-N1886)</f>
        <v/>
      </c>
      <c r="AF1886" s="7" t="n"/>
      <c r="AI1886" s="11" t="n"/>
      <c r="AK1886">
        <f>IF($D1886="","",IF(COUNTIF($D$2:$D1886,$D1886)=1,1,0))</f>
        <v/>
      </c>
      <c r="AL1886">
        <f>IF($AK1886=1,SUMPRODUCT(--($AO$2:$AO$3001&lt;$AO1886))+1,"")</f>
        <v/>
      </c>
      <c r="AM1886">
        <f>IF($D1886="","",IF(OR($R1886=TRUE(),$R1886="TRUE"),1,0))</f>
        <v/>
      </c>
      <c r="AN1886">
        <f>IF($D1886="","",IF($X1886="Yes",1,0))</f>
        <v/>
      </c>
      <c r="AO1886">
        <f>IF($AK1886=1,IFERROR(IF(VALUE($D1886)&lt;100000000,VALUE($D1886),1000000000),IFERROR(IF(VALUE(MID($D1886,2,20))&lt;100000000,VALUE(MID($D1886,2,20)),1000000000),1000000000))+ROW()/100000,"")</f>
        <v/>
      </c>
    </row>
    <row r="1887">
      <c r="F1887" s="11" t="n"/>
      <c r="N1887" s="7">
        <f>IF($D1887="","",M1887*V1887/100)</f>
        <v/>
      </c>
      <c r="O1887" s="7" t="n"/>
      <c r="U1887" s="7" t="n"/>
      <c r="V1887" s="7" t="n"/>
      <c r="Y1887">
        <f>IF($D1887="","",IF($AN1887=1,0,IF($AM1887=1,Settings!$C$6,Settings!$C$7))*100)</f>
        <v/>
      </c>
      <c r="Z1887" s="7">
        <f>IF($D1887="","",V1887*Y1887/100)</f>
        <v/>
      </c>
      <c r="AA1887" s="7">
        <f>IF($D1887="","",V1887-Z1887)</f>
        <v/>
      </c>
      <c r="AB1887" s="7">
        <f>IF($D1887="","",AA1887-N1887)</f>
        <v/>
      </c>
      <c r="AF1887" s="7" t="n"/>
      <c r="AI1887" s="11" t="n"/>
      <c r="AK1887">
        <f>IF($D1887="","",IF(COUNTIF($D$2:$D1887,$D1887)=1,1,0))</f>
        <v/>
      </c>
      <c r="AL1887">
        <f>IF($AK1887=1,SUMPRODUCT(--($AO$2:$AO$3001&lt;$AO1887))+1,"")</f>
        <v/>
      </c>
      <c r="AM1887">
        <f>IF($D1887="","",IF(OR($R1887=TRUE(),$R1887="TRUE"),1,0))</f>
        <v/>
      </c>
      <c r="AN1887">
        <f>IF($D1887="","",IF($X1887="Yes",1,0))</f>
        <v/>
      </c>
      <c r="AO1887">
        <f>IF($AK1887=1,IFERROR(IF(VALUE($D1887)&lt;100000000,VALUE($D1887),1000000000),IFERROR(IF(VALUE(MID($D1887,2,20))&lt;100000000,VALUE(MID($D1887,2,20)),1000000000),1000000000))+ROW()/100000,"")</f>
        <v/>
      </c>
    </row>
    <row r="1888">
      <c r="F1888" s="11" t="n"/>
      <c r="N1888" s="7">
        <f>IF($D1888="","",M1888*V1888/100)</f>
        <v/>
      </c>
      <c r="O1888" s="7" t="n"/>
      <c r="U1888" s="7" t="n"/>
      <c r="V1888" s="7" t="n"/>
      <c r="Y1888">
        <f>IF($D1888="","",IF($AN1888=1,0,IF($AM1888=1,Settings!$C$6,Settings!$C$7))*100)</f>
        <v/>
      </c>
      <c r="Z1888" s="7">
        <f>IF($D1888="","",V1888*Y1888/100)</f>
        <v/>
      </c>
      <c r="AA1888" s="7">
        <f>IF($D1888="","",V1888-Z1888)</f>
        <v/>
      </c>
      <c r="AB1888" s="7">
        <f>IF($D1888="","",AA1888-N1888)</f>
        <v/>
      </c>
      <c r="AF1888" s="7" t="n"/>
      <c r="AI1888" s="11" t="n"/>
      <c r="AK1888">
        <f>IF($D1888="","",IF(COUNTIF($D$2:$D1888,$D1888)=1,1,0))</f>
        <v/>
      </c>
      <c r="AL1888">
        <f>IF($AK1888=1,SUMPRODUCT(--($AO$2:$AO$3001&lt;$AO1888))+1,"")</f>
        <v/>
      </c>
      <c r="AM1888">
        <f>IF($D1888="","",IF(OR($R1888=TRUE(),$R1888="TRUE"),1,0))</f>
        <v/>
      </c>
      <c r="AN1888">
        <f>IF($D1888="","",IF($X1888="Yes",1,0))</f>
        <v/>
      </c>
      <c r="AO1888">
        <f>IF($AK1888=1,IFERROR(IF(VALUE($D1888)&lt;100000000,VALUE($D1888),1000000000),IFERROR(IF(VALUE(MID($D1888,2,20))&lt;100000000,VALUE(MID($D1888,2,20)),1000000000),1000000000))+ROW()/100000,"")</f>
        <v/>
      </c>
    </row>
    <row r="1889">
      <c r="F1889" s="11" t="n"/>
      <c r="N1889" s="7">
        <f>IF($D1889="","",M1889*V1889/100)</f>
        <v/>
      </c>
      <c r="O1889" s="7" t="n"/>
      <c r="U1889" s="7" t="n"/>
      <c r="V1889" s="7" t="n"/>
      <c r="Y1889">
        <f>IF($D1889="","",IF($AN1889=1,0,IF($AM1889=1,Settings!$C$6,Settings!$C$7))*100)</f>
        <v/>
      </c>
      <c r="Z1889" s="7">
        <f>IF($D1889="","",V1889*Y1889/100)</f>
        <v/>
      </c>
      <c r="AA1889" s="7">
        <f>IF($D1889="","",V1889-Z1889)</f>
        <v/>
      </c>
      <c r="AB1889" s="7">
        <f>IF($D1889="","",AA1889-N1889)</f>
        <v/>
      </c>
      <c r="AF1889" s="7" t="n"/>
      <c r="AI1889" s="11" t="n"/>
      <c r="AK1889">
        <f>IF($D1889="","",IF(COUNTIF($D$2:$D1889,$D1889)=1,1,0))</f>
        <v/>
      </c>
      <c r="AL1889">
        <f>IF($AK1889=1,SUMPRODUCT(--($AO$2:$AO$3001&lt;$AO1889))+1,"")</f>
        <v/>
      </c>
      <c r="AM1889">
        <f>IF($D1889="","",IF(OR($R1889=TRUE(),$R1889="TRUE"),1,0))</f>
        <v/>
      </c>
      <c r="AN1889">
        <f>IF($D1889="","",IF($X1889="Yes",1,0))</f>
        <v/>
      </c>
      <c r="AO1889">
        <f>IF($AK1889=1,IFERROR(IF(VALUE($D1889)&lt;100000000,VALUE($D1889),1000000000),IFERROR(IF(VALUE(MID($D1889,2,20))&lt;100000000,VALUE(MID($D1889,2,20)),1000000000),1000000000))+ROW()/100000,"")</f>
        <v/>
      </c>
    </row>
    <row r="1890">
      <c r="F1890" s="11" t="n"/>
      <c r="N1890" s="7">
        <f>IF($D1890="","",M1890*V1890/100)</f>
        <v/>
      </c>
      <c r="O1890" s="7" t="n"/>
      <c r="U1890" s="7" t="n"/>
      <c r="V1890" s="7" t="n"/>
      <c r="Y1890">
        <f>IF($D1890="","",IF($AN1890=1,0,IF($AM1890=1,Settings!$C$6,Settings!$C$7))*100)</f>
        <v/>
      </c>
      <c r="Z1890" s="7">
        <f>IF($D1890="","",V1890*Y1890/100)</f>
        <v/>
      </c>
      <c r="AA1890" s="7">
        <f>IF($D1890="","",V1890-Z1890)</f>
        <v/>
      </c>
      <c r="AB1890" s="7">
        <f>IF($D1890="","",AA1890-N1890)</f>
        <v/>
      </c>
      <c r="AF1890" s="7" t="n"/>
      <c r="AI1890" s="11" t="n"/>
      <c r="AK1890">
        <f>IF($D1890="","",IF(COUNTIF($D$2:$D1890,$D1890)=1,1,0))</f>
        <v/>
      </c>
      <c r="AL1890">
        <f>IF($AK1890=1,SUMPRODUCT(--($AO$2:$AO$3001&lt;$AO1890))+1,"")</f>
        <v/>
      </c>
      <c r="AM1890">
        <f>IF($D1890="","",IF(OR($R1890=TRUE(),$R1890="TRUE"),1,0))</f>
        <v/>
      </c>
      <c r="AN1890">
        <f>IF($D1890="","",IF($X1890="Yes",1,0))</f>
        <v/>
      </c>
      <c r="AO1890">
        <f>IF($AK1890=1,IFERROR(IF(VALUE($D1890)&lt;100000000,VALUE($D1890),1000000000),IFERROR(IF(VALUE(MID($D1890,2,20))&lt;100000000,VALUE(MID($D1890,2,20)),1000000000),1000000000))+ROW()/100000,"")</f>
        <v/>
      </c>
    </row>
    <row r="1891">
      <c r="F1891" s="11" t="n"/>
      <c r="N1891" s="7">
        <f>IF($D1891="","",M1891*V1891/100)</f>
        <v/>
      </c>
      <c r="O1891" s="7" t="n"/>
      <c r="U1891" s="7" t="n"/>
      <c r="V1891" s="7" t="n"/>
      <c r="Y1891">
        <f>IF($D1891="","",IF($AN1891=1,0,IF($AM1891=1,Settings!$C$6,Settings!$C$7))*100)</f>
        <v/>
      </c>
      <c r="Z1891" s="7">
        <f>IF($D1891="","",V1891*Y1891/100)</f>
        <v/>
      </c>
      <c r="AA1891" s="7">
        <f>IF($D1891="","",V1891-Z1891)</f>
        <v/>
      </c>
      <c r="AB1891" s="7">
        <f>IF($D1891="","",AA1891-N1891)</f>
        <v/>
      </c>
      <c r="AF1891" s="7" t="n"/>
      <c r="AI1891" s="11" t="n"/>
      <c r="AK1891">
        <f>IF($D1891="","",IF(COUNTIF($D$2:$D1891,$D1891)=1,1,0))</f>
        <v/>
      </c>
      <c r="AL1891">
        <f>IF($AK1891=1,SUMPRODUCT(--($AO$2:$AO$3001&lt;$AO1891))+1,"")</f>
        <v/>
      </c>
      <c r="AM1891">
        <f>IF($D1891="","",IF(OR($R1891=TRUE(),$R1891="TRUE"),1,0))</f>
        <v/>
      </c>
      <c r="AN1891">
        <f>IF($D1891="","",IF($X1891="Yes",1,0))</f>
        <v/>
      </c>
      <c r="AO1891">
        <f>IF($AK1891=1,IFERROR(IF(VALUE($D1891)&lt;100000000,VALUE($D1891),1000000000),IFERROR(IF(VALUE(MID($D1891,2,20))&lt;100000000,VALUE(MID($D1891,2,20)),1000000000),1000000000))+ROW()/100000,"")</f>
        <v/>
      </c>
    </row>
    <row r="1892">
      <c r="F1892" s="11" t="n"/>
      <c r="N1892" s="7">
        <f>IF($D1892="","",M1892*V1892/100)</f>
        <v/>
      </c>
      <c r="O1892" s="7" t="n"/>
      <c r="U1892" s="7" t="n"/>
      <c r="V1892" s="7" t="n"/>
      <c r="Y1892">
        <f>IF($D1892="","",IF($AN1892=1,0,IF($AM1892=1,Settings!$C$6,Settings!$C$7))*100)</f>
        <v/>
      </c>
      <c r="Z1892" s="7">
        <f>IF($D1892="","",V1892*Y1892/100)</f>
        <v/>
      </c>
      <c r="AA1892" s="7">
        <f>IF($D1892="","",V1892-Z1892)</f>
        <v/>
      </c>
      <c r="AB1892" s="7">
        <f>IF($D1892="","",AA1892-N1892)</f>
        <v/>
      </c>
      <c r="AF1892" s="7" t="n"/>
      <c r="AI1892" s="11" t="n"/>
      <c r="AK1892">
        <f>IF($D1892="","",IF(COUNTIF($D$2:$D1892,$D1892)=1,1,0))</f>
        <v/>
      </c>
      <c r="AL1892">
        <f>IF($AK1892=1,SUMPRODUCT(--($AO$2:$AO$3001&lt;$AO1892))+1,"")</f>
        <v/>
      </c>
      <c r="AM1892">
        <f>IF($D1892="","",IF(OR($R1892=TRUE(),$R1892="TRUE"),1,0))</f>
        <v/>
      </c>
      <c r="AN1892">
        <f>IF($D1892="","",IF($X1892="Yes",1,0))</f>
        <v/>
      </c>
      <c r="AO1892">
        <f>IF($AK1892=1,IFERROR(IF(VALUE($D1892)&lt;100000000,VALUE($D1892),1000000000),IFERROR(IF(VALUE(MID($D1892,2,20))&lt;100000000,VALUE(MID($D1892,2,20)),1000000000),1000000000))+ROW()/100000,"")</f>
        <v/>
      </c>
    </row>
    <row r="1893">
      <c r="F1893" s="11" t="n"/>
      <c r="N1893" s="7">
        <f>IF($D1893="","",M1893*V1893/100)</f>
        <v/>
      </c>
      <c r="O1893" s="7" t="n"/>
      <c r="U1893" s="7" t="n"/>
      <c r="V1893" s="7" t="n"/>
      <c r="Y1893">
        <f>IF($D1893="","",IF($AN1893=1,0,IF($AM1893=1,Settings!$C$6,Settings!$C$7))*100)</f>
        <v/>
      </c>
      <c r="Z1893" s="7">
        <f>IF($D1893="","",V1893*Y1893/100)</f>
        <v/>
      </c>
      <c r="AA1893" s="7">
        <f>IF($D1893="","",V1893-Z1893)</f>
        <v/>
      </c>
      <c r="AB1893" s="7">
        <f>IF($D1893="","",AA1893-N1893)</f>
        <v/>
      </c>
      <c r="AF1893" s="7" t="n"/>
      <c r="AI1893" s="11" t="n"/>
      <c r="AK1893">
        <f>IF($D1893="","",IF(COUNTIF($D$2:$D1893,$D1893)=1,1,0))</f>
        <v/>
      </c>
      <c r="AL1893">
        <f>IF($AK1893=1,SUMPRODUCT(--($AO$2:$AO$3001&lt;$AO1893))+1,"")</f>
        <v/>
      </c>
      <c r="AM1893">
        <f>IF($D1893="","",IF(OR($R1893=TRUE(),$R1893="TRUE"),1,0))</f>
        <v/>
      </c>
      <c r="AN1893">
        <f>IF($D1893="","",IF($X1893="Yes",1,0))</f>
        <v/>
      </c>
      <c r="AO1893">
        <f>IF($AK1893=1,IFERROR(IF(VALUE($D1893)&lt;100000000,VALUE($D1893),1000000000),IFERROR(IF(VALUE(MID($D1893,2,20))&lt;100000000,VALUE(MID($D1893,2,20)),1000000000),1000000000))+ROW()/100000,"")</f>
        <v/>
      </c>
    </row>
    <row r="1894">
      <c r="F1894" s="11" t="n"/>
      <c r="N1894" s="7">
        <f>IF($D1894="","",M1894*V1894/100)</f>
        <v/>
      </c>
      <c r="O1894" s="7" t="n"/>
      <c r="U1894" s="7" t="n"/>
      <c r="V1894" s="7" t="n"/>
      <c r="Y1894">
        <f>IF($D1894="","",IF($AN1894=1,0,IF($AM1894=1,Settings!$C$6,Settings!$C$7))*100)</f>
        <v/>
      </c>
      <c r="Z1894" s="7">
        <f>IF($D1894="","",V1894*Y1894/100)</f>
        <v/>
      </c>
      <c r="AA1894" s="7">
        <f>IF($D1894="","",V1894-Z1894)</f>
        <v/>
      </c>
      <c r="AB1894" s="7">
        <f>IF($D1894="","",AA1894-N1894)</f>
        <v/>
      </c>
      <c r="AF1894" s="7" t="n"/>
      <c r="AI1894" s="11" t="n"/>
      <c r="AK1894">
        <f>IF($D1894="","",IF(COUNTIF($D$2:$D1894,$D1894)=1,1,0))</f>
        <v/>
      </c>
      <c r="AL1894">
        <f>IF($AK1894=1,SUMPRODUCT(--($AO$2:$AO$3001&lt;$AO1894))+1,"")</f>
        <v/>
      </c>
      <c r="AM1894">
        <f>IF($D1894="","",IF(OR($R1894=TRUE(),$R1894="TRUE"),1,0))</f>
        <v/>
      </c>
      <c r="AN1894">
        <f>IF($D1894="","",IF($X1894="Yes",1,0))</f>
        <v/>
      </c>
      <c r="AO1894">
        <f>IF($AK1894=1,IFERROR(IF(VALUE($D1894)&lt;100000000,VALUE($D1894),1000000000),IFERROR(IF(VALUE(MID($D1894,2,20))&lt;100000000,VALUE(MID($D1894,2,20)),1000000000),1000000000))+ROW()/100000,"")</f>
        <v/>
      </c>
    </row>
    <row r="1895">
      <c r="F1895" s="11" t="n"/>
      <c r="N1895" s="7">
        <f>IF($D1895="","",M1895*V1895/100)</f>
        <v/>
      </c>
      <c r="O1895" s="7" t="n"/>
      <c r="U1895" s="7" t="n"/>
      <c r="V1895" s="7" t="n"/>
      <c r="Y1895">
        <f>IF($D1895="","",IF($AN1895=1,0,IF($AM1895=1,Settings!$C$6,Settings!$C$7))*100)</f>
        <v/>
      </c>
      <c r="Z1895" s="7">
        <f>IF($D1895="","",V1895*Y1895/100)</f>
        <v/>
      </c>
      <c r="AA1895" s="7">
        <f>IF($D1895="","",V1895-Z1895)</f>
        <v/>
      </c>
      <c r="AB1895" s="7">
        <f>IF($D1895="","",AA1895-N1895)</f>
        <v/>
      </c>
      <c r="AF1895" s="7" t="n"/>
      <c r="AI1895" s="11" t="n"/>
      <c r="AK1895">
        <f>IF($D1895="","",IF(COUNTIF($D$2:$D1895,$D1895)=1,1,0))</f>
        <v/>
      </c>
      <c r="AL1895">
        <f>IF($AK1895=1,SUMPRODUCT(--($AO$2:$AO$3001&lt;$AO1895))+1,"")</f>
        <v/>
      </c>
      <c r="AM1895">
        <f>IF($D1895="","",IF(OR($R1895=TRUE(),$R1895="TRUE"),1,0))</f>
        <v/>
      </c>
      <c r="AN1895">
        <f>IF($D1895="","",IF($X1895="Yes",1,0))</f>
        <v/>
      </c>
      <c r="AO1895">
        <f>IF($AK1895=1,IFERROR(IF(VALUE($D1895)&lt;100000000,VALUE($D1895),1000000000),IFERROR(IF(VALUE(MID($D1895,2,20))&lt;100000000,VALUE(MID($D1895,2,20)),1000000000),1000000000))+ROW()/100000,"")</f>
        <v/>
      </c>
    </row>
    <row r="1896">
      <c r="F1896" s="11" t="n"/>
      <c r="N1896" s="7">
        <f>IF($D1896="","",M1896*V1896/100)</f>
        <v/>
      </c>
      <c r="O1896" s="7" t="n"/>
      <c r="U1896" s="7" t="n"/>
      <c r="V1896" s="7" t="n"/>
      <c r="Y1896">
        <f>IF($D1896="","",IF($AN1896=1,0,IF($AM1896=1,Settings!$C$6,Settings!$C$7))*100)</f>
        <v/>
      </c>
      <c r="Z1896" s="7">
        <f>IF($D1896="","",V1896*Y1896/100)</f>
        <v/>
      </c>
      <c r="AA1896" s="7">
        <f>IF($D1896="","",V1896-Z1896)</f>
        <v/>
      </c>
      <c r="AB1896" s="7">
        <f>IF($D1896="","",AA1896-N1896)</f>
        <v/>
      </c>
      <c r="AF1896" s="7" t="n"/>
      <c r="AI1896" s="11" t="n"/>
      <c r="AK1896">
        <f>IF($D1896="","",IF(COUNTIF($D$2:$D1896,$D1896)=1,1,0))</f>
        <v/>
      </c>
      <c r="AL1896">
        <f>IF($AK1896=1,SUMPRODUCT(--($AO$2:$AO$3001&lt;$AO1896))+1,"")</f>
        <v/>
      </c>
      <c r="AM1896">
        <f>IF($D1896="","",IF(OR($R1896=TRUE(),$R1896="TRUE"),1,0))</f>
        <v/>
      </c>
      <c r="AN1896">
        <f>IF($D1896="","",IF($X1896="Yes",1,0))</f>
        <v/>
      </c>
      <c r="AO1896">
        <f>IF($AK1896=1,IFERROR(IF(VALUE($D1896)&lt;100000000,VALUE($D1896),1000000000),IFERROR(IF(VALUE(MID($D1896,2,20))&lt;100000000,VALUE(MID($D1896,2,20)),1000000000),1000000000))+ROW()/100000,"")</f>
        <v/>
      </c>
    </row>
    <row r="1897">
      <c r="F1897" s="11" t="n"/>
      <c r="N1897" s="7">
        <f>IF($D1897="","",M1897*V1897/100)</f>
        <v/>
      </c>
      <c r="O1897" s="7" t="n"/>
      <c r="U1897" s="7" t="n"/>
      <c r="V1897" s="7" t="n"/>
      <c r="Y1897">
        <f>IF($D1897="","",IF($AN1897=1,0,IF($AM1897=1,Settings!$C$6,Settings!$C$7))*100)</f>
        <v/>
      </c>
      <c r="Z1897" s="7">
        <f>IF($D1897="","",V1897*Y1897/100)</f>
        <v/>
      </c>
      <c r="AA1897" s="7">
        <f>IF($D1897="","",V1897-Z1897)</f>
        <v/>
      </c>
      <c r="AB1897" s="7">
        <f>IF($D1897="","",AA1897-N1897)</f>
        <v/>
      </c>
      <c r="AF1897" s="7" t="n"/>
      <c r="AI1897" s="11" t="n"/>
      <c r="AK1897">
        <f>IF($D1897="","",IF(COUNTIF($D$2:$D1897,$D1897)=1,1,0))</f>
        <v/>
      </c>
      <c r="AL1897">
        <f>IF($AK1897=1,SUMPRODUCT(--($AO$2:$AO$3001&lt;$AO1897))+1,"")</f>
        <v/>
      </c>
      <c r="AM1897">
        <f>IF($D1897="","",IF(OR($R1897=TRUE(),$R1897="TRUE"),1,0))</f>
        <v/>
      </c>
      <c r="AN1897">
        <f>IF($D1897="","",IF($X1897="Yes",1,0))</f>
        <v/>
      </c>
      <c r="AO1897">
        <f>IF($AK1897=1,IFERROR(IF(VALUE($D1897)&lt;100000000,VALUE($D1897),1000000000),IFERROR(IF(VALUE(MID($D1897,2,20))&lt;100000000,VALUE(MID($D1897,2,20)),1000000000),1000000000))+ROW()/100000,"")</f>
        <v/>
      </c>
    </row>
    <row r="1898">
      <c r="F1898" s="11" t="n"/>
      <c r="N1898" s="7">
        <f>IF($D1898="","",M1898*V1898/100)</f>
        <v/>
      </c>
      <c r="O1898" s="7" t="n"/>
      <c r="U1898" s="7" t="n"/>
      <c r="V1898" s="7" t="n"/>
      <c r="Y1898">
        <f>IF($D1898="","",IF($AN1898=1,0,IF($AM1898=1,Settings!$C$6,Settings!$C$7))*100)</f>
        <v/>
      </c>
      <c r="Z1898" s="7">
        <f>IF($D1898="","",V1898*Y1898/100)</f>
        <v/>
      </c>
      <c r="AA1898" s="7">
        <f>IF($D1898="","",V1898-Z1898)</f>
        <v/>
      </c>
      <c r="AB1898" s="7">
        <f>IF($D1898="","",AA1898-N1898)</f>
        <v/>
      </c>
      <c r="AF1898" s="7" t="n"/>
      <c r="AI1898" s="11" t="n"/>
      <c r="AK1898">
        <f>IF($D1898="","",IF(COUNTIF($D$2:$D1898,$D1898)=1,1,0))</f>
        <v/>
      </c>
      <c r="AL1898">
        <f>IF($AK1898=1,SUMPRODUCT(--($AO$2:$AO$3001&lt;$AO1898))+1,"")</f>
        <v/>
      </c>
      <c r="AM1898">
        <f>IF($D1898="","",IF(OR($R1898=TRUE(),$R1898="TRUE"),1,0))</f>
        <v/>
      </c>
      <c r="AN1898">
        <f>IF($D1898="","",IF($X1898="Yes",1,0))</f>
        <v/>
      </c>
      <c r="AO1898">
        <f>IF($AK1898=1,IFERROR(IF(VALUE($D1898)&lt;100000000,VALUE($D1898),1000000000),IFERROR(IF(VALUE(MID($D1898,2,20))&lt;100000000,VALUE(MID($D1898,2,20)),1000000000),1000000000))+ROW()/100000,"")</f>
        <v/>
      </c>
    </row>
    <row r="1899">
      <c r="F1899" s="11" t="n"/>
      <c r="N1899" s="7">
        <f>IF($D1899="","",M1899*V1899/100)</f>
        <v/>
      </c>
      <c r="O1899" s="7" t="n"/>
      <c r="U1899" s="7" t="n"/>
      <c r="V1899" s="7" t="n"/>
      <c r="Y1899">
        <f>IF($D1899="","",IF($AN1899=1,0,IF($AM1899=1,Settings!$C$6,Settings!$C$7))*100)</f>
        <v/>
      </c>
      <c r="Z1899" s="7">
        <f>IF($D1899="","",V1899*Y1899/100)</f>
        <v/>
      </c>
      <c r="AA1899" s="7">
        <f>IF($D1899="","",V1899-Z1899)</f>
        <v/>
      </c>
      <c r="AB1899" s="7">
        <f>IF($D1899="","",AA1899-N1899)</f>
        <v/>
      </c>
      <c r="AF1899" s="7" t="n"/>
      <c r="AI1899" s="11" t="n"/>
      <c r="AK1899">
        <f>IF($D1899="","",IF(COUNTIF($D$2:$D1899,$D1899)=1,1,0))</f>
        <v/>
      </c>
      <c r="AL1899">
        <f>IF($AK1899=1,SUMPRODUCT(--($AO$2:$AO$3001&lt;$AO1899))+1,"")</f>
        <v/>
      </c>
      <c r="AM1899">
        <f>IF($D1899="","",IF(OR($R1899=TRUE(),$R1899="TRUE"),1,0))</f>
        <v/>
      </c>
      <c r="AN1899">
        <f>IF($D1899="","",IF($X1899="Yes",1,0))</f>
        <v/>
      </c>
      <c r="AO1899">
        <f>IF($AK1899=1,IFERROR(IF(VALUE($D1899)&lt;100000000,VALUE($D1899),1000000000),IFERROR(IF(VALUE(MID($D1899,2,20))&lt;100000000,VALUE(MID($D1899,2,20)),1000000000),1000000000))+ROW()/100000,"")</f>
        <v/>
      </c>
    </row>
    <row r="1900">
      <c r="F1900" s="11" t="n"/>
      <c r="N1900" s="7">
        <f>IF($D1900="","",M1900*V1900/100)</f>
        <v/>
      </c>
      <c r="O1900" s="7" t="n"/>
      <c r="U1900" s="7" t="n"/>
      <c r="V1900" s="7" t="n"/>
      <c r="Y1900">
        <f>IF($D1900="","",IF($AN1900=1,0,IF($AM1900=1,Settings!$C$6,Settings!$C$7))*100)</f>
        <v/>
      </c>
      <c r="Z1900" s="7">
        <f>IF($D1900="","",V1900*Y1900/100)</f>
        <v/>
      </c>
      <c r="AA1900" s="7">
        <f>IF($D1900="","",V1900-Z1900)</f>
        <v/>
      </c>
      <c r="AB1900" s="7">
        <f>IF($D1900="","",AA1900-N1900)</f>
        <v/>
      </c>
      <c r="AF1900" s="7" t="n"/>
      <c r="AI1900" s="11" t="n"/>
      <c r="AK1900">
        <f>IF($D1900="","",IF(COUNTIF($D$2:$D1900,$D1900)=1,1,0))</f>
        <v/>
      </c>
      <c r="AL1900">
        <f>IF($AK1900=1,SUMPRODUCT(--($AO$2:$AO$3001&lt;$AO1900))+1,"")</f>
        <v/>
      </c>
      <c r="AM1900">
        <f>IF($D1900="","",IF(OR($R1900=TRUE(),$R1900="TRUE"),1,0))</f>
        <v/>
      </c>
      <c r="AN1900">
        <f>IF($D1900="","",IF($X1900="Yes",1,0))</f>
        <v/>
      </c>
      <c r="AO1900">
        <f>IF($AK1900=1,IFERROR(IF(VALUE($D1900)&lt;100000000,VALUE($D1900),1000000000),IFERROR(IF(VALUE(MID($D1900,2,20))&lt;100000000,VALUE(MID($D1900,2,20)),1000000000),1000000000))+ROW()/100000,"")</f>
        <v/>
      </c>
    </row>
    <row r="1901">
      <c r="F1901" s="11" t="n"/>
      <c r="N1901" s="7">
        <f>IF($D1901="","",M1901*V1901/100)</f>
        <v/>
      </c>
      <c r="O1901" s="7" t="n"/>
      <c r="U1901" s="7" t="n"/>
      <c r="V1901" s="7" t="n"/>
      <c r="Y1901">
        <f>IF($D1901="","",IF($AN1901=1,0,IF($AM1901=1,Settings!$C$6,Settings!$C$7))*100)</f>
        <v/>
      </c>
      <c r="Z1901" s="7">
        <f>IF($D1901="","",V1901*Y1901/100)</f>
        <v/>
      </c>
      <c r="AA1901" s="7">
        <f>IF($D1901="","",V1901-Z1901)</f>
        <v/>
      </c>
      <c r="AB1901" s="7">
        <f>IF($D1901="","",AA1901-N1901)</f>
        <v/>
      </c>
      <c r="AF1901" s="7" t="n"/>
      <c r="AI1901" s="11" t="n"/>
      <c r="AK1901">
        <f>IF($D1901="","",IF(COUNTIF($D$2:$D1901,$D1901)=1,1,0))</f>
        <v/>
      </c>
      <c r="AL1901">
        <f>IF($AK1901=1,SUMPRODUCT(--($AO$2:$AO$3001&lt;$AO1901))+1,"")</f>
        <v/>
      </c>
      <c r="AM1901">
        <f>IF($D1901="","",IF(OR($R1901=TRUE(),$R1901="TRUE"),1,0))</f>
        <v/>
      </c>
      <c r="AN1901">
        <f>IF($D1901="","",IF($X1901="Yes",1,0))</f>
        <v/>
      </c>
      <c r="AO1901">
        <f>IF($AK1901=1,IFERROR(IF(VALUE($D1901)&lt;100000000,VALUE($D1901),1000000000),IFERROR(IF(VALUE(MID($D1901,2,20))&lt;100000000,VALUE(MID($D1901,2,20)),1000000000),1000000000))+ROW()/100000,"")</f>
        <v/>
      </c>
    </row>
    <row r="1902">
      <c r="F1902" s="11" t="n"/>
      <c r="N1902" s="7">
        <f>IF($D1902="","",M1902*V1902/100)</f>
        <v/>
      </c>
      <c r="O1902" s="7" t="n"/>
      <c r="U1902" s="7" t="n"/>
      <c r="V1902" s="7" t="n"/>
      <c r="Y1902">
        <f>IF($D1902="","",IF($AN1902=1,0,IF($AM1902=1,Settings!$C$6,Settings!$C$7))*100)</f>
        <v/>
      </c>
      <c r="Z1902" s="7">
        <f>IF($D1902="","",V1902*Y1902/100)</f>
        <v/>
      </c>
      <c r="AA1902" s="7">
        <f>IF($D1902="","",V1902-Z1902)</f>
        <v/>
      </c>
      <c r="AB1902" s="7">
        <f>IF($D1902="","",AA1902-N1902)</f>
        <v/>
      </c>
      <c r="AF1902" s="7" t="n"/>
      <c r="AI1902" s="11" t="n"/>
      <c r="AK1902">
        <f>IF($D1902="","",IF(COUNTIF($D$2:$D1902,$D1902)=1,1,0))</f>
        <v/>
      </c>
      <c r="AL1902">
        <f>IF($AK1902=1,SUMPRODUCT(--($AO$2:$AO$3001&lt;$AO1902))+1,"")</f>
        <v/>
      </c>
      <c r="AM1902">
        <f>IF($D1902="","",IF(OR($R1902=TRUE(),$R1902="TRUE"),1,0))</f>
        <v/>
      </c>
      <c r="AN1902">
        <f>IF($D1902="","",IF($X1902="Yes",1,0))</f>
        <v/>
      </c>
      <c r="AO1902">
        <f>IF($AK1902=1,IFERROR(IF(VALUE($D1902)&lt;100000000,VALUE($D1902),1000000000),IFERROR(IF(VALUE(MID($D1902,2,20))&lt;100000000,VALUE(MID($D1902,2,20)),1000000000),1000000000))+ROW()/100000,"")</f>
        <v/>
      </c>
    </row>
    <row r="1903">
      <c r="F1903" s="11" t="n"/>
      <c r="N1903" s="7">
        <f>IF($D1903="","",M1903*V1903/100)</f>
        <v/>
      </c>
      <c r="O1903" s="7" t="n"/>
      <c r="U1903" s="7" t="n"/>
      <c r="V1903" s="7" t="n"/>
      <c r="Y1903">
        <f>IF($D1903="","",IF($AN1903=1,0,IF($AM1903=1,Settings!$C$6,Settings!$C$7))*100)</f>
        <v/>
      </c>
      <c r="Z1903" s="7">
        <f>IF($D1903="","",V1903*Y1903/100)</f>
        <v/>
      </c>
      <c r="AA1903" s="7">
        <f>IF($D1903="","",V1903-Z1903)</f>
        <v/>
      </c>
      <c r="AB1903" s="7">
        <f>IF($D1903="","",AA1903-N1903)</f>
        <v/>
      </c>
      <c r="AF1903" s="7" t="n"/>
      <c r="AI1903" s="11" t="n"/>
      <c r="AK1903">
        <f>IF($D1903="","",IF(COUNTIF($D$2:$D1903,$D1903)=1,1,0))</f>
        <v/>
      </c>
      <c r="AL1903">
        <f>IF($AK1903=1,SUMPRODUCT(--($AO$2:$AO$3001&lt;$AO1903))+1,"")</f>
        <v/>
      </c>
      <c r="AM1903">
        <f>IF($D1903="","",IF(OR($R1903=TRUE(),$R1903="TRUE"),1,0))</f>
        <v/>
      </c>
      <c r="AN1903">
        <f>IF($D1903="","",IF($X1903="Yes",1,0))</f>
        <v/>
      </c>
      <c r="AO1903">
        <f>IF($AK1903=1,IFERROR(IF(VALUE($D1903)&lt;100000000,VALUE($D1903),1000000000),IFERROR(IF(VALUE(MID($D1903,2,20))&lt;100000000,VALUE(MID($D1903,2,20)),1000000000),1000000000))+ROW()/100000,"")</f>
        <v/>
      </c>
    </row>
    <row r="1904">
      <c r="F1904" s="11" t="n"/>
      <c r="N1904" s="7">
        <f>IF($D1904="","",M1904*V1904/100)</f>
        <v/>
      </c>
      <c r="O1904" s="7" t="n"/>
      <c r="U1904" s="7" t="n"/>
      <c r="V1904" s="7" t="n"/>
      <c r="Y1904">
        <f>IF($D1904="","",IF($AN1904=1,0,IF($AM1904=1,Settings!$C$6,Settings!$C$7))*100)</f>
        <v/>
      </c>
      <c r="Z1904" s="7">
        <f>IF($D1904="","",V1904*Y1904/100)</f>
        <v/>
      </c>
      <c r="AA1904" s="7">
        <f>IF($D1904="","",V1904-Z1904)</f>
        <v/>
      </c>
      <c r="AB1904" s="7">
        <f>IF($D1904="","",AA1904-N1904)</f>
        <v/>
      </c>
      <c r="AF1904" s="7" t="n"/>
      <c r="AI1904" s="11" t="n"/>
      <c r="AK1904">
        <f>IF($D1904="","",IF(COUNTIF($D$2:$D1904,$D1904)=1,1,0))</f>
        <v/>
      </c>
      <c r="AL1904">
        <f>IF($AK1904=1,SUMPRODUCT(--($AO$2:$AO$3001&lt;$AO1904))+1,"")</f>
        <v/>
      </c>
      <c r="AM1904">
        <f>IF($D1904="","",IF(OR($R1904=TRUE(),$R1904="TRUE"),1,0))</f>
        <v/>
      </c>
      <c r="AN1904">
        <f>IF($D1904="","",IF($X1904="Yes",1,0))</f>
        <v/>
      </c>
      <c r="AO1904">
        <f>IF($AK1904=1,IFERROR(IF(VALUE($D1904)&lt;100000000,VALUE($D1904),1000000000),IFERROR(IF(VALUE(MID($D1904,2,20))&lt;100000000,VALUE(MID($D1904,2,20)),1000000000),1000000000))+ROW()/100000,"")</f>
        <v/>
      </c>
    </row>
    <row r="1905">
      <c r="F1905" s="11" t="n"/>
      <c r="N1905" s="7">
        <f>IF($D1905="","",M1905*V1905/100)</f>
        <v/>
      </c>
      <c r="O1905" s="7" t="n"/>
      <c r="U1905" s="7" t="n"/>
      <c r="V1905" s="7" t="n"/>
      <c r="Y1905">
        <f>IF($D1905="","",IF($AN1905=1,0,IF($AM1905=1,Settings!$C$6,Settings!$C$7))*100)</f>
        <v/>
      </c>
      <c r="Z1905" s="7">
        <f>IF($D1905="","",V1905*Y1905/100)</f>
        <v/>
      </c>
      <c r="AA1905" s="7">
        <f>IF($D1905="","",V1905-Z1905)</f>
        <v/>
      </c>
      <c r="AB1905" s="7">
        <f>IF($D1905="","",AA1905-N1905)</f>
        <v/>
      </c>
      <c r="AF1905" s="7" t="n"/>
      <c r="AI1905" s="11" t="n"/>
      <c r="AK1905">
        <f>IF($D1905="","",IF(COUNTIF($D$2:$D1905,$D1905)=1,1,0))</f>
        <v/>
      </c>
      <c r="AL1905">
        <f>IF($AK1905=1,SUMPRODUCT(--($AO$2:$AO$3001&lt;$AO1905))+1,"")</f>
        <v/>
      </c>
      <c r="AM1905">
        <f>IF($D1905="","",IF(OR($R1905=TRUE(),$R1905="TRUE"),1,0))</f>
        <v/>
      </c>
      <c r="AN1905">
        <f>IF($D1905="","",IF($X1905="Yes",1,0))</f>
        <v/>
      </c>
      <c r="AO1905">
        <f>IF($AK1905=1,IFERROR(IF(VALUE($D1905)&lt;100000000,VALUE($D1905),1000000000),IFERROR(IF(VALUE(MID($D1905,2,20))&lt;100000000,VALUE(MID($D1905,2,20)),1000000000),1000000000))+ROW()/100000,"")</f>
        <v/>
      </c>
    </row>
    <row r="1906">
      <c r="F1906" s="11" t="n"/>
      <c r="N1906" s="7">
        <f>IF($D1906="","",M1906*V1906/100)</f>
        <v/>
      </c>
      <c r="O1906" s="7" t="n"/>
      <c r="U1906" s="7" t="n"/>
      <c r="V1906" s="7" t="n"/>
      <c r="Y1906">
        <f>IF($D1906="","",IF($AN1906=1,0,IF($AM1906=1,Settings!$C$6,Settings!$C$7))*100)</f>
        <v/>
      </c>
      <c r="Z1906" s="7">
        <f>IF($D1906="","",V1906*Y1906/100)</f>
        <v/>
      </c>
      <c r="AA1906" s="7">
        <f>IF($D1906="","",V1906-Z1906)</f>
        <v/>
      </c>
      <c r="AB1906" s="7">
        <f>IF($D1906="","",AA1906-N1906)</f>
        <v/>
      </c>
      <c r="AF1906" s="7" t="n"/>
      <c r="AI1906" s="11" t="n"/>
      <c r="AK1906">
        <f>IF($D1906="","",IF(COUNTIF($D$2:$D1906,$D1906)=1,1,0))</f>
        <v/>
      </c>
      <c r="AL1906">
        <f>IF($AK1906=1,SUMPRODUCT(--($AO$2:$AO$3001&lt;$AO1906))+1,"")</f>
        <v/>
      </c>
      <c r="AM1906">
        <f>IF($D1906="","",IF(OR($R1906=TRUE(),$R1906="TRUE"),1,0))</f>
        <v/>
      </c>
      <c r="AN1906">
        <f>IF($D1906="","",IF($X1906="Yes",1,0))</f>
        <v/>
      </c>
      <c r="AO1906">
        <f>IF($AK1906=1,IFERROR(IF(VALUE($D1906)&lt;100000000,VALUE($D1906),1000000000),IFERROR(IF(VALUE(MID($D1906,2,20))&lt;100000000,VALUE(MID($D1906,2,20)),1000000000),1000000000))+ROW()/100000,"")</f>
        <v/>
      </c>
    </row>
    <row r="1907">
      <c r="F1907" s="11" t="n"/>
      <c r="N1907" s="7">
        <f>IF($D1907="","",M1907*V1907/100)</f>
        <v/>
      </c>
      <c r="O1907" s="7" t="n"/>
      <c r="U1907" s="7" t="n"/>
      <c r="V1907" s="7" t="n"/>
      <c r="Y1907">
        <f>IF($D1907="","",IF($AN1907=1,0,IF($AM1907=1,Settings!$C$6,Settings!$C$7))*100)</f>
        <v/>
      </c>
      <c r="Z1907" s="7">
        <f>IF($D1907="","",V1907*Y1907/100)</f>
        <v/>
      </c>
      <c r="AA1907" s="7">
        <f>IF($D1907="","",V1907-Z1907)</f>
        <v/>
      </c>
      <c r="AB1907" s="7">
        <f>IF($D1907="","",AA1907-N1907)</f>
        <v/>
      </c>
      <c r="AF1907" s="7" t="n"/>
      <c r="AI1907" s="11" t="n"/>
      <c r="AK1907">
        <f>IF($D1907="","",IF(COUNTIF($D$2:$D1907,$D1907)=1,1,0))</f>
        <v/>
      </c>
      <c r="AL1907">
        <f>IF($AK1907=1,SUMPRODUCT(--($AO$2:$AO$3001&lt;$AO1907))+1,"")</f>
        <v/>
      </c>
      <c r="AM1907">
        <f>IF($D1907="","",IF(OR($R1907=TRUE(),$R1907="TRUE"),1,0))</f>
        <v/>
      </c>
      <c r="AN1907">
        <f>IF($D1907="","",IF($X1907="Yes",1,0))</f>
        <v/>
      </c>
      <c r="AO1907">
        <f>IF($AK1907=1,IFERROR(IF(VALUE($D1907)&lt;100000000,VALUE($D1907),1000000000),IFERROR(IF(VALUE(MID($D1907,2,20))&lt;100000000,VALUE(MID($D1907,2,20)),1000000000),1000000000))+ROW()/100000,"")</f>
        <v/>
      </c>
    </row>
    <row r="1908">
      <c r="F1908" s="11" t="n"/>
      <c r="N1908" s="7">
        <f>IF($D1908="","",M1908*V1908/100)</f>
        <v/>
      </c>
      <c r="O1908" s="7" t="n"/>
      <c r="U1908" s="7" t="n"/>
      <c r="V1908" s="7" t="n"/>
      <c r="Y1908">
        <f>IF($D1908="","",IF($AN1908=1,0,IF($AM1908=1,Settings!$C$6,Settings!$C$7))*100)</f>
        <v/>
      </c>
      <c r="Z1908" s="7">
        <f>IF($D1908="","",V1908*Y1908/100)</f>
        <v/>
      </c>
      <c r="AA1908" s="7">
        <f>IF($D1908="","",V1908-Z1908)</f>
        <v/>
      </c>
      <c r="AB1908" s="7">
        <f>IF($D1908="","",AA1908-N1908)</f>
        <v/>
      </c>
      <c r="AF1908" s="7" t="n"/>
      <c r="AI1908" s="11" t="n"/>
      <c r="AK1908">
        <f>IF($D1908="","",IF(COUNTIF($D$2:$D1908,$D1908)=1,1,0))</f>
        <v/>
      </c>
      <c r="AL1908">
        <f>IF($AK1908=1,SUMPRODUCT(--($AO$2:$AO$3001&lt;$AO1908))+1,"")</f>
        <v/>
      </c>
      <c r="AM1908">
        <f>IF($D1908="","",IF(OR($R1908=TRUE(),$R1908="TRUE"),1,0))</f>
        <v/>
      </c>
      <c r="AN1908">
        <f>IF($D1908="","",IF($X1908="Yes",1,0))</f>
        <v/>
      </c>
      <c r="AO1908">
        <f>IF($AK1908=1,IFERROR(IF(VALUE($D1908)&lt;100000000,VALUE($D1908),1000000000),IFERROR(IF(VALUE(MID($D1908,2,20))&lt;100000000,VALUE(MID($D1908,2,20)),1000000000),1000000000))+ROW()/100000,"")</f>
        <v/>
      </c>
    </row>
    <row r="1909">
      <c r="F1909" s="11" t="n"/>
      <c r="N1909" s="7">
        <f>IF($D1909="","",M1909*V1909/100)</f>
        <v/>
      </c>
      <c r="O1909" s="7" t="n"/>
      <c r="U1909" s="7" t="n"/>
      <c r="V1909" s="7" t="n"/>
      <c r="Y1909">
        <f>IF($D1909="","",IF($AN1909=1,0,IF($AM1909=1,Settings!$C$6,Settings!$C$7))*100)</f>
        <v/>
      </c>
      <c r="Z1909" s="7">
        <f>IF($D1909="","",V1909*Y1909/100)</f>
        <v/>
      </c>
      <c r="AA1909" s="7">
        <f>IF($D1909="","",V1909-Z1909)</f>
        <v/>
      </c>
      <c r="AB1909" s="7">
        <f>IF($D1909="","",AA1909-N1909)</f>
        <v/>
      </c>
      <c r="AF1909" s="7" t="n"/>
      <c r="AI1909" s="11" t="n"/>
      <c r="AK1909">
        <f>IF($D1909="","",IF(COUNTIF($D$2:$D1909,$D1909)=1,1,0))</f>
        <v/>
      </c>
      <c r="AL1909">
        <f>IF($AK1909=1,SUMPRODUCT(--($AO$2:$AO$3001&lt;$AO1909))+1,"")</f>
        <v/>
      </c>
      <c r="AM1909">
        <f>IF($D1909="","",IF(OR($R1909=TRUE(),$R1909="TRUE"),1,0))</f>
        <v/>
      </c>
      <c r="AN1909">
        <f>IF($D1909="","",IF($X1909="Yes",1,0))</f>
        <v/>
      </c>
      <c r="AO1909">
        <f>IF($AK1909=1,IFERROR(IF(VALUE($D1909)&lt;100000000,VALUE($D1909),1000000000),IFERROR(IF(VALUE(MID($D1909,2,20))&lt;100000000,VALUE(MID($D1909,2,20)),1000000000),1000000000))+ROW()/100000,"")</f>
        <v/>
      </c>
    </row>
    <row r="1910">
      <c r="F1910" s="11" t="n"/>
      <c r="N1910" s="7">
        <f>IF($D1910="","",M1910*V1910/100)</f>
        <v/>
      </c>
      <c r="O1910" s="7" t="n"/>
      <c r="U1910" s="7" t="n"/>
      <c r="V1910" s="7" t="n"/>
      <c r="Y1910">
        <f>IF($D1910="","",IF($AN1910=1,0,IF($AM1910=1,Settings!$C$6,Settings!$C$7))*100)</f>
        <v/>
      </c>
      <c r="Z1910" s="7">
        <f>IF($D1910="","",V1910*Y1910/100)</f>
        <v/>
      </c>
      <c r="AA1910" s="7">
        <f>IF($D1910="","",V1910-Z1910)</f>
        <v/>
      </c>
      <c r="AB1910" s="7">
        <f>IF($D1910="","",AA1910-N1910)</f>
        <v/>
      </c>
      <c r="AF1910" s="7" t="n"/>
      <c r="AI1910" s="11" t="n"/>
      <c r="AK1910">
        <f>IF($D1910="","",IF(COUNTIF($D$2:$D1910,$D1910)=1,1,0))</f>
        <v/>
      </c>
      <c r="AL1910">
        <f>IF($AK1910=1,SUMPRODUCT(--($AO$2:$AO$3001&lt;$AO1910))+1,"")</f>
        <v/>
      </c>
      <c r="AM1910">
        <f>IF($D1910="","",IF(OR($R1910=TRUE(),$R1910="TRUE"),1,0))</f>
        <v/>
      </c>
      <c r="AN1910">
        <f>IF($D1910="","",IF($X1910="Yes",1,0))</f>
        <v/>
      </c>
      <c r="AO1910">
        <f>IF($AK1910=1,IFERROR(IF(VALUE($D1910)&lt;100000000,VALUE($D1910),1000000000),IFERROR(IF(VALUE(MID($D1910,2,20))&lt;100000000,VALUE(MID($D1910,2,20)),1000000000),1000000000))+ROW()/100000,"")</f>
        <v/>
      </c>
    </row>
    <row r="1911">
      <c r="F1911" s="11" t="n"/>
      <c r="N1911" s="7">
        <f>IF($D1911="","",M1911*V1911/100)</f>
        <v/>
      </c>
      <c r="O1911" s="7" t="n"/>
      <c r="U1911" s="7" t="n"/>
      <c r="V1911" s="7" t="n"/>
      <c r="Y1911">
        <f>IF($D1911="","",IF($AN1911=1,0,IF($AM1911=1,Settings!$C$6,Settings!$C$7))*100)</f>
        <v/>
      </c>
      <c r="Z1911" s="7">
        <f>IF($D1911="","",V1911*Y1911/100)</f>
        <v/>
      </c>
      <c r="AA1911" s="7">
        <f>IF($D1911="","",V1911-Z1911)</f>
        <v/>
      </c>
      <c r="AB1911" s="7">
        <f>IF($D1911="","",AA1911-N1911)</f>
        <v/>
      </c>
      <c r="AF1911" s="7" t="n"/>
      <c r="AI1911" s="11" t="n"/>
      <c r="AK1911">
        <f>IF($D1911="","",IF(COUNTIF($D$2:$D1911,$D1911)=1,1,0))</f>
        <v/>
      </c>
      <c r="AL1911">
        <f>IF($AK1911=1,SUMPRODUCT(--($AO$2:$AO$3001&lt;$AO1911))+1,"")</f>
        <v/>
      </c>
      <c r="AM1911">
        <f>IF($D1911="","",IF(OR($R1911=TRUE(),$R1911="TRUE"),1,0))</f>
        <v/>
      </c>
      <c r="AN1911">
        <f>IF($D1911="","",IF($X1911="Yes",1,0))</f>
        <v/>
      </c>
      <c r="AO1911">
        <f>IF($AK1911=1,IFERROR(IF(VALUE($D1911)&lt;100000000,VALUE($D1911),1000000000),IFERROR(IF(VALUE(MID($D1911,2,20))&lt;100000000,VALUE(MID($D1911,2,20)),1000000000),1000000000))+ROW()/100000,"")</f>
        <v/>
      </c>
    </row>
    <row r="1912">
      <c r="F1912" s="11" t="n"/>
      <c r="N1912" s="7">
        <f>IF($D1912="","",M1912*V1912/100)</f>
        <v/>
      </c>
      <c r="O1912" s="7" t="n"/>
      <c r="U1912" s="7" t="n"/>
      <c r="V1912" s="7" t="n"/>
      <c r="Y1912">
        <f>IF($D1912="","",IF($AN1912=1,0,IF($AM1912=1,Settings!$C$6,Settings!$C$7))*100)</f>
        <v/>
      </c>
      <c r="Z1912" s="7">
        <f>IF($D1912="","",V1912*Y1912/100)</f>
        <v/>
      </c>
      <c r="AA1912" s="7">
        <f>IF($D1912="","",V1912-Z1912)</f>
        <v/>
      </c>
      <c r="AB1912" s="7">
        <f>IF($D1912="","",AA1912-N1912)</f>
        <v/>
      </c>
      <c r="AF1912" s="7" t="n"/>
      <c r="AI1912" s="11" t="n"/>
      <c r="AK1912">
        <f>IF($D1912="","",IF(COUNTIF($D$2:$D1912,$D1912)=1,1,0))</f>
        <v/>
      </c>
      <c r="AL1912">
        <f>IF($AK1912=1,SUMPRODUCT(--($AO$2:$AO$3001&lt;$AO1912))+1,"")</f>
        <v/>
      </c>
      <c r="AM1912">
        <f>IF($D1912="","",IF(OR($R1912=TRUE(),$R1912="TRUE"),1,0))</f>
        <v/>
      </c>
      <c r="AN1912">
        <f>IF($D1912="","",IF($X1912="Yes",1,0))</f>
        <v/>
      </c>
      <c r="AO1912">
        <f>IF($AK1912=1,IFERROR(IF(VALUE($D1912)&lt;100000000,VALUE($D1912),1000000000),IFERROR(IF(VALUE(MID($D1912,2,20))&lt;100000000,VALUE(MID($D1912,2,20)),1000000000),1000000000))+ROW()/100000,"")</f>
        <v/>
      </c>
    </row>
    <row r="1913">
      <c r="F1913" s="11" t="n"/>
      <c r="N1913" s="7">
        <f>IF($D1913="","",M1913*V1913/100)</f>
        <v/>
      </c>
      <c r="O1913" s="7" t="n"/>
      <c r="U1913" s="7" t="n"/>
      <c r="V1913" s="7" t="n"/>
      <c r="Y1913">
        <f>IF($D1913="","",IF($AN1913=1,0,IF($AM1913=1,Settings!$C$6,Settings!$C$7))*100)</f>
        <v/>
      </c>
      <c r="Z1913" s="7">
        <f>IF($D1913="","",V1913*Y1913/100)</f>
        <v/>
      </c>
      <c r="AA1913" s="7">
        <f>IF($D1913="","",V1913-Z1913)</f>
        <v/>
      </c>
      <c r="AB1913" s="7">
        <f>IF($D1913="","",AA1913-N1913)</f>
        <v/>
      </c>
      <c r="AF1913" s="7" t="n"/>
      <c r="AI1913" s="11" t="n"/>
      <c r="AK1913">
        <f>IF($D1913="","",IF(COUNTIF($D$2:$D1913,$D1913)=1,1,0))</f>
        <v/>
      </c>
      <c r="AL1913">
        <f>IF($AK1913=1,SUMPRODUCT(--($AO$2:$AO$3001&lt;$AO1913))+1,"")</f>
        <v/>
      </c>
      <c r="AM1913">
        <f>IF($D1913="","",IF(OR($R1913=TRUE(),$R1913="TRUE"),1,0))</f>
        <v/>
      </c>
      <c r="AN1913">
        <f>IF($D1913="","",IF($X1913="Yes",1,0))</f>
        <v/>
      </c>
      <c r="AO1913">
        <f>IF($AK1913=1,IFERROR(IF(VALUE($D1913)&lt;100000000,VALUE($D1913),1000000000),IFERROR(IF(VALUE(MID($D1913,2,20))&lt;100000000,VALUE(MID($D1913,2,20)),1000000000),1000000000))+ROW()/100000,"")</f>
        <v/>
      </c>
    </row>
    <row r="1914">
      <c r="F1914" s="11" t="n"/>
      <c r="N1914" s="7">
        <f>IF($D1914="","",M1914*V1914/100)</f>
        <v/>
      </c>
      <c r="O1914" s="7" t="n"/>
      <c r="U1914" s="7" t="n"/>
      <c r="V1914" s="7" t="n"/>
      <c r="Y1914">
        <f>IF($D1914="","",IF($AN1914=1,0,IF($AM1914=1,Settings!$C$6,Settings!$C$7))*100)</f>
        <v/>
      </c>
      <c r="Z1914" s="7">
        <f>IF($D1914="","",V1914*Y1914/100)</f>
        <v/>
      </c>
      <c r="AA1914" s="7">
        <f>IF($D1914="","",V1914-Z1914)</f>
        <v/>
      </c>
      <c r="AB1914" s="7">
        <f>IF($D1914="","",AA1914-N1914)</f>
        <v/>
      </c>
      <c r="AF1914" s="7" t="n"/>
      <c r="AI1914" s="11" t="n"/>
      <c r="AK1914">
        <f>IF($D1914="","",IF(COUNTIF($D$2:$D1914,$D1914)=1,1,0))</f>
        <v/>
      </c>
      <c r="AL1914">
        <f>IF($AK1914=1,SUMPRODUCT(--($AO$2:$AO$3001&lt;$AO1914))+1,"")</f>
        <v/>
      </c>
      <c r="AM1914">
        <f>IF($D1914="","",IF(OR($R1914=TRUE(),$R1914="TRUE"),1,0))</f>
        <v/>
      </c>
      <c r="AN1914">
        <f>IF($D1914="","",IF($X1914="Yes",1,0))</f>
        <v/>
      </c>
      <c r="AO1914">
        <f>IF($AK1914=1,IFERROR(IF(VALUE($D1914)&lt;100000000,VALUE($D1914),1000000000),IFERROR(IF(VALUE(MID($D1914,2,20))&lt;100000000,VALUE(MID($D1914,2,20)),1000000000),1000000000))+ROW()/100000,"")</f>
        <v/>
      </c>
    </row>
    <row r="1915">
      <c r="F1915" s="11" t="n"/>
      <c r="N1915" s="7">
        <f>IF($D1915="","",M1915*V1915/100)</f>
        <v/>
      </c>
      <c r="O1915" s="7" t="n"/>
      <c r="U1915" s="7" t="n"/>
      <c r="V1915" s="7" t="n"/>
      <c r="Y1915">
        <f>IF($D1915="","",IF($AN1915=1,0,IF($AM1915=1,Settings!$C$6,Settings!$C$7))*100)</f>
        <v/>
      </c>
      <c r="Z1915" s="7">
        <f>IF($D1915="","",V1915*Y1915/100)</f>
        <v/>
      </c>
      <c r="AA1915" s="7">
        <f>IF($D1915="","",V1915-Z1915)</f>
        <v/>
      </c>
      <c r="AB1915" s="7">
        <f>IF($D1915="","",AA1915-N1915)</f>
        <v/>
      </c>
      <c r="AF1915" s="7" t="n"/>
      <c r="AI1915" s="11" t="n"/>
      <c r="AK1915">
        <f>IF($D1915="","",IF(COUNTIF($D$2:$D1915,$D1915)=1,1,0))</f>
        <v/>
      </c>
      <c r="AL1915">
        <f>IF($AK1915=1,SUMPRODUCT(--($AO$2:$AO$3001&lt;$AO1915))+1,"")</f>
        <v/>
      </c>
      <c r="AM1915">
        <f>IF($D1915="","",IF(OR($R1915=TRUE(),$R1915="TRUE"),1,0))</f>
        <v/>
      </c>
      <c r="AN1915">
        <f>IF($D1915="","",IF($X1915="Yes",1,0))</f>
        <v/>
      </c>
      <c r="AO1915">
        <f>IF($AK1915=1,IFERROR(IF(VALUE($D1915)&lt;100000000,VALUE($D1915),1000000000),IFERROR(IF(VALUE(MID($D1915,2,20))&lt;100000000,VALUE(MID($D1915,2,20)),1000000000),1000000000))+ROW()/100000,"")</f>
        <v/>
      </c>
    </row>
    <row r="1916">
      <c r="F1916" s="11" t="n"/>
      <c r="N1916" s="7">
        <f>IF($D1916="","",M1916*V1916/100)</f>
        <v/>
      </c>
      <c r="O1916" s="7" t="n"/>
      <c r="U1916" s="7" t="n"/>
      <c r="V1916" s="7" t="n"/>
      <c r="Y1916">
        <f>IF($D1916="","",IF($AN1916=1,0,IF($AM1916=1,Settings!$C$6,Settings!$C$7))*100)</f>
        <v/>
      </c>
      <c r="Z1916" s="7">
        <f>IF($D1916="","",V1916*Y1916/100)</f>
        <v/>
      </c>
      <c r="AA1916" s="7">
        <f>IF($D1916="","",V1916-Z1916)</f>
        <v/>
      </c>
      <c r="AB1916" s="7">
        <f>IF($D1916="","",AA1916-N1916)</f>
        <v/>
      </c>
      <c r="AF1916" s="7" t="n"/>
      <c r="AI1916" s="11" t="n"/>
      <c r="AK1916">
        <f>IF($D1916="","",IF(COUNTIF($D$2:$D1916,$D1916)=1,1,0))</f>
        <v/>
      </c>
      <c r="AL1916">
        <f>IF($AK1916=1,SUMPRODUCT(--($AO$2:$AO$3001&lt;$AO1916))+1,"")</f>
        <v/>
      </c>
      <c r="AM1916">
        <f>IF($D1916="","",IF(OR($R1916=TRUE(),$R1916="TRUE"),1,0))</f>
        <v/>
      </c>
      <c r="AN1916">
        <f>IF($D1916="","",IF($X1916="Yes",1,0))</f>
        <v/>
      </c>
      <c r="AO1916">
        <f>IF($AK1916=1,IFERROR(IF(VALUE($D1916)&lt;100000000,VALUE($D1916),1000000000),IFERROR(IF(VALUE(MID($D1916,2,20))&lt;100000000,VALUE(MID($D1916,2,20)),1000000000),1000000000))+ROW()/100000,"")</f>
        <v/>
      </c>
    </row>
    <row r="1917">
      <c r="F1917" s="11" t="n"/>
      <c r="N1917" s="7">
        <f>IF($D1917="","",M1917*V1917/100)</f>
        <v/>
      </c>
      <c r="O1917" s="7" t="n"/>
      <c r="U1917" s="7" t="n"/>
      <c r="V1917" s="7" t="n"/>
      <c r="Y1917">
        <f>IF($D1917="","",IF($AN1917=1,0,IF($AM1917=1,Settings!$C$6,Settings!$C$7))*100)</f>
        <v/>
      </c>
      <c r="Z1917" s="7">
        <f>IF($D1917="","",V1917*Y1917/100)</f>
        <v/>
      </c>
      <c r="AA1917" s="7">
        <f>IF($D1917="","",V1917-Z1917)</f>
        <v/>
      </c>
      <c r="AB1917" s="7">
        <f>IF($D1917="","",AA1917-N1917)</f>
        <v/>
      </c>
      <c r="AF1917" s="7" t="n"/>
      <c r="AI1917" s="11" t="n"/>
      <c r="AK1917">
        <f>IF($D1917="","",IF(COUNTIF($D$2:$D1917,$D1917)=1,1,0))</f>
        <v/>
      </c>
      <c r="AL1917">
        <f>IF($AK1917=1,SUMPRODUCT(--($AO$2:$AO$3001&lt;$AO1917))+1,"")</f>
        <v/>
      </c>
      <c r="AM1917">
        <f>IF($D1917="","",IF(OR($R1917=TRUE(),$R1917="TRUE"),1,0))</f>
        <v/>
      </c>
      <c r="AN1917">
        <f>IF($D1917="","",IF($X1917="Yes",1,0))</f>
        <v/>
      </c>
      <c r="AO1917">
        <f>IF($AK1917=1,IFERROR(IF(VALUE($D1917)&lt;100000000,VALUE($D1917),1000000000),IFERROR(IF(VALUE(MID($D1917,2,20))&lt;100000000,VALUE(MID($D1917,2,20)),1000000000),1000000000))+ROW()/100000,"")</f>
        <v/>
      </c>
    </row>
    <row r="1918">
      <c r="F1918" s="11" t="n"/>
      <c r="N1918" s="7">
        <f>IF($D1918="","",M1918*V1918/100)</f>
        <v/>
      </c>
      <c r="O1918" s="7" t="n"/>
      <c r="U1918" s="7" t="n"/>
      <c r="V1918" s="7" t="n"/>
      <c r="Y1918">
        <f>IF($D1918="","",IF($AN1918=1,0,IF($AM1918=1,Settings!$C$6,Settings!$C$7))*100)</f>
        <v/>
      </c>
      <c r="Z1918" s="7">
        <f>IF($D1918="","",V1918*Y1918/100)</f>
        <v/>
      </c>
      <c r="AA1918" s="7">
        <f>IF($D1918="","",V1918-Z1918)</f>
        <v/>
      </c>
      <c r="AB1918" s="7">
        <f>IF($D1918="","",AA1918-N1918)</f>
        <v/>
      </c>
      <c r="AF1918" s="7" t="n"/>
      <c r="AI1918" s="11" t="n"/>
      <c r="AK1918">
        <f>IF($D1918="","",IF(COUNTIF($D$2:$D1918,$D1918)=1,1,0))</f>
        <v/>
      </c>
      <c r="AL1918">
        <f>IF($AK1918=1,SUMPRODUCT(--($AO$2:$AO$3001&lt;$AO1918))+1,"")</f>
        <v/>
      </c>
      <c r="AM1918">
        <f>IF($D1918="","",IF(OR($R1918=TRUE(),$R1918="TRUE"),1,0))</f>
        <v/>
      </c>
      <c r="AN1918">
        <f>IF($D1918="","",IF($X1918="Yes",1,0))</f>
        <v/>
      </c>
      <c r="AO1918">
        <f>IF($AK1918=1,IFERROR(IF(VALUE($D1918)&lt;100000000,VALUE($D1918),1000000000),IFERROR(IF(VALUE(MID($D1918,2,20))&lt;100000000,VALUE(MID($D1918,2,20)),1000000000),1000000000))+ROW()/100000,"")</f>
        <v/>
      </c>
    </row>
    <row r="1919">
      <c r="F1919" s="11" t="n"/>
      <c r="N1919" s="7">
        <f>IF($D1919="","",M1919*V1919/100)</f>
        <v/>
      </c>
      <c r="O1919" s="7" t="n"/>
      <c r="U1919" s="7" t="n"/>
      <c r="V1919" s="7" t="n"/>
      <c r="Y1919">
        <f>IF($D1919="","",IF($AN1919=1,0,IF($AM1919=1,Settings!$C$6,Settings!$C$7))*100)</f>
        <v/>
      </c>
      <c r="Z1919" s="7">
        <f>IF($D1919="","",V1919*Y1919/100)</f>
        <v/>
      </c>
      <c r="AA1919" s="7">
        <f>IF($D1919="","",V1919-Z1919)</f>
        <v/>
      </c>
      <c r="AB1919" s="7">
        <f>IF($D1919="","",AA1919-N1919)</f>
        <v/>
      </c>
      <c r="AF1919" s="7" t="n"/>
      <c r="AI1919" s="11" t="n"/>
      <c r="AK1919">
        <f>IF($D1919="","",IF(COUNTIF($D$2:$D1919,$D1919)=1,1,0))</f>
        <v/>
      </c>
      <c r="AL1919">
        <f>IF($AK1919=1,SUMPRODUCT(--($AO$2:$AO$3001&lt;$AO1919))+1,"")</f>
        <v/>
      </c>
      <c r="AM1919">
        <f>IF($D1919="","",IF(OR($R1919=TRUE(),$R1919="TRUE"),1,0))</f>
        <v/>
      </c>
      <c r="AN1919">
        <f>IF($D1919="","",IF($X1919="Yes",1,0))</f>
        <v/>
      </c>
      <c r="AO1919">
        <f>IF($AK1919=1,IFERROR(IF(VALUE($D1919)&lt;100000000,VALUE($D1919),1000000000),IFERROR(IF(VALUE(MID($D1919,2,20))&lt;100000000,VALUE(MID($D1919,2,20)),1000000000),1000000000))+ROW()/100000,"")</f>
        <v/>
      </c>
    </row>
    <row r="1920">
      <c r="F1920" s="11" t="n"/>
      <c r="N1920" s="7">
        <f>IF($D1920="","",M1920*V1920/100)</f>
        <v/>
      </c>
      <c r="O1920" s="7" t="n"/>
      <c r="U1920" s="7" t="n"/>
      <c r="V1920" s="7" t="n"/>
      <c r="Y1920">
        <f>IF($D1920="","",IF($AN1920=1,0,IF($AM1920=1,Settings!$C$6,Settings!$C$7))*100)</f>
        <v/>
      </c>
      <c r="Z1920" s="7">
        <f>IF($D1920="","",V1920*Y1920/100)</f>
        <v/>
      </c>
      <c r="AA1920" s="7">
        <f>IF($D1920="","",V1920-Z1920)</f>
        <v/>
      </c>
      <c r="AB1920" s="7">
        <f>IF($D1920="","",AA1920-N1920)</f>
        <v/>
      </c>
      <c r="AF1920" s="7" t="n"/>
      <c r="AI1920" s="11" t="n"/>
      <c r="AK1920">
        <f>IF($D1920="","",IF(COUNTIF($D$2:$D1920,$D1920)=1,1,0))</f>
        <v/>
      </c>
      <c r="AL1920">
        <f>IF($AK1920=1,SUMPRODUCT(--($AO$2:$AO$3001&lt;$AO1920))+1,"")</f>
        <v/>
      </c>
      <c r="AM1920">
        <f>IF($D1920="","",IF(OR($R1920=TRUE(),$R1920="TRUE"),1,0))</f>
        <v/>
      </c>
      <c r="AN1920">
        <f>IF($D1920="","",IF($X1920="Yes",1,0))</f>
        <v/>
      </c>
      <c r="AO1920">
        <f>IF($AK1920=1,IFERROR(IF(VALUE($D1920)&lt;100000000,VALUE($D1920),1000000000),IFERROR(IF(VALUE(MID($D1920,2,20))&lt;100000000,VALUE(MID($D1920,2,20)),1000000000),1000000000))+ROW()/100000,"")</f>
        <v/>
      </c>
    </row>
    <row r="1921">
      <c r="F1921" s="11" t="n"/>
      <c r="N1921" s="7">
        <f>IF($D1921="","",M1921*V1921/100)</f>
        <v/>
      </c>
      <c r="O1921" s="7" t="n"/>
      <c r="U1921" s="7" t="n"/>
      <c r="V1921" s="7" t="n"/>
      <c r="Y1921">
        <f>IF($D1921="","",IF($AN1921=1,0,IF($AM1921=1,Settings!$C$6,Settings!$C$7))*100)</f>
        <v/>
      </c>
      <c r="Z1921" s="7">
        <f>IF($D1921="","",V1921*Y1921/100)</f>
        <v/>
      </c>
      <c r="AA1921" s="7">
        <f>IF($D1921="","",V1921-Z1921)</f>
        <v/>
      </c>
      <c r="AB1921" s="7">
        <f>IF($D1921="","",AA1921-N1921)</f>
        <v/>
      </c>
      <c r="AF1921" s="7" t="n"/>
      <c r="AI1921" s="11" t="n"/>
      <c r="AK1921">
        <f>IF($D1921="","",IF(COUNTIF($D$2:$D1921,$D1921)=1,1,0))</f>
        <v/>
      </c>
      <c r="AL1921">
        <f>IF($AK1921=1,SUMPRODUCT(--($AO$2:$AO$3001&lt;$AO1921))+1,"")</f>
        <v/>
      </c>
      <c r="AM1921">
        <f>IF($D1921="","",IF(OR($R1921=TRUE(),$R1921="TRUE"),1,0))</f>
        <v/>
      </c>
      <c r="AN1921">
        <f>IF($D1921="","",IF($X1921="Yes",1,0))</f>
        <v/>
      </c>
      <c r="AO1921">
        <f>IF($AK1921=1,IFERROR(IF(VALUE($D1921)&lt;100000000,VALUE($D1921),1000000000),IFERROR(IF(VALUE(MID($D1921,2,20))&lt;100000000,VALUE(MID($D1921,2,20)),1000000000),1000000000))+ROW()/100000,"")</f>
        <v/>
      </c>
    </row>
    <row r="1922">
      <c r="F1922" s="11" t="n"/>
      <c r="N1922" s="7">
        <f>IF($D1922="","",M1922*V1922/100)</f>
        <v/>
      </c>
      <c r="O1922" s="7" t="n"/>
      <c r="U1922" s="7" t="n"/>
      <c r="V1922" s="7" t="n"/>
      <c r="Y1922">
        <f>IF($D1922="","",IF($AN1922=1,0,IF($AM1922=1,Settings!$C$6,Settings!$C$7))*100)</f>
        <v/>
      </c>
      <c r="Z1922" s="7">
        <f>IF($D1922="","",V1922*Y1922/100)</f>
        <v/>
      </c>
      <c r="AA1922" s="7">
        <f>IF($D1922="","",V1922-Z1922)</f>
        <v/>
      </c>
      <c r="AB1922" s="7">
        <f>IF($D1922="","",AA1922-N1922)</f>
        <v/>
      </c>
      <c r="AF1922" s="7" t="n"/>
      <c r="AI1922" s="11" t="n"/>
      <c r="AK1922">
        <f>IF($D1922="","",IF(COUNTIF($D$2:$D1922,$D1922)=1,1,0))</f>
        <v/>
      </c>
      <c r="AL1922">
        <f>IF($AK1922=1,SUMPRODUCT(--($AO$2:$AO$3001&lt;$AO1922))+1,"")</f>
        <v/>
      </c>
      <c r="AM1922">
        <f>IF($D1922="","",IF(OR($R1922=TRUE(),$R1922="TRUE"),1,0))</f>
        <v/>
      </c>
      <c r="AN1922">
        <f>IF($D1922="","",IF($X1922="Yes",1,0))</f>
        <v/>
      </c>
      <c r="AO1922">
        <f>IF($AK1922=1,IFERROR(IF(VALUE($D1922)&lt;100000000,VALUE($D1922),1000000000),IFERROR(IF(VALUE(MID($D1922,2,20))&lt;100000000,VALUE(MID($D1922,2,20)),1000000000),1000000000))+ROW()/100000,"")</f>
        <v/>
      </c>
    </row>
    <row r="1923">
      <c r="F1923" s="11" t="n"/>
      <c r="N1923" s="7">
        <f>IF($D1923="","",M1923*V1923/100)</f>
        <v/>
      </c>
      <c r="O1923" s="7" t="n"/>
      <c r="U1923" s="7" t="n"/>
      <c r="V1923" s="7" t="n"/>
      <c r="Y1923">
        <f>IF($D1923="","",IF($AN1923=1,0,IF($AM1923=1,Settings!$C$6,Settings!$C$7))*100)</f>
        <v/>
      </c>
      <c r="Z1923" s="7">
        <f>IF($D1923="","",V1923*Y1923/100)</f>
        <v/>
      </c>
      <c r="AA1923" s="7">
        <f>IF($D1923="","",V1923-Z1923)</f>
        <v/>
      </c>
      <c r="AB1923" s="7">
        <f>IF($D1923="","",AA1923-N1923)</f>
        <v/>
      </c>
      <c r="AF1923" s="7" t="n"/>
      <c r="AI1923" s="11" t="n"/>
      <c r="AK1923">
        <f>IF($D1923="","",IF(COUNTIF($D$2:$D1923,$D1923)=1,1,0))</f>
        <v/>
      </c>
      <c r="AL1923">
        <f>IF($AK1923=1,SUMPRODUCT(--($AO$2:$AO$3001&lt;$AO1923))+1,"")</f>
        <v/>
      </c>
      <c r="AM1923">
        <f>IF($D1923="","",IF(OR($R1923=TRUE(),$R1923="TRUE"),1,0))</f>
        <v/>
      </c>
      <c r="AN1923">
        <f>IF($D1923="","",IF($X1923="Yes",1,0))</f>
        <v/>
      </c>
      <c r="AO1923">
        <f>IF($AK1923=1,IFERROR(IF(VALUE($D1923)&lt;100000000,VALUE($D1923),1000000000),IFERROR(IF(VALUE(MID($D1923,2,20))&lt;100000000,VALUE(MID($D1923,2,20)),1000000000),1000000000))+ROW()/100000,"")</f>
        <v/>
      </c>
    </row>
    <row r="1924">
      <c r="F1924" s="11" t="n"/>
      <c r="N1924" s="7">
        <f>IF($D1924="","",M1924*V1924/100)</f>
        <v/>
      </c>
      <c r="O1924" s="7" t="n"/>
      <c r="U1924" s="7" t="n"/>
      <c r="V1924" s="7" t="n"/>
      <c r="Y1924">
        <f>IF($D1924="","",IF($AN1924=1,0,IF($AM1924=1,Settings!$C$6,Settings!$C$7))*100)</f>
        <v/>
      </c>
      <c r="Z1924" s="7">
        <f>IF($D1924="","",V1924*Y1924/100)</f>
        <v/>
      </c>
      <c r="AA1924" s="7">
        <f>IF($D1924="","",V1924-Z1924)</f>
        <v/>
      </c>
      <c r="AB1924" s="7">
        <f>IF($D1924="","",AA1924-N1924)</f>
        <v/>
      </c>
      <c r="AF1924" s="7" t="n"/>
      <c r="AI1924" s="11" t="n"/>
      <c r="AK1924">
        <f>IF($D1924="","",IF(COUNTIF($D$2:$D1924,$D1924)=1,1,0))</f>
        <v/>
      </c>
      <c r="AL1924">
        <f>IF($AK1924=1,SUMPRODUCT(--($AO$2:$AO$3001&lt;$AO1924))+1,"")</f>
        <v/>
      </c>
      <c r="AM1924">
        <f>IF($D1924="","",IF(OR($R1924=TRUE(),$R1924="TRUE"),1,0))</f>
        <v/>
      </c>
      <c r="AN1924">
        <f>IF($D1924="","",IF($X1924="Yes",1,0))</f>
        <v/>
      </c>
      <c r="AO1924">
        <f>IF($AK1924=1,IFERROR(IF(VALUE($D1924)&lt;100000000,VALUE($D1924),1000000000),IFERROR(IF(VALUE(MID($D1924,2,20))&lt;100000000,VALUE(MID($D1924,2,20)),1000000000),1000000000))+ROW()/100000,"")</f>
        <v/>
      </c>
    </row>
    <row r="1925">
      <c r="F1925" s="11" t="n"/>
      <c r="N1925" s="7">
        <f>IF($D1925="","",M1925*V1925/100)</f>
        <v/>
      </c>
      <c r="O1925" s="7" t="n"/>
      <c r="U1925" s="7" t="n"/>
      <c r="V1925" s="7" t="n"/>
      <c r="Y1925">
        <f>IF($D1925="","",IF($AN1925=1,0,IF($AM1925=1,Settings!$C$6,Settings!$C$7))*100)</f>
        <v/>
      </c>
      <c r="Z1925" s="7">
        <f>IF($D1925="","",V1925*Y1925/100)</f>
        <v/>
      </c>
      <c r="AA1925" s="7">
        <f>IF($D1925="","",V1925-Z1925)</f>
        <v/>
      </c>
      <c r="AB1925" s="7">
        <f>IF($D1925="","",AA1925-N1925)</f>
        <v/>
      </c>
      <c r="AF1925" s="7" t="n"/>
      <c r="AI1925" s="11" t="n"/>
      <c r="AK1925">
        <f>IF($D1925="","",IF(COUNTIF($D$2:$D1925,$D1925)=1,1,0))</f>
        <v/>
      </c>
      <c r="AL1925">
        <f>IF($AK1925=1,SUMPRODUCT(--($AO$2:$AO$3001&lt;$AO1925))+1,"")</f>
        <v/>
      </c>
      <c r="AM1925">
        <f>IF($D1925="","",IF(OR($R1925=TRUE(),$R1925="TRUE"),1,0))</f>
        <v/>
      </c>
      <c r="AN1925">
        <f>IF($D1925="","",IF($X1925="Yes",1,0))</f>
        <v/>
      </c>
      <c r="AO1925">
        <f>IF($AK1925=1,IFERROR(IF(VALUE($D1925)&lt;100000000,VALUE($D1925),1000000000),IFERROR(IF(VALUE(MID($D1925,2,20))&lt;100000000,VALUE(MID($D1925,2,20)),1000000000),1000000000))+ROW()/100000,"")</f>
        <v/>
      </c>
    </row>
    <row r="1926">
      <c r="F1926" s="11" t="n"/>
      <c r="N1926" s="7">
        <f>IF($D1926="","",M1926*V1926/100)</f>
        <v/>
      </c>
      <c r="O1926" s="7" t="n"/>
      <c r="U1926" s="7" t="n"/>
      <c r="V1926" s="7" t="n"/>
      <c r="Y1926">
        <f>IF($D1926="","",IF($AN1926=1,0,IF($AM1926=1,Settings!$C$6,Settings!$C$7))*100)</f>
        <v/>
      </c>
      <c r="Z1926" s="7">
        <f>IF($D1926="","",V1926*Y1926/100)</f>
        <v/>
      </c>
      <c r="AA1926" s="7">
        <f>IF($D1926="","",V1926-Z1926)</f>
        <v/>
      </c>
      <c r="AB1926" s="7">
        <f>IF($D1926="","",AA1926-N1926)</f>
        <v/>
      </c>
      <c r="AF1926" s="7" t="n"/>
      <c r="AI1926" s="11" t="n"/>
      <c r="AK1926">
        <f>IF($D1926="","",IF(COUNTIF($D$2:$D1926,$D1926)=1,1,0))</f>
        <v/>
      </c>
      <c r="AL1926">
        <f>IF($AK1926=1,SUMPRODUCT(--($AO$2:$AO$3001&lt;$AO1926))+1,"")</f>
        <v/>
      </c>
      <c r="AM1926">
        <f>IF($D1926="","",IF(OR($R1926=TRUE(),$R1926="TRUE"),1,0))</f>
        <v/>
      </c>
      <c r="AN1926">
        <f>IF($D1926="","",IF($X1926="Yes",1,0))</f>
        <v/>
      </c>
      <c r="AO1926">
        <f>IF($AK1926=1,IFERROR(IF(VALUE($D1926)&lt;100000000,VALUE($D1926),1000000000),IFERROR(IF(VALUE(MID($D1926,2,20))&lt;100000000,VALUE(MID($D1926,2,20)),1000000000),1000000000))+ROW()/100000,"")</f>
        <v/>
      </c>
    </row>
    <row r="1927">
      <c r="F1927" s="11" t="n"/>
      <c r="N1927" s="7">
        <f>IF($D1927="","",M1927*V1927/100)</f>
        <v/>
      </c>
      <c r="O1927" s="7" t="n"/>
      <c r="U1927" s="7" t="n"/>
      <c r="V1927" s="7" t="n"/>
      <c r="Y1927">
        <f>IF($D1927="","",IF($AN1927=1,0,IF($AM1927=1,Settings!$C$6,Settings!$C$7))*100)</f>
        <v/>
      </c>
      <c r="Z1927" s="7">
        <f>IF($D1927="","",V1927*Y1927/100)</f>
        <v/>
      </c>
      <c r="AA1927" s="7">
        <f>IF($D1927="","",V1927-Z1927)</f>
        <v/>
      </c>
      <c r="AB1927" s="7">
        <f>IF($D1927="","",AA1927-N1927)</f>
        <v/>
      </c>
      <c r="AF1927" s="7" t="n"/>
      <c r="AI1927" s="11" t="n"/>
      <c r="AK1927">
        <f>IF($D1927="","",IF(COUNTIF($D$2:$D1927,$D1927)=1,1,0))</f>
        <v/>
      </c>
      <c r="AL1927">
        <f>IF($AK1927=1,SUMPRODUCT(--($AO$2:$AO$3001&lt;$AO1927))+1,"")</f>
        <v/>
      </c>
      <c r="AM1927">
        <f>IF($D1927="","",IF(OR($R1927=TRUE(),$R1927="TRUE"),1,0))</f>
        <v/>
      </c>
      <c r="AN1927">
        <f>IF($D1927="","",IF($X1927="Yes",1,0))</f>
        <v/>
      </c>
      <c r="AO1927">
        <f>IF($AK1927=1,IFERROR(IF(VALUE($D1927)&lt;100000000,VALUE($D1927),1000000000),IFERROR(IF(VALUE(MID($D1927,2,20))&lt;100000000,VALUE(MID($D1927,2,20)),1000000000),1000000000))+ROW()/100000,"")</f>
        <v/>
      </c>
    </row>
    <row r="1928">
      <c r="F1928" s="11" t="n"/>
      <c r="N1928" s="7">
        <f>IF($D1928="","",M1928*V1928/100)</f>
        <v/>
      </c>
      <c r="O1928" s="7" t="n"/>
      <c r="U1928" s="7" t="n"/>
      <c r="V1928" s="7" t="n"/>
      <c r="Y1928">
        <f>IF($D1928="","",IF($AN1928=1,0,IF($AM1928=1,Settings!$C$6,Settings!$C$7))*100)</f>
        <v/>
      </c>
      <c r="Z1928" s="7">
        <f>IF($D1928="","",V1928*Y1928/100)</f>
        <v/>
      </c>
      <c r="AA1928" s="7">
        <f>IF($D1928="","",V1928-Z1928)</f>
        <v/>
      </c>
      <c r="AB1928" s="7">
        <f>IF($D1928="","",AA1928-N1928)</f>
        <v/>
      </c>
      <c r="AF1928" s="7" t="n"/>
      <c r="AI1928" s="11" t="n"/>
      <c r="AK1928">
        <f>IF($D1928="","",IF(COUNTIF($D$2:$D1928,$D1928)=1,1,0))</f>
        <v/>
      </c>
      <c r="AL1928">
        <f>IF($AK1928=1,SUMPRODUCT(--($AO$2:$AO$3001&lt;$AO1928))+1,"")</f>
        <v/>
      </c>
      <c r="AM1928">
        <f>IF($D1928="","",IF(OR($R1928=TRUE(),$R1928="TRUE"),1,0))</f>
        <v/>
      </c>
      <c r="AN1928">
        <f>IF($D1928="","",IF($X1928="Yes",1,0))</f>
        <v/>
      </c>
      <c r="AO1928">
        <f>IF($AK1928=1,IFERROR(IF(VALUE($D1928)&lt;100000000,VALUE($D1928),1000000000),IFERROR(IF(VALUE(MID($D1928,2,20))&lt;100000000,VALUE(MID($D1928,2,20)),1000000000),1000000000))+ROW()/100000,"")</f>
        <v/>
      </c>
    </row>
    <row r="1929">
      <c r="F1929" s="11" t="n"/>
      <c r="N1929" s="7">
        <f>IF($D1929="","",M1929*V1929/100)</f>
        <v/>
      </c>
      <c r="O1929" s="7" t="n"/>
      <c r="U1929" s="7" t="n"/>
      <c r="V1929" s="7" t="n"/>
      <c r="Y1929">
        <f>IF($D1929="","",IF($AN1929=1,0,IF($AM1929=1,Settings!$C$6,Settings!$C$7))*100)</f>
        <v/>
      </c>
      <c r="Z1929" s="7">
        <f>IF($D1929="","",V1929*Y1929/100)</f>
        <v/>
      </c>
      <c r="AA1929" s="7">
        <f>IF($D1929="","",V1929-Z1929)</f>
        <v/>
      </c>
      <c r="AB1929" s="7">
        <f>IF($D1929="","",AA1929-N1929)</f>
        <v/>
      </c>
      <c r="AF1929" s="7" t="n"/>
      <c r="AI1929" s="11" t="n"/>
      <c r="AK1929">
        <f>IF($D1929="","",IF(COUNTIF($D$2:$D1929,$D1929)=1,1,0))</f>
        <v/>
      </c>
      <c r="AL1929">
        <f>IF($AK1929=1,SUMPRODUCT(--($AO$2:$AO$3001&lt;$AO1929))+1,"")</f>
        <v/>
      </c>
      <c r="AM1929">
        <f>IF($D1929="","",IF(OR($R1929=TRUE(),$R1929="TRUE"),1,0))</f>
        <v/>
      </c>
      <c r="AN1929">
        <f>IF($D1929="","",IF($X1929="Yes",1,0))</f>
        <v/>
      </c>
      <c r="AO1929">
        <f>IF($AK1929=1,IFERROR(IF(VALUE($D1929)&lt;100000000,VALUE($D1929),1000000000),IFERROR(IF(VALUE(MID($D1929,2,20))&lt;100000000,VALUE(MID($D1929,2,20)),1000000000),1000000000))+ROW()/100000,"")</f>
        <v/>
      </c>
    </row>
    <row r="1930">
      <c r="F1930" s="11" t="n"/>
      <c r="N1930" s="7">
        <f>IF($D1930="","",M1930*V1930/100)</f>
        <v/>
      </c>
      <c r="O1930" s="7" t="n"/>
      <c r="U1930" s="7" t="n"/>
      <c r="V1930" s="7" t="n"/>
      <c r="Y1930">
        <f>IF($D1930="","",IF($AN1930=1,0,IF($AM1930=1,Settings!$C$6,Settings!$C$7))*100)</f>
        <v/>
      </c>
      <c r="Z1930" s="7">
        <f>IF($D1930="","",V1930*Y1930/100)</f>
        <v/>
      </c>
      <c r="AA1930" s="7">
        <f>IF($D1930="","",V1930-Z1930)</f>
        <v/>
      </c>
      <c r="AB1930" s="7">
        <f>IF($D1930="","",AA1930-N1930)</f>
        <v/>
      </c>
      <c r="AF1930" s="7" t="n"/>
      <c r="AI1930" s="11" t="n"/>
      <c r="AK1930">
        <f>IF($D1930="","",IF(COUNTIF($D$2:$D1930,$D1930)=1,1,0))</f>
        <v/>
      </c>
      <c r="AL1930">
        <f>IF($AK1930=1,SUMPRODUCT(--($AO$2:$AO$3001&lt;$AO1930))+1,"")</f>
        <v/>
      </c>
      <c r="AM1930">
        <f>IF($D1930="","",IF(OR($R1930=TRUE(),$R1930="TRUE"),1,0))</f>
        <v/>
      </c>
      <c r="AN1930">
        <f>IF($D1930="","",IF($X1930="Yes",1,0))</f>
        <v/>
      </c>
      <c r="AO1930">
        <f>IF($AK1930=1,IFERROR(IF(VALUE($D1930)&lt;100000000,VALUE($D1930),1000000000),IFERROR(IF(VALUE(MID($D1930,2,20))&lt;100000000,VALUE(MID($D1930,2,20)),1000000000),1000000000))+ROW()/100000,"")</f>
        <v/>
      </c>
    </row>
    <row r="1931">
      <c r="F1931" s="11" t="n"/>
      <c r="N1931" s="7">
        <f>IF($D1931="","",M1931*V1931/100)</f>
        <v/>
      </c>
      <c r="O1931" s="7" t="n"/>
      <c r="U1931" s="7" t="n"/>
      <c r="V1931" s="7" t="n"/>
      <c r="Y1931">
        <f>IF($D1931="","",IF($AN1931=1,0,IF($AM1931=1,Settings!$C$6,Settings!$C$7))*100)</f>
        <v/>
      </c>
      <c r="Z1931" s="7">
        <f>IF($D1931="","",V1931*Y1931/100)</f>
        <v/>
      </c>
      <c r="AA1931" s="7">
        <f>IF($D1931="","",V1931-Z1931)</f>
        <v/>
      </c>
      <c r="AB1931" s="7">
        <f>IF($D1931="","",AA1931-N1931)</f>
        <v/>
      </c>
      <c r="AF1931" s="7" t="n"/>
      <c r="AI1931" s="11" t="n"/>
      <c r="AK1931">
        <f>IF($D1931="","",IF(COUNTIF($D$2:$D1931,$D1931)=1,1,0))</f>
        <v/>
      </c>
      <c r="AL1931">
        <f>IF($AK1931=1,SUMPRODUCT(--($AO$2:$AO$3001&lt;$AO1931))+1,"")</f>
        <v/>
      </c>
      <c r="AM1931">
        <f>IF($D1931="","",IF(OR($R1931=TRUE(),$R1931="TRUE"),1,0))</f>
        <v/>
      </c>
      <c r="AN1931">
        <f>IF($D1931="","",IF($X1931="Yes",1,0))</f>
        <v/>
      </c>
      <c r="AO1931">
        <f>IF($AK1931=1,IFERROR(IF(VALUE($D1931)&lt;100000000,VALUE($D1931),1000000000),IFERROR(IF(VALUE(MID($D1931,2,20))&lt;100000000,VALUE(MID($D1931,2,20)),1000000000),1000000000))+ROW()/100000,"")</f>
        <v/>
      </c>
    </row>
    <row r="1932">
      <c r="F1932" s="11" t="n"/>
      <c r="N1932" s="7">
        <f>IF($D1932="","",M1932*V1932/100)</f>
        <v/>
      </c>
      <c r="O1932" s="7" t="n"/>
      <c r="U1932" s="7" t="n"/>
      <c r="V1932" s="7" t="n"/>
      <c r="Y1932">
        <f>IF($D1932="","",IF($AN1932=1,0,IF($AM1932=1,Settings!$C$6,Settings!$C$7))*100)</f>
        <v/>
      </c>
      <c r="Z1932" s="7">
        <f>IF($D1932="","",V1932*Y1932/100)</f>
        <v/>
      </c>
      <c r="AA1932" s="7">
        <f>IF($D1932="","",V1932-Z1932)</f>
        <v/>
      </c>
      <c r="AB1932" s="7">
        <f>IF($D1932="","",AA1932-N1932)</f>
        <v/>
      </c>
      <c r="AF1932" s="7" t="n"/>
      <c r="AI1932" s="11" t="n"/>
      <c r="AK1932">
        <f>IF($D1932="","",IF(COUNTIF($D$2:$D1932,$D1932)=1,1,0))</f>
        <v/>
      </c>
      <c r="AL1932">
        <f>IF($AK1932=1,SUMPRODUCT(--($AO$2:$AO$3001&lt;$AO1932))+1,"")</f>
        <v/>
      </c>
      <c r="AM1932">
        <f>IF($D1932="","",IF(OR($R1932=TRUE(),$R1932="TRUE"),1,0))</f>
        <v/>
      </c>
      <c r="AN1932">
        <f>IF($D1932="","",IF($X1932="Yes",1,0))</f>
        <v/>
      </c>
      <c r="AO1932">
        <f>IF($AK1932=1,IFERROR(IF(VALUE($D1932)&lt;100000000,VALUE($D1932),1000000000),IFERROR(IF(VALUE(MID($D1932,2,20))&lt;100000000,VALUE(MID($D1932,2,20)),1000000000),1000000000))+ROW()/100000,"")</f>
        <v/>
      </c>
    </row>
    <row r="1933">
      <c r="F1933" s="11" t="n"/>
      <c r="N1933" s="7">
        <f>IF($D1933="","",M1933*V1933/100)</f>
        <v/>
      </c>
      <c r="O1933" s="7" t="n"/>
      <c r="U1933" s="7" t="n"/>
      <c r="V1933" s="7" t="n"/>
      <c r="Y1933">
        <f>IF($D1933="","",IF($AN1933=1,0,IF($AM1933=1,Settings!$C$6,Settings!$C$7))*100)</f>
        <v/>
      </c>
      <c r="Z1933" s="7">
        <f>IF($D1933="","",V1933*Y1933/100)</f>
        <v/>
      </c>
      <c r="AA1933" s="7">
        <f>IF($D1933="","",V1933-Z1933)</f>
        <v/>
      </c>
      <c r="AB1933" s="7">
        <f>IF($D1933="","",AA1933-N1933)</f>
        <v/>
      </c>
      <c r="AF1933" s="7" t="n"/>
      <c r="AI1933" s="11" t="n"/>
      <c r="AK1933">
        <f>IF($D1933="","",IF(COUNTIF($D$2:$D1933,$D1933)=1,1,0))</f>
        <v/>
      </c>
      <c r="AL1933">
        <f>IF($AK1933=1,SUMPRODUCT(--($AO$2:$AO$3001&lt;$AO1933))+1,"")</f>
        <v/>
      </c>
      <c r="AM1933">
        <f>IF($D1933="","",IF(OR($R1933=TRUE(),$R1933="TRUE"),1,0))</f>
        <v/>
      </c>
      <c r="AN1933">
        <f>IF($D1933="","",IF($X1933="Yes",1,0))</f>
        <v/>
      </c>
      <c r="AO1933">
        <f>IF($AK1933=1,IFERROR(IF(VALUE($D1933)&lt;100000000,VALUE($D1933),1000000000),IFERROR(IF(VALUE(MID($D1933,2,20))&lt;100000000,VALUE(MID($D1933,2,20)),1000000000),1000000000))+ROW()/100000,"")</f>
        <v/>
      </c>
    </row>
    <row r="1934">
      <c r="F1934" s="11" t="n"/>
      <c r="N1934" s="7">
        <f>IF($D1934="","",M1934*V1934/100)</f>
        <v/>
      </c>
      <c r="O1934" s="7" t="n"/>
      <c r="U1934" s="7" t="n"/>
      <c r="V1934" s="7" t="n"/>
      <c r="Y1934">
        <f>IF($D1934="","",IF($AN1934=1,0,IF($AM1934=1,Settings!$C$6,Settings!$C$7))*100)</f>
        <v/>
      </c>
      <c r="Z1934" s="7">
        <f>IF($D1934="","",V1934*Y1934/100)</f>
        <v/>
      </c>
      <c r="AA1934" s="7">
        <f>IF($D1934="","",V1934-Z1934)</f>
        <v/>
      </c>
      <c r="AB1934" s="7">
        <f>IF($D1934="","",AA1934-N1934)</f>
        <v/>
      </c>
      <c r="AF1934" s="7" t="n"/>
      <c r="AI1934" s="11" t="n"/>
      <c r="AK1934">
        <f>IF($D1934="","",IF(COUNTIF($D$2:$D1934,$D1934)=1,1,0))</f>
        <v/>
      </c>
      <c r="AL1934">
        <f>IF($AK1934=1,SUMPRODUCT(--($AO$2:$AO$3001&lt;$AO1934))+1,"")</f>
        <v/>
      </c>
      <c r="AM1934">
        <f>IF($D1934="","",IF(OR($R1934=TRUE(),$R1934="TRUE"),1,0))</f>
        <v/>
      </c>
      <c r="AN1934">
        <f>IF($D1934="","",IF($X1934="Yes",1,0))</f>
        <v/>
      </c>
      <c r="AO1934">
        <f>IF($AK1934=1,IFERROR(IF(VALUE($D1934)&lt;100000000,VALUE($D1934),1000000000),IFERROR(IF(VALUE(MID($D1934,2,20))&lt;100000000,VALUE(MID($D1934,2,20)),1000000000),1000000000))+ROW()/100000,"")</f>
        <v/>
      </c>
    </row>
    <row r="1935">
      <c r="F1935" s="11" t="n"/>
      <c r="N1935" s="7">
        <f>IF($D1935="","",M1935*V1935/100)</f>
        <v/>
      </c>
      <c r="O1935" s="7" t="n"/>
      <c r="U1935" s="7" t="n"/>
      <c r="V1935" s="7" t="n"/>
      <c r="Y1935">
        <f>IF($D1935="","",IF($AN1935=1,0,IF($AM1935=1,Settings!$C$6,Settings!$C$7))*100)</f>
        <v/>
      </c>
      <c r="Z1935" s="7">
        <f>IF($D1935="","",V1935*Y1935/100)</f>
        <v/>
      </c>
      <c r="AA1935" s="7">
        <f>IF($D1935="","",V1935-Z1935)</f>
        <v/>
      </c>
      <c r="AB1935" s="7">
        <f>IF($D1935="","",AA1935-N1935)</f>
        <v/>
      </c>
      <c r="AF1935" s="7" t="n"/>
      <c r="AI1935" s="11" t="n"/>
      <c r="AK1935">
        <f>IF($D1935="","",IF(COUNTIF($D$2:$D1935,$D1935)=1,1,0))</f>
        <v/>
      </c>
      <c r="AL1935">
        <f>IF($AK1935=1,SUMPRODUCT(--($AO$2:$AO$3001&lt;$AO1935))+1,"")</f>
        <v/>
      </c>
      <c r="AM1935">
        <f>IF($D1935="","",IF(OR($R1935=TRUE(),$R1935="TRUE"),1,0))</f>
        <v/>
      </c>
      <c r="AN1935">
        <f>IF($D1935="","",IF($X1935="Yes",1,0))</f>
        <v/>
      </c>
      <c r="AO1935">
        <f>IF($AK1935=1,IFERROR(IF(VALUE($D1935)&lt;100000000,VALUE($D1935),1000000000),IFERROR(IF(VALUE(MID($D1935,2,20))&lt;100000000,VALUE(MID($D1935,2,20)),1000000000),1000000000))+ROW()/100000,"")</f>
        <v/>
      </c>
    </row>
    <row r="1936">
      <c r="F1936" s="11" t="n"/>
      <c r="N1936" s="7">
        <f>IF($D1936="","",M1936*V1936/100)</f>
        <v/>
      </c>
      <c r="O1936" s="7" t="n"/>
      <c r="U1936" s="7" t="n"/>
      <c r="V1936" s="7" t="n"/>
      <c r="Y1936">
        <f>IF($D1936="","",IF($AN1936=1,0,IF($AM1936=1,Settings!$C$6,Settings!$C$7))*100)</f>
        <v/>
      </c>
      <c r="Z1936" s="7">
        <f>IF($D1936="","",V1936*Y1936/100)</f>
        <v/>
      </c>
      <c r="AA1936" s="7">
        <f>IF($D1936="","",V1936-Z1936)</f>
        <v/>
      </c>
      <c r="AB1936" s="7">
        <f>IF($D1936="","",AA1936-N1936)</f>
        <v/>
      </c>
      <c r="AF1936" s="7" t="n"/>
      <c r="AI1936" s="11" t="n"/>
      <c r="AK1936">
        <f>IF($D1936="","",IF(COUNTIF($D$2:$D1936,$D1936)=1,1,0))</f>
        <v/>
      </c>
      <c r="AL1936">
        <f>IF($AK1936=1,SUMPRODUCT(--($AO$2:$AO$3001&lt;$AO1936))+1,"")</f>
        <v/>
      </c>
      <c r="AM1936">
        <f>IF($D1936="","",IF(OR($R1936=TRUE(),$R1936="TRUE"),1,0))</f>
        <v/>
      </c>
      <c r="AN1936">
        <f>IF($D1936="","",IF($X1936="Yes",1,0))</f>
        <v/>
      </c>
      <c r="AO1936">
        <f>IF($AK1936=1,IFERROR(IF(VALUE($D1936)&lt;100000000,VALUE($D1936),1000000000),IFERROR(IF(VALUE(MID($D1936,2,20))&lt;100000000,VALUE(MID($D1936,2,20)),1000000000),1000000000))+ROW()/100000,"")</f>
        <v/>
      </c>
    </row>
    <row r="1937">
      <c r="F1937" s="11" t="n"/>
      <c r="N1937" s="7">
        <f>IF($D1937="","",M1937*V1937/100)</f>
        <v/>
      </c>
      <c r="O1937" s="7" t="n"/>
      <c r="U1937" s="7" t="n"/>
      <c r="V1937" s="7" t="n"/>
      <c r="Y1937">
        <f>IF($D1937="","",IF($AN1937=1,0,IF($AM1937=1,Settings!$C$6,Settings!$C$7))*100)</f>
        <v/>
      </c>
      <c r="Z1937" s="7">
        <f>IF($D1937="","",V1937*Y1937/100)</f>
        <v/>
      </c>
      <c r="AA1937" s="7">
        <f>IF($D1937="","",V1937-Z1937)</f>
        <v/>
      </c>
      <c r="AB1937" s="7">
        <f>IF($D1937="","",AA1937-N1937)</f>
        <v/>
      </c>
      <c r="AF1937" s="7" t="n"/>
      <c r="AI1937" s="11" t="n"/>
      <c r="AK1937">
        <f>IF($D1937="","",IF(COUNTIF($D$2:$D1937,$D1937)=1,1,0))</f>
        <v/>
      </c>
      <c r="AL1937">
        <f>IF($AK1937=1,SUMPRODUCT(--($AO$2:$AO$3001&lt;$AO1937))+1,"")</f>
        <v/>
      </c>
      <c r="AM1937">
        <f>IF($D1937="","",IF(OR($R1937=TRUE(),$R1937="TRUE"),1,0))</f>
        <v/>
      </c>
      <c r="AN1937">
        <f>IF($D1937="","",IF($X1937="Yes",1,0))</f>
        <v/>
      </c>
      <c r="AO1937">
        <f>IF($AK1937=1,IFERROR(IF(VALUE($D1937)&lt;100000000,VALUE($D1937),1000000000),IFERROR(IF(VALUE(MID($D1937,2,20))&lt;100000000,VALUE(MID($D1937,2,20)),1000000000),1000000000))+ROW()/100000,"")</f>
        <v/>
      </c>
    </row>
    <row r="1938">
      <c r="F1938" s="11" t="n"/>
      <c r="N1938" s="7">
        <f>IF($D1938="","",M1938*V1938/100)</f>
        <v/>
      </c>
      <c r="O1938" s="7" t="n"/>
      <c r="U1938" s="7" t="n"/>
      <c r="V1938" s="7" t="n"/>
      <c r="Y1938">
        <f>IF($D1938="","",IF($AN1938=1,0,IF($AM1938=1,Settings!$C$6,Settings!$C$7))*100)</f>
        <v/>
      </c>
      <c r="Z1938" s="7">
        <f>IF($D1938="","",V1938*Y1938/100)</f>
        <v/>
      </c>
      <c r="AA1938" s="7">
        <f>IF($D1938="","",V1938-Z1938)</f>
        <v/>
      </c>
      <c r="AB1938" s="7">
        <f>IF($D1938="","",AA1938-N1938)</f>
        <v/>
      </c>
      <c r="AF1938" s="7" t="n"/>
      <c r="AI1938" s="11" t="n"/>
      <c r="AK1938">
        <f>IF($D1938="","",IF(COUNTIF($D$2:$D1938,$D1938)=1,1,0))</f>
        <v/>
      </c>
      <c r="AL1938">
        <f>IF($AK1938=1,SUMPRODUCT(--($AO$2:$AO$3001&lt;$AO1938))+1,"")</f>
        <v/>
      </c>
      <c r="AM1938">
        <f>IF($D1938="","",IF(OR($R1938=TRUE(),$R1938="TRUE"),1,0))</f>
        <v/>
      </c>
      <c r="AN1938">
        <f>IF($D1938="","",IF($X1938="Yes",1,0))</f>
        <v/>
      </c>
      <c r="AO1938">
        <f>IF($AK1938=1,IFERROR(IF(VALUE($D1938)&lt;100000000,VALUE($D1938),1000000000),IFERROR(IF(VALUE(MID($D1938,2,20))&lt;100000000,VALUE(MID($D1938,2,20)),1000000000),1000000000))+ROW()/100000,"")</f>
        <v/>
      </c>
    </row>
    <row r="1939">
      <c r="F1939" s="11" t="n"/>
      <c r="N1939" s="7">
        <f>IF($D1939="","",M1939*V1939/100)</f>
        <v/>
      </c>
      <c r="O1939" s="7" t="n"/>
      <c r="U1939" s="7" t="n"/>
      <c r="V1939" s="7" t="n"/>
      <c r="Y1939">
        <f>IF($D1939="","",IF($AN1939=1,0,IF($AM1939=1,Settings!$C$6,Settings!$C$7))*100)</f>
        <v/>
      </c>
      <c r="Z1939" s="7">
        <f>IF($D1939="","",V1939*Y1939/100)</f>
        <v/>
      </c>
      <c r="AA1939" s="7">
        <f>IF($D1939="","",V1939-Z1939)</f>
        <v/>
      </c>
      <c r="AB1939" s="7">
        <f>IF($D1939="","",AA1939-N1939)</f>
        <v/>
      </c>
      <c r="AF1939" s="7" t="n"/>
      <c r="AI1939" s="11" t="n"/>
      <c r="AK1939">
        <f>IF($D1939="","",IF(COUNTIF($D$2:$D1939,$D1939)=1,1,0))</f>
        <v/>
      </c>
      <c r="AL1939">
        <f>IF($AK1939=1,SUMPRODUCT(--($AO$2:$AO$3001&lt;$AO1939))+1,"")</f>
        <v/>
      </c>
      <c r="AM1939">
        <f>IF($D1939="","",IF(OR($R1939=TRUE(),$R1939="TRUE"),1,0))</f>
        <v/>
      </c>
      <c r="AN1939">
        <f>IF($D1939="","",IF($X1939="Yes",1,0))</f>
        <v/>
      </c>
      <c r="AO1939">
        <f>IF($AK1939=1,IFERROR(IF(VALUE($D1939)&lt;100000000,VALUE($D1939),1000000000),IFERROR(IF(VALUE(MID($D1939,2,20))&lt;100000000,VALUE(MID($D1939,2,20)),1000000000),1000000000))+ROW()/100000,"")</f>
        <v/>
      </c>
    </row>
    <row r="1940">
      <c r="F1940" s="11" t="n"/>
      <c r="N1940" s="7">
        <f>IF($D1940="","",M1940*V1940/100)</f>
        <v/>
      </c>
      <c r="O1940" s="7" t="n"/>
      <c r="U1940" s="7" t="n"/>
      <c r="V1940" s="7" t="n"/>
      <c r="Y1940">
        <f>IF($D1940="","",IF($AN1940=1,0,IF($AM1940=1,Settings!$C$6,Settings!$C$7))*100)</f>
        <v/>
      </c>
      <c r="Z1940" s="7">
        <f>IF($D1940="","",V1940*Y1940/100)</f>
        <v/>
      </c>
      <c r="AA1940" s="7">
        <f>IF($D1940="","",V1940-Z1940)</f>
        <v/>
      </c>
      <c r="AB1940" s="7">
        <f>IF($D1940="","",AA1940-N1940)</f>
        <v/>
      </c>
      <c r="AF1940" s="7" t="n"/>
      <c r="AI1940" s="11" t="n"/>
      <c r="AK1940">
        <f>IF($D1940="","",IF(COUNTIF($D$2:$D1940,$D1940)=1,1,0))</f>
        <v/>
      </c>
      <c r="AL1940">
        <f>IF($AK1940=1,SUMPRODUCT(--($AO$2:$AO$3001&lt;$AO1940))+1,"")</f>
        <v/>
      </c>
      <c r="AM1940">
        <f>IF($D1940="","",IF(OR($R1940=TRUE(),$R1940="TRUE"),1,0))</f>
        <v/>
      </c>
      <c r="AN1940">
        <f>IF($D1940="","",IF($X1940="Yes",1,0))</f>
        <v/>
      </c>
      <c r="AO1940">
        <f>IF($AK1940=1,IFERROR(IF(VALUE($D1940)&lt;100000000,VALUE($D1940),1000000000),IFERROR(IF(VALUE(MID($D1940,2,20))&lt;100000000,VALUE(MID($D1940,2,20)),1000000000),1000000000))+ROW()/100000,"")</f>
        <v/>
      </c>
    </row>
    <row r="1941">
      <c r="F1941" s="11" t="n"/>
      <c r="N1941" s="7">
        <f>IF($D1941="","",M1941*V1941/100)</f>
        <v/>
      </c>
      <c r="O1941" s="7" t="n"/>
      <c r="U1941" s="7" t="n"/>
      <c r="V1941" s="7" t="n"/>
      <c r="Y1941">
        <f>IF($D1941="","",IF($AN1941=1,0,IF($AM1941=1,Settings!$C$6,Settings!$C$7))*100)</f>
        <v/>
      </c>
      <c r="Z1941" s="7">
        <f>IF($D1941="","",V1941*Y1941/100)</f>
        <v/>
      </c>
      <c r="AA1941" s="7">
        <f>IF($D1941="","",V1941-Z1941)</f>
        <v/>
      </c>
      <c r="AB1941" s="7">
        <f>IF($D1941="","",AA1941-N1941)</f>
        <v/>
      </c>
      <c r="AF1941" s="7" t="n"/>
      <c r="AI1941" s="11" t="n"/>
      <c r="AK1941">
        <f>IF($D1941="","",IF(COUNTIF($D$2:$D1941,$D1941)=1,1,0))</f>
        <v/>
      </c>
      <c r="AL1941">
        <f>IF($AK1941=1,SUMPRODUCT(--($AO$2:$AO$3001&lt;$AO1941))+1,"")</f>
        <v/>
      </c>
      <c r="AM1941">
        <f>IF($D1941="","",IF(OR($R1941=TRUE(),$R1941="TRUE"),1,0))</f>
        <v/>
      </c>
      <c r="AN1941">
        <f>IF($D1941="","",IF($X1941="Yes",1,0))</f>
        <v/>
      </c>
      <c r="AO1941">
        <f>IF($AK1941=1,IFERROR(IF(VALUE($D1941)&lt;100000000,VALUE($D1941),1000000000),IFERROR(IF(VALUE(MID($D1941,2,20))&lt;100000000,VALUE(MID($D1941,2,20)),1000000000),1000000000))+ROW()/100000,"")</f>
        <v/>
      </c>
    </row>
    <row r="1942">
      <c r="F1942" s="11" t="n"/>
      <c r="N1942" s="7">
        <f>IF($D1942="","",M1942*V1942/100)</f>
        <v/>
      </c>
      <c r="O1942" s="7" t="n"/>
      <c r="U1942" s="7" t="n"/>
      <c r="V1942" s="7" t="n"/>
      <c r="Y1942">
        <f>IF($D1942="","",IF($AN1942=1,0,IF($AM1942=1,Settings!$C$6,Settings!$C$7))*100)</f>
        <v/>
      </c>
      <c r="Z1942" s="7">
        <f>IF($D1942="","",V1942*Y1942/100)</f>
        <v/>
      </c>
      <c r="AA1942" s="7">
        <f>IF($D1942="","",V1942-Z1942)</f>
        <v/>
      </c>
      <c r="AB1942" s="7">
        <f>IF($D1942="","",AA1942-N1942)</f>
        <v/>
      </c>
      <c r="AF1942" s="7" t="n"/>
      <c r="AI1942" s="11" t="n"/>
      <c r="AK1942">
        <f>IF($D1942="","",IF(COUNTIF($D$2:$D1942,$D1942)=1,1,0))</f>
        <v/>
      </c>
      <c r="AL1942">
        <f>IF($AK1942=1,SUMPRODUCT(--($AO$2:$AO$3001&lt;$AO1942))+1,"")</f>
        <v/>
      </c>
      <c r="AM1942">
        <f>IF($D1942="","",IF(OR($R1942=TRUE(),$R1942="TRUE"),1,0))</f>
        <v/>
      </c>
      <c r="AN1942">
        <f>IF($D1942="","",IF($X1942="Yes",1,0))</f>
        <v/>
      </c>
      <c r="AO1942">
        <f>IF($AK1942=1,IFERROR(IF(VALUE($D1942)&lt;100000000,VALUE($D1942),1000000000),IFERROR(IF(VALUE(MID($D1942,2,20))&lt;100000000,VALUE(MID($D1942,2,20)),1000000000),1000000000))+ROW()/100000,"")</f>
        <v/>
      </c>
    </row>
    <row r="1943">
      <c r="F1943" s="11" t="n"/>
      <c r="N1943" s="7">
        <f>IF($D1943="","",M1943*V1943/100)</f>
        <v/>
      </c>
      <c r="O1943" s="7" t="n"/>
      <c r="U1943" s="7" t="n"/>
      <c r="V1943" s="7" t="n"/>
      <c r="Y1943">
        <f>IF($D1943="","",IF($AN1943=1,0,IF($AM1943=1,Settings!$C$6,Settings!$C$7))*100)</f>
        <v/>
      </c>
      <c r="Z1943" s="7">
        <f>IF($D1943="","",V1943*Y1943/100)</f>
        <v/>
      </c>
      <c r="AA1943" s="7">
        <f>IF($D1943="","",V1943-Z1943)</f>
        <v/>
      </c>
      <c r="AB1943" s="7">
        <f>IF($D1943="","",AA1943-N1943)</f>
        <v/>
      </c>
      <c r="AF1943" s="7" t="n"/>
      <c r="AI1943" s="11" t="n"/>
      <c r="AK1943">
        <f>IF($D1943="","",IF(COUNTIF($D$2:$D1943,$D1943)=1,1,0))</f>
        <v/>
      </c>
      <c r="AL1943">
        <f>IF($AK1943=1,SUMPRODUCT(--($AO$2:$AO$3001&lt;$AO1943))+1,"")</f>
        <v/>
      </c>
      <c r="AM1943">
        <f>IF($D1943="","",IF(OR($R1943=TRUE(),$R1943="TRUE"),1,0))</f>
        <v/>
      </c>
      <c r="AN1943">
        <f>IF($D1943="","",IF($X1943="Yes",1,0))</f>
        <v/>
      </c>
      <c r="AO1943">
        <f>IF($AK1943=1,IFERROR(IF(VALUE($D1943)&lt;100000000,VALUE($D1943),1000000000),IFERROR(IF(VALUE(MID($D1943,2,20))&lt;100000000,VALUE(MID($D1943,2,20)),1000000000),1000000000))+ROW()/100000,"")</f>
        <v/>
      </c>
    </row>
    <row r="1944">
      <c r="F1944" s="11" t="n"/>
      <c r="N1944" s="7">
        <f>IF($D1944="","",M1944*V1944/100)</f>
        <v/>
      </c>
      <c r="O1944" s="7" t="n"/>
      <c r="U1944" s="7" t="n"/>
      <c r="V1944" s="7" t="n"/>
      <c r="Y1944">
        <f>IF($D1944="","",IF($AN1944=1,0,IF($AM1944=1,Settings!$C$6,Settings!$C$7))*100)</f>
        <v/>
      </c>
      <c r="Z1944" s="7">
        <f>IF($D1944="","",V1944*Y1944/100)</f>
        <v/>
      </c>
      <c r="AA1944" s="7">
        <f>IF($D1944="","",V1944-Z1944)</f>
        <v/>
      </c>
      <c r="AB1944" s="7">
        <f>IF($D1944="","",AA1944-N1944)</f>
        <v/>
      </c>
      <c r="AF1944" s="7" t="n"/>
      <c r="AI1944" s="11" t="n"/>
      <c r="AK1944">
        <f>IF($D1944="","",IF(COUNTIF($D$2:$D1944,$D1944)=1,1,0))</f>
        <v/>
      </c>
      <c r="AL1944">
        <f>IF($AK1944=1,SUMPRODUCT(--($AO$2:$AO$3001&lt;$AO1944))+1,"")</f>
        <v/>
      </c>
      <c r="AM1944">
        <f>IF($D1944="","",IF(OR($R1944=TRUE(),$R1944="TRUE"),1,0))</f>
        <v/>
      </c>
      <c r="AN1944">
        <f>IF($D1944="","",IF($X1944="Yes",1,0))</f>
        <v/>
      </c>
      <c r="AO1944">
        <f>IF($AK1944=1,IFERROR(IF(VALUE($D1944)&lt;100000000,VALUE($D1944),1000000000),IFERROR(IF(VALUE(MID($D1944,2,20))&lt;100000000,VALUE(MID($D1944,2,20)),1000000000),1000000000))+ROW()/100000,"")</f>
        <v/>
      </c>
    </row>
    <row r="1945">
      <c r="F1945" s="11" t="n"/>
      <c r="N1945" s="7">
        <f>IF($D1945="","",M1945*V1945/100)</f>
        <v/>
      </c>
      <c r="O1945" s="7" t="n"/>
      <c r="U1945" s="7" t="n"/>
      <c r="V1945" s="7" t="n"/>
      <c r="Y1945">
        <f>IF($D1945="","",IF($AN1945=1,0,IF($AM1945=1,Settings!$C$6,Settings!$C$7))*100)</f>
        <v/>
      </c>
      <c r="Z1945" s="7">
        <f>IF($D1945="","",V1945*Y1945/100)</f>
        <v/>
      </c>
      <c r="AA1945" s="7">
        <f>IF($D1945="","",V1945-Z1945)</f>
        <v/>
      </c>
      <c r="AB1945" s="7">
        <f>IF($D1945="","",AA1945-N1945)</f>
        <v/>
      </c>
      <c r="AF1945" s="7" t="n"/>
      <c r="AI1945" s="11" t="n"/>
      <c r="AK1945">
        <f>IF($D1945="","",IF(COUNTIF($D$2:$D1945,$D1945)=1,1,0))</f>
        <v/>
      </c>
      <c r="AL1945">
        <f>IF($AK1945=1,SUMPRODUCT(--($AO$2:$AO$3001&lt;$AO1945))+1,"")</f>
        <v/>
      </c>
      <c r="AM1945">
        <f>IF($D1945="","",IF(OR($R1945=TRUE(),$R1945="TRUE"),1,0))</f>
        <v/>
      </c>
      <c r="AN1945">
        <f>IF($D1945="","",IF($X1945="Yes",1,0))</f>
        <v/>
      </c>
      <c r="AO1945">
        <f>IF($AK1945=1,IFERROR(IF(VALUE($D1945)&lt;100000000,VALUE($D1945),1000000000),IFERROR(IF(VALUE(MID($D1945,2,20))&lt;100000000,VALUE(MID($D1945,2,20)),1000000000),1000000000))+ROW()/100000,"")</f>
        <v/>
      </c>
    </row>
    <row r="1946">
      <c r="F1946" s="11" t="n"/>
      <c r="N1946" s="7">
        <f>IF($D1946="","",M1946*V1946/100)</f>
        <v/>
      </c>
      <c r="O1946" s="7" t="n"/>
      <c r="U1946" s="7" t="n"/>
      <c r="V1946" s="7" t="n"/>
      <c r="Y1946">
        <f>IF($D1946="","",IF($AN1946=1,0,IF($AM1946=1,Settings!$C$6,Settings!$C$7))*100)</f>
        <v/>
      </c>
      <c r="Z1946" s="7">
        <f>IF($D1946="","",V1946*Y1946/100)</f>
        <v/>
      </c>
      <c r="AA1946" s="7">
        <f>IF($D1946="","",V1946-Z1946)</f>
        <v/>
      </c>
      <c r="AB1946" s="7">
        <f>IF($D1946="","",AA1946-N1946)</f>
        <v/>
      </c>
      <c r="AF1946" s="7" t="n"/>
      <c r="AI1946" s="11" t="n"/>
      <c r="AK1946">
        <f>IF($D1946="","",IF(COUNTIF($D$2:$D1946,$D1946)=1,1,0))</f>
        <v/>
      </c>
      <c r="AL1946">
        <f>IF($AK1946=1,SUMPRODUCT(--($AO$2:$AO$3001&lt;$AO1946))+1,"")</f>
        <v/>
      </c>
      <c r="AM1946">
        <f>IF($D1946="","",IF(OR($R1946=TRUE(),$R1946="TRUE"),1,0))</f>
        <v/>
      </c>
      <c r="AN1946">
        <f>IF($D1946="","",IF($X1946="Yes",1,0))</f>
        <v/>
      </c>
      <c r="AO1946">
        <f>IF($AK1946=1,IFERROR(IF(VALUE($D1946)&lt;100000000,VALUE($D1946),1000000000),IFERROR(IF(VALUE(MID($D1946,2,20))&lt;100000000,VALUE(MID($D1946,2,20)),1000000000),1000000000))+ROW()/100000,"")</f>
        <v/>
      </c>
    </row>
    <row r="1947">
      <c r="F1947" s="11" t="n"/>
      <c r="N1947" s="7">
        <f>IF($D1947="","",M1947*V1947/100)</f>
        <v/>
      </c>
      <c r="O1947" s="7" t="n"/>
      <c r="U1947" s="7" t="n"/>
      <c r="V1947" s="7" t="n"/>
      <c r="Y1947">
        <f>IF($D1947="","",IF($AN1947=1,0,IF($AM1947=1,Settings!$C$6,Settings!$C$7))*100)</f>
        <v/>
      </c>
      <c r="Z1947" s="7">
        <f>IF($D1947="","",V1947*Y1947/100)</f>
        <v/>
      </c>
      <c r="AA1947" s="7">
        <f>IF($D1947="","",V1947-Z1947)</f>
        <v/>
      </c>
      <c r="AB1947" s="7">
        <f>IF($D1947="","",AA1947-N1947)</f>
        <v/>
      </c>
      <c r="AF1947" s="7" t="n"/>
      <c r="AI1947" s="11" t="n"/>
      <c r="AK1947">
        <f>IF($D1947="","",IF(COUNTIF($D$2:$D1947,$D1947)=1,1,0))</f>
        <v/>
      </c>
      <c r="AL1947">
        <f>IF($AK1947=1,SUMPRODUCT(--($AO$2:$AO$3001&lt;$AO1947))+1,"")</f>
        <v/>
      </c>
      <c r="AM1947">
        <f>IF($D1947="","",IF(OR($R1947=TRUE(),$R1947="TRUE"),1,0))</f>
        <v/>
      </c>
      <c r="AN1947">
        <f>IF($D1947="","",IF($X1947="Yes",1,0))</f>
        <v/>
      </c>
      <c r="AO1947">
        <f>IF($AK1947=1,IFERROR(IF(VALUE($D1947)&lt;100000000,VALUE($D1947),1000000000),IFERROR(IF(VALUE(MID($D1947,2,20))&lt;100000000,VALUE(MID($D1947,2,20)),1000000000),1000000000))+ROW()/100000,"")</f>
        <v/>
      </c>
    </row>
    <row r="1948">
      <c r="F1948" s="11" t="n"/>
      <c r="N1948" s="7">
        <f>IF($D1948="","",M1948*V1948/100)</f>
        <v/>
      </c>
      <c r="O1948" s="7" t="n"/>
      <c r="U1948" s="7" t="n"/>
      <c r="V1948" s="7" t="n"/>
      <c r="Y1948">
        <f>IF($D1948="","",IF($AN1948=1,0,IF($AM1948=1,Settings!$C$6,Settings!$C$7))*100)</f>
        <v/>
      </c>
      <c r="Z1948" s="7">
        <f>IF($D1948="","",V1948*Y1948/100)</f>
        <v/>
      </c>
      <c r="AA1948" s="7">
        <f>IF($D1948="","",V1948-Z1948)</f>
        <v/>
      </c>
      <c r="AB1948" s="7">
        <f>IF($D1948="","",AA1948-N1948)</f>
        <v/>
      </c>
      <c r="AF1948" s="7" t="n"/>
      <c r="AI1948" s="11" t="n"/>
      <c r="AK1948">
        <f>IF($D1948="","",IF(COUNTIF($D$2:$D1948,$D1948)=1,1,0))</f>
        <v/>
      </c>
      <c r="AL1948">
        <f>IF($AK1948=1,SUMPRODUCT(--($AO$2:$AO$3001&lt;$AO1948))+1,"")</f>
        <v/>
      </c>
      <c r="AM1948">
        <f>IF($D1948="","",IF(OR($R1948=TRUE(),$R1948="TRUE"),1,0))</f>
        <v/>
      </c>
      <c r="AN1948">
        <f>IF($D1948="","",IF($X1948="Yes",1,0))</f>
        <v/>
      </c>
      <c r="AO1948">
        <f>IF($AK1948=1,IFERROR(IF(VALUE($D1948)&lt;100000000,VALUE($D1948),1000000000),IFERROR(IF(VALUE(MID($D1948,2,20))&lt;100000000,VALUE(MID($D1948,2,20)),1000000000),1000000000))+ROW()/100000,"")</f>
        <v/>
      </c>
    </row>
    <row r="1949">
      <c r="F1949" s="11" t="n"/>
      <c r="N1949" s="7">
        <f>IF($D1949="","",M1949*V1949/100)</f>
        <v/>
      </c>
      <c r="O1949" s="7" t="n"/>
      <c r="U1949" s="7" t="n"/>
      <c r="V1949" s="7" t="n"/>
      <c r="Y1949">
        <f>IF($D1949="","",IF($AN1949=1,0,IF($AM1949=1,Settings!$C$6,Settings!$C$7))*100)</f>
        <v/>
      </c>
      <c r="Z1949" s="7">
        <f>IF($D1949="","",V1949*Y1949/100)</f>
        <v/>
      </c>
      <c r="AA1949" s="7">
        <f>IF($D1949="","",V1949-Z1949)</f>
        <v/>
      </c>
      <c r="AB1949" s="7">
        <f>IF($D1949="","",AA1949-N1949)</f>
        <v/>
      </c>
      <c r="AF1949" s="7" t="n"/>
      <c r="AI1949" s="11" t="n"/>
      <c r="AK1949">
        <f>IF($D1949="","",IF(COUNTIF($D$2:$D1949,$D1949)=1,1,0))</f>
        <v/>
      </c>
      <c r="AL1949">
        <f>IF($AK1949=1,SUMPRODUCT(--($AO$2:$AO$3001&lt;$AO1949))+1,"")</f>
        <v/>
      </c>
      <c r="AM1949">
        <f>IF($D1949="","",IF(OR($R1949=TRUE(),$R1949="TRUE"),1,0))</f>
        <v/>
      </c>
      <c r="AN1949">
        <f>IF($D1949="","",IF($X1949="Yes",1,0))</f>
        <v/>
      </c>
      <c r="AO1949">
        <f>IF($AK1949=1,IFERROR(IF(VALUE($D1949)&lt;100000000,VALUE($D1949),1000000000),IFERROR(IF(VALUE(MID($D1949,2,20))&lt;100000000,VALUE(MID($D1949,2,20)),1000000000),1000000000))+ROW()/100000,"")</f>
        <v/>
      </c>
    </row>
    <row r="1950">
      <c r="F1950" s="11" t="n"/>
      <c r="N1950" s="7">
        <f>IF($D1950="","",M1950*V1950/100)</f>
        <v/>
      </c>
      <c r="O1950" s="7" t="n"/>
      <c r="U1950" s="7" t="n"/>
      <c r="V1950" s="7" t="n"/>
      <c r="Y1950">
        <f>IF($D1950="","",IF($AN1950=1,0,IF($AM1950=1,Settings!$C$6,Settings!$C$7))*100)</f>
        <v/>
      </c>
      <c r="Z1950" s="7">
        <f>IF($D1950="","",V1950*Y1950/100)</f>
        <v/>
      </c>
      <c r="AA1950" s="7">
        <f>IF($D1950="","",V1950-Z1950)</f>
        <v/>
      </c>
      <c r="AB1950" s="7">
        <f>IF($D1950="","",AA1950-N1950)</f>
        <v/>
      </c>
      <c r="AF1950" s="7" t="n"/>
      <c r="AI1950" s="11" t="n"/>
      <c r="AK1950">
        <f>IF($D1950="","",IF(COUNTIF($D$2:$D1950,$D1950)=1,1,0))</f>
        <v/>
      </c>
      <c r="AL1950">
        <f>IF($AK1950=1,SUMPRODUCT(--($AO$2:$AO$3001&lt;$AO1950))+1,"")</f>
        <v/>
      </c>
      <c r="AM1950">
        <f>IF($D1950="","",IF(OR($R1950=TRUE(),$R1950="TRUE"),1,0))</f>
        <v/>
      </c>
      <c r="AN1950">
        <f>IF($D1950="","",IF($X1950="Yes",1,0))</f>
        <v/>
      </c>
      <c r="AO1950">
        <f>IF($AK1950=1,IFERROR(IF(VALUE($D1950)&lt;100000000,VALUE($D1950),1000000000),IFERROR(IF(VALUE(MID($D1950,2,20))&lt;100000000,VALUE(MID($D1950,2,20)),1000000000),1000000000))+ROW()/100000,"")</f>
        <v/>
      </c>
    </row>
    <row r="1951">
      <c r="F1951" s="11" t="n"/>
      <c r="N1951" s="7">
        <f>IF($D1951="","",M1951*V1951/100)</f>
        <v/>
      </c>
      <c r="O1951" s="7" t="n"/>
      <c r="U1951" s="7" t="n"/>
      <c r="V1951" s="7" t="n"/>
      <c r="Y1951">
        <f>IF($D1951="","",IF($AN1951=1,0,IF($AM1951=1,Settings!$C$6,Settings!$C$7))*100)</f>
        <v/>
      </c>
      <c r="Z1951" s="7">
        <f>IF($D1951="","",V1951*Y1951/100)</f>
        <v/>
      </c>
      <c r="AA1951" s="7">
        <f>IF($D1951="","",V1951-Z1951)</f>
        <v/>
      </c>
      <c r="AB1951" s="7">
        <f>IF($D1951="","",AA1951-N1951)</f>
        <v/>
      </c>
      <c r="AF1951" s="7" t="n"/>
      <c r="AI1951" s="11" t="n"/>
      <c r="AK1951">
        <f>IF($D1951="","",IF(COUNTIF($D$2:$D1951,$D1951)=1,1,0))</f>
        <v/>
      </c>
      <c r="AL1951">
        <f>IF($AK1951=1,SUMPRODUCT(--($AO$2:$AO$3001&lt;$AO1951))+1,"")</f>
        <v/>
      </c>
      <c r="AM1951">
        <f>IF($D1951="","",IF(OR($R1951=TRUE(),$R1951="TRUE"),1,0))</f>
        <v/>
      </c>
      <c r="AN1951">
        <f>IF($D1951="","",IF($X1951="Yes",1,0))</f>
        <v/>
      </c>
      <c r="AO1951">
        <f>IF($AK1951=1,IFERROR(IF(VALUE($D1951)&lt;100000000,VALUE($D1951),1000000000),IFERROR(IF(VALUE(MID($D1951,2,20))&lt;100000000,VALUE(MID($D1951,2,20)),1000000000),1000000000))+ROW()/100000,"")</f>
        <v/>
      </c>
    </row>
    <row r="1952">
      <c r="F1952" s="11" t="n"/>
      <c r="N1952" s="7">
        <f>IF($D1952="","",M1952*V1952/100)</f>
        <v/>
      </c>
      <c r="O1952" s="7" t="n"/>
      <c r="U1952" s="7" t="n"/>
      <c r="V1952" s="7" t="n"/>
      <c r="Y1952">
        <f>IF($D1952="","",IF($AN1952=1,0,IF($AM1952=1,Settings!$C$6,Settings!$C$7))*100)</f>
        <v/>
      </c>
      <c r="Z1952" s="7">
        <f>IF($D1952="","",V1952*Y1952/100)</f>
        <v/>
      </c>
      <c r="AA1952" s="7">
        <f>IF($D1952="","",V1952-Z1952)</f>
        <v/>
      </c>
      <c r="AB1952" s="7">
        <f>IF($D1952="","",AA1952-N1952)</f>
        <v/>
      </c>
      <c r="AF1952" s="7" t="n"/>
      <c r="AI1952" s="11" t="n"/>
      <c r="AK1952">
        <f>IF($D1952="","",IF(COUNTIF($D$2:$D1952,$D1952)=1,1,0))</f>
        <v/>
      </c>
      <c r="AL1952">
        <f>IF($AK1952=1,SUMPRODUCT(--($AO$2:$AO$3001&lt;$AO1952))+1,"")</f>
        <v/>
      </c>
      <c r="AM1952">
        <f>IF($D1952="","",IF(OR($R1952=TRUE(),$R1952="TRUE"),1,0))</f>
        <v/>
      </c>
      <c r="AN1952">
        <f>IF($D1952="","",IF($X1952="Yes",1,0))</f>
        <v/>
      </c>
      <c r="AO1952">
        <f>IF($AK1952=1,IFERROR(IF(VALUE($D1952)&lt;100000000,VALUE($D1952),1000000000),IFERROR(IF(VALUE(MID($D1952,2,20))&lt;100000000,VALUE(MID($D1952,2,20)),1000000000),1000000000))+ROW()/100000,"")</f>
        <v/>
      </c>
    </row>
    <row r="1953">
      <c r="F1953" s="11" t="n"/>
      <c r="N1953" s="7">
        <f>IF($D1953="","",M1953*V1953/100)</f>
        <v/>
      </c>
      <c r="O1953" s="7" t="n"/>
      <c r="U1953" s="7" t="n"/>
      <c r="V1953" s="7" t="n"/>
      <c r="Y1953">
        <f>IF($D1953="","",IF($AN1953=1,0,IF($AM1953=1,Settings!$C$6,Settings!$C$7))*100)</f>
        <v/>
      </c>
      <c r="Z1953" s="7">
        <f>IF($D1953="","",V1953*Y1953/100)</f>
        <v/>
      </c>
      <c r="AA1953" s="7">
        <f>IF($D1953="","",V1953-Z1953)</f>
        <v/>
      </c>
      <c r="AB1953" s="7">
        <f>IF($D1953="","",AA1953-N1953)</f>
        <v/>
      </c>
      <c r="AF1953" s="7" t="n"/>
      <c r="AI1953" s="11" t="n"/>
      <c r="AK1953">
        <f>IF($D1953="","",IF(COUNTIF($D$2:$D1953,$D1953)=1,1,0))</f>
        <v/>
      </c>
      <c r="AL1953">
        <f>IF($AK1953=1,SUMPRODUCT(--($AO$2:$AO$3001&lt;$AO1953))+1,"")</f>
        <v/>
      </c>
      <c r="AM1953">
        <f>IF($D1953="","",IF(OR($R1953=TRUE(),$R1953="TRUE"),1,0))</f>
        <v/>
      </c>
      <c r="AN1953">
        <f>IF($D1953="","",IF($X1953="Yes",1,0))</f>
        <v/>
      </c>
      <c r="AO1953">
        <f>IF($AK1953=1,IFERROR(IF(VALUE($D1953)&lt;100000000,VALUE($D1953),1000000000),IFERROR(IF(VALUE(MID($D1953,2,20))&lt;100000000,VALUE(MID($D1953,2,20)),1000000000),1000000000))+ROW()/100000,"")</f>
        <v/>
      </c>
    </row>
    <row r="1954">
      <c r="F1954" s="11" t="n"/>
      <c r="N1954" s="7">
        <f>IF($D1954="","",M1954*V1954/100)</f>
        <v/>
      </c>
      <c r="O1954" s="7" t="n"/>
      <c r="U1954" s="7" t="n"/>
      <c r="V1954" s="7" t="n"/>
      <c r="Y1954">
        <f>IF($D1954="","",IF($AN1954=1,0,IF($AM1954=1,Settings!$C$6,Settings!$C$7))*100)</f>
        <v/>
      </c>
      <c r="Z1954" s="7">
        <f>IF($D1954="","",V1954*Y1954/100)</f>
        <v/>
      </c>
      <c r="AA1954" s="7">
        <f>IF($D1954="","",V1954-Z1954)</f>
        <v/>
      </c>
      <c r="AB1954" s="7">
        <f>IF($D1954="","",AA1954-N1954)</f>
        <v/>
      </c>
      <c r="AF1954" s="7" t="n"/>
      <c r="AI1954" s="11" t="n"/>
      <c r="AK1954">
        <f>IF($D1954="","",IF(COUNTIF($D$2:$D1954,$D1954)=1,1,0))</f>
        <v/>
      </c>
      <c r="AL1954">
        <f>IF($AK1954=1,SUMPRODUCT(--($AO$2:$AO$3001&lt;$AO1954))+1,"")</f>
        <v/>
      </c>
      <c r="AM1954">
        <f>IF($D1954="","",IF(OR($R1954=TRUE(),$R1954="TRUE"),1,0))</f>
        <v/>
      </c>
      <c r="AN1954">
        <f>IF($D1954="","",IF($X1954="Yes",1,0))</f>
        <v/>
      </c>
      <c r="AO1954">
        <f>IF($AK1954=1,IFERROR(IF(VALUE($D1954)&lt;100000000,VALUE($D1954),1000000000),IFERROR(IF(VALUE(MID($D1954,2,20))&lt;100000000,VALUE(MID($D1954,2,20)),1000000000),1000000000))+ROW()/100000,"")</f>
        <v/>
      </c>
    </row>
    <row r="1955">
      <c r="F1955" s="11" t="n"/>
      <c r="N1955" s="7">
        <f>IF($D1955="","",M1955*V1955/100)</f>
        <v/>
      </c>
      <c r="O1955" s="7" t="n"/>
      <c r="U1955" s="7" t="n"/>
      <c r="V1955" s="7" t="n"/>
      <c r="Y1955">
        <f>IF($D1955="","",IF($AN1955=1,0,IF($AM1955=1,Settings!$C$6,Settings!$C$7))*100)</f>
        <v/>
      </c>
      <c r="Z1955" s="7">
        <f>IF($D1955="","",V1955*Y1955/100)</f>
        <v/>
      </c>
      <c r="AA1955" s="7">
        <f>IF($D1955="","",V1955-Z1955)</f>
        <v/>
      </c>
      <c r="AB1955" s="7">
        <f>IF($D1955="","",AA1955-N1955)</f>
        <v/>
      </c>
      <c r="AF1955" s="7" t="n"/>
      <c r="AI1955" s="11" t="n"/>
      <c r="AK1955">
        <f>IF($D1955="","",IF(COUNTIF($D$2:$D1955,$D1955)=1,1,0))</f>
        <v/>
      </c>
      <c r="AL1955">
        <f>IF($AK1955=1,SUMPRODUCT(--($AO$2:$AO$3001&lt;$AO1955))+1,"")</f>
        <v/>
      </c>
      <c r="AM1955">
        <f>IF($D1955="","",IF(OR($R1955=TRUE(),$R1955="TRUE"),1,0))</f>
        <v/>
      </c>
      <c r="AN1955">
        <f>IF($D1955="","",IF($X1955="Yes",1,0))</f>
        <v/>
      </c>
      <c r="AO1955">
        <f>IF($AK1955=1,IFERROR(IF(VALUE($D1955)&lt;100000000,VALUE($D1955),1000000000),IFERROR(IF(VALUE(MID($D1955,2,20))&lt;100000000,VALUE(MID($D1955,2,20)),1000000000),1000000000))+ROW()/100000,"")</f>
        <v/>
      </c>
    </row>
    <row r="1956">
      <c r="F1956" s="11" t="n"/>
      <c r="N1956" s="7">
        <f>IF($D1956="","",M1956*V1956/100)</f>
        <v/>
      </c>
      <c r="O1956" s="7" t="n"/>
      <c r="U1956" s="7" t="n"/>
      <c r="V1956" s="7" t="n"/>
      <c r="Y1956">
        <f>IF($D1956="","",IF($AN1956=1,0,IF($AM1956=1,Settings!$C$6,Settings!$C$7))*100)</f>
        <v/>
      </c>
      <c r="Z1956" s="7">
        <f>IF($D1956="","",V1956*Y1956/100)</f>
        <v/>
      </c>
      <c r="AA1956" s="7">
        <f>IF($D1956="","",V1956-Z1956)</f>
        <v/>
      </c>
      <c r="AB1956" s="7">
        <f>IF($D1956="","",AA1956-N1956)</f>
        <v/>
      </c>
      <c r="AF1956" s="7" t="n"/>
      <c r="AI1956" s="11" t="n"/>
      <c r="AK1956">
        <f>IF($D1956="","",IF(COUNTIF($D$2:$D1956,$D1956)=1,1,0))</f>
        <v/>
      </c>
      <c r="AL1956">
        <f>IF($AK1956=1,SUMPRODUCT(--($AO$2:$AO$3001&lt;$AO1956))+1,"")</f>
        <v/>
      </c>
      <c r="AM1956">
        <f>IF($D1956="","",IF(OR($R1956=TRUE(),$R1956="TRUE"),1,0))</f>
        <v/>
      </c>
      <c r="AN1956">
        <f>IF($D1956="","",IF($X1956="Yes",1,0))</f>
        <v/>
      </c>
      <c r="AO1956">
        <f>IF($AK1956=1,IFERROR(IF(VALUE($D1956)&lt;100000000,VALUE($D1956),1000000000),IFERROR(IF(VALUE(MID($D1956,2,20))&lt;100000000,VALUE(MID($D1956,2,20)),1000000000),1000000000))+ROW()/100000,"")</f>
        <v/>
      </c>
    </row>
    <row r="1957">
      <c r="F1957" s="11" t="n"/>
      <c r="N1957" s="7">
        <f>IF($D1957="","",M1957*V1957/100)</f>
        <v/>
      </c>
      <c r="O1957" s="7" t="n"/>
      <c r="U1957" s="7" t="n"/>
      <c r="V1957" s="7" t="n"/>
      <c r="Y1957">
        <f>IF($D1957="","",IF($AN1957=1,0,IF($AM1957=1,Settings!$C$6,Settings!$C$7))*100)</f>
        <v/>
      </c>
      <c r="Z1957" s="7">
        <f>IF($D1957="","",V1957*Y1957/100)</f>
        <v/>
      </c>
      <c r="AA1957" s="7">
        <f>IF($D1957="","",V1957-Z1957)</f>
        <v/>
      </c>
      <c r="AB1957" s="7">
        <f>IF($D1957="","",AA1957-N1957)</f>
        <v/>
      </c>
      <c r="AF1957" s="7" t="n"/>
      <c r="AI1957" s="11" t="n"/>
      <c r="AK1957">
        <f>IF($D1957="","",IF(COUNTIF($D$2:$D1957,$D1957)=1,1,0))</f>
        <v/>
      </c>
      <c r="AL1957">
        <f>IF($AK1957=1,SUMPRODUCT(--($AO$2:$AO$3001&lt;$AO1957))+1,"")</f>
        <v/>
      </c>
      <c r="AM1957">
        <f>IF($D1957="","",IF(OR($R1957=TRUE(),$R1957="TRUE"),1,0))</f>
        <v/>
      </c>
      <c r="AN1957">
        <f>IF($D1957="","",IF($X1957="Yes",1,0))</f>
        <v/>
      </c>
      <c r="AO1957">
        <f>IF($AK1957=1,IFERROR(IF(VALUE($D1957)&lt;100000000,VALUE($D1957),1000000000),IFERROR(IF(VALUE(MID($D1957,2,20))&lt;100000000,VALUE(MID($D1957,2,20)),1000000000),1000000000))+ROW()/100000,"")</f>
        <v/>
      </c>
    </row>
    <row r="1958">
      <c r="F1958" s="11" t="n"/>
      <c r="N1958" s="7">
        <f>IF($D1958="","",M1958*V1958/100)</f>
        <v/>
      </c>
      <c r="O1958" s="7" t="n"/>
      <c r="U1958" s="7" t="n"/>
      <c r="V1958" s="7" t="n"/>
      <c r="Y1958">
        <f>IF($D1958="","",IF($AN1958=1,0,IF($AM1958=1,Settings!$C$6,Settings!$C$7))*100)</f>
        <v/>
      </c>
      <c r="Z1958" s="7">
        <f>IF($D1958="","",V1958*Y1958/100)</f>
        <v/>
      </c>
      <c r="AA1958" s="7">
        <f>IF($D1958="","",V1958-Z1958)</f>
        <v/>
      </c>
      <c r="AB1958" s="7">
        <f>IF($D1958="","",AA1958-N1958)</f>
        <v/>
      </c>
      <c r="AF1958" s="7" t="n"/>
      <c r="AI1958" s="11" t="n"/>
      <c r="AK1958">
        <f>IF($D1958="","",IF(COUNTIF($D$2:$D1958,$D1958)=1,1,0))</f>
        <v/>
      </c>
      <c r="AL1958">
        <f>IF($AK1958=1,SUMPRODUCT(--($AO$2:$AO$3001&lt;$AO1958))+1,"")</f>
        <v/>
      </c>
      <c r="AM1958">
        <f>IF($D1958="","",IF(OR($R1958=TRUE(),$R1958="TRUE"),1,0))</f>
        <v/>
      </c>
      <c r="AN1958">
        <f>IF($D1958="","",IF($X1958="Yes",1,0))</f>
        <v/>
      </c>
      <c r="AO1958">
        <f>IF($AK1958=1,IFERROR(IF(VALUE($D1958)&lt;100000000,VALUE($D1958),1000000000),IFERROR(IF(VALUE(MID($D1958,2,20))&lt;100000000,VALUE(MID($D1958,2,20)),1000000000),1000000000))+ROW()/100000,"")</f>
        <v/>
      </c>
    </row>
    <row r="1959">
      <c r="F1959" s="11" t="n"/>
      <c r="N1959" s="7">
        <f>IF($D1959="","",M1959*V1959/100)</f>
        <v/>
      </c>
      <c r="O1959" s="7" t="n"/>
      <c r="U1959" s="7" t="n"/>
      <c r="V1959" s="7" t="n"/>
      <c r="Y1959">
        <f>IF($D1959="","",IF($AN1959=1,0,IF($AM1959=1,Settings!$C$6,Settings!$C$7))*100)</f>
        <v/>
      </c>
      <c r="Z1959" s="7">
        <f>IF($D1959="","",V1959*Y1959/100)</f>
        <v/>
      </c>
      <c r="AA1959" s="7">
        <f>IF($D1959="","",V1959-Z1959)</f>
        <v/>
      </c>
      <c r="AB1959" s="7">
        <f>IF($D1959="","",AA1959-N1959)</f>
        <v/>
      </c>
      <c r="AF1959" s="7" t="n"/>
      <c r="AI1959" s="11" t="n"/>
      <c r="AK1959">
        <f>IF($D1959="","",IF(COUNTIF($D$2:$D1959,$D1959)=1,1,0))</f>
        <v/>
      </c>
      <c r="AL1959">
        <f>IF($AK1959=1,SUMPRODUCT(--($AO$2:$AO$3001&lt;$AO1959))+1,"")</f>
        <v/>
      </c>
      <c r="AM1959">
        <f>IF($D1959="","",IF(OR($R1959=TRUE(),$R1959="TRUE"),1,0))</f>
        <v/>
      </c>
      <c r="AN1959">
        <f>IF($D1959="","",IF($X1959="Yes",1,0))</f>
        <v/>
      </c>
      <c r="AO1959">
        <f>IF($AK1959=1,IFERROR(IF(VALUE($D1959)&lt;100000000,VALUE($D1959),1000000000),IFERROR(IF(VALUE(MID($D1959,2,20))&lt;100000000,VALUE(MID($D1959,2,20)),1000000000),1000000000))+ROW()/100000,"")</f>
        <v/>
      </c>
    </row>
    <row r="1960">
      <c r="F1960" s="11" t="n"/>
      <c r="N1960" s="7">
        <f>IF($D1960="","",M1960*V1960/100)</f>
        <v/>
      </c>
      <c r="O1960" s="7" t="n"/>
      <c r="U1960" s="7" t="n"/>
      <c r="V1960" s="7" t="n"/>
      <c r="Y1960">
        <f>IF($D1960="","",IF($AN1960=1,0,IF($AM1960=1,Settings!$C$6,Settings!$C$7))*100)</f>
        <v/>
      </c>
      <c r="Z1960" s="7">
        <f>IF($D1960="","",V1960*Y1960/100)</f>
        <v/>
      </c>
      <c r="AA1960" s="7">
        <f>IF($D1960="","",V1960-Z1960)</f>
        <v/>
      </c>
      <c r="AB1960" s="7">
        <f>IF($D1960="","",AA1960-N1960)</f>
        <v/>
      </c>
      <c r="AF1960" s="7" t="n"/>
      <c r="AI1960" s="11" t="n"/>
      <c r="AK1960">
        <f>IF($D1960="","",IF(COUNTIF($D$2:$D1960,$D1960)=1,1,0))</f>
        <v/>
      </c>
      <c r="AL1960">
        <f>IF($AK1960=1,SUMPRODUCT(--($AO$2:$AO$3001&lt;$AO1960))+1,"")</f>
        <v/>
      </c>
      <c r="AM1960">
        <f>IF($D1960="","",IF(OR($R1960=TRUE(),$R1960="TRUE"),1,0))</f>
        <v/>
      </c>
      <c r="AN1960">
        <f>IF($D1960="","",IF($X1960="Yes",1,0))</f>
        <v/>
      </c>
      <c r="AO1960">
        <f>IF($AK1960=1,IFERROR(IF(VALUE($D1960)&lt;100000000,VALUE($D1960),1000000000),IFERROR(IF(VALUE(MID($D1960,2,20))&lt;100000000,VALUE(MID($D1960,2,20)),1000000000),1000000000))+ROW()/100000,"")</f>
        <v/>
      </c>
    </row>
    <row r="1961">
      <c r="F1961" s="11" t="n"/>
      <c r="N1961" s="7">
        <f>IF($D1961="","",M1961*V1961/100)</f>
        <v/>
      </c>
      <c r="O1961" s="7" t="n"/>
      <c r="U1961" s="7" t="n"/>
      <c r="V1961" s="7" t="n"/>
      <c r="Y1961">
        <f>IF($D1961="","",IF($AN1961=1,0,IF($AM1961=1,Settings!$C$6,Settings!$C$7))*100)</f>
        <v/>
      </c>
      <c r="Z1961" s="7">
        <f>IF($D1961="","",V1961*Y1961/100)</f>
        <v/>
      </c>
      <c r="AA1961" s="7">
        <f>IF($D1961="","",V1961-Z1961)</f>
        <v/>
      </c>
      <c r="AB1961" s="7">
        <f>IF($D1961="","",AA1961-N1961)</f>
        <v/>
      </c>
      <c r="AF1961" s="7" t="n"/>
      <c r="AI1961" s="11" t="n"/>
      <c r="AK1961">
        <f>IF($D1961="","",IF(COUNTIF($D$2:$D1961,$D1961)=1,1,0))</f>
        <v/>
      </c>
      <c r="AL1961">
        <f>IF($AK1961=1,SUMPRODUCT(--($AO$2:$AO$3001&lt;$AO1961))+1,"")</f>
        <v/>
      </c>
      <c r="AM1961">
        <f>IF($D1961="","",IF(OR($R1961=TRUE(),$R1961="TRUE"),1,0))</f>
        <v/>
      </c>
      <c r="AN1961">
        <f>IF($D1961="","",IF($X1961="Yes",1,0))</f>
        <v/>
      </c>
      <c r="AO1961">
        <f>IF($AK1961=1,IFERROR(IF(VALUE($D1961)&lt;100000000,VALUE($D1961),1000000000),IFERROR(IF(VALUE(MID($D1961,2,20))&lt;100000000,VALUE(MID($D1961,2,20)),1000000000),1000000000))+ROW()/100000,"")</f>
        <v/>
      </c>
    </row>
    <row r="1962">
      <c r="F1962" s="11" t="n"/>
      <c r="N1962" s="7">
        <f>IF($D1962="","",M1962*V1962/100)</f>
        <v/>
      </c>
      <c r="O1962" s="7" t="n"/>
      <c r="U1962" s="7" t="n"/>
      <c r="V1962" s="7" t="n"/>
      <c r="Y1962">
        <f>IF($D1962="","",IF($AN1962=1,0,IF($AM1962=1,Settings!$C$6,Settings!$C$7))*100)</f>
        <v/>
      </c>
      <c r="Z1962" s="7">
        <f>IF($D1962="","",V1962*Y1962/100)</f>
        <v/>
      </c>
      <c r="AA1962" s="7">
        <f>IF($D1962="","",V1962-Z1962)</f>
        <v/>
      </c>
      <c r="AB1962" s="7">
        <f>IF($D1962="","",AA1962-N1962)</f>
        <v/>
      </c>
      <c r="AF1962" s="7" t="n"/>
      <c r="AI1962" s="11" t="n"/>
      <c r="AK1962">
        <f>IF($D1962="","",IF(COUNTIF($D$2:$D1962,$D1962)=1,1,0))</f>
        <v/>
      </c>
      <c r="AL1962">
        <f>IF($AK1962=1,SUMPRODUCT(--($AO$2:$AO$3001&lt;$AO1962))+1,"")</f>
        <v/>
      </c>
      <c r="AM1962">
        <f>IF($D1962="","",IF(OR($R1962=TRUE(),$R1962="TRUE"),1,0))</f>
        <v/>
      </c>
      <c r="AN1962">
        <f>IF($D1962="","",IF($X1962="Yes",1,0))</f>
        <v/>
      </c>
      <c r="AO1962">
        <f>IF($AK1962=1,IFERROR(IF(VALUE($D1962)&lt;100000000,VALUE($D1962),1000000000),IFERROR(IF(VALUE(MID($D1962,2,20))&lt;100000000,VALUE(MID($D1962,2,20)),1000000000),1000000000))+ROW()/100000,"")</f>
        <v/>
      </c>
    </row>
    <row r="1963">
      <c r="F1963" s="11" t="n"/>
      <c r="N1963" s="7">
        <f>IF($D1963="","",M1963*V1963/100)</f>
        <v/>
      </c>
      <c r="O1963" s="7" t="n"/>
      <c r="U1963" s="7" t="n"/>
      <c r="V1963" s="7" t="n"/>
      <c r="Y1963">
        <f>IF($D1963="","",IF($AN1963=1,0,IF($AM1963=1,Settings!$C$6,Settings!$C$7))*100)</f>
        <v/>
      </c>
      <c r="Z1963" s="7">
        <f>IF($D1963="","",V1963*Y1963/100)</f>
        <v/>
      </c>
      <c r="AA1963" s="7">
        <f>IF($D1963="","",V1963-Z1963)</f>
        <v/>
      </c>
      <c r="AB1963" s="7">
        <f>IF($D1963="","",AA1963-N1963)</f>
        <v/>
      </c>
      <c r="AF1963" s="7" t="n"/>
      <c r="AI1963" s="11" t="n"/>
      <c r="AK1963">
        <f>IF($D1963="","",IF(COUNTIF($D$2:$D1963,$D1963)=1,1,0))</f>
        <v/>
      </c>
      <c r="AL1963">
        <f>IF($AK1963=1,SUMPRODUCT(--($AO$2:$AO$3001&lt;$AO1963))+1,"")</f>
        <v/>
      </c>
      <c r="AM1963">
        <f>IF($D1963="","",IF(OR($R1963=TRUE(),$R1963="TRUE"),1,0))</f>
        <v/>
      </c>
      <c r="AN1963">
        <f>IF($D1963="","",IF($X1963="Yes",1,0))</f>
        <v/>
      </c>
      <c r="AO1963">
        <f>IF($AK1963=1,IFERROR(IF(VALUE($D1963)&lt;100000000,VALUE($D1963),1000000000),IFERROR(IF(VALUE(MID($D1963,2,20))&lt;100000000,VALUE(MID($D1963,2,20)),1000000000),1000000000))+ROW()/100000,"")</f>
        <v/>
      </c>
    </row>
    <row r="1964">
      <c r="F1964" s="11" t="n"/>
      <c r="N1964" s="7">
        <f>IF($D1964="","",M1964*V1964/100)</f>
        <v/>
      </c>
      <c r="O1964" s="7" t="n"/>
      <c r="U1964" s="7" t="n"/>
      <c r="V1964" s="7" t="n"/>
      <c r="Y1964">
        <f>IF($D1964="","",IF($AN1964=1,0,IF($AM1964=1,Settings!$C$6,Settings!$C$7))*100)</f>
        <v/>
      </c>
      <c r="Z1964" s="7">
        <f>IF($D1964="","",V1964*Y1964/100)</f>
        <v/>
      </c>
      <c r="AA1964" s="7">
        <f>IF($D1964="","",V1964-Z1964)</f>
        <v/>
      </c>
      <c r="AB1964" s="7">
        <f>IF($D1964="","",AA1964-N1964)</f>
        <v/>
      </c>
      <c r="AF1964" s="7" t="n"/>
      <c r="AI1964" s="11" t="n"/>
      <c r="AK1964">
        <f>IF($D1964="","",IF(COUNTIF($D$2:$D1964,$D1964)=1,1,0))</f>
        <v/>
      </c>
      <c r="AL1964">
        <f>IF($AK1964=1,SUMPRODUCT(--($AO$2:$AO$3001&lt;$AO1964))+1,"")</f>
        <v/>
      </c>
      <c r="AM1964">
        <f>IF($D1964="","",IF(OR($R1964=TRUE(),$R1964="TRUE"),1,0))</f>
        <v/>
      </c>
      <c r="AN1964">
        <f>IF($D1964="","",IF($X1964="Yes",1,0))</f>
        <v/>
      </c>
      <c r="AO1964">
        <f>IF($AK1964=1,IFERROR(IF(VALUE($D1964)&lt;100000000,VALUE($D1964),1000000000),IFERROR(IF(VALUE(MID($D1964,2,20))&lt;100000000,VALUE(MID($D1964,2,20)),1000000000),1000000000))+ROW()/100000,"")</f>
        <v/>
      </c>
    </row>
    <row r="1965">
      <c r="F1965" s="11" t="n"/>
      <c r="N1965" s="7">
        <f>IF($D1965="","",M1965*V1965/100)</f>
        <v/>
      </c>
      <c r="O1965" s="7" t="n"/>
      <c r="U1965" s="7" t="n"/>
      <c r="V1965" s="7" t="n"/>
      <c r="Y1965">
        <f>IF($D1965="","",IF($AN1965=1,0,IF($AM1965=1,Settings!$C$6,Settings!$C$7))*100)</f>
        <v/>
      </c>
      <c r="Z1965" s="7">
        <f>IF($D1965="","",V1965*Y1965/100)</f>
        <v/>
      </c>
      <c r="AA1965" s="7">
        <f>IF($D1965="","",V1965-Z1965)</f>
        <v/>
      </c>
      <c r="AB1965" s="7">
        <f>IF($D1965="","",AA1965-N1965)</f>
        <v/>
      </c>
      <c r="AF1965" s="7" t="n"/>
      <c r="AI1965" s="11" t="n"/>
      <c r="AK1965">
        <f>IF($D1965="","",IF(COUNTIF($D$2:$D1965,$D1965)=1,1,0))</f>
        <v/>
      </c>
      <c r="AL1965">
        <f>IF($AK1965=1,SUMPRODUCT(--($AO$2:$AO$3001&lt;$AO1965))+1,"")</f>
        <v/>
      </c>
      <c r="AM1965">
        <f>IF($D1965="","",IF(OR($R1965=TRUE(),$R1965="TRUE"),1,0))</f>
        <v/>
      </c>
      <c r="AN1965">
        <f>IF($D1965="","",IF($X1965="Yes",1,0))</f>
        <v/>
      </c>
      <c r="AO1965">
        <f>IF($AK1965=1,IFERROR(IF(VALUE($D1965)&lt;100000000,VALUE($D1965),1000000000),IFERROR(IF(VALUE(MID($D1965,2,20))&lt;100000000,VALUE(MID($D1965,2,20)),1000000000),1000000000))+ROW()/100000,"")</f>
        <v/>
      </c>
    </row>
    <row r="1966">
      <c r="F1966" s="11" t="n"/>
      <c r="N1966" s="7">
        <f>IF($D1966="","",M1966*V1966/100)</f>
        <v/>
      </c>
      <c r="O1966" s="7" t="n"/>
      <c r="U1966" s="7" t="n"/>
      <c r="V1966" s="7" t="n"/>
      <c r="Y1966">
        <f>IF($D1966="","",IF($AN1966=1,0,IF($AM1966=1,Settings!$C$6,Settings!$C$7))*100)</f>
        <v/>
      </c>
      <c r="Z1966" s="7">
        <f>IF($D1966="","",V1966*Y1966/100)</f>
        <v/>
      </c>
      <c r="AA1966" s="7">
        <f>IF($D1966="","",V1966-Z1966)</f>
        <v/>
      </c>
      <c r="AB1966" s="7">
        <f>IF($D1966="","",AA1966-N1966)</f>
        <v/>
      </c>
      <c r="AF1966" s="7" t="n"/>
      <c r="AI1966" s="11" t="n"/>
      <c r="AK1966">
        <f>IF($D1966="","",IF(COUNTIF($D$2:$D1966,$D1966)=1,1,0))</f>
        <v/>
      </c>
      <c r="AL1966">
        <f>IF($AK1966=1,SUMPRODUCT(--($AO$2:$AO$3001&lt;$AO1966))+1,"")</f>
        <v/>
      </c>
      <c r="AM1966">
        <f>IF($D1966="","",IF(OR($R1966=TRUE(),$R1966="TRUE"),1,0))</f>
        <v/>
      </c>
      <c r="AN1966">
        <f>IF($D1966="","",IF($X1966="Yes",1,0))</f>
        <v/>
      </c>
      <c r="AO1966">
        <f>IF($AK1966=1,IFERROR(IF(VALUE($D1966)&lt;100000000,VALUE($D1966),1000000000),IFERROR(IF(VALUE(MID($D1966,2,20))&lt;100000000,VALUE(MID($D1966,2,20)),1000000000),1000000000))+ROW()/100000,"")</f>
        <v/>
      </c>
    </row>
    <row r="1967">
      <c r="F1967" s="11" t="n"/>
      <c r="N1967" s="7">
        <f>IF($D1967="","",M1967*V1967/100)</f>
        <v/>
      </c>
      <c r="O1967" s="7" t="n"/>
      <c r="U1967" s="7" t="n"/>
      <c r="V1967" s="7" t="n"/>
      <c r="Y1967">
        <f>IF($D1967="","",IF($AN1967=1,0,IF($AM1967=1,Settings!$C$6,Settings!$C$7))*100)</f>
        <v/>
      </c>
      <c r="Z1967" s="7">
        <f>IF($D1967="","",V1967*Y1967/100)</f>
        <v/>
      </c>
      <c r="AA1967" s="7">
        <f>IF($D1967="","",V1967-Z1967)</f>
        <v/>
      </c>
      <c r="AB1967" s="7">
        <f>IF($D1967="","",AA1967-N1967)</f>
        <v/>
      </c>
      <c r="AF1967" s="7" t="n"/>
      <c r="AI1967" s="11" t="n"/>
      <c r="AK1967">
        <f>IF($D1967="","",IF(COUNTIF($D$2:$D1967,$D1967)=1,1,0))</f>
        <v/>
      </c>
      <c r="AL1967">
        <f>IF($AK1967=1,SUMPRODUCT(--($AO$2:$AO$3001&lt;$AO1967))+1,"")</f>
        <v/>
      </c>
      <c r="AM1967">
        <f>IF($D1967="","",IF(OR($R1967=TRUE(),$R1967="TRUE"),1,0))</f>
        <v/>
      </c>
      <c r="AN1967">
        <f>IF($D1967="","",IF($X1967="Yes",1,0))</f>
        <v/>
      </c>
      <c r="AO1967">
        <f>IF($AK1967=1,IFERROR(IF(VALUE($D1967)&lt;100000000,VALUE($D1967),1000000000),IFERROR(IF(VALUE(MID($D1967,2,20))&lt;100000000,VALUE(MID($D1967,2,20)),1000000000),1000000000))+ROW()/100000,"")</f>
        <v/>
      </c>
    </row>
    <row r="1968">
      <c r="F1968" s="11" t="n"/>
      <c r="N1968" s="7">
        <f>IF($D1968="","",M1968*V1968/100)</f>
        <v/>
      </c>
      <c r="O1968" s="7" t="n"/>
      <c r="U1968" s="7" t="n"/>
      <c r="V1968" s="7" t="n"/>
      <c r="Y1968">
        <f>IF($D1968="","",IF($AN1968=1,0,IF($AM1968=1,Settings!$C$6,Settings!$C$7))*100)</f>
        <v/>
      </c>
      <c r="Z1968" s="7">
        <f>IF($D1968="","",V1968*Y1968/100)</f>
        <v/>
      </c>
      <c r="AA1968" s="7">
        <f>IF($D1968="","",V1968-Z1968)</f>
        <v/>
      </c>
      <c r="AB1968" s="7">
        <f>IF($D1968="","",AA1968-N1968)</f>
        <v/>
      </c>
      <c r="AF1968" s="7" t="n"/>
      <c r="AI1968" s="11" t="n"/>
      <c r="AK1968">
        <f>IF($D1968="","",IF(COUNTIF($D$2:$D1968,$D1968)=1,1,0))</f>
        <v/>
      </c>
      <c r="AL1968">
        <f>IF($AK1968=1,SUMPRODUCT(--($AO$2:$AO$3001&lt;$AO1968))+1,"")</f>
        <v/>
      </c>
      <c r="AM1968">
        <f>IF($D1968="","",IF(OR($R1968=TRUE(),$R1968="TRUE"),1,0))</f>
        <v/>
      </c>
      <c r="AN1968">
        <f>IF($D1968="","",IF($X1968="Yes",1,0))</f>
        <v/>
      </c>
      <c r="AO1968">
        <f>IF($AK1968=1,IFERROR(IF(VALUE($D1968)&lt;100000000,VALUE($D1968),1000000000),IFERROR(IF(VALUE(MID($D1968,2,20))&lt;100000000,VALUE(MID($D1968,2,20)),1000000000),1000000000))+ROW()/100000,"")</f>
        <v/>
      </c>
    </row>
    <row r="1969">
      <c r="F1969" s="11" t="n"/>
      <c r="N1969" s="7">
        <f>IF($D1969="","",M1969*V1969/100)</f>
        <v/>
      </c>
      <c r="O1969" s="7" t="n"/>
      <c r="U1969" s="7" t="n"/>
      <c r="V1969" s="7" t="n"/>
      <c r="Y1969">
        <f>IF($D1969="","",IF($AN1969=1,0,IF($AM1969=1,Settings!$C$6,Settings!$C$7))*100)</f>
        <v/>
      </c>
      <c r="Z1969" s="7">
        <f>IF($D1969="","",V1969*Y1969/100)</f>
        <v/>
      </c>
      <c r="AA1969" s="7">
        <f>IF($D1969="","",V1969-Z1969)</f>
        <v/>
      </c>
      <c r="AB1969" s="7">
        <f>IF($D1969="","",AA1969-N1969)</f>
        <v/>
      </c>
      <c r="AF1969" s="7" t="n"/>
      <c r="AI1969" s="11" t="n"/>
      <c r="AK1969">
        <f>IF($D1969="","",IF(COUNTIF($D$2:$D1969,$D1969)=1,1,0))</f>
        <v/>
      </c>
      <c r="AL1969">
        <f>IF($AK1969=1,SUMPRODUCT(--($AO$2:$AO$3001&lt;$AO1969))+1,"")</f>
        <v/>
      </c>
      <c r="AM1969">
        <f>IF($D1969="","",IF(OR($R1969=TRUE(),$R1969="TRUE"),1,0))</f>
        <v/>
      </c>
      <c r="AN1969">
        <f>IF($D1969="","",IF($X1969="Yes",1,0))</f>
        <v/>
      </c>
      <c r="AO1969">
        <f>IF($AK1969=1,IFERROR(IF(VALUE($D1969)&lt;100000000,VALUE($D1969),1000000000),IFERROR(IF(VALUE(MID($D1969,2,20))&lt;100000000,VALUE(MID($D1969,2,20)),1000000000),1000000000))+ROW()/100000,"")</f>
        <v/>
      </c>
    </row>
    <row r="1970">
      <c r="F1970" s="11" t="n"/>
      <c r="N1970" s="7">
        <f>IF($D1970="","",M1970*V1970/100)</f>
        <v/>
      </c>
      <c r="O1970" s="7" t="n"/>
      <c r="U1970" s="7" t="n"/>
      <c r="V1970" s="7" t="n"/>
      <c r="Y1970">
        <f>IF($D1970="","",IF($AN1970=1,0,IF($AM1970=1,Settings!$C$6,Settings!$C$7))*100)</f>
        <v/>
      </c>
      <c r="Z1970" s="7">
        <f>IF($D1970="","",V1970*Y1970/100)</f>
        <v/>
      </c>
      <c r="AA1970" s="7">
        <f>IF($D1970="","",V1970-Z1970)</f>
        <v/>
      </c>
      <c r="AB1970" s="7">
        <f>IF($D1970="","",AA1970-N1970)</f>
        <v/>
      </c>
      <c r="AF1970" s="7" t="n"/>
      <c r="AI1970" s="11" t="n"/>
      <c r="AK1970">
        <f>IF($D1970="","",IF(COUNTIF($D$2:$D1970,$D1970)=1,1,0))</f>
        <v/>
      </c>
      <c r="AL1970">
        <f>IF($AK1970=1,SUMPRODUCT(--($AO$2:$AO$3001&lt;$AO1970))+1,"")</f>
        <v/>
      </c>
      <c r="AM1970">
        <f>IF($D1970="","",IF(OR($R1970=TRUE(),$R1970="TRUE"),1,0))</f>
        <v/>
      </c>
      <c r="AN1970">
        <f>IF($D1970="","",IF($X1970="Yes",1,0))</f>
        <v/>
      </c>
      <c r="AO1970">
        <f>IF($AK1970=1,IFERROR(IF(VALUE($D1970)&lt;100000000,VALUE($D1970),1000000000),IFERROR(IF(VALUE(MID($D1970,2,20))&lt;100000000,VALUE(MID($D1970,2,20)),1000000000),1000000000))+ROW()/100000,"")</f>
        <v/>
      </c>
    </row>
    <row r="1971">
      <c r="F1971" s="11" t="n"/>
      <c r="N1971" s="7">
        <f>IF($D1971="","",M1971*V1971/100)</f>
        <v/>
      </c>
      <c r="O1971" s="7" t="n"/>
      <c r="U1971" s="7" t="n"/>
      <c r="V1971" s="7" t="n"/>
      <c r="Y1971">
        <f>IF($D1971="","",IF($AN1971=1,0,IF($AM1971=1,Settings!$C$6,Settings!$C$7))*100)</f>
        <v/>
      </c>
      <c r="Z1971" s="7">
        <f>IF($D1971="","",V1971*Y1971/100)</f>
        <v/>
      </c>
      <c r="AA1971" s="7">
        <f>IF($D1971="","",V1971-Z1971)</f>
        <v/>
      </c>
      <c r="AB1971" s="7">
        <f>IF($D1971="","",AA1971-N1971)</f>
        <v/>
      </c>
      <c r="AF1971" s="7" t="n"/>
      <c r="AI1971" s="11" t="n"/>
      <c r="AK1971">
        <f>IF($D1971="","",IF(COUNTIF($D$2:$D1971,$D1971)=1,1,0))</f>
        <v/>
      </c>
      <c r="AL1971">
        <f>IF($AK1971=1,SUMPRODUCT(--($AO$2:$AO$3001&lt;$AO1971))+1,"")</f>
        <v/>
      </c>
      <c r="AM1971">
        <f>IF($D1971="","",IF(OR($R1971=TRUE(),$R1971="TRUE"),1,0))</f>
        <v/>
      </c>
      <c r="AN1971">
        <f>IF($D1971="","",IF($X1971="Yes",1,0))</f>
        <v/>
      </c>
      <c r="AO1971">
        <f>IF($AK1971=1,IFERROR(IF(VALUE($D1971)&lt;100000000,VALUE($D1971),1000000000),IFERROR(IF(VALUE(MID($D1971,2,20))&lt;100000000,VALUE(MID($D1971,2,20)),1000000000),1000000000))+ROW()/100000,"")</f>
        <v/>
      </c>
    </row>
    <row r="1972">
      <c r="F1972" s="11" t="n"/>
      <c r="N1972" s="7">
        <f>IF($D1972="","",M1972*V1972/100)</f>
        <v/>
      </c>
      <c r="O1972" s="7" t="n"/>
      <c r="U1972" s="7" t="n"/>
      <c r="V1972" s="7" t="n"/>
      <c r="Y1972">
        <f>IF($D1972="","",IF($AN1972=1,0,IF($AM1972=1,Settings!$C$6,Settings!$C$7))*100)</f>
        <v/>
      </c>
      <c r="Z1972" s="7">
        <f>IF($D1972="","",V1972*Y1972/100)</f>
        <v/>
      </c>
      <c r="AA1972" s="7">
        <f>IF($D1972="","",V1972-Z1972)</f>
        <v/>
      </c>
      <c r="AB1972" s="7">
        <f>IF($D1972="","",AA1972-N1972)</f>
        <v/>
      </c>
      <c r="AF1972" s="7" t="n"/>
      <c r="AI1972" s="11" t="n"/>
      <c r="AK1972">
        <f>IF($D1972="","",IF(COUNTIF($D$2:$D1972,$D1972)=1,1,0))</f>
        <v/>
      </c>
      <c r="AL1972">
        <f>IF($AK1972=1,SUMPRODUCT(--($AO$2:$AO$3001&lt;$AO1972))+1,"")</f>
        <v/>
      </c>
      <c r="AM1972">
        <f>IF($D1972="","",IF(OR($R1972=TRUE(),$R1972="TRUE"),1,0))</f>
        <v/>
      </c>
      <c r="AN1972">
        <f>IF($D1972="","",IF($X1972="Yes",1,0))</f>
        <v/>
      </c>
      <c r="AO1972">
        <f>IF($AK1972=1,IFERROR(IF(VALUE($D1972)&lt;100000000,VALUE($D1972),1000000000),IFERROR(IF(VALUE(MID($D1972,2,20))&lt;100000000,VALUE(MID($D1972,2,20)),1000000000),1000000000))+ROW()/100000,"")</f>
        <v/>
      </c>
    </row>
    <row r="1973">
      <c r="F1973" s="11" t="n"/>
      <c r="N1973" s="7">
        <f>IF($D1973="","",M1973*V1973/100)</f>
        <v/>
      </c>
      <c r="O1973" s="7" t="n"/>
      <c r="U1973" s="7" t="n"/>
      <c r="V1973" s="7" t="n"/>
      <c r="Y1973">
        <f>IF($D1973="","",IF($AN1973=1,0,IF($AM1973=1,Settings!$C$6,Settings!$C$7))*100)</f>
        <v/>
      </c>
      <c r="Z1973" s="7">
        <f>IF($D1973="","",V1973*Y1973/100)</f>
        <v/>
      </c>
      <c r="AA1973" s="7">
        <f>IF($D1973="","",V1973-Z1973)</f>
        <v/>
      </c>
      <c r="AB1973" s="7">
        <f>IF($D1973="","",AA1973-N1973)</f>
        <v/>
      </c>
      <c r="AF1973" s="7" t="n"/>
      <c r="AI1973" s="11" t="n"/>
      <c r="AK1973">
        <f>IF($D1973="","",IF(COUNTIF($D$2:$D1973,$D1973)=1,1,0))</f>
        <v/>
      </c>
      <c r="AL1973">
        <f>IF($AK1973=1,SUMPRODUCT(--($AO$2:$AO$3001&lt;$AO1973))+1,"")</f>
        <v/>
      </c>
      <c r="AM1973">
        <f>IF($D1973="","",IF(OR($R1973=TRUE(),$R1973="TRUE"),1,0))</f>
        <v/>
      </c>
      <c r="AN1973">
        <f>IF($D1973="","",IF($X1973="Yes",1,0))</f>
        <v/>
      </c>
      <c r="AO1973">
        <f>IF($AK1973=1,IFERROR(IF(VALUE($D1973)&lt;100000000,VALUE($D1973),1000000000),IFERROR(IF(VALUE(MID($D1973,2,20))&lt;100000000,VALUE(MID($D1973,2,20)),1000000000),1000000000))+ROW()/100000,"")</f>
        <v/>
      </c>
    </row>
    <row r="1974">
      <c r="F1974" s="11" t="n"/>
      <c r="N1974" s="7">
        <f>IF($D1974="","",M1974*V1974/100)</f>
        <v/>
      </c>
      <c r="O1974" s="7" t="n"/>
      <c r="U1974" s="7" t="n"/>
      <c r="V1974" s="7" t="n"/>
      <c r="Y1974">
        <f>IF($D1974="","",IF($AN1974=1,0,IF($AM1974=1,Settings!$C$6,Settings!$C$7))*100)</f>
        <v/>
      </c>
      <c r="Z1974" s="7">
        <f>IF($D1974="","",V1974*Y1974/100)</f>
        <v/>
      </c>
      <c r="AA1974" s="7">
        <f>IF($D1974="","",V1974-Z1974)</f>
        <v/>
      </c>
      <c r="AB1974" s="7">
        <f>IF($D1974="","",AA1974-N1974)</f>
        <v/>
      </c>
      <c r="AF1974" s="7" t="n"/>
      <c r="AI1974" s="11" t="n"/>
      <c r="AK1974">
        <f>IF($D1974="","",IF(COUNTIF($D$2:$D1974,$D1974)=1,1,0))</f>
        <v/>
      </c>
      <c r="AL1974">
        <f>IF($AK1974=1,SUMPRODUCT(--($AO$2:$AO$3001&lt;$AO1974))+1,"")</f>
        <v/>
      </c>
      <c r="AM1974">
        <f>IF($D1974="","",IF(OR($R1974=TRUE(),$R1974="TRUE"),1,0))</f>
        <v/>
      </c>
      <c r="AN1974">
        <f>IF($D1974="","",IF($X1974="Yes",1,0))</f>
        <v/>
      </c>
      <c r="AO1974">
        <f>IF($AK1974=1,IFERROR(IF(VALUE($D1974)&lt;100000000,VALUE($D1974),1000000000),IFERROR(IF(VALUE(MID($D1974,2,20))&lt;100000000,VALUE(MID($D1974,2,20)),1000000000),1000000000))+ROW()/100000,"")</f>
        <v/>
      </c>
    </row>
    <row r="1975">
      <c r="F1975" s="11" t="n"/>
      <c r="N1975" s="7">
        <f>IF($D1975="","",M1975*V1975/100)</f>
        <v/>
      </c>
      <c r="O1975" s="7" t="n"/>
      <c r="U1975" s="7" t="n"/>
      <c r="V1975" s="7" t="n"/>
      <c r="Y1975">
        <f>IF($D1975="","",IF($AN1975=1,0,IF($AM1975=1,Settings!$C$6,Settings!$C$7))*100)</f>
        <v/>
      </c>
      <c r="Z1975" s="7">
        <f>IF($D1975="","",V1975*Y1975/100)</f>
        <v/>
      </c>
      <c r="AA1975" s="7">
        <f>IF($D1975="","",V1975-Z1975)</f>
        <v/>
      </c>
      <c r="AB1975" s="7">
        <f>IF($D1975="","",AA1975-N1975)</f>
        <v/>
      </c>
      <c r="AF1975" s="7" t="n"/>
      <c r="AI1975" s="11" t="n"/>
      <c r="AK1975">
        <f>IF($D1975="","",IF(COUNTIF($D$2:$D1975,$D1975)=1,1,0))</f>
        <v/>
      </c>
      <c r="AL1975">
        <f>IF($AK1975=1,SUMPRODUCT(--($AO$2:$AO$3001&lt;$AO1975))+1,"")</f>
        <v/>
      </c>
      <c r="AM1975">
        <f>IF($D1975="","",IF(OR($R1975=TRUE(),$R1975="TRUE"),1,0))</f>
        <v/>
      </c>
      <c r="AN1975">
        <f>IF($D1975="","",IF($X1975="Yes",1,0))</f>
        <v/>
      </c>
      <c r="AO1975">
        <f>IF($AK1975=1,IFERROR(IF(VALUE($D1975)&lt;100000000,VALUE($D1975),1000000000),IFERROR(IF(VALUE(MID($D1975,2,20))&lt;100000000,VALUE(MID($D1975,2,20)),1000000000),1000000000))+ROW()/100000,"")</f>
        <v/>
      </c>
    </row>
    <row r="1976">
      <c r="F1976" s="11" t="n"/>
      <c r="N1976" s="7">
        <f>IF($D1976="","",M1976*V1976/100)</f>
        <v/>
      </c>
      <c r="O1976" s="7" t="n"/>
      <c r="U1976" s="7" t="n"/>
      <c r="V1976" s="7" t="n"/>
      <c r="Y1976">
        <f>IF($D1976="","",IF($AN1976=1,0,IF($AM1976=1,Settings!$C$6,Settings!$C$7))*100)</f>
        <v/>
      </c>
      <c r="Z1976" s="7">
        <f>IF($D1976="","",V1976*Y1976/100)</f>
        <v/>
      </c>
      <c r="AA1976" s="7">
        <f>IF($D1976="","",V1976-Z1976)</f>
        <v/>
      </c>
      <c r="AB1976" s="7">
        <f>IF($D1976="","",AA1976-N1976)</f>
        <v/>
      </c>
      <c r="AF1976" s="7" t="n"/>
      <c r="AI1976" s="11" t="n"/>
      <c r="AK1976">
        <f>IF($D1976="","",IF(COUNTIF($D$2:$D1976,$D1976)=1,1,0))</f>
        <v/>
      </c>
      <c r="AL1976">
        <f>IF($AK1976=1,SUMPRODUCT(--($AO$2:$AO$3001&lt;$AO1976))+1,"")</f>
        <v/>
      </c>
      <c r="AM1976">
        <f>IF($D1976="","",IF(OR($R1976=TRUE(),$R1976="TRUE"),1,0))</f>
        <v/>
      </c>
      <c r="AN1976">
        <f>IF($D1976="","",IF($X1976="Yes",1,0))</f>
        <v/>
      </c>
      <c r="AO1976">
        <f>IF($AK1976=1,IFERROR(IF(VALUE($D1976)&lt;100000000,VALUE($D1976),1000000000),IFERROR(IF(VALUE(MID($D1976,2,20))&lt;100000000,VALUE(MID($D1976,2,20)),1000000000),1000000000))+ROW()/100000,"")</f>
        <v/>
      </c>
    </row>
    <row r="1977">
      <c r="F1977" s="11" t="n"/>
      <c r="N1977" s="7">
        <f>IF($D1977="","",M1977*V1977/100)</f>
        <v/>
      </c>
      <c r="O1977" s="7" t="n"/>
      <c r="U1977" s="7" t="n"/>
      <c r="V1977" s="7" t="n"/>
      <c r="Y1977">
        <f>IF($D1977="","",IF($AN1977=1,0,IF($AM1977=1,Settings!$C$6,Settings!$C$7))*100)</f>
        <v/>
      </c>
      <c r="Z1977" s="7">
        <f>IF($D1977="","",V1977*Y1977/100)</f>
        <v/>
      </c>
      <c r="AA1977" s="7">
        <f>IF($D1977="","",V1977-Z1977)</f>
        <v/>
      </c>
      <c r="AB1977" s="7">
        <f>IF($D1977="","",AA1977-N1977)</f>
        <v/>
      </c>
      <c r="AF1977" s="7" t="n"/>
      <c r="AI1977" s="11" t="n"/>
      <c r="AK1977">
        <f>IF($D1977="","",IF(COUNTIF($D$2:$D1977,$D1977)=1,1,0))</f>
        <v/>
      </c>
      <c r="AL1977">
        <f>IF($AK1977=1,SUMPRODUCT(--($AO$2:$AO$3001&lt;$AO1977))+1,"")</f>
        <v/>
      </c>
      <c r="AM1977">
        <f>IF($D1977="","",IF(OR($R1977=TRUE(),$R1977="TRUE"),1,0))</f>
        <v/>
      </c>
      <c r="AN1977">
        <f>IF($D1977="","",IF($X1977="Yes",1,0))</f>
        <v/>
      </c>
      <c r="AO1977">
        <f>IF($AK1977=1,IFERROR(IF(VALUE($D1977)&lt;100000000,VALUE($D1977),1000000000),IFERROR(IF(VALUE(MID($D1977,2,20))&lt;100000000,VALUE(MID($D1977,2,20)),1000000000),1000000000))+ROW()/100000,"")</f>
        <v/>
      </c>
    </row>
    <row r="1978">
      <c r="F1978" s="11" t="n"/>
      <c r="N1978" s="7">
        <f>IF($D1978="","",M1978*V1978/100)</f>
        <v/>
      </c>
      <c r="O1978" s="7" t="n"/>
      <c r="U1978" s="7" t="n"/>
      <c r="V1978" s="7" t="n"/>
      <c r="Y1978">
        <f>IF($D1978="","",IF($AN1978=1,0,IF($AM1978=1,Settings!$C$6,Settings!$C$7))*100)</f>
        <v/>
      </c>
      <c r="Z1978" s="7">
        <f>IF($D1978="","",V1978*Y1978/100)</f>
        <v/>
      </c>
      <c r="AA1978" s="7">
        <f>IF($D1978="","",V1978-Z1978)</f>
        <v/>
      </c>
      <c r="AB1978" s="7">
        <f>IF($D1978="","",AA1978-N1978)</f>
        <v/>
      </c>
      <c r="AF1978" s="7" t="n"/>
      <c r="AI1978" s="11" t="n"/>
      <c r="AK1978">
        <f>IF($D1978="","",IF(COUNTIF($D$2:$D1978,$D1978)=1,1,0))</f>
        <v/>
      </c>
      <c r="AL1978">
        <f>IF($AK1978=1,SUMPRODUCT(--($AO$2:$AO$3001&lt;$AO1978))+1,"")</f>
        <v/>
      </c>
      <c r="AM1978">
        <f>IF($D1978="","",IF(OR($R1978=TRUE(),$R1978="TRUE"),1,0))</f>
        <v/>
      </c>
      <c r="AN1978">
        <f>IF($D1978="","",IF($X1978="Yes",1,0))</f>
        <v/>
      </c>
      <c r="AO1978">
        <f>IF($AK1978=1,IFERROR(IF(VALUE($D1978)&lt;100000000,VALUE($D1978),1000000000),IFERROR(IF(VALUE(MID($D1978,2,20))&lt;100000000,VALUE(MID($D1978,2,20)),1000000000),1000000000))+ROW()/100000,"")</f>
        <v/>
      </c>
    </row>
    <row r="1979">
      <c r="F1979" s="11" t="n"/>
      <c r="N1979" s="7">
        <f>IF($D1979="","",M1979*V1979/100)</f>
        <v/>
      </c>
      <c r="O1979" s="7" t="n"/>
      <c r="U1979" s="7" t="n"/>
      <c r="V1979" s="7" t="n"/>
      <c r="Y1979">
        <f>IF($D1979="","",IF($AN1979=1,0,IF($AM1979=1,Settings!$C$6,Settings!$C$7))*100)</f>
        <v/>
      </c>
      <c r="Z1979" s="7">
        <f>IF($D1979="","",V1979*Y1979/100)</f>
        <v/>
      </c>
      <c r="AA1979" s="7">
        <f>IF($D1979="","",V1979-Z1979)</f>
        <v/>
      </c>
      <c r="AB1979" s="7">
        <f>IF($D1979="","",AA1979-N1979)</f>
        <v/>
      </c>
      <c r="AF1979" s="7" t="n"/>
      <c r="AI1979" s="11" t="n"/>
      <c r="AK1979">
        <f>IF($D1979="","",IF(COUNTIF($D$2:$D1979,$D1979)=1,1,0))</f>
        <v/>
      </c>
      <c r="AL1979">
        <f>IF($AK1979=1,SUMPRODUCT(--($AO$2:$AO$3001&lt;$AO1979))+1,"")</f>
        <v/>
      </c>
      <c r="AM1979">
        <f>IF($D1979="","",IF(OR($R1979=TRUE(),$R1979="TRUE"),1,0))</f>
        <v/>
      </c>
      <c r="AN1979">
        <f>IF($D1979="","",IF($X1979="Yes",1,0))</f>
        <v/>
      </c>
      <c r="AO1979">
        <f>IF($AK1979=1,IFERROR(IF(VALUE($D1979)&lt;100000000,VALUE($D1979),1000000000),IFERROR(IF(VALUE(MID($D1979,2,20))&lt;100000000,VALUE(MID($D1979,2,20)),1000000000),1000000000))+ROW()/100000,"")</f>
        <v/>
      </c>
    </row>
    <row r="1980">
      <c r="F1980" s="11" t="n"/>
      <c r="N1980" s="7">
        <f>IF($D1980="","",M1980*V1980/100)</f>
        <v/>
      </c>
      <c r="O1980" s="7" t="n"/>
      <c r="U1980" s="7" t="n"/>
      <c r="V1980" s="7" t="n"/>
      <c r="Y1980">
        <f>IF($D1980="","",IF($AN1980=1,0,IF($AM1980=1,Settings!$C$6,Settings!$C$7))*100)</f>
        <v/>
      </c>
      <c r="Z1980" s="7">
        <f>IF($D1980="","",V1980*Y1980/100)</f>
        <v/>
      </c>
      <c r="AA1980" s="7">
        <f>IF($D1980="","",V1980-Z1980)</f>
        <v/>
      </c>
      <c r="AB1980" s="7">
        <f>IF($D1980="","",AA1980-N1980)</f>
        <v/>
      </c>
      <c r="AF1980" s="7" t="n"/>
      <c r="AI1980" s="11" t="n"/>
      <c r="AK1980">
        <f>IF($D1980="","",IF(COUNTIF($D$2:$D1980,$D1980)=1,1,0))</f>
        <v/>
      </c>
      <c r="AL1980">
        <f>IF($AK1980=1,SUMPRODUCT(--($AO$2:$AO$3001&lt;$AO1980))+1,"")</f>
        <v/>
      </c>
      <c r="AM1980">
        <f>IF($D1980="","",IF(OR($R1980=TRUE(),$R1980="TRUE"),1,0))</f>
        <v/>
      </c>
      <c r="AN1980">
        <f>IF($D1980="","",IF($X1980="Yes",1,0))</f>
        <v/>
      </c>
      <c r="AO1980">
        <f>IF($AK1980=1,IFERROR(IF(VALUE($D1980)&lt;100000000,VALUE($D1980),1000000000),IFERROR(IF(VALUE(MID($D1980,2,20))&lt;100000000,VALUE(MID($D1980,2,20)),1000000000),1000000000))+ROW()/100000,"")</f>
        <v/>
      </c>
    </row>
    <row r="1981">
      <c r="F1981" s="11" t="n"/>
      <c r="N1981" s="7">
        <f>IF($D1981="","",M1981*V1981/100)</f>
        <v/>
      </c>
      <c r="O1981" s="7" t="n"/>
      <c r="U1981" s="7" t="n"/>
      <c r="V1981" s="7" t="n"/>
      <c r="Y1981">
        <f>IF($D1981="","",IF($AN1981=1,0,IF($AM1981=1,Settings!$C$6,Settings!$C$7))*100)</f>
        <v/>
      </c>
      <c r="Z1981" s="7">
        <f>IF($D1981="","",V1981*Y1981/100)</f>
        <v/>
      </c>
      <c r="AA1981" s="7">
        <f>IF($D1981="","",V1981-Z1981)</f>
        <v/>
      </c>
      <c r="AB1981" s="7">
        <f>IF($D1981="","",AA1981-N1981)</f>
        <v/>
      </c>
      <c r="AF1981" s="7" t="n"/>
      <c r="AI1981" s="11" t="n"/>
      <c r="AK1981">
        <f>IF($D1981="","",IF(COUNTIF($D$2:$D1981,$D1981)=1,1,0))</f>
        <v/>
      </c>
      <c r="AL1981">
        <f>IF($AK1981=1,SUMPRODUCT(--($AO$2:$AO$3001&lt;$AO1981))+1,"")</f>
        <v/>
      </c>
      <c r="AM1981">
        <f>IF($D1981="","",IF(OR($R1981=TRUE(),$R1981="TRUE"),1,0))</f>
        <v/>
      </c>
      <c r="AN1981">
        <f>IF($D1981="","",IF($X1981="Yes",1,0))</f>
        <v/>
      </c>
      <c r="AO1981">
        <f>IF($AK1981=1,IFERROR(IF(VALUE($D1981)&lt;100000000,VALUE($D1981),1000000000),IFERROR(IF(VALUE(MID($D1981,2,20))&lt;100000000,VALUE(MID($D1981,2,20)),1000000000),1000000000))+ROW()/100000,"")</f>
        <v/>
      </c>
    </row>
    <row r="1982">
      <c r="F1982" s="11" t="n"/>
      <c r="N1982" s="7">
        <f>IF($D1982="","",M1982*V1982/100)</f>
        <v/>
      </c>
      <c r="O1982" s="7" t="n"/>
      <c r="U1982" s="7" t="n"/>
      <c r="V1982" s="7" t="n"/>
      <c r="Y1982">
        <f>IF($D1982="","",IF($AN1982=1,0,IF($AM1982=1,Settings!$C$6,Settings!$C$7))*100)</f>
        <v/>
      </c>
      <c r="Z1982" s="7">
        <f>IF($D1982="","",V1982*Y1982/100)</f>
        <v/>
      </c>
      <c r="AA1982" s="7">
        <f>IF($D1982="","",V1982-Z1982)</f>
        <v/>
      </c>
      <c r="AB1982" s="7">
        <f>IF($D1982="","",AA1982-N1982)</f>
        <v/>
      </c>
      <c r="AF1982" s="7" t="n"/>
      <c r="AI1982" s="11" t="n"/>
      <c r="AK1982">
        <f>IF($D1982="","",IF(COUNTIF($D$2:$D1982,$D1982)=1,1,0))</f>
        <v/>
      </c>
      <c r="AL1982">
        <f>IF($AK1982=1,SUMPRODUCT(--($AO$2:$AO$3001&lt;$AO1982))+1,"")</f>
        <v/>
      </c>
      <c r="AM1982">
        <f>IF($D1982="","",IF(OR($R1982=TRUE(),$R1982="TRUE"),1,0))</f>
        <v/>
      </c>
      <c r="AN1982">
        <f>IF($D1982="","",IF($X1982="Yes",1,0))</f>
        <v/>
      </c>
      <c r="AO1982">
        <f>IF($AK1982=1,IFERROR(IF(VALUE($D1982)&lt;100000000,VALUE($D1982),1000000000),IFERROR(IF(VALUE(MID($D1982,2,20))&lt;100000000,VALUE(MID($D1982,2,20)),1000000000),1000000000))+ROW()/100000,"")</f>
        <v/>
      </c>
    </row>
    <row r="1983">
      <c r="F1983" s="11" t="n"/>
      <c r="N1983" s="7">
        <f>IF($D1983="","",M1983*V1983/100)</f>
        <v/>
      </c>
      <c r="O1983" s="7" t="n"/>
      <c r="U1983" s="7" t="n"/>
      <c r="V1983" s="7" t="n"/>
      <c r="Y1983">
        <f>IF($D1983="","",IF($AN1983=1,0,IF($AM1983=1,Settings!$C$6,Settings!$C$7))*100)</f>
        <v/>
      </c>
      <c r="Z1983" s="7">
        <f>IF($D1983="","",V1983*Y1983/100)</f>
        <v/>
      </c>
      <c r="AA1983" s="7">
        <f>IF($D1983="","",V1983-Z1983)</f>
        <v/>
      </c>
      <c r="AB1983" s="7">
        <f>IF($D1983="","",AA1983-N1983)</f>
        <v/>
      </c>
      <c r="AF1983" s="7" t="n"/>
      <c r="AI1983" s="11" t="n"/>
      <c r="AK1983">
        <f>IF($D1983="","",IF(COUNTIF($D$2:$D1983,$D1983)=1,1,0))</f>
        <v/>
      </c>
      <c r="AL1983">
        <f>IF($AK1983=1,SUMPRODUCT(--($AO$2:$AO$3001&lt;$AO1983))+1,"")</f>
        <v/>
      </c>
      <c r="AM1983">
        <f>IF($D1983="","",IF(OR($R1983=TRUE(),$R1983="TRUE"),1,0))</f>
        <v/>
      </c>
      <c r="AN1983">
        <f>IF($D1983="","",IF($X1983="Yes",1,0))</f>
        <v/>
      </c>
      <c r="AO1983">
        <f>IF($AK1983=1,IFERROR(IF(VALUE($D1983)&lt;100000000,VALUE($D1983),1000000000),IFERROR(IF(VALUE(MID($D1983,2,20))&lt;100000000,VALUE(MID($D1983,2,20)),1000000000),1000000000))+ROW()/100000,"")</f>
        <v/>
      </c>
    </row>
    <row r="1984">
      <c r="F1984" s="11" t="n"/>
      <c r="N1984" s="7">
        <f>IF($D1984="","",M1984*V1984/100)</f>
        <v/>
      </c>
      <c r="O1984" s="7" t="n"/>
      <c r="U1984" s="7" t="n"/>
      <c r="V1984" s="7" t="n"/>
      <c r="Y1984">
        <f>IF($D1984="","",IF($AN1984=1,0,IF($AM1984=1,Settings!$C$6,Settings!$C$7))*100)</f>
        <v/>
      </c>
      <c r="Z1984" s="7">
        <f>IF($D1984="","",V1984*Y1984/100)</f>
        <v/>
      </c>
      <c r="AA1984" s="7">
        <f>IF($D1984="","",V1984-Z1984)</f>
        <v/>
      </c>
      <c r="AB1984" s="7">
        <f>IF($D1984="","",AA1984-N1984)</f>
        <v/>
      </c>
      <c r="AF1984" s="7" t="n"/>
      <c r="AI1984" s="11" t="n"/>
      <c r="AK1984">
        <f>IF($D1984="","",IF(COUNTIF($D$2:$D1984,$D1984)=1,1,0))</f>
        <v/>
      </c>
      <c r="AL1984">
        <f>IF($AK1984=1,SUMPRODUCT(--($AO$2:$AO$3001&lt;$AO1984))+1,"")</f>
        <v/>
      </c>
      <c r="AM1984">
        <f>IF($D1984="","",IF(OR($R1984=TRUE(),$R1984="TRUE"),1,0))</f>
        <v/>
      </c>
      <c r="AN1984">
        <f>IF($D1984="","",IF($X1984="Yes",1,0))</f>
        <v/>
      </c>
      <c r="AO1984">
        <f>IF($AK1984=1,IFERROR(IF(VALUE($D1984)&lt;100000000,VALUE($D1984),1000000000),IFERROR(IF(VALUE(MID($D1984,2,20))&lt;100000000,VALUE(MID($D1984,2,20)),1000000000),1000000000))+ROW()/100000,"")</f>
        <v/>
      </c>
    </row>
    <row r="1985">
      <c r="F1985" s="11" t="n"/>
      <c r="N1985" s="7">
        <f>IF($D1985="","",M1985*V1985/100)</f>
        <v/>
      </c>
      <c r="O1985" s="7" t="n"/>
      <c r="U1985" s="7" t="n"/>
      <c r="V1985" s="7" t="n"/>
      <c r="Y1985">
        <f>IF($D1985="","",IF($AN1985=1,0,IF($AM1985=1,Settings!$C$6,Settings!$C$7))*100)</f>
        <v/>
      </c>
      <c r="Z1985" s="7">
        <f>IF($D1985="","",V1985*Y1985/100)</f>
        <v/>
      </c>
      <c r="AA1985" s="7">
        <f>IF($D1985="","",V1985-Z1985)</f>
        <v/>
      </c>
      <c r="AB1985" s="7">
        <f>IF($D1985="","",AA1985-N1985)</f>
        <v/>
      </c>
      <c r="AF1985" s="7" t="n"/>
      <c r="AI1985" s="11" t="n"/>
      <c r="AK1985">
        <f>IF($D1985="","",IF(COUNTIF($D$2:$D1985,$D1985)=1,1,0))</f>
        <v/>
      </c>
      <c r="AL1985">
        <f>IF($AK1985=1,SUMPRODUCT(--($AO$2:$AO$3001&lt;$AO1985))+1,"")</f>
        <v/>
      </c>
      <c r="AM1985">
        <f>IF($D1985="","",IF(OR($R1985=TRUE(),$R1985="TRUE"),1,0))</f>
        <v/>
      </c>
      <c r="AN1985">
        <f>IF($D1985="","",IF($X1985="Yes",1,0))</f>
        <v/>
      </c>
      <c r="AO1985">
        <f>IF($AK1985=1,IFERROR(IF(VALUE($D1985)&lt;100000000,VALUE($D1985),1000000000),IFERROR(IF(VALUE(MID($D1985,2,20))&lt;100000000,VALUE(MID($D1985,2,20)),1000000000),1000000000))+ROW()/100000,"")</f>
        <v/>
      </c>
    </row>
    <row r="1986">
      <c r="F1986" s="11" t="n"/>
      <c r="N1986" s="7">
        <f>IF($D1986="","",M1986*V1986/100)</f>
        <v/>
      </c>
      <c r="O1986" s="7" t="n"/>
      <c r="U1986" s="7" t="n"/>
      <c r="V1986" s="7" t="n"/>
      <c r="Y1986">
        <f>IF($D1986="","",IF($AN1986=1,0,IF($AM1986=1,Settings!$C$6,Settings!$C$7))*100)</f>
        <v/>
      </c>
      <c r="Z1986" s="7">
        <f>IF($D1986="","",V1986*Y1986/100)</f>
        <v/>
      </c>
      <c r="AA1986" s="7">
        <f>IF($D1986="","",V1986-Z1986)</f>
        <v/>
      </c>
      <c r="AB1986" s="7">
        <f>IF($D1986="","",AA1986-N1986)</f>
        <v/>
      </c>
      <c r="AF1986" s="7" t="n"/>
      <c r="AI1986" s="11" t="n"/>
      <c r="AK1986">
        <f>IF($D1986="","",IF(COUNTIF($D$2:$D1986,$D1986)=1,1,0))</f>
        <v/>
      </c>
      <c r="AL1986">
        <f>IF($AK1986=1,SUMPRODUCT(--($AO$2:$AO$3001&lt;$AO1986))+1,"")</f>
        <v/>
      </c>
      <c r="AM1986">
        <f>IF($D1986="","",IF(OR($R1986=TRUE(),$R1986="TRUE"),1,0))</f>
        <v/>
      </c>
      <c r="AN1986">
        <f>IF($D1986="","",IF($X1986="Yes",1,0))</f>
        <v/>
      </c>
      <c r="AO1986">
        <f>IF($AK1986=1,IFERROR(IF(VALUE($D1986)&lt;100000000,VALUE($D1986),1000000000),IFERROR(IF(VALUE(MID($D1986,2,20))&lt;100000000,VALUE(MID($D1986,2,20)),1000000000),1000000000))+ROW()/100000,"")</f>
        <v/>
      </c>
    </row>
    <row r="1987">
      <c r="F1987" s="11" t="n"/>
      <c r="N1987" s="7">
        <f>IF($D1987="","",M1987*V1987/100)</f>
        <v/>
      </c>
      <c r="O1987" s="7" t="n"/>
      <c r="U1987" s="7" t="n"/>
      <c r="V1987" s="7" t="n"/>
      <c r="Y1987">
        <f>IF($D1987="","",IF($AN1987=1,0,IF($AM1987=1,Settings!$C$6,Settings!$C$7))*100)</f>
        <v/>
      </c>
      <c r="Z1987" s="7">
        <f>IF($D1987="","",V1987*Y1987/100)</f>
        <v/>
      </c>
      <c r="AA1987" s="7">
        <f>IF($D1987="","",V1987-Z1987)</f>
        <v/>
      </c>
      <c r="AB1987" s="7">
        <f>IF($D1987="","",AA1987-N1987)</f>
        <v/>
      </c>
      <c r="AF1987" s="7" t="n"/>
      <c r="AI1987" s="11" t="n"/>
      <c r="AK1987">
        <f>IF($D1987="","",IF(COUNTIF($D$2:$D1987,$D1987)=1,1,0))</f>
        <v/>
      </c>
      <c r="AL1987">
        <f>IF($AK1987=1,SUMPRODUCT(--($AO$2:$AO$3001&lt;$AO1987))+1,"")</f>
        <v/>
      </c>
      <c r="AM1987">
        <f>IF($D1987="","",IF(OR($R1987=TRUE(),$R1987="TRUE"),1,0))</f>
        <v/>
      </c>
      <c r="AN1987">
        <f>IF($D1987="","",IF($X1987="Yes",1,0))</f>
        <v/>
      </c>
      <c r="AO1987">
        <f>IF($AK1987=1,IFERROR(IF(VALUE($D1987)&lt;100000000,VALUE($D1987),1000000000),IFERROR(IF(VALUE(MID($D1987,2,20))&lt;100000000,VALUE(MID($D1987,2,20)),1000000000),1000000000))+ROW()/100000,"")</f>
        <v/>
      </c>
    </row>
    <row r="1988">
      <c r="F1988" s="11" t="n"/>
      <c r="N1988" s="7">
        <f>IF($D1988="","",M1988*V1988/100)</f>
        <v/>
      </c>
      <c r="O1988" s="7" t="n"/>
      <c r="U1988" s="7" t="n"/>
      <c r="V1988" s="7" t="n"/>
      <c r="Y1988">
        <f>IF($D1988="","",IF($AN1988=1,0,IF($AM1988=1,Settings!$C$6,Settings!$C$7))*100)</f>
        <v/>
      </c>
      <c r="Z1988" s="7">
        <f>IF($D1988="","",V1988*Y1988/100)</f>
        <v/>
      </c>
      <c r="AA1988" s="7">
        <f>IF($D1988="","",V1988-Z1988)</f>
        <v/>
      </c>
      <c r="AB1988" s="7">
        <f>IF($D1988="","",AA1988-N1988)</f>
        <v/>
      </c>
      <c r="AF1988" s="7" t="n"/>
      <c r="AI1988" s="11" t="n"/>
      <c r="AK1988">
        <f>IF($D1988="","",IF(COUNTIF($D$2:$D1988,$D1988)=1,1,0))</f>
        <v/>
      </c>
      <c r="AL1988">
        <f>IF($AK1988=1,SUMPRODUCT(--($AO$2:$AO$3001&lt;$AO1988))+1,"")</f>
        <v/>
      </c>
      <c r="AM1988">
        <f>IF($D1988="","",IF(OR($R1988=TRUE(),$R1988="TRUE"),1,0))</f>
        <v/>
      </c>
      <c r="AN1988">
        <f>IF($D1988="","",IF($X1988="Yes",1,0))</f>
        <v/>
      </c>
      <c r="AO1988">
        <f>IF($AK1988=1,IFERROR(IF(VALUE($D1988)&lt;100000000,VALUE($D1988),1000000000),IFERROR(IF(VALUE(MID($D1988,2,20))&lt;100000000,VALUE(MID($D1988,2,20)),1000000000),1000000000))+ROW()/100000,"")</f>
        <v/>
      </c>
    </row>
    <row r="1989">
      <c r="F1989" s="11" t="n"/>
      <c r="N1989" s="7">
        <f>IF($D1989="","",M1989*V1989/100)</f>
        <v/>
      </c>
      <c r="O1989" s="7" t="n"/>
      <c r="U1989" s="7" t="n"/>
      <c r="V1989" s="7" t="n"/>
      <c r="Y1989">
        <f>IF($D1989="","",IF($AN1989=1,0,IF($AM1989=1,Settings!$C$6,Settings!$C$7))*100)</f>
        <v/>
      </c>
      <c r="Z1989" s="7">
        <f>IF($D1989="","",V1989*Y1989/100)</f>
        <v/>
      </c>
      <c r="AA1989" s="7">
        <f>IF($D1989="","",V1989-Z1989)</f>
        <v/>
      </c>
      <c r="AB1989" s="7">
        <f>IF($D1989="","",AA1989-N1989)</f>
        <v/>
      </c>
      <c r="AF1989" s="7" t="n"/>
      <c r="AI1989" s="11" t="n"/>
      <c r="AK1989">
        <f>IF($D1989="","",IF(COUNTIF($D$2:$D1989,$D1989)=1,1,0))</f>
        <v/>
      </c>
      <c r="AL1989">
        <f>IF($AK1989=1,SUMPRODUCT(--($AO$2:$AO$3001&lt;$AO1989))+1,"")</f>
        <v/>
      </c>
      <c r="AM1989">
        <f>IF($D1989="","",IF(OR($R1989=TRUE(),$R1989="TRUE"),1,0))</f>
        <v/>
      </c>
      <c r="AN1989">
        <f>IF($D1989="","",IF($X1989="Yes",1,0))</f>
        <v/>
      </c>
      <c r="AO1989">
        <f>IF($AK1989=1,IFERROR(IF(VALUE($D1989)&lt;100000000,VALUE($D1989),1000000000),IFERROR(IF(VALUE(MID($D1989,2,20))&lt;100000000,VALUE(MID($D1989,2,20)),1000000000),1000000000))+ROW()/100000,"")</f>
        <v/>
      </c>
    </row>
    <row r="1990">
      <c r="F1990" s="11" t="n"/>
      <c r="N1990" s="7">
        <f>IF($D1990="","",M1990*V1990/100)</f>
        <v/>
      </c>
      <c r="O1990" s="7" t="n"/>
      <c r="U1990" s="7" t="n"/>
      <c r="V1990" s="7" t="n"/>
      <c r="Y1990">
        <f>IF($D1990="","",IF($AN1990=1,0,IF($AM1990=1,Settings!$C$6,Settings!$C$7))*100)</f>
        <v/>
      </c>
      <c r="Z1990" s="7">
        <f>IF($D1990="","",V1990*Y1990/100)</f>
        <v/>
      </c>
      <c r="AA1990" s="7">
        <f>IF($D1990="","",V1990-Z1990)</f>
        <v/>
      </c>
      <c r="AB1990" s="7">
        <f>IF($D1990="","",AA1990-N1990)</f>
        <v/>
      </c>
      <c r="AF1990" s="7" t="n"/>
      <c r="AI1990" s="11" t="n"/>
      <c r="AK1990">
        <f>IF($D1990="","",IF(COUNTIF($D$2:$D1990,$D1990)=1,1,0))</f>
        <v/>
      </c>
      <c r="AL1990">
        <f>IF($AK1990=1,SUMPRODUCT(--($AO$2:$AO$3001&lt;$AO1990))+1,"")</f>
        <v/>
      </c>
      <c r="AM1990">
        <f>IF($D1990="","",IF(OR($R1990=TRUE(),$R1990="TRUE"),1,0))</f>
        <v/>
      </c>
      <c r="AN1990">
        <f>IF($D1990="","",IF($X1990="Yes",1,0))</f>
        <v/>
      </c>
      <c r="AO1990">
        <f>IF($AK1990=1,IFERROR(IF(VALUE($D1990)&lt;100000000,VALUE($D1990),1000000000),IFERROR(IF(VALUE(MID($D1990,2,20))&lt;100000000,VALUE(MID($D1990,2,20)),1000000000),1000000000))+ROW()/100000,"")</f>
        <v/>
      </c>
    </row>
    <row r="1991">
      <c r="F1991" s="11" t="n"/>
      <c r="N1991" s="7">
        <f>IF($D1991="","",M1991*V1991/100)</f>
        <v/>
      </c>
      <c r="O1991" s="7" t="n"/>
      <c r="U1991" s="7" t="n"/>
      <c r="V1991" s="7" t="n"/>
      <c r="Y1991">
        <f>IF($D1991="","",IF($AN1991=1,0,IF($AM1991=1,Settings!$C$6,Settings!$C$7))*100)</f>
        <v/>
      </c>
      <c r="Z1991" s="7">
        <f>IF($D1991="","",V1991*Y1991/100)</f>
        <v/>
      </c>
      <c r="AA1991" s="7">
        <f>IF($D1991="","",V1991-Z1991)</f>
        <v/>
      </c>
      <c r="AB1991" s="7">
        <f>IF($D1991="","",AA1991-N1991)</f>
        <v/>
      </c>
      <c r="AF1991" s="7" t="n"/>
      <c r="AI1991" s="11" t="n"/>
      <c r="AK1991">
        <f>IF($D1991="","",IF(COUNTIF($D$2:$D1991,$D1991)=1,1,0))</f>
        <v/>
      </c>
      <c r="AL1991">
        <f>IF($AK1991=1,SUMPRODUCT(--($AO$2:$AO$3001&lt;$AO1991))+1,"")</f>
        <v/>
      </c>
      <c r="AM1991">
        <f>IF($D1991="","",IF(OR($R1991=TRUE(),$R1991="TRUE"),1,0))</f>
        <v/>
      </c>
      <c r="AN1991">
        <f>IF($D1991="","",IF($X1991="Yes",1,0))</f>
        <v/>
      </c>
      <c r="AO1991">
        <f>IF($AK1991=1,IFERROR(IF(VALUE($D1991)&lt;100000000,VALUE($D1991),1000000000),IFERROR(IF(VALUE(MID($D1991,2,20))&lt;100000000,VALUE(MID($D1991,2,20)),1000000000),1000000000))+ROW()/100000,"")</f>
        <v/>
      </c>
    </row>
    <row r="1992">
      <c r="F1992" s="11" t="n"/>
      <c r="N1992" s="7">
        <f>IF($D1992="","",M1992*V1992/100)</f>
        <v/>
      </c>
      <c r="O1992" s="7" t="n"/>
      <c r="U1992" s="7" t="n"/>
      <c r="V1992" s="7" t="n"/>
      <c r="Y1992">
        <f>IF($D1992="","",IF($AN1992=1,0,IF($AM1992=1,Settings!$C$6,Settings!$C$7))*100)</f>
        <v/>
      </c>
      <c r="Z1992" s="7">
        <f>IF($D1992="","",V1992*Y1992/100)</f>
        <v/>
      </c>
      <c r="AA1992" s="7">
        <f>IF($D1992="","",V1992-Z1992)</f>
        <v/>
      </c>
      <c r="AB1992" s="7">
        <f>IF($D1992="","",AA1992-N1992)</f>
        <v/>
      </c>
      <c r="AF1992" s="7" t="n"/>
      <c r="AI1992" s="11" t="n"/>
      <c r="AK1992">
        <f>IF($D1992="","",IF(COUNTIF($D$2:$D1992,$D1992)=1,1,0))</f>
        <v/>
      </c>
      <c r="AL1992">
        <f>IF($AK1992=1,SUMPRODUCT(--($AO$2:$AO$3001&lt;$AO1992))+1,"")</f>
        <v/>
      </c>
      <c r="AM1992">
        <f>IF($D1992="","",IF(OR($R1992=TRUE(),$R1992="TRUE"),1,0))</f>
        <v/>
      </c>
      <c r="AN1992">
        <f>IF($D1992="","",IF($X1992="Yes",1,0))</f>
        <v/>
      </c>
      <c r="AO1992">
        <f>IF($AK1992=1,IFERROR(IF(VALUE($D1992)&lt;100000000,VALUE($D1992),1000000000),IFERROR(IF(VALUE(MID($D1992,2,20))&lt;100000000,VALUE(MID($D1992,2,20)),1000000000),1000000000))+ROW()/100000,"")</f>
        <v/>
      </c>
    </row>
    <row r="1993">
      <c r="F1993" s="11" t="n"/>
      <c r="N1993" s="7">
        <f>IF($D1993="","",M1993*V1993/100)</f>
        <v/>
      </c>
      <c r="O1993" s="7" t="n"/>
      <c r="U1993" s="7" t="n"/>
      <c r="V1993" s="7" t="n"/>
      <c r="Y1993">
        <f>IF($D1993="","",IF($AN1993=1,0,IF($AM1993=1,Settings!$C$6,Settings!$C$7))*100)</f>
        <v/>
      </c>
      <c r="Z1993" s="7">
        <f>IF($D1993="","",V1993*Y1993/100)</f>
        <v/>
      </c>
      <c r="AA1993" s="7">
        <f>IF($D1993="","",V1993-Z1993)</f>
        <v/>
      </c>
      <c r="AB1993" s="7">
        <f>IF($D1993="","",AA1993-N1993)</f>
        <v/>
      </c>
      <c r="AF1993" s="7" t="n"/>
      <c r="AI1993" s="11" t="n"/>
      <c r="AK1993">
        <f>IF($D1993="","",IF(COUNTIF($D$2:$D1993,$D1993)=1,1,0))</f>
        <v/>
      </c>
      <c r="AL1993">
        <f>IF($AK1993=1,SUMPRODUCT(--($AO$2:$AO$3001&lt;$AO1993))+1,"")</f>
        <v/>
      </c>
      <c r="AM1993">
        <f>IF($D1993="","",IF(OR($R1993=TRUE(),$R1993="TRUE"),1,0))</f>
        <v/>
      </c>
      <c r="AN1993">
        <f>IF($D1993="","",IF($X1993="Yes",1,0))</f>
        <v/>
      </c>
      <c r="AO1993">
        <f>IF($AK1993=1,IFERROR(IF(VALUE($D1993)&lt;100000000,VALUE($D1993),1000000000),IFERROR(IF(VALUE(MID($D1993,2,20))&lt;100000000,VALUE(MID($D1993,2,20)),1000000000),1000000000))+ROW()/100000,"")</f>
        <v/>
      </c>
    </row>
    <row r="1994">
      <c r="F1994" s="11" t="n"/>
      <c r="N1994" s="7">
        <f>IF($D1994="","",M1994*V1994/100)</f>
        <v/>
      </c>
      <c r="O1994" s="7" t="n"/>
      <c r="U1994" s="7" t="n"/>
      <c r="V1994" s="7" t="n"/>
      <c r="Y1994">
        <f>IF($D1994="","",IF($AN1994=1,0,IF($AM1994=1,Settings!$C$6,Settings!$C$7))*100)</f>
        <v/>
      </c>
      <c r="Z1994" s="7">
        <f>IF($D1994="","",V1994*Y1994/100)</f>
        <v/>
      </c>
      <c r="AA1994" s="7">
        <f>IF($D1994="","",V1994-Z1994)</f>
        <v/>
      </c>
      <c r="AB1994" s="7">
        <f>IF($D1994="","",AA1994-N1994)</f>
        <v/>
      </c>
      <c r="AF1994" s="7" t="n"/>
      <c r="AI1994" s="11" t="n"/>
      <c r="AK1994">
        <f>IF($D1994="","",IF(COUNTIF($D$2:$D1994,$D1994)=1,1,0))</f>
        <v/>
      </c>
      <c r="AL1994">
        <f>IF($AK1994=1,SUMPRODUCT(--($AO$2:$AO$3001&lt;$AO1994))+1,"")</f>
        <v/>
      </c>
      <c r="AM1994">
        <f>IF($D1994="","",IF(OR($R1994=TRUE(),$R1994="TRUE"),1,0))</f>
        <v/>
      </c>
      <c r="AN1994">
        <f>IF($D1994="","",IF($X1994="Yes",1,0))</f>
        <v/>
      </c>
      <c r="AO1994">
        <f>IF($AK1994=1,IFERROR(IF(VALUE($D1994)&lt;100000000,VALUE($D1994),1000000000),IFERROR(IF(VALUE(MID($D1994,2,20))&lt;100000000,VALUE(MID($D1994,2,20)),1000000000),1000000000))+ROW()/100000,"")</f>
        <v/>
      </c>
    </row>
    <row r="1995">
      <c r="F1995" s="11" t="n"/>
      <c r="N1995" s="7">
        <f>IF($D1995="","",M1995*V1995/100)</f>
        <v/>
      </c>
      <c r="O1995" s="7" t="n"/>
      <c r="U1995" s="7" t="n"/>
      <c r="V1995" s="7" t="n"/>
      <c r="Y1995">
        <f>IF($D1995="","",IF($AN1995=1,0,IF($AM1995=1,Settings!$C$6,Settings!$C$7))*100)</f>
        <v/>
      </c>
      <c r="Z1995" s="7">
        <f>IF($D1995="","",V1995*Y1995/100)</f>
        <v/>
      </c>
      <c r="AA1995" s="7">
        <f>IF($D1995="","",V1995-Z1995)</f>
        <v/>
      </c>
      <c r="AB1995" s="7">
        <f>IF($D1995="","",AA1995-N1995)</f>
        <v/>
      </c>
      <c r="AF1995" s="7" t="n"/>
      <c r="AI1995" s="11" t="n"/>
      <c r="AK1995">
        <f>IF($D1995="","",IF(COUNTIF($D$2:$D1995,$D1995)=1,1,0))</f>
        <v/>
      </c>
      <c r="AL1995">
        <f>IF($AK1995=1,SUMPRODUCT(--($AO$2:$AO$3001&lt;$AO1995))+1,"")</f>
        <v/>
      </c>
      <c r="AM1995">
        <f>IF($D1995="","",IF(OR($R1995=TRUE(),$R1995="TRUE"),1,0))</f>
        <v/>
      </c>
      <c r="AN1995">
        <f>IF($D1995="","",IF($X1995="Yes",1,0))</f>
        <v/>
      </c>
      <c r="AO1995">
        <f>IF($AK1995=1,IFERROR(IF(VALUE($D1995)&lt;100000000,VALUE($D1995),1000000000),IFERROR(IF(VALUE(MID($D1995,2,20))&lt;100000000,VALUE(MID($D1995,2,20)),1000000000),1000000000))+ROW()/100000,"")</f>
        <v/>
      </c>
    </row>
    <row r="1996">
      <c r="F1996" s="11" t="n"/>
      <c r="N1996" s="7">
        <f>IF($D1996="","",M1996*V1996/100)</f>
        <v/>
      </c>
      <c r="O1996" s="7" t="n"/>
      <c r="U1996" s="7" t="n"/>
      <c r="V1996" s="7" t="n"/>
      <c r="Y1996">
        <f>IF($D1996="","",IF($AN1996=1,0,IF($AM1996=1,Settings!$C$6,Settings!$C$7))*100)</f>
        <v/>
      </c>
      <c r="Z1996" s="7">
        <f>IF($D1996="","",V1996*Y1996/100)</f>
        <v/>
      </c>
      <c r="AA1996" s="7">
        <f>IF($D1996="","",V1996-Z1996)</f>
        <v/>
      </c>
      <c r="AB1996" s="7">
        <f>IF($D1996="","",AA1996-N1996)</f>
        <v/>
      </c>
      <c r="AF1996" s="7" t="n"/>
      <c r="AI1996" s="11" t="n"/>
      <c r="AK1996">
        <f>IF($D1996="","",IF(COUNTIF($D$2:$D1996,$D1996)=1,1,0))</f>
        <v/>
      </c>
      <c r="AL1996">
        <f>IF($AK1996=1,SUMPRODUCT(--($AO$2:$AO$3001&lt;$AO1996))+1,"")</f>
        <v/>
      </c>
      <c r="AM1996">
        <f>IF($D1996="","",IF(OR($R1996=TRUE(),$R1996="TRUE"),1,0))</f>
        <v/>
      </c>
      <c r="AN1996">
        <f>IF($D1996="","",IF($X1996="Yes",1,0))</f>
        <v/>
      </c>
      <c r="AO1996">
        <f>IF($AK1996=1,IFERROR(IF(VALUE($D1996)&lt;100000000,VALUE($D1996),1000000000),IFERROR(IF(VALUE(MID($D1996,2,20))&lt;100000000,VALUE(MID($D1996,2,20)),1000000000),1000000000))+ROW()/100000,"")</f>
        <v/>
      </c>
    </row>
    <row r="1997">
      <c r="F1997" s="11" t="n"/>
      <c r="N1997" s="7">
        <f>IF($D1997="","",M1997*V1997/100)</f>
        <v/>
      </c>
      <c r="O1997" s="7" t="n"/>
      <c r="U1997" s="7" t="n"/>
      <c r="V1997" s="7" t="n"/>
      <c r="Y1997">
        <f>IF($D1997="","",IF($AN1997=1,0,IF($AM1997=1,Settings!$C$6,Settings!$C$7))*100)</f>
        <v/>
      </c>
      <c r="Z1997" s="7">
        <f>IF($D1997="","",V1997*Y1997/100)</f>
        <v/>
      </c>
      <c r="AA1997" s="7">
        <f>IF($D1997="","",V1997-Z1997)</f>
        <v/>
      </c>
      <c r="AB1997" s="7">
        <f>IF($D1997="","",AA1997-N1997)</f>
        <v/>
      </c>
      <c r="AF1997" s="7" t="n"/>
      <c r="AI1997" s="11" t="n"/>
      <c r="AK1997">
        <f>IF($D1997="","",IF(COUNTIF($D$2:$D1997,$D1997)=1,1,0))</f>
        <v/>
      </c>
      <c r="AL1997">
        <f>IF($AK1997=1,SUMPRODUCT(--($AO$2:$AO$3001&lt;$AO1997))+1,"")</f>
        <v/>
      </c>
      <c r="AM1997">
        <f>IF($D1997="","",IF(OR($R1997=TRUE(),$R1997="TRUE"),1,0))</f>
        <v/>
      </c>
      <c r="AN1997">
        <f>IF($D1997="","",IF($X1997="Yes",1,0))</f>
        <v/>
      </c>
      <c r="AO1997">
        <f>IF($AK1997=1,IFERROR(IF(VALUE($D1997)&lt;100000000,VALUE($D1997),1000000000),IFERROR(IF(VALUE(MID($D1997,2,20))&lt;100000000,VALUE(MID($D1997,2,20)),1000000000),1000000000))+ROW()/100000,"")</f>
        <v/>
      </c>
    </row>
    <row r="1998">
      <c r="F1998" s="11" t="n"/>
      <c r="N1998" s="7">
        <f>IF($D1998="","",M1998*V1998/100)</f>
        <v/>
      </c>
      <c r="O1998" s="7" t="n"/>
      <c r="U1998" s="7" t="n"/>
      <c r="V1998" s="7" t="n"/>
      <c r="Y1998">
        <f>IF($D1998="","",IF($AN1998=1,0,IF($AM1998=1,Settings!$C$6,Settings!$C$7))*100)</f>
        <v/>
      </c>
      <c r="Z1998" s="7">
        <f>IF($D1998="","",V1998*Y1998/100)</f>
        <v/>
      </c>
      <c r="AA1998" s="7">
        <f>IF($D1998="","",V1998-Z1998)</f>
        <v/>
      </c>
      <c r="AB1998" s="7">
        <f>IF($D1998="","",AA1998-N1998)</f>
        <v/>
      </c>
      <c r="AF1998" s="7" t="n"/>
      <c r="AI1998" s="11" t="n"/>
      <c r="AK1998">
        <f>IF($D1998="","",IF(COUNTIF($D$2:$D1998,$D1998)=1,1,0))</f>
        <v/>
      </c>
      <c r="AL1998">
        <f>IF($AK1998=1,SUMPRODUCT(--($AO$2:$AO$3001&lt;$AO1998))+1,"")</f>
        <v/>
      </c>
      <c r="AM1998">
        <f>IF($D1998="","",IF(OR($R1998=TRUE(),$R1998="TRUE"),1,0))</f>
        <v/>
      </c>
      <c r="AN1998">
        <f>IF($D1998="","",IF($X1998="Yes",1,0))</f>
        <v/>
      </c>
      <c r="AO1998">
        <f>IF($AK1998=1,IFERROR(IF(VALUE($D1998)&lt;100000000,VALUE($D1998),1000000000),IFERROR(IF(VALUE(MID($D1998,2,20))&lt;100000000,VALUE(MID($D1998,2,20)),1000000000),1000000000))+ROW()/100000,"")</f>
        <v/>
      </c>
    </row>
    <row r="1999">
      <c r="F1999" s="11" t="n"/>
      <c r="N1999" s="7">
        <f>IF($D1999="","",M1999*V1999/100)</f>
        <v/>
      </c>
      <c r="O1999" s="7" t="n"/>
      <c r="U1999" s="7" t="n"/>
      <c r="V1999" s="7" t="n"/>
      <c r="Y1999">
        <f>IF($D1999="","",IF($AN1999=1,0,IF($AM1999=1,Settings!$C$6,Settings!$C$7))*100)</f>
        <v/>
      </c>
      <c r="Z1999" s="7">
        <f>IF($D1999="","",V1999*Y1999/100)</f>
        <v/>
      </c>
      <c r="AA1999" s="7">
        <f>IF($D1999="","",V1999-Z1999)</f>
        <v/>
      </c>
      <c r="AB1999" s="7">
        <f>IF($D1999="","",AA1999-N1999)</f>
        <v/>
      </c>
      <c r="AF1999" s="7" t="n"/>
      <c r="AI1999" s="11" t="n"/>
      <c r="AK1999">
        <f>IF($D1999="","",IF(COUNTIF($D$2:$D1999,$D1999)=1,1,0))</f>
        <v/>
      </c>
      <c r="AL1999">
        <f>IF($AK1999=1,SUMPRODUCT(--($AO$2:$AO$3001&lt;$AO1999))+1,"")</f>
        <v/>
      </c>
      <c r="AM1999">
        <f>IF($D1999="","",IF(OR($R1999=TRUE(),$R1999="TRUE"),1,0))</f>
        <v/>
      </c>
      <c r="AN1999">
        <f>IF($D1999="","",IF($X1999="Yes",1,0))</f>
        <v/>
      </c>
      <c r="AO1999">
        <f>IF($AK1999=1,IFERROR(IF(VALUE($D1999)&lt;100000000,VALUE($D1999),1000000000),IFERROR(IF(VALUE(MID($D1999,2,20))&lt;100000000,VALUE(MID($D1999,2,20)),1000000000),1000000000))+ROW()/100000,"")</f>
        <v/>
      </c>
    </row>
    <row r="2000">
      <c r="F2000" s="11" t="n"/>
      <c r="N2000" s="7">
        <f>IF($D2000="","",M2000*V2000/100)</f>
        <v/>
      </c>
      <c r="O2000" s="7" t="n"/>
      <c r="U2000" s="7" t="n"/>
      <c r="V2000" s="7" t="n"/>
      <c r="Y2000">
        <f>IF($D2000="","",IF($AN2000=1,0,IF($AM2000=1,Settings!$C$6,Settings!$C$7))*100)</f>
        <v/>
      </c>
      <c r="Z2000" s="7">
        <f>IF($D2000="","",V2000*Y2000/100)</f>
        <v/>
      </c>
      <c r="AA2000" s="7">
        <f>IF($D2000="","",V2000-Z2000)</f>
        <v/>
      </c>
      <c r="AB2000" s="7">
        <f>IF($D2000="","",AA2000-N2000)</f>
        <v/>
      </c>
      <c r="AF2000" s="7" t="n"/>
      <c r="AI2000" s="11" t="n"/>
      <c r="AK2000">
        <f>IF($D2000="","",IF(COUNTIF($D$2:$D2000,$D2000)=1,1,0))</f>
        <v/>
      </c>
      <c r="AL2000">
        <f>IF($AK2000=1,SUMPRODUCT(--($AO$2:$AO$3001&lt;$AO2000))+1,"")</f>
        <v/>
      </c>
      <c r="AM2000">
        <f>IF($D2000="","",IF(OR($R2000=TRUE(),$R2000="TRUE"),1,0))</f>
        <v/>
      </c>
      <c r="AN2000">
        <f>IF($D2000="","",IF($X2000="Yes",1,0))</f>
        <v/>
      </c>
      <c r="AO2000">
        <f>IF($AK2000=1,IFERROR(IF(VALUE($D2000)&lt;100000000,VALUE($D2000),1000000000),IFERROR(IF(VALUE(MID($D2000,2,20))&lt;100000000,VALUE(MID($D2000,2,20)),1000000000),1000000000))+ROW()/100000,"")</f>
        <v/>
      </c>
    </row>
    <row r="2001">
      <c r="F2001" s="11" t="n"/>
      <c r="N2001" s="7">
        <f>IF($D2001="","",M2001*V2001/100)</f>
        <v/>
      </c>
      <c r="O2001" s="7" t="n"/>
      <c r="U2001" s="7" t="n"/>
      <c r="V2001" s="7" t="n"/>
      <c r="Y2001">
        <f>IF($D2001="","",IF($AN2001=1,0,IF($AM2001=1,Settings!$C$6,Settings!$C$7))*100)</f>
        <v/>
      </c>
      <c r="Z2001" s="7">
        <f>IF($D2001="","",V2001*Y2001/100)</f>
        <v/>
      </c>
      <c r="AA2001" s="7">
        <f>IF($D2001="","",V2001-Z2001)</f>
        <v/>
      </c>
      <c r="AB2001" s="7">
        <f>IF($D2001="","",AA2001-N2001)</f>
        <v/>
      </c>
      <c r="AF2001" s="7" t="n"/>
      <c r="AI2001" s="11" t="n"/>
      <c r="AK2001">
        <f>IF($D2001="","",IF(COUNTIF($D$2:$D2001,$D2001)=1,1,0))</f>
        <v/>
      </c>
      <c r="AL2001">
        <f>IF($AK2001=1,SUMPRODUCT(--($AO$2:$AO$3001&lt;$AO2001))+1,"")</f>
        <v/>
      </c>
      <c r="AM2001">
        <f>IF($D2001="","",IF(OR($R2001=TRUE(),$R2001="TRUE"),1,0))</f>
        <v/>
      </c>
      <c r="AN2001">
        <f>IF($D2001="","",IF($X2001="Yes",1,0))</f>
        <v/>
      </c>
      <c r="AO2001">
        <f>IF($AK2001=1,IFERROR(IF(VALUE($D2001)&lt;100000000,VALUE($D2001),1000000000),IFERROR(IF(VALUE(MID($D2001,2,20))&lt;100000000,VALUE(MID($D2001,2,20)),1000000000),1000000000))+ROW()/100000,"")</f>
        <v/>
      </c>
    </row>
    <row r="2002">
      <c r="F2002" s="11" t="n"/>
      <c r="N2002" s="7">
        <f>IF($D2002="","",M2002*V2002/100)</f>
        <v/>
      </c>
      <c r="O2002" s="7" t="n"/>
      <c r="U2002" s="7" t="n"/>
      <c r="V2002" s="7" t="n"/>
      <c r="Y2002">
        <f>IF($D2002="","",IF($AN2002=1,0,IF($AM2002=1,Settings!$C$6,Settings!$C$7))*100)</f>
        <v/>
      </c>
      <c r="Z2002" s="7">
        <f>IF($D2002="","",V2002*Y2002/100)</f>
        <v/>
      </c>
      <c r="AA2002" s="7">
        <f>IF($D2002="","",V2002-Z2002)</f>
        <v/>
      </c>
      <c r="AB2002" s="7">
        <f>IF($D2002="","",AA2002-N2002)</f>
        <v/>
      </c>
      <c r="AF2002" s="7" t="n"/>
      <c r="AI2002" s="11" t="n"/>
      <c r="AK2002">
        <f>IF($D2002="","",IF(COUNTIF($D$2:$D2002,$D2002)=1,1,0))</f>
        <v/>
      </c>
      <c r="AL2002">
        <f>IF($AK2002=1,SUMPRODUCT(--($AO$2:$AO$3001&lt;$AO2002))+1,"")</f>
        <v/>
      </c>
      <c r="AM2002">
        <f>IF($D2002="","",IF(OR($R2002=TRUE(),$R2002="TRUE"),1,0))</f>
        <v/>
      </c>
      <c r="AN2002">
        <f>IF($D2002="","",IF($X2002="Yes",1,0))</f>
        <v/>
      </c>
      <c r="AO2002">
        <f>IF($AK2002=1,IFERROR(IF(VALUE($D2002)&lt;100000000,VALUE($D2002),1000000000),IFERROR(IF(VALUE(MID($D2002,2,20))&lt;100000000,VALUE(MID($D2002,2,20)),1000000000),1000000000))+ROW()/100000,"")</f>
        <v/>
      </c>
    </row>
    <row r="2003">
      <c r="F2003" s="11" t="n"/>
      <c r="N2003" s="7">
        <f>IF($D2003="","",M2003*V2003/100)</f>
        <v/>
      </c>
      <c r="O2003" s="7" t="n"/>
      <c r="U2003" s="7" t="n"/>
      <c r="V2003" s="7" t="n"/>
      <c r="Y2003">
        <f>IF($D2003="","",IF($AN2003=1,0,IF($AM2003=1,Settings!$C$6,Settings!$C$7))*100)</f>
        <v/>
      </c>
      <c r="Z2003" s="7">
        <f>IF($D2003="","",V2003*Y2003/100)</f>
        <v/>
      </c>
      <c r="AA2003" s="7">
        <f>IF($D2003="","",V2003-Z2003)</f>
        <v/>
      </c>
      <c r="AB2003" s="7">
        <f>IF($D2003="","",AA2003-N2003)</f>
        <v/>
      </c>
      <c r="AF2003" s="7" t="n"/>
      <c r="AI2003" s="11" t="n"/>
      <c r="AK2003">
        <f>IF($D2003="","",IF(COUNTIF($D$2:$D2003,$D2003)=1,1,0))</f>
        <v/>
      </c>
      <c r="AL2003">
        <f>IF($AK2003=1,SUMPRODUCT(--($AO$2:$AO$3001&lt;$AO2003))+1,"")</f>
        <v/>
      </c>
      <c r="AM2003">
        <f>IF($D2003="","",IF(OR($R2003=TRUE(),$R2003="TRUE"),1,0))</f>
        <v/>
      </c>
      <c r="AN2003">
        <f>IF($D2003="","",IF($X2003="Yes",1,0))</f>
        <v/>
      </c>
      <c r="AO2003">
        <f>IF($AK2003=1,IFERROR(IF(VALUE($D2003)&lt;100000000,VALUE($D2003),1000000000),IFERROR(IF(VALUE(MID($D2003,2,20))&lt;100000000,VALUE(MID($D2003,2,20)),1000000000),1000000000))+ROW()/100000,"")</f>
        <v/>
      </c>
    </row>
    <row r="2004">
      <c r="F2004" s="11" t="n"/>
      <c r="N2004" s="7">
        <f>IF($D2004="","",M2004*V2004/100)</f>
        <v/>
      </c>
      <c r="O2004" s="7" t="n"/>
      <c r="U2004" s="7" t="n"/>
      <c r="V2004" s="7" t="n"/>
      <c r="Y2004">
        <f>IF($D2004="","",IF($AN2004=1,0,IF($AM2004=1,Settings!$C$6,Settings!$C$7))*100)</f>
        <v/>
      </c>
      <c r="Z2004" s="7">
        <f>IF($D2004="","",V2004*Y2004/100)</f>
        <v/>
      </c>
      <c r="AA2004" s="7">
        <f>IF($D2004="","",V2004-Z2004)</f>
        <v/>
      </c>
      <c r="AB2004" s="7">
        <f>IF($D2004="","",AA2004-N2004)</f>
        <v/>
      </c>
      <c r="AF2004" s="7" t="n"/>
      <c r="AI2004" s="11" t="n"/>
      <c r="AK2004">
        <f>IF($D2004="","",IF(COUNTIF($D$2:$D2004,$D2004)=1,1,0))</f>
        <v/>
      </c>
      <c r="AL2004">
        <f>IF($AK2004=1,SUMPRODUCT(--($AO$2:$AO$3001&lt;$AO2004))+1,"")</f>
        <v/>
      </c>
      <c r="AM2004">
        <f>IF($D2004="","",IF(OR($R2004=TRUE(),$R2004="TRUE"),1,0))</f>
        <v/>
      </c>
      <c r="AN2004">
        <f>IF($D2004="","",IF($X2004="Yes",1,0))</f>
        <v/>
      </c>
      <c r="AO2004">
        <f>IF($AK2004=1,IFERROR(IF(VALUE($D2004)&lt;100000000,VALUE($D2004),1000000000),IFERROR(IF(VALUE(MID($D2004,2,20))&lt;100000000,VALUE(MID($D2004,2,20)),1000000000),1000000000))+ROW()/100000,"")</f>
        <v/>
      </c>
    </row>
    <row r="2005">
      <c r="F2005" s="11" t="n"/>
      <c r="N2005" s="7">
        <f>IF($D2005="","",M2005*V2005/100)</f>
        <v/>
      </c>
      <c r="O2005" s="7" t="n"/>
      <c r="U2005" s="7" t="n"/>
      <c r="V2005" s="7" t="n"/>
      <c r="Y2005">
        <f>IF($D2005="","",IF($AN2005=1,0,IF($AM2005=1,Settings!$C$6,Settings!$C$7))*100)</f>
        <v/>
      </c>
      <c r="Z2005" s="7">
        <f>IF($D2005="","",V2005*Y2005/100)</f>
        <v/>
      </c>
      <c r="AA2005" s="7">
        <f>IF($D2005="","",V2005-Z2005)</f>
        <v/>
      </c>
      <c r="AB2005" s="7">
        <f>IF($D2005="","",AA2005-N2005)</f>
        <v/>
      </c>
      <c r="AF2005" s="7" t="n"/>
      <c r="AI2005" s="11" t="n"/>
      <c r="AK2005">
        <f>IF($D2005="","",IF(COUNTIF($D$2:$D2005,$D2005)=1,1,0))</f>
        <v/>
      </c>
      <c r="AL2005">
        <f>IF($AK2005=1,SUMPRODUCT(--($AO$2:$AO$3001&lt;$AO2005))+1,"")</f>
        <v/>
      </c>
      <c r="AM2005">
        <f>IF($D2005="","",IF(OR($R2005=TRUE(),$R2005="TRUE"),1,0))</f>
        <v/>
      </c>
      <c r="AN2005">
        <f>IF($D2005="","",IF($X2005="Yes",1,0))</f>
        <v/>
      </c>
      <c r="AO2005">
        <f>IF($AK2005=1,IFERROR(IF(VALUE($D2005)&lt;100000000,VALUE($D2005),1000000000),IFERROR(IF(VALUE(MID($D2005,2,20))&lt;100000000,VALUE(MID($D2005,2,20)),1000000000),1000000000))+ROW()/100000,"")</f>
        <v/>
      </c>
    </row>
    <row r="2006">
      <c r="F2006" s="11" t="n"/>
      <c r="N2006" s="7">
        <f>IF($D2006="","",M2006*V2006/100)</f>
        <v/>
      </c>
      <c r="O2006" s="7" t="n"/>
      <c r="U2006" s="7" t="n"/>
      <c r="V2006" s="7" t="n"/>
      <c r="Y2006">
        <f>IF($D2006="","",IF($AN2006=1,0,IF($AM2006=1,Settings!$C$6,Settings!$C$7))*100)</f>
        <v/>
      </c>
      <c r="Z2006" s="7">
        <f>IF($D2006="","",V2006*Y2006/100)</f>
        <v/>
      </c>
      <c r="AA2006" s="7">
        <f>IF($D2006="","",V2006-Z2006)</f>
        <v/>
      </c>
      <c r="AB2006" s="7">
        <f>IF($D2006="","",AA2006-N2006)</f>
        <v/>
      </c>
      <c r="AF2006" s="7" t="n"/>
      <c r="AI2006" s="11" t="n"/>
      <c r="AK2006">
        <f>IF($D2006="","",IF(COUNTIF($D$2:$D2006,$D2006)=1,1,0))</f>
        <v/>
      </c>
      <c r="AL2006">
        <f>IF($AK2006=1,SUMPRODUCT(--($AO$2:$AO$3001&lt;$AO2006))+1,"")</f>
        <v/>
      </c>
      <c r="AM2006">
        <f>IF($D2006="","",IF(OR($R2006=TRUE(),$R2006="TRUE"),1,0))</f>
        <v/>
      </c>
      <c r="AN2006">
        <f>IF($D2006="","",IF($X2006="Yes",1,0))</f>
        <v/>
      </c>
      <c r="AO2006">
        <f>IF($AK2006=1,IFERROR(IF(VALUE($D2006)&lt;100000000,VALUE($D2006),1000000000),IFERROR(IF(VALUE(MID($D2006,2,20))&lt;100000000,VALUE(MID($D2006,2,20)),1000000000),1000000000))+ROW()/100000,"")</f>
        <v/>
      </c>
    </row>
    <row r="2007">
      <c r="F2007" s="11" t="n"/>
      <c r="N2007" s="7">
        <f>IF($D2007="","",M2007*V2007/100)</f>
        <v/>
      </c>
      <c r="O2007" s="7" t="n"/>
      <c r="U2007" s="7" t="n"/>
      <c r="V2007" s="7" t="n"/>
      <c r="Y2007">
        <f>IF($D2007="","",IF($AN2007=1,0,IF($AM2007=1,Settings!$C$6,Settings!$C$7))*100)</f>
        <v/>
      </c>
      <c r="Z2007" s="7">
        <f>IF($D2007="","",V2007*Y2007/100)</f>
        <v/>
      </c>
      <c r="AA2007" s="7">
        <f>IF($D2007="","",V2007-Z2007)</f>
        <v/>
      </c>
      <c r="AB2007" s="7">
        <f>IF($D2007="","",AA2007-N2007)</f>
        <v/>
      </c>
      <c r="AF2007" s="7" t="n"/>
      <c r="AI2007" s="11" t="n"/>
      <c r="AK2007">
        <f>IF($D2007="","",IF(COUNTIF($D$2:$D2007,$D2007)=1,1,0))</f>
        <v/>
      </c>
      <c r="AL2007">
        <f>IF($AK2007=1,SUMPRODUCT(--($AO$2:$AO$3001&lt;$AO2007))+1,"")</f>
        <v/>
      </c>
      <c r="AM2007">
        <f>IF($D2007="","",IF(OR($R2007=TRUE(),$R2007="TRUE"),1,0))</f>
        <v/>
      </c>
      <c r="AN2007">
        <f>IF($D2007="","",IF($X2007="Yes",1,0))</f>
        <v/>
      </c>
      <c r="AO2007">
        <f>IF($AK2007=1,IFERROR(IF(VALUE($D2007)&lt;100000000,VALUE($D2007),1000000000),IFERROR(IF(VALUE(MID($D2007,2,20))&lt;100000000,VALUE(MID($D2007,2,20)),1000000000),1000000000))+ROW()/100000,"")</f>
        <v/>
      </c>
    </row>
    <row r="2008">
      <c r="F2008" s="11" t="n"/>
      <c r="N2008" s="7">
        <f>IF($D2008="","",M2008*V2008/100)</f>
        <v/>
      </c>
      <c r="O2008" s="7" t="n"/>
      <c r="U2008" s="7" t="n"/>
      <c r="V2008" s="7" t="n"/>
      <c r="Y2008">
        <f>IF($D2008="","",IF($AN2008=1,0,IF($AM2008=1,Settings!$C$6,Settings!$C$7))*100)</f>
        <v/>
      </c>
      <c r="Z2008" s="7">
        <f>IF($D2008="","",V2008*Y2008/100)</f>
        <v/>
      </c>
      <c r="AA2008" s="7">
        <f>IF($D2008="","",V2008-Z2008)</f>
        <v/>
      </c>
      <c r="AB2008" s="7">
        <f>IF($D2008="","",AA2008-N2008)</f>
        <v/>
      </c>
      <c r="AF2008" s="7" t="n"/>
      <c r="AI2008" s="11" t="n"/>
      <c r="AK2008">
        <f>IF($D2008="","",IF(COUNTIF($D$2:$D2008,$D2008)=1,1,0))</f>
        <v/>
      </c>
      <c r="AL2008">
        <f>IF($AK2008=1,SUMPRODUCT(--($AO$2:$AO$3001&lt;$AO2008))+1,"")</f>
        <v/>
      </c>
      <c r="AM2008">
        <f>IF($D2008="","",IF(OR($R2008=TRUE(),$R2008="TRUE"),1,0))</f>
        <v/>
      </c>
      <c r="AN2008">
        <f>IF($D2008="","",IF($X2008="Yes",1,0))</f>
        <v/>
      </c>
      <c r="AO2008">
        <f>IF($AK2008=1,IFERROR(IF(VALUE($D2008)&lt;100000000,VALUE($D2008),1000000000),IFERROR(IF(VALUE(MID($D2008,2,20))&lt;100000000,VALUE(MID($D2008,2,20)),1000000000),1000000000))+ROW()/100000,"")</f>
        <v/>
      </c>
    </row>
    <row r="2009">
      <c r="F2009" s="11" t="n"/>
      <c r="N2009" s="7">
        <f>IF($D2009="","",M2009*V2009/100)</f>
        <v/>
      </c>
      <c r="O2009" s="7" t="n"/>
      <c r="U2009" s="7" t="n"/>
      <c r="V2009" s="7" t="n"/>
      <c r="Y2009">
        <f>IF($D2009="","",IF($AN2009=1,0,IF($AM2009=1,Settings!$C$6,Settings!$C$7))*100)</f>
        <v/>
      </c>
      <c r="Z2009" s="7">
        <f>IF($D2009="","",V2009*Y2009/100)</f>
        <v/>
      </c>
      <c r="AA2009" s="7">
        <f>IF($D2009="","",V2009-Z2009)</f>
        <v/>
      </c>
      <c r="AB2009" s="7">
        <f>IF($D2009="","",AA2009-N2009)</f>
        <v/>
      </c>
      <c r="AF2009" s="7" t="n"/>
      <c r="AI2009" s="11" t="n"/>
      <c r="AK2009">
        <f>IF($D2009="","",IF(COUNTIF($D$2:$D2009,$D2009)=1,1,0))</f>
        <v/>
      </c>
      <c r="AL2009">
        <f>IF($AK2009=1,SUMPRODUCT(--($AO$2:$AO$3001&lt;$AO2009))+1,"")</f>
        <v/>
      </c>
      <c r="AM2009">
        <f>IF($D2009="","",IF(OR($R2009=TRUE(),$R2009="TRUE"),1,0))</f>
        <v/>
      </c>
      <c r="AN2009">
        <f>IF($D2009="","",IF($X2009="Yes",1,0))</f>
        <v/>
      </c>
      <c r="AO2009">
        <f>IF($AK2009=1,IFERROR(IF(VALUE($D2009)&lt;100000000,VALUE($D2009),1000000000),IFERROR(IF(VALUE(MID($D2009,2,20))&lt;100000000,VALUE(MID($D2009,2,20)),1000000000),1000000000))+ROW()/100000,"")</f>
        <v/>
      </c>
    </row>
    <row r="2010">
      <c r="F2010" s="11" t="n"/>
      <c r="N2010" s="7">
        <f>IF($D2010="","",M2010*V2010/100)</f>
        <v/>
      </c>
      <c r="O2010" s="7" t="n"/>
      <c r="U2010" s="7" t="n"/>
      <c r="V2010" s="7" t="n"/>
      <c r="Y2010">
        <f>IF($D2010="","",IF($AN2010=1,0,IF($AM2010=1,Settings!$C$6,Settings!$C$7))*100)</f>
        <v/>
      </c>
      <c r="Z2010" s="7">
        <f>IF($D2010="","",V2010*Y2010/100)</f>
        <v/>
      </c>
      <c r="AA2010" s="7">
        <f>IF($D2010="","",V2010-Z2010)</f>
        <v/>
      </c>
      <c r="AB2010" s="7">
        <f>IF($D2010="","",AA2010-N2010)</f>
        <v/>
      </c>
      <c r="AF2010" s="7" t="n"/>
      <c r="AI2010" s="11" t="n"/>
      <c r="AK2010">
        <f>IF($D2010="","",IF(COUNTIF($D$2:$D2010,$D2010)=1,1,0))</f>
        <v/>
      </c>
      <c r="AL2010">
        <f>IF($AK2010=1,SUMPRODUCT(--($AO$2:$AO$3001&lt;$AO2010))+1,"")</f>
        <v/>
      </c>
      <c r="AM2010">
        <f>IF($D2010="","",IF(OR($R2010=TRUE(),$R2010="TRUE"),1,0))</f>
        <v/>
      </c>
      <c r="AN2010">
        <f>IF($D2010="","",IF($X2010="Yes",1,0))</f>
        <v/>
      </c>
      <c r="AO2010">
        <f>IF($AK2010=1,IFERROR(IF(VALUE($D2010)&lt;100000000,VALUE($D2010),1000000000),IFERROR(IF(VALUE(MID($D2010,2,20))&lt;100000000,VALUE(MID($D2010,2,20)),1000000000),1000000000))+ROW()/100000,"")</f>
        <v/>
      </c>
    </row>
    <row r="2011">
      <c r="F2011" s="11" t="n"/>
      <c r="N2011" s="7">
        <f>IF($D2011="","",M2011*V2011/100)</f>
        <v/>
      </c>
      <c r="O2011" s="7" t="n"/>
      <c r="U2011" s="7" t="n"/>
      <c r="V2011" s="7" t="n"/>
      <c r="Y2011">
        <f>IF($D2011="","",IF($AN2011=1,0,IF($AM2011=1,Settings!$C$6,Settings!$C$7))*100)</f>
        <v/>
      </c>
      <c r="Z2011" s="7">
        <f>IF($D2011="","",V2011*Y2011/100)</f>
        <v/>
      </c>
      <c r="AA2011" s="7">
        <f>IF($D2011="","",V2011-Z2011)</f>
        <v/>
      </c>
      <c r="AB2011" s="7">
        <f>IF($D2011="","",AA2011-N2011)</f>
        <v/>
      </c>
      <c r="AF2011" s="7" t="n"/>
      <c r="AI2011" s="11" t="n"/>
      <c r="AK2011">
        <f>IF($D2011="","",IF(COUNTIF($D$2:$D2011,$D2011)=1,1,0))</f>
        <v/>
      </c>
      <c r="AL2011">
        <f>IF($AK2011=1,SUMPRODUCT(--($AO$2:$AO$3001&lt;$AO2011))+1,"")</f>
        <v/>
      </c>
      <c r="AM2011">
        <f>IF($D2011="","",IF(OR($R2011=TRUE(),$R2011="TRUE"),1,0))</f>
        <v/>
      </c>
      <c r="AN2011">
        <f>IF($D2011="","",IF($X2011="Yes",1,0))</f>
        <v/>
      </c>
      <c r="AO2011">
        <f>IF($AK2011=1,IFERROR(IF(VALUE($D2011)&lt;100000000,VALUE($D2011),1000000000),IFERROR(IF(VALUE(MID($D2011,2,20))&lt;100000000,VALUE(MID($D2011,2,20)),1000000000),1000000000))+ROW()/100000,"")</f>
        <v/>
      </c>
    </row>
    <row r="2012">
      <c r="F2012" s="11" t="n"/>
      <c r="N2012" s="7">
        <f>IF($D2012="","",M2012*V2012/100)</f>
        <v/>
      </c>
      <c r="O2012" s="7" t="n"/>
      <c r="U2012" s="7" t="n"/>
      <c r="V2012" s="7" t="n"/>
      <c r="Y2012">
        <f>IF($D2012="","",IF($AN2012=1,0,IF($AM2012=1,Settings!$C$6,Settings!$C$7))*100)</f>
        <v/>
      </c>
      <c r="Z2012" s="7">
        <f>IF($D2012="","",V2012*Y2012/100)</f>
        <v/>
      </c>
      <c r="AA2012" s="7">
        <f>IF($D2012="","",V2012-Z2012)</f>
        <v/>
      </c>
      <c r="AB2012" s="7">
        <f>IF($D2012="","",AA2012-N2012)</f>
        <v/>
      </c>
      <c r="AF2012" s="7" t="n"/>
      <c r="AI2012" s="11" t="n"/>
      <c r="AK2012">
        <f>IF($D2012="","",IF(COUNTIF($D$2:$D2012,$D2012)=1,1,0))</f>
        <v/>
      </c>
      <c r="AL2012">
        <f>IF($AK2012=1,SUMPRODUCT(--($AO$2:$AO$3001&lt;$AO2012))+1,"")</f>
        <v/>
      </c>
      <c r="AM2012">
        <f>IF($D2012="","",IF(OR($R2012=TRUE(),$R2012="TRUE"),1,0))</f>
        <v/>
      </c>
      <c r="AN2012">
        <f>IF($D2012="","",IF($X2012="Yes",1,0))</f>
        <v/>
      </c>
      <c r="AO2012">
        <f>IF($AK2012=1,IFERROR(IF(VALUE($D2012)&lt;100000000,VALUE($D2012),1000000000),IFERROR(IF(VALUE(MID($D2012,2,20))&lt;100000000,VALUE(MID($D2012,2,20)),1000000000),1000000000))+ROW()/100000,"")</f>
        <v/>
      </c>
    </row>
    <row r="2013">
      <c r="F2013" s="11" t="n"/>
      <c r="N2013" s="7">
        <f>IF($D2013="","",M2013*V2013/100)</f>
        <v/>
      </c>
      <c r="O2013" s="7" t="n"/>
      <c r="U2013" s="7" t="n"/>
      <c r="V2013" s="7" t="n"/>
      <c r="Y2013">
        <f>IF($D2013="","",IF($AN2013=1,0,IF($AM2013=1,Settings!$C$6,Settings!$C$7))*100)</f>
        <v/>
      </c>
      <c r="Z2013" s="7">
        <f>IF($D2013="","",V2013*Y2013/100)</f>
        <v/>
      </c>
      <c r="AA2013" s="7">
        <f>IF($D2013="","",V2013-Z2013)</f>
        <v/>
      </c>
      <c r="AB2013" s="7">
        <f>IF($D2013="","",AA2013-N2013)</f>
        <v/>
      </c>
      <c r="AF2013" s="7" t="n"/>
      <c r="AI2013" s="11" t="n"/>
      <c r="AK2013">
        <f>IF($D2013="","",IF(COUNTIF($D$2:$D2013,$D2013)=1,1,0))</f>
        <v/>
      </c>
      <c r="AL2013">
        <f>IF($AK2013=1,SUMPRODUCT(--($AO$2:$AO$3001&lt;$AO2013))+1,"")</f>
        <v/>
      </c>
      <c r="AM2013">
        <f>IF($D2013="","",IF(OR($R2013=TRUE(),$R2013="TRUE"),1,0))</f>
        <v/>
      </c>
      <c r="AN2013">
        <f>IF($D2013="","",IF($X2013="Yes",1,0))</f>
        <v/>
      </c>
      <c r="AO2013">
        <f>IF($AK2013=1,IFERROR(IF(VALUE($D2013)&lt;100000000,VALUE($D2013),1000000000),IFERROR(IF(VALUE(MID($D2013,2,20))&lt;100000000,VALUE(MID($D2013,2,20)),1000000000),1000000000))+ROW()/100000,"")</f>
        <v/>
      </c>
    </row>
    <row r="2014">
      <c r="F2014" s="11" t="n"/>
      <c r="N2014" s="7">
        <f>IF($D2014="","",M2014*V2014/100)</f>
        <v/>
      </c>
      <c r="O2014" s="7" t="n"/>
      <c r="U2014" s="7" t="n"/>
      <c r="V2014" s="7" t="n"/>
      <c r="Y2014">
        <f>IF($D2014="","",IF($AN2014=1,0,IF($AM2014=1,Settings!$C$6,Settings!$C$7))*100)</f>
        <v/>
      </c>
      <c r="Z2014" s="7">
        <f>IF($D2014="","",V2014*Y2014/100)</f>
        <v/>
      </c>
      <c r="AA2014" s="7">
        <f>IF($D2014="","",V2014-Z2014)</f>
        <v/>
      </c>
      <c r="AB2014" s="7">
        <f>IF($D2014="","",AA2014-N2014)</f>
        <v/>
      </c>
      <c r="AF2014" s="7" t="n"/>
      <c r="AI2014" s="11" t="n"/>
      <c r="AK2014">
        <f>IF($D2014="","",IF(COUNTIF($D$2:$D2014,$D2014)=1,1,0))</f>
        <v/>
      </c>
      <c r="AL2014">
        <f>IF($AK2014=1,SUMPRODUCT(--($AO$2:$AO$3001&lt;$AO2014))+1,"")</f>
        <v/>
      </c>
      <c r="AM2014">
        <f>IF($D2014="","",IF(OR($R2014=TRUE(),$R2014="TRUE"),1,0))</f>
        <v/>
      </c>
      <c r="AN2014">
        <f>IF($D2014="","",IF($X2014="Yes",1,0))</f>
        <v/>
      </c>
      <c r="AO2014">
        <f>IF($AK2014=1,IFERROR(IF(VALUE($D2014)&lt;100000000,VALUE($D2014),1000000000),IFERROR(IF(VALUE(MID($D2014,2,20))&lt;100000000,VALUE(MID($D2014,2,20)),1000000000),1000000000))+ROW()/100000,"")</f>
        <v/>
      </c>
    </row>
    <row r="2015">
      <c r="F2015" s="11" t="n"/>
      <c r="N2015" s="7">
        <f>IF($D2015="","",M2015*V2015/100)</f>
        <v/>
      </c>
      <c r="O2015" s="7" t="n"/>
      <c r="U2015" s="7" t="n"/>
      <c r="V2015" s="7" t="n"/>
      <c r="Y2015">
        <f>IF($D2015="","",IF($AN2015=1,0,IF($AM2015=1,Settings!$C$6,Settings!$C$7))*100)</f>
        <v/>
      </c>
      <c r="Z2015" s="7">
        <f>IF($D2015="","",V2015*Y2015/100)</f>
        <v/>
      </c>
      <c r="AA2015" s="7">
        <f>IF($D2015="","",V2015-Z2015)</f>
        <v/>
      </c>
      <c r="AB2015" s="7">
        <f>IF($D2015="","",AA2015-N2015)</f>
        <v/>
      </c>
      <c r="AF2015" s="7" t="n"/>
      <c r="AI2015" s="11" t="n"/>
      <c r="AK2015">
        <f>IF($D2015="","",IF(COUNTIF($D$2:$D2015,$D2015)=1,1,0))</f>
        <v/>
      </c>
      <c r="AL2015">
        <f>IF($AK2015=1,SUMPRODUCT(--($AO$2:$AO$3001&lt;$AO2015))+1,"")</f>
        <v/>
      </c>
      <c r="AM2015">
        <f>IF($D2015="","",IF(OR($R2015=TRUE(),$R2015="TRUE"),1,0))</f>
        <v/>
      </c>
      <c r="AN2015">
        <f>IF($D2015="","",IF($X2015="Yes",1,0))</f>
        <v/>
      </c>
      <c r="AO2015">
        <f>IF($AK2015=1,IFERROR(IF(VALUE($D2015)&lt;100000000,VALUE($D2015),1000000000),IFERROR(IF(VALUE(MID($D2015,2,20))&lt;100000000,VALUE(MID($D2015,2,20)),1000000000),1000000000))+ROW()/100000,"")</f>
        <v/>
      </c>
    </row>
    <row r="2016">
      <c r="F2016" s="11" t="n"/>
      <c r="N2016" s="7">
        <f>IF($D2016="","",M2016*V2016/100)</f>
        <v/>
      </c>
      <c r="O2016" s="7" t="n"/>
      <c r="U2016" s="7" t="n"/>
      <c r="V2016" s="7" t="n"/>
      <c r="Y2016">
        <f>IF($D2016="","",IF($AN2016=1,0,IF($AM2016=1,Settings!$C$6,Settings!$C$7))*100)</f>
        <v/>
      </c>
      <c r="Z2016" s="7">
        <f>IF($D2016="","",V2016*Y2016/100)</f>
        <v/>
      </c>
      <c r="AA2016" s="7">
        <f>IF($D2016="","",V2016-Z2016)</f>
        <v/>
      </c>
      <c r="AB2016" s="7">
        <f>IF($D2016="","",AA2016-N2016)</f>
        <v/>
      </c>
      <c r="AF2016" s="7" t="n"/>
      <c r="AI2016" s="11" t="n"/>
      <c r="AK2016">
        <f>IF($D2016="","",IF(COUNTIF($D$2:$D2016,$D2016)=1,1,0))</f>
        <v/>
      </c>
      <c r="AL2016">
        <f>IF($AK2016=1,SUMPRODUCT(--($AO$2:$AO$3001&lt;$AO2016))+1,"")</f>
        <v/>
      </c>
      <c r="AM2016">
        <f>IF($D2016="","",IF(OR($R2016=TRUE(),$R2016="TRUE"),1,0))</f>
        <v/>
      </c>
      <c r="AN2016">
        <f>IF($D2016="","",IF($X2016="Yes",1,0))</f>
        <v/>
      </c>
      <c r="AO2016">
        <f>IF($AK2016=1,IFERROR(IF(VALUE($D2016)&lt;100000000,VALUE($D2016),1000000000),IFERROR(IF(VALUE(MID($D2016,2,20))&lt;100000000,VALUE(MID($D2016,2,20)),1000000000),1000000000))+ROW()/100000,"")</f>
        <v/>
      </c>
    </row>
    <row r="2017">
      <c r="F2017" s="11" t="n"/>
      <c r="N2017" s="7">
        <f>IF($D2017="","",M2017*V2017/100)</f>
        <v/>
      </c>
      <c r="O2017" s="7" t="n"/>
      <c r="U2017" s="7" t="n"/>
      <c r="V2017" s="7" t="n"/>
      <c r="Y2017">
        <f>IF($D2017="","",IF($AN2017=1,0,IF($AM2017=1,Settings!$C$6,Settings!$C$7))*100)</f>
        <v/>
      </c>
      <c r="Z2017" s="7">
        <f>IF($D2017="","",V2017*Y2017/100)</f>
        <v/>
      </c>
      <c r="AA2017" s="7">
        <f>IF($D2017="","",V2017-Z2017)</f>
        <v/>
      </c>
      <c r="AB2017" s="7">
        <f>IF($D2017="","",AA2017-N2017)</f>
        <v/>
      </c>
      <c r="AF2017" s="7" t="n"/>
      <c r="AI2017" s="11" t="n"/>
      <c r="AK2017">
        <f>IF($D2017="","",IF(COUNTIF($D$2:$D2017,$D2017)=1,1,0))</f>
        <v/>
      </c>
      <c r="AL2017">
        <f>IF($AK2017=1,SUMPRODUCT(--($AO$2:$AO$3001&lt;$AO2017))+1,"")</f>
        <v/>
      </c>
      <c r="AM2017">
        <f>IF($D2017="","",IF(OR($R2017=TRUE(),$R2017="TRUE"),1,0))</f>
        <v/>
      </c>
      <c r="AN2017">
        <f>IF($D2017="","",IF($X2017="Yes",1,0))</f>
        <v/>
      </c>
      <c r="AO2017">
        <f>IF($AK2017=1,IFERROR(IF(VALUE($D2017)&lt;100000000,VALUE($D2017),1000000000),IFERROR(IF(VALUE(MID($D2017,2,20))&lt;100000000,VALUE(MID($D2017,2,20)),1000000000),1000000000))+ROW()/100000,"")</f>
        <v/>
      </c>
    </row>
    <row r="2018">
      <c r="F2018" s="11" t="n"/>
      <c r="N2018" s="7">
        <f>IF($D2018="","",M2018*V2018/100)</f>
        <v/>
      </c>
      <c r="O2018" s="7" t="n"/>
      <c r="U2018" s="7" t="n"/>
      <c r="V2018" s="7" t="n"/>
      <c r="Y2018">
        <f>IF($D2018="","",IF($AN2018=1,0,IF($AM2018=1,Settings!$C$6,Settings!$C$7))*100)</f>
        <v/>
      </c>
      <c r="Z2018" s="7">
        <f>IF($D2018="","",V2018*Y2018/100)</f>
        <v/>
      </c>
      <c r="AA2018" s="7">
        <f>IF($D2018="","",V2018-Z2018)</f>
        <v/>
      </c>
      <c r="AB2018" s="7">
        <f>IF($D2018="","",AA2018-N2018)</f>
        <v/>
      </c>
      <c r="AF2018" s="7" t="n"/>
      <c r="AI2018" s="11" t="n"/>
      <c r="AK2018">
        <f>IF($D2018="","",IF(COUNTIF($D$2:$D2018,$D2018)=1,1,0))</f>
        <v/>
      </c>
      <c r="AL2018">
        <f>IF($AK2018=1,SUMPRODUCT(--($AO$2:$AO$3001&lt;$AO2018))+1,"")</f>
        <v/>
      </c>
      <c r="AM2018">
        <f>IF($D2018="","",IF(OR($R2018=TRUE(),$R2018="TRUE"),1,0))</f>
        <v/>
      </c>
      <c r="AN2018">
        <f>IF($D2018="","",IF($X2018="Yes",1,0))</f>
        <v/>
      </c>
      <c r="AO2018">
        <f>IF($AK2018=1,IFERROR(IF(VALUE($D2018)&lt;100000000,VALUE($D2018),1000000000),IFERROR(IF(VALUE(MID($D2018,2,20))&lt;100000000,VALUE(MID($D2018,2,20)),1000000000),1000000000))+ROW()/100000,"")</f>
        <v/>
      </c>
    </row>
    <row r="2019">
      <c r="F2019" s="11" t="n"/>
      <c r="N2019" s="7">
        <f>IF($D2019="","",M2019*V2019/100)</f>
        <v/>
      </c>
      <c r="O2019" s="7" t="n"/>
      <c r="U2019" s="7" t="n"/>
      <c r="V2019" s="7" t="n"/>
      <c r="Y2019">
        <f>IF($D2019="","",IF($AN2019=1,0,IF($AM2019=1,Settings!$C$6,Settings!$C$7))*100)</f>
        <v/>
      </c>
      <c r="Z2019" s="7">
        <f>IF($D2019="","",V2019*Y2019/100)</f>
        <v/>
      </c>
      <c r="AA2019" s="7">
        <f>IF($D2019="","",V2019-Z2019)</f>
        <v/>
      </c>
      <c r="AB2019" s="7">
        <f>IF($D2019="","",AA2019-N2019)</f>
        <v/>
      </c>
      <c r="AF2019" s="7" t="n"/>
      <c r="AI2019" s="11" t="n"/>
      <c r="AK2019">
        <f>IF($D2019="","",IF(COUNTIF($D$2:$D2019,$D2019)=1,1,0))</f>
        <v/>
      </c>
      <c r="AL2019">
        <f>IF($AK2019=1,SUMPRODUCT(--($AO$2:$AO$3001&lt;$AO2019))+1,"")</f>
        <v/>
      </c>
      <c r="AM2019">
        <f>IF($D2019="","",IF(OR($R2019=TRUE(),$R2019="TRUE"),1,0))</f>
        <v/>
      </c>
      <c r="AN2019">
        <f>IF($D2019="","",IF($X2019="Yes",1,0))</f>
        <v/>
      </c>
      <c r="AO2019">
        <f>IF($AK2019=1,IFERROR(IF(VALUE($D2019)&lt;100000000,VALUE($D2019),1000000000),IFERROR(IF(VALUE(MID($D2019,2,20))&lt;100000000,VALUE(MID($D2019,2,20)),1000000000),1000000000))+ROW()/100000,"")</f>
        <v/>
      </c>
    </row>
    <row r="2020">
      <c r="F2020" s="11" t="n"/>
      <c r="N2020" s="7">
        <f>IF($D2020="","",M2020*V2020/100)</f>
        <v/>
      </c>
      <c r="O2020" s="7" t="n"/>
      <c r="U2020" s="7" t="n"/>
      <c r="V2020" s="7" t="n"/>
      <c r="Y2020">
        <f>IF($D2020="","",IF($AN2020=1,0,IF($AM2020=1,Settings!$C$6,Settings!$C$7))*100)</f>
        <v/>
      </c>
      <c r="Z2020" s="7">
        <f>IF($D2020="","",V2020*Y2020/100)</f>
        <v/>
      </c>
      <c r="AA2020" s="7">
        <f>IF($D2020="","",V2020-Z2020)</f>
        <v/>
      </c>
      <c r="AB2020" s="7">
        <f>IF($D2020="","",AA2020-N2020)</f>
        <v/>
      </c>
      <c r="AF2020" s="7" t="n"/>
      <c r="AI2020" s="11" t="n"/>
      <c r="AK2020">
        <f>IF($D2020="","",IF(COUNTIF($D$2:$D2020,$D2020)=1,1,0))</f>
        <v/>
      </c>
      <c r="AL2020">
        <f>IF($AK2020=1,SUMPRODUCT(--($AO$2:$AO$3001&lt;$AO2020))+1,"")</f>
        <v/>
      </c>
      <c r="AM2020">
        <f>IF($D2020="","",IF(OR($R2020=TRUE(),$R2020="TRUE"),1,0))</f>
        <v/>
      </c>
      <c r="AN2020">
        <f>IF($D2020="","",IF($X2020="Yes",1,0))</f>
        <v/>
      </c>
      <c r="AO2020">
        <f>IF($AK2020=1,IFERROR(IF(VALUE($D2020)&lt;100000000,VALUE($D2020),1000000000),IFERROR(IF(VALUE(MID($D2020,2,20))&lt;100000000,VALUE(MID($D2020,2,20)),1000000000),1000000000))+ROW()/100000,"")</f>
        <v/>
      </c>
    </row>
    <row r="2021">
      <c r="F2021" s="11" t="n"/>
      <c r="N2021" s="7">
        <f>IF($D2021="","",M2021*V2021/100)</f>
        <v/>
      </c>
      <c r="O2021" s="7" t="n"/>
      <c r="U2021" s="7" t="n"/>
      <c r="V2021" s="7" t="n"/>
      <c r="Y2021">
        <f>IF($D2021="","",IF($AN2021=1,0,IF($AM2021=1,Settings!$C$6,Settings!$C$7))*100)</f>
        <v/>
      </c>
      <c r="Z2021" s="7">
        <f>IF($D2021="","",V2021*Y2021/100)</f>
        <v/>
      </c>
      <c r="AA2021" s="7">
        <f>IF($D2021="","",V2021-Z2021)</f>
        <v/>
      </c>
      <c r="AB2021" s="7">
        <f>IF($D2021="","",AA2021-N2021)</f>
        <v/>
      </c>
      <c r="AF2021" s="7" t="n"/>
      <c r="AI2021" s="11" t="n"/>
      <c r="AK2021">
        <f>IF($D2021="","",IF(COUNTIF($D$2:$D2021,$D2021)=1,1,0))</f>
        <v/>
      </c>
      <c r="AL2021">
        <f>IF($AK2021=1,SUMPRODUCT(--($AO$2:$AO$3001&lt;$AO2021))+1,"")</f>
        <v/>
      </c>
      <c r="AM2021">
        <f>IF($D2021="","",IF(OR($R2021=TRUE(),$R2021="TRUE"),1,0))</f>
        <v/>
      </c>
      <c r="AN2021">
        <f>IF($D2021="","",IF($X2021="Yes",1,0))</f>
        <v/>
      </c>
      <c r="AO2021">
        <f>IF($AK2021=1,IFERROR(IF(VALUE($D2021)&lt;100000000,VALUE($D2021),1000000000),IFERROR(IF(VALUE(MID($D2021,2,20))&lt;100000000,VALUE(MID($D2021,2,20)),1000000000),1000000000))+ROW()/100000,"")</f>
        <v/>
      </c>
    </row>
    <row r="2022">
      <c r="F2022" s="11" t="n"/>
      <c r="N2022" s="7">
        <f>IF($D2022="","",M2022*V2022/100)</f>
        <v/>
      </c>
      <c r="O2022" s="7" t="n"/>
      <c r="U2022" s="7" t="n"/>
      <c r="V2022" s="7" t="n"/>
      <c r="Y2022">
        <f>IF($D2022="","",IF($AN2022=1,0,IF($AM2022=1,Settings!$C$6,Settings!$C$7))*100)</f>
        <v/>
      </c>
      <c r="Z2022" s="7">
        <f>IF($D2022="","",V2022*Y2022/100)</f>
        <v/>
      </c>
      <c r="AA2022" s="7">
        <f>IF($D2022="","",V2022-Z2022)</f>
        <v/>
      </c>
      <c r="AB2022" s="7">
        <f>IF($D2022="","",AA2022-N2022)</f>
        <v/>
      </c>
      <c r="AF2022" s="7" t="n"/>
      <c r="AI2022" s="11" t="n"/>
      <c r="AK2022">
        <f>IF($D2022="","",IF(COUNTIF($D$2:$D2022,$D2022)=1,1,0))</f>
        <v/>
      </c>
      <c r="AL2022">
        <f>IF($AK2022=1,SUMPRODUCT(--($AO$2:$AO$3001&lt;$AO2022))+1,"")</f>
        <v/>
      </c>
      <c r="AM2022">
        <f>IF($D2022="","",IF(OR($R2022=TRUE(),$R2022="TRUE"),1,0))</f>
        <v/>
      </c>
      <c r="AN2022">
        <f>IF($D2022="","",IF($X2022="Yes",1,0))</f>
        <v/>
      </c>
      <c r="AO2022">
        <f>IF($AK2022=1,IFERROR(IF(VALUE($D2022)&lt;100000000,VALUE($D2022),1000000000),IFERROR(IF(VALUE(MID($D2022,2,20))&lt;100000000,VALUE(MID($D2022,2,20)),1000000000),1000000000))+ROW()/100000,"")</f>
        <v/>
      </c>
    </row>
    <row r="2023">
      <c r="F2023" s="11" t="n"/>
      <c r="N2023" s="7">
        <f>IF($D2023="","",M2023*V2023/100)</f>
        <v/>
      </c>
      <c r="O2023" s="7" t="n"/>
      <c r="U2023" s="7" t="n"/>
      <c r="V2023" s="7" t="n"/>
      <c r="Y2023">
        <f>IF($D2023="","",IF($AN2023=1,0,IF($AM2023=1,Settings!$C$6,Settings!$C$7))*100)</f>
        <v/>
      </c>
      <c r="Z2023" s="7">
        <f>IF($D2023="","",V2023*Y2023/100)</f>
        <v/>
      </c>
      <c r="AA2023" s="7">
        <f>IF($D2023="","",V2023-Z2023)</f>
        <v/>
      </c>
      <c r="AB2023" s="7">
        <f>IF($D2023="","",AA2023-N2023)</f>
        <v/>
      </c>
      <c r="AF2023" s="7" t="n"/>
      <c r="AI2023" s="11" t="n"/>
      <c r="AK2023">
        <f>IF($D2023="","",IF(COUNTIF($D$2:$D2023,$D2023)=1,1,0))</f>
        <v/>
      </c>
      <c r="AL2023">
        <f>IF($AK2023=1,SUMPRODUCT(--($AO$2:$AO$3001&lt;$AO2023))+1,"")</f>
        <v/>
      </c>
      <c r="AM2023">
        <f>IF($D2023="","",IF(OR($R2023=TRUE(),$R2023="TRUE"),1,0))</f>
        <v/>
      </c>
      <c r="AN2023">
        <f>IF($D2023="","",IF($X2023="Yes",1,0))</f>
        <v/>
      </c>
      <c r="AO2023">
        <f>IF($AK2023=1,IFERROR(IF(VALUE($D2023)&lt;100000000,VALUE($D2023),1000000000),IFERROR(IF(VALUE(MID($D2023,2,20))&lt;100000000,VALUE(MID($D2023,2,20)),1000000000),1000000000))+ROW()/100000,"")</f>
        <v/>
      </c>
    </row>
    <row r="2024">
      <c r="F2024" s="11" t="n"/>
      <c r="N2024" s="7">
        <f>IF($D2024="","",M2024*V2024/100)</f>
        <v/>
      </c>
      <c r="O2024" s="7" t="n"/>
      <c r="U2024" s="7" t="n"/>
      <c r="V2024" s="7" t="n"/>
      <c r="Y2024">
        <f>IF($D2024="","",IF($AN2024=1,0,IF($AM2024=1,Settings!$C$6,Settings!$C$7))*100)</f>
        <v/>
      </c>
      <c r="Z2024" s="7">
        <f>IF($D2024="","",V2024*Y2024/100)</f>
        <v/>
      </c>
      <c r="AA2024" s="7">
        <f>IF($D2024="","",V2024-Z2024)</f>
        <v/>
      </c>
      <c r="AB2024" s="7">
        <f>IF($D2024="","",AA2024-N2024)</f>
        <v/>
      </c>
      <c r="AF2024" s="7" t="n"/>
      <c r="AI2024" s="11" t="n"/>
      <c r="AK2024">
        <f>IF($D2024="","",IF(COUNTIF($D$2:$D2024,$D2024)=1,1,0))</f>
        <v/>
      </c>
      <c r="AL2024">
        <f>IF($AK2024=1,SUMPRODUCT(--($AO$2:$AO$3001&lt;$AO2024))+1,"")</f>
        <v/>
      </c>
      <c r="AM2024">
        <f>IF($D2024="","",IF(OR($R2024=TRUE(),$R2024="TRUE"),1,0))</f>
        <v/>
      </c>
      <c r="AN2024">
        <f>IF($D2024="","",IF($X2024="Yes",1,0))</f>
        <v/>
      </c>
      <c r="AO2024">
        <f>IF($AK2024=1,IFERROR(IF(VALUE($D2024)&lt;100000000,VALUE($D2024),1000000000),IFERROR(IF(VALUE(MID($D2024,2,20))&lt;100000000,VALUE(MID($D2024,2,20)),1000000000),1000000000))+ROW()/100000,"")</f>
        <v/>
      </c>
    </row>
    <row r="2025">
      <c r="F2025" s="11" t="n"/>
      <c r="N2025" s="7">
        <f>IF($D2025="","",M2025*V2025/100)</f>
        <v/>
      </c>
      <c r="O2025" s="7" t="n"/>
      <c r="U2025" s="7" t="n"/>
      <c r="V2025" s="7" t="n"/>
      <c r="Y2025">
        <f>IF($D2025="","",IF($AN2025=1,0,IF($AM2025=1,Settings!$C$6,Settings!$C$7))*100)</f>
        <v/>
      </c>
      <c r="Z2025" s="7">
        <f>IF($D2025="","",V2025*Y2025/100)</f>
        <v/>
      </c>
      <c r="AA2025" s="7">
        <f>IF($D2025="","",V2025-Z2025)</f>
        <v/>
      </c>
      <c r="AB2025" s="7">
        <f>IF($D2025="","",AA2025-N2025)</f>
        <v/>
      </c>
      <c r="AF2025" s="7" t="n"/>
      <c r="AI2025" s="11" t="n"/>
      <c r="AK2025">
        <f>IF($D2025="","",IF(COUNTIF($D$2:$D2025,$D2025)=1,1,0))</f>
        <v/>
      </c>
      <c r="AL2025">
        <f>IF($AK2025=1,SUMPRODUCT(--($AO$2:$AO$3001&lt;$AO2025))+1,"")</f>
        <v/>
      </c>
      <c r="AM2025">
        <f>IF($D2025="","",IF(OR($R2025=TRUE(),$R2025="TRUE"),1,0))</f>
        <v/>
      </c>
      <c r="AN2025">
        <f>IF($D2025="","",IF($X2025="Yes",1,0))</f>
        <v/>
      </c>
      <c r="AO2025">
        <f>IF($AK2025=1,IFERROR(IF(VALUE($D2025)&lt;100000000,VALUE($D2025),1000000000),IFERROR(IF(VALUE(MID($D2025,2,20))&lt;100000000,VALUE(MID($D2025,2,20)),1000000000),1000000000))+ROW()/100000,"")</f>
        <v/>
      </c>
    </row>
    <row r="2026">
      <c r="F2026" s="11" t="n"/>
      <c r="N2026" s="7">
        <f>IF($D2026="","",M2026*V2026/100)</f>
        <v/>
      </c>
      <c r="O2026" s="7" t="n"/>
      <c r="U2026" s="7" t="n"/>
      <c r="V2026" s="7" t="n"/>
      <c r="Y2026">
        <f>IF($D2026="","",IF($AN2026=1,0,IF($AM2026=1,Settings!$C$6,Settings!$C$7))*100)</f>
        <v/>
      </c>
      <c r="Z2026" s="7">
        <f>IF($D2026="","",V2026*Y2026/100)</f>
        <v/>
      </c>
      <c r="AA2026" s="7">
        <f>IF($D2026="","",V2026-Z2026)</f>
        <v/>
      </c>
      <c r="AB2026" s="7">
        <f>IF($D2026="","",AA2026-N2026)</f>
        <v/>
      </c>
      <c r="AF2026" s="7" t="n"/>
      <c r="AI2026" s="11" t="n"/>
      <c r="AK2026">
        <f>IF($D2026="","",IF(COUNTIF($D$2:$D2026,$D2026)=1,1,0))</f>
        <v/>
      </c>
      <c r="AL2026">
        <f>IF($AK2026=1,SUMPRODUCT(--($AO$2:$AO$3001&lt;$AO2026))+1,"")</f>
        <v/>
      </c>
      <c r="AM2026">
        <f>IF($D2026="","",IF(OR($R2026=TRUE(),$R2026="TRUE"),1,0))</f>
        <v/>
      </c>
      <c r="AN2026">
        <f>IF($D2026="","",IF($X2026="Yes",1,0))</f>
        <v/>
      </c>
      <c r="AO2026">
        <f>IF($AK2026=1,IFERROR(IF(VALUE($D2026)&lt;100000000,VALUE($D2026),1000000000),IFERROR(IF(VALUE(MID($D2026,2,20))&lt;100000000,VALUE(MID($D2026,2,20)),1000000000),1000000000))+ROW()/100000,"")</f>
        <v/>
      </c>
    </row>
    <row r="2027">
      <c r="F2027" s="11" t="n"/>
      <c r="N2027" s="7">
        <f>IF($D2027="","",M2027*V2027/100)</f>
        <v/>
      </c>
      <c r="O2027" s="7" t="n"/>
      <c r="U2027" s="7" t="n"/>
      <c r="V2027" s="7" t="n"/>
      <c r="Y2027">
        <f>IF($D2027="","",IF($AN2027=1,0,IF($AM2027=1,Settings!$C$6,Settings!$C$7))*100)</f>
        <v/>
      </c>
      <c r="Z2027" s="7">
        <f>IF($D2027="","",V2027*Y2027/100)</f>
        <v/>
      </c>
      <c r="AA2027" s="7">
        <f>IF($D2027="","",V2027-Z2027)</f>
        <v/>
      </c>
      <c r="AB2027" s="7">
        <f>IF($D2027="","",AA2027-N2027)</f>
        <v/>
      </c>
      <c r="AF2027" s="7" t="n"/>
      <c r="AI2027" s="11" t="n"/>
      <c r="AK2027">
        <f>IF($D2027="","",IF(COUNTIF($D$2:$D2027,$D2027)=1,1,0))</f>
        <v/>
      </c>
      <c r="AL2027">
        <f>IF($AK2027=1,SUMPRODUCT(--($AO$2:$AO$3001&lt;$AO2027))+1,"")</f>
        <v/>
      </c>
      <c r="AM2027">
        <f>IF($D2027="","",IF(OR($R2027=TRUE(),$R2027="TRUE"),1,0))</f>
        <v/>
      </c>
      <c r="AN2027">
        <f>IF($D2027="","",IF($X2027="Yes",1,0))</f>
        <v/>
      </c>
      <c r="AO2027">
        <f>IF($AK2027=1,IFERROR(IF(VALUE($D2027)&lt;100000000,VALUE($D2027),1000000000),IFERROR(IF(VALUE(MID($D2027,2,20))&lt;100000000,VALUE(MID($D2027,2,20)),1000000000),1000000000))+ROW()/100000,"")</f>
        <v/>
      </c>
    </row>
    <row r="2028">
      <c r="F2028" s="11" t="n"/>
      <c r="N2028" s="7">
        <f>IF($D2028="","",M2028*V2028/100)</f>
        <v/>
      </c>
      <c r="O2028" s="7" t="n"/>
      <c r="U2028" s="7" t="n"/>
      <c r="V2028" s="7" t="n"/>
      <c r="Y2028">
        <f>IF($D2028="","",IF($AN2028=1,0,IF($AM2028=1,Settings!$C$6,Settings!$C$7))*100)</f>
        <v/>
      </c>
      <c r="Z2028" s="7">
        <f>IF($D2028="","",V2028*Y2028/100)</f>
        <v/>
      </c>
      <c r="AA2028" s="7">
        <f>IF($D2028="","",V2028-Z2028)</f>
        <v/>
      </c>
      <c r="AB2028" s="7">
        <f>IF($D2028="","",AA2028-N2028)</f>
        <v/>
      </c>
      <c r="AF2028" s="7" t="n"/>
      <c r="AI2028" s="11" t="n"/>
      <c r="AK2028">
        <f>IF($D2028="","",IF(COUNTIF($D$2:$D2028,$D2028)=1,1,0))</f>
        <v/>
      </c>
      <c r="AL2028">
        <f>IF($AK2028=1,SUMPRODUCT(--($AO$2:$AO$3001&lt;$AO2028))+1,"")</f>
        <v/>
      </c>
      <c r="AM2028">
        <f>IF($D2028="","",IF(OR($R2028=TRUE(),$R2028="TRUE"),1,0))</f>
        <v/>
      </c>
      <c r="AN2028">
        <f>IF($D2028="","",IF($X2028="Yes",1,0))</f>
        <v/>
      </c>
      <c r="AO2028">
        <f>IF($AK2028=1,IFERROR(IF(VALUE($D2028)&lt;100000000,VALUE($D2028),1000000000),IFERROR(IF(VALUE(MID($D2028,2,20))&lt;100000000,VALUE(MID($D2028,2,20)),1000000000),1000000000))+ROW()/100000,"")</f>
        <v/>
      </c>
    </row>
    <row r="2029">
      <c r="F2029" s="11" t="n"/>
      <c r="N2029" s="7">
        <f>IF($D2029="","",M2029*V2029/100)</f>
        <v/>
      </c>
      <c r="O2029" s="7" t="n"/>
      <c r="U2029" s="7" t="n"/>
      <c r="V2029" s="7" t="n"/>
      <c r="Y2029">
        <f>IF($D2029="","",IF($AN2029=1,0,IF($AM2029=1,Settings!$C$6,Settings!$C$7))*100)</f>
        <v/>
      </c>
      <c r="Z2029" s="7">
        <f>IF($D2029="","",V2029*Y2029/100)</f>
        <v/>
      </c>
      <c r="AA2029" s="7">
        <f>IF($D2029="","",V2029-Z2029)</f>
        <v/>
      </c>
      <c r="AB2029" s="7">
        <f>IF($D2029="","",AA2029-N2029)</f>
        <v/>
      </c>
      <c r="AF2029" s="7" t="n"/>
      <c r="AI2029" s="11" t="n"/>
      <c r="AK2029">
        <f>IF($D2029="","",IF(COUNTIF($D$2:$D2029,$D2029)=1,1,0))</f>
        <v/>
      </c>
      <c r="AL2029">
        <f>IF($AK2029=1,SUMPRODUCT(--($AO$2:$AO$3001&lt;$AO2029))+1,"")</f>
        <v/>
      </c>
      <c r="AM2029">
        <f>IF($D2029="","",IF(OR($R2029=TRUE(),$R2029="TRUE"),1,0))</f>
        <v/>
      </c>
      <c r="AN2029">
        <f>IF($D2029="","",IF($X2029="Yes",1,0))</f>
        <v/>
      </c>
      <c r="AO2029">
        <f>IF($AK2029=1,IFERROR(IF(VALUE($D2029)&lt;100000000,VALUE($D2029),1000000000),IFERROR(IF(VALUE(MID($D2029,2,20))&lt;100000000,VALUE(MID($D2029,2,20)),1000000000),1000000000))+ROW()/100000,"")</f>
        <v/>
      </c>
    </row>
    <row r="2030">
      <c r="F2030" s="11" t="n"/>
      <c r="N2030" s="7">
        <f>IF($D2030="","",M2030*V2030/100)</f>
        <v/>
      </c>
      <c r="O2030" s="7" t="n"/>
      <c r="U2030" s="7" t="n"/>
      <c r="V2030" s="7" t="n"/>
      <c r="Y2030">
        <f>IF($D2030="","",IF($AN2030=1,0,IF($AM2030=1,Settings!$C$6,Settings!$C$7))*100)</f>
        <v/>
      </c>
      <c r="Z2030" s="7">
        <f>IF($D2030="","",V2030*Y2030/100)</f>
        <v/>
      </c>
      <c r="AA2030" s="7">
        <f>IF($D2030="","",V2030-Z2030)</f>
        <v/>
      </c>
      <c r="AB2030" s="7">
        <f>IF($D2030="","",AA2030-N2030)</f>
        <v/>
      </c>
      <c r="AF2030" s="7" t="n"/>
      <c r="AI2030" s="11" t="n"/>
      <c r="AK2030">
        <f>IF($D2030="","",IF(COUNTIF($D$2:$D2030,$D2030)=1,1,0))</f>
        <v/>
      </c>
      <c r="AL2030">
        <f>IF($AK2030=1,SUMPRODUCT(--($AO$2:$AO$3001&lt;$AO2030))+1,"")</f>
        <v/>
      </c>
      <c r="AM2030">
        <f>IF($D2030="","",IF(OR($R2030=TRUE(),$R2030="TRUE"),1,0))</f>
        <v/>
      </c>
      <c r="AN2030">
        <f>IF($D2030="","",IF($X2030="Yes",1,0))</f>
        <v/>
      </c>
      <c r="AO2030">
        <f>IF($AK2030=1,IFERROR(IF(VALUE($D2030)&lt;100000000,VALUE($D2030),1000000000),IFERROR(IF(VALUE(MID($D2030,2,20))&lt;100000000,VALUE(MID($D2030,2,20)),1000000000),1000000000))+ROW()/100000,"")</f>
        <v/>
      </c>
    </row>
    <row r="2031">
      <c r="F2031" s="11" t="n"/>
      <c r="N2031" s="7">
        <f>IF($D2031="","",M2031*V2031/100)</f>
        <v/>
      </c>
      <c r="O2031" s="7" t="n"/>
      <c r="U2031" s="7" t="n"/>
      <c r="V2031" s="7" t="n"/>
      <c r="Y2031">
        <f>IF($D2031="","",IF($AN2031=1,0,IF($AM2031=1,Settings!$C$6,Settings!$C$7))*100)</f>
        <v/>
      </c>
      <c r="Z2031" s="7">
        <f>IF($D2031="","",V2031*Y2031/100)</f>
        <v/>
      </c>
      <c r="AA2031" s="7">
        <f>IF($D2031="","",V2031-Z2031)</f>
        <v/>
      </c>
      <c r="AB2031" s="7">
        <f>IF($D2031="","",AA2031-N2031)</f>
        <v/>
      </c>
      <c r="AF2031" s="7" t="n"/>
      <c r="AI2031" s="11" t="n"/>
      <c r="AK2031">
        <f>IF($D2031="","",IF(COUNTIF($D$2:$D2031,$D2031)=1,1,0))</f>
        <v/>
      </c>
      <c r="AL2031">
        <f>IF($AK2031=1,SUMPRODUCT(--($AO$2:$AO$3001&lt;$AO2031))+1,"")</f>
        <v/>
      </c>
      <c r="AM2031">
        <f>IF($D2031="","",IF(OR($R2031=TRUE(),$R2031="TRUE"),1,0))</f>
        <v/>
      </c>
      <c r="AN2031">
        <f>IF($D2031="","",IF($X2031="Yes",1,0))</f>
        <v/>
      </c>
      <c r="AO2031">
        <f>IF($AK2031=1,IFERROR(IF(VALUE($D2031)&lt;100000000,VALUE($D2031),1000000000),IFERROR(IF(VALUE(MID($D2031,2,20))&lt;100000000,VALUE(MID($D2031,2,20)),1000000000),1000000000))+ROW()/100000,"")</f>
        <v/>
      </c>
    </row>
    <row r="2032">
      <c r="F2032" s="11" t="n"/>
      <c r="N2032" s="7">
        <f>IF($D2032="","",M2032*V2032/100)</f>
        <v/>
      </c>
      <c r="O2032" s="7" t="n"/>
      <c r="U2032" s="7" t="n"/>
      <c r="V2032" s="7" t="n"/>
      <c r="Y2032">
        <f>IF($D2032="","",IF($AN2032=1,0,IF($AM2032=1,Settings!$C$6,Settings!$C$7))*100)</f>
        <v/>
      </c>
      <c r="Z2032" s="7">
        <f>IF($D2032="","",V2032*Y2032/100)</f>
        <v/>
      </c>
      <c r="AA2032" s="7">
        <f>IF($D2032="","",V2032-Z2032)</f>
        <v/>
      </c>
      <c r="AB2032" s="7">
        <f>IF($D2032="","",AA2032-N2032)</f>
        <v/>
      </c>
      <c r="AF2032" s="7" t="n"/>
      <c r="AI2032" s="11" t="n"/>
      <c r="AK2032">
        <f>IF($D2032="","",IF(COUNTIF($D$2:$D2032,$D2032)=1,1,0))</f>
        <v/>
      </c>
      <c r="AL2032">
        <f>IF($AK2032=1,SUMPRODUCT(--($AO$2:$AO$3001&lt;$AO2032))+1,"")</f>
        <v/>
      </c>
      <c r="AM2032">
        <f>IF($D2032="","",IF(OR($R2032=TRUE(),$R2032="TRUE"),1,0))</f>
        <v/>
      </c>
      <c r="AN2032">
        <f>IF($D2032="","",IF($X2032="Yes",1,0))</f>
        <v/>
      </c>
      <c r="AO2032">
        <f>IF($AK2032=1,IFERROR(IF(VALUE($D2032)&lt;100000000,VALUE($D2032),1000000000),IFERROR(IF(VALUE(MID($D2032,2,20))&lt;100000000,VALUE(MID($D2032,2,20)),1000000000),1000000000))+ROW()/100000,"")</f>
        <v/>
      </c>
    </row>
    <row r="2033">
      <c r="F2033" s="11" t="n"/>
      <c r="N2033" s="7">
        <f>IF($D2033="","",M2033*V2033/100)</f>
        <v/>
      </c>
      <c r="O2033" s="7" t="n"/>
      <c r="U2033" s="7" t="n"/>
      <c r="V2033" s="7" t="n"/>
      <c r="Y2033">
        <f>IF($D2033="","",IF($AN2033=1,0,IF($AM2033=1,Settings!$C$6,Settings!$C$7))*100)</f>
        <v/>
      </c>
      <c r="Z2033" s="7">
        <f>IF($D2033="","",V2033*Y2033/100)</f>
        <v/>
      </c>
      <c r="AA2033" s="7">
        <f>IF($D2033="","",V2033-Z2033)</f>
        <v/>
      </c>
      <c r="AB2033" s="7">
        <f>IF($D2033="","",AA2033-N2033)</f>
        <v/>
      </c>
      <c r="AF2033" s="7" t="n"/>
      <c r="AI2033" s="11" t="n"/>
      <c r="AK2033">
        <f>IF($D2033="","",IF(COUNTIF($D$2:$D2033,$D2033)=1,1,0))</f>
        <v/>
      </c>
      <c r="AL2033">
        <f>IF($AK2033=1,SUMPRODUCT(--($AO$2:$AO$3001&lt;$AO2033))+1,"")</f>
        <v/>
      </c>
      <c r="AM2033">
        <f>IF($D2033="","",IF(OR($R2033=TRUE(),$R2033="TRUE"),1,0))</f>
        <v/>
      </c>
      <c r="AN2033">
        <f>IF($D2033="","",IF($X2033="Yes",1,0))</f>
        <v/>
      </c>
      <c r="AO2033">
        <f>IF($AK2033=1,IFERROR(IF(VALUE($D2033)&lt;100000000,VALUE($D2033),1000000000),IFERROR(IF(VALUE(MID($D2033,2,20))&lt;100000000,VALUE(MID($D2033,2,20)),1000000000),1000000000))+ROW()/100000,"")</f>
        <v/>
      </c>
    </row>
    <row r="2034">
      <c r="F2034" s="11" t="n"/>
      <c r="N2034" s="7">
        <f>IF($D2034="","",M2034*V2034/100)</f>
        <v/>
      </c>
      <c r="O2034" s="7" t="n"/>
      <c r="U2034" s="7" t="n"/>
      <c r="V2034" s="7" t="n"/>
      <c r="Y2034">
        <f>IF($D2034="","",IF($AN2034=1,0,IF($AM2034=1,Settings!$C$6,Settings!$C$7))*100)</f>
        <v/>
      </c>
      <c r="Z2034" s="7">
        <f>IF($D2034="","",V2034*Y2034/100)</f>
        <v/>
      </c>
      <c r="AA2034" s="7">
        <f>IF($D2034="","",V2034-Z2034)</f>
        <v/>
      </c>
      <c r="AB2034" s="7">
        <f>IF($D2034="","",AA2034-N2034)</f>
        <v/>
      </c>
      <c r="AF2034" s="7" t="n"/>
      <c r="AI2034" s="11" t="n"/>
      <c r="AK2034">
        <f>IF($D2034="","",IF(COUNTIF($D$2:$D2034,$D2034)=1,1,0))</f>
        <v/>
      </c>
      <c r="AL2034">
        <f>IF($AK2034=1,SUMPRODUCT(--($AO$2:$AO$3001&lt;$AO2034))+1,"")</f>
        <v/>
      </c>
      <c r="AM2034">
        <f>IF($D2034="","",IF(OR($R2034=TRUE(),$R2034="TRUE"),1,0))</f>
        <v/>
      </c>
      <c r="AN2034">
        <f>IF($D2034="","",IF($X2034="Yes",1,0))</f>
        <v/>
      </c>
      <c r="AO2034">
        <f>IF($AK2034=1,IFERROR(IF(VALUE($D2034)&lt;100000000,VALUE($D2034),1000000000),IFERROR(IF(VALUE(MID($D2034,2,20))&lt;100000000,VALUE(MID($D2034,2,20)),1000000000),1000000000))+ROW()/100000,"")</f>
        <v/>
      </c>
    </row>
    <row r="2035">
      <c r="F2035" s="11" t="n"/>
      <c r="N2035" s="7">
        <f>IF($D2035="","",M2035*V2035/100)</f>
        <v/>
      </c>
      <c r="O2035" s="7" t="n"/>
      <c r="U2035" s="7" t="n"/>
      <c r="V2035" s="7" t="n"/>
      <c r="Y2035">
        <f>IF($D2035="","",IF($AN2035=1,0,IF($AM2035=1,Settings!$C$6,Settings!$C$7))*100)</f>
        <v/>
      </c>
      <c r="Z2035" s="7">
        <f>IF($D2035="","",V2035*Y2035/100)</f>
        <v/>
      </c>
      <c r="AA2035" s="7">
        <f>IF($D2035="","",V2035-Z2035)</f>
        <v/>
      </c>
      <c r="AB2035" s="7">
        <f>IF($D2035="","",AA2035-N2035)</f>
        <v/>
      </c>
      <c r="AF2035" s="7" t="n"/>
      <c r="AI2035" s="11" t="n"/>
      <c r="AK2035">
        <f>IF($D2035="","",IF(COUNTIF($D$2:$D2035,$D2035)=1,1,0))</f>
        <v/>
      </c>
      <c r="AL2035">
        <f>IF($AK2035=1,SUMPRODUCT(--($AO$2:$AO$3001&lt;$AO2035))+1,"")</f>
        <v/>
      </c>
      <c r="AM2035">
        <f>IF($D2035="","",IF(OR($R2035=TRUE(),$R2035="TRUE"),1,0))</f>
        <v/>
      </c>
      <c r="AN2035">
        <f>IF($D2035="","",IF($X2035="Yes",1,0))</f>
        <v/>
      </c>
      <c r="AO2035">
        <f>IF($AK2035=1,IFERROR(IF(VALUE($D2035)&lt;100000000,VALUE($D2035),1000000000),IFERROR(IF(VALUE(MID($D2035,2,20))&lt;100000000,VALUE(MID($D2035,2,20)),1000000000),1000000000))+ROW()/100000,"")</f>
        <v/>
      </c>
    </row>
    <row r="2036">
      <c r="F2036" s="11" t="n"/>
      <c r="N2036" s="7">
        <f>IF($D2036="","",M2036*V2036/100)</f>
        <v/>
      </c>
      <c r="O2036" s="7" t="n"/>
      <c r="U2036" s="7" t="n"/>
      <c r="V2036" s="7" t="n"/>
      <c r="Y2036">
        <f>IF($D2036="","",IF($AN2036=1,0,IF($AM2036=1,Settings!$C$6,Settings!$C$7))*100)</f>
        <v/>
      </c>
      <c r="Z2036" s="7">
        <f>IF($D2036="","",V2036*Y2036/100)</f>
        <v/>
      </c>
      <c r="AA2036" s="7">
        <f>IF($D2036="","",V2036-Z2036)</f>
        <v/>
      </c>
      <c r="AB2036" s="7">
        <f>IF($D2036="","",AA2036-N2036)</f>
        <v/>
      </c>
      <c r="AF2036" s="7" t="n"/>
      <c r="AI2036" s="11" t="n"/>
      <c r="AK2036">
        <f>IF($D2036="","",IF(COUNTIF($D$2:$D2036,$D2036)=1,1,0))</f>
        <v/>
      </c>
      <c r="AL2036">
        <f>IF($AK2036=1,SUMPRODUCT(--($AO$2:$AO$3001&lt;$AO2036))+1,"")</f>
        <v/>
      </c>
      <c r="AM2036">
        <f>IF($D2036="","",IF(OR($R2036=TRUE(),$R2036="TRUE"),1,0))</f>
        <v/>
      </c>
      <c r="AN2036">
        <f>IF($D2036="","",IF($X2036="Yes",1,0))</f>
        <v/>
      </c>
      <c r="AO2036">
        <f>IF($AK2036=1,IFERROR(IF(VALUE($D2036)&lt;100000000,VALUE($D2036),1000000000),IFERROR(IF(VALUE(MID($D2036,2,20))&lt;100000000,VALUE(MID($D2036,2,20)),1000000000),1000000000))+ROW()/100000,"")</f>
        <v/>
      </c>
    </row>
    <row r="2037">
      <c r="F2037" s="11" t="n"/>
      <c r="N2037" s="7">
        <f>IF($D2037="","",M2037*V2037/100)</f>
        <v/>
      </c>
      <c r="O2037" s="7" t="n"/>
      <c r="U2037" s="7" t="n"/>
      <c r="V2037" s="7" t="n"/>
      <c r="Y2037">
        <f>IF($D2037="","",IF($AN2037=1,0,IF($AM2037=1,Settings!$C$6,Settings!$C$7))*100)</f>
        <v/>
      </c>
      <c r="Z2037" s="7">
        <f>IF($D2037="","",V2037*Y2037/100)</f>
        <v/>
      </c>
      <c r="AA2037" s="7">
        <f>IF($D2037="","",V2037-Z2037)</f>
        <v/>
      </c>
      <c r="AB2037" s="7">
        <f>IF($D2037="","",AA2037-N2037)</f>
        <v/>
      </c>
      <c r="AF2037" s="7" t="n"/>
      <c r="AI2037" s="11" t="n"/>
      <c r="AK2037">
        <f>IF($D2037="","",IF(COUNTIF($D$2:$D2037,$D2037)=1,1,0))</f>
        <v/>
      </c>
      <c r="AL2037">
        <f>IF($AK2037=1,SUMPRODUCT(--($AO$2:$AO$3001&lt;$AO2037))+1,"")</f>
        <v/>
      </c>
      <c r="AM2037">
        <f>IF($D2037="","",IF(OR($R2037=TRUE(),$R2037="TRUE"),1,0))</f>
        <v/>
      </c>
      <c r="AN2037">
        <f>IF($D2037="","",IF($X2037="Yes",1,0))</f>
        <v/>
      </c>
      <c r="AO2037">
        <f>IF($AK2037=1,IFERROR(IF(VALUE($D2037)&lt;100000000,VALUE($D2037),1000000000),IFERROR(IF(VALUE(MID($D2037,2,20))&lt;100000000,VALUE(MID($D2037,2,20)),1000000000),1000000000))+ROW()/100000,"")</f>
        <v/>
      </c>
    </row>
    <row r="2038">
      <c r="F2038" s="11" t="n"/>
      <c r="N2038" s="7">
        <f>IF($D2038="","",M2038*V2038/100)</f>
        <v/>
      </c>
      <c r="O2038" s="7" t="n"/>
      <c r="U2038" s="7" t="n"/>
      <c r="V2038" s="7" t="n"/>
      <c r="Y2038">
        <f>IF($D2038="","",IF($AN2038=1,0,IF($AM2038=1,Settings!$C$6,Settings!$C$7))*100)</f>
        <v/>
      </c>
      <c r="Z2038" s="7">
        <f>IF($D2038="","",V2038*Y2038/100)</f>
        <v/>
      </c>
      <c r="AA2038" s="7">
        <f>IF($D2038="","",V2038-Z2038)</f>
        <v/>
      </c>
      <c r="AB2038" s="7">
        <f>IF($D2038="","",AA2038-N2038)</f>
        <v/>
      </c>
      <c r="AF2038" s="7" t="n"/>
      <c r="AI2038" s="11" t="n"/>
      <c r="AK2038">
        <f>IF($D2038="","",IF(COUNTIF($D$2:$D2038,$D2038)=1,1,0))</f>
        <v/>
      </c>
      <c r="AL2038">
        <f>IF($AK2038=1,SUMPRODUCT(--($AO$2:$AO$3001&lt;$AO2038))+1,"")</f>
        <v/>
      </c>
      <c r="AM2038">
        <f>IF($D2038="","",IF(OR($R2038=TRUE(),$R2038="TRUE"),1,0))</f>
        <v/>
      </c>
      <c r="AN2038">
        <f>IF($D2038="","",IF($X2038="Yes",1,0))</f>
        <v/>
      </c>
      <c r="AO2038">
        <f>IF($AK2038=1,IFERROR(IF(VALUE($D2038)&lt;100000000,VALUE($D2038),1000000000),IFERROR(IF(VALUE(MID($D2038,2,20))&lt;100000000,VALUE(MID($D2038,2,20)),1000000000),1000000000))+ROW()/100000,"")</f>
        <v/>
      </c>
    </row>
    <row r="2039">
      <c r="F2039" s="11" t="n"/>
      <c r="N2039" s="7">
        <f>IF($D2039="","",M2039*V2039/100)</f>
        <v/>
      </c>
      <c r="O2039" s="7" t="n"/>
      <c r="U2039" s="7" t="n"/>
      <c r="V2039" s="7" t="n"/>
      <c r="Y2039">
        <f>IF($D2039="","",IF($AN2039=1,0,IF($AM2039=1,Settings!$C$6,Settings!$C$7))*100)</f>
        <v/>
      </c>
      <c r="Z2039" s="7">
        <f>IF($D2039="","",V2039*Y2039/100)</f>
        <v/>
      </c>
      <c r="AA2039" s="7">
        <f>IF($D2039="","",V2039-Z2039)</f>
        <v/>
      </c>
      <c r="AB2039" s="7">
        <f>IF($D2039="","",AA2039-N2039)</f>
        <v/>
      </c>
      <c r="AF2039" s="7" t="n"/>
      <c r="AI2039" s="11" t="n"/>
      <c r="AK2039">
        <f>IF($D2039="","",IF(COUNTIF($D$2:$D2039,$D2039)=1,1,0))</f>
        <v/>
      </c>
      <c r="AL2039">
        <f>IF($AK2039=1,SUMPRODUCT(--($AO$2:$AO$3001&lt;$AO2039))+1,"")</f>
        <v/>
      </c>
      <c r="AM2039">
        <f>IF($D2039="","",IF(OR($R2039=TRUE(),$R2039="TRUE"),1,0))</f>
        <v/>
      </c>
      <c r="AN2039">
        <f>IF($D2039="","",IF($X2039="Yes",1,0))</f>
        <v/>
      </c>
      <c r="AO2039">
        <f>IF($AK2039=1,IFERROR(IF(VALUE($D2039)&lt;100000000,VALUE($D2039),1000000000),IFERROR(IF(VALUE(MID($D2039,2,20))&lt;100000000,VALUE(MID($D2039,2,20)),1000000000),1000000000))+ROW()/100000,"")</f>
        <v/>
      </c>
    </row>
    <row r="2040">
      <c r="F2040" s="11" t="n"/>
      <c r="N2040" s="7">
        <f>IF($D2040="","",M2040*V2040/100)</f>
        <v/>
      </c>
      <c r="O2040" s="7" t="n"/>
      <c r="U2040" s="7" t="n"/>
      <c r="V2040" s="7" t="n"/>
      <c r="Y2040">
        <f>IF($D2040="","",IF($AN2040=1,0,IF($AM2040=1,Settings!$C$6,Settings!$C$7))*100)</f>
        <v/>
      </c>
      <c r="Z2040" s="7">
        <f>IF($D2040="","",V2040*Y2040/100)</f>
        <v/>
      </c>
      <c r="AA2040" s="7">
        <f>IF($D2040="","",V2040-Z2040)</f>
        <v/>
      </c>
      <c r="AB2040" s="7">
        <f>IF($D2040="","",AA2040-N2040)</f>
        <v/>
      </c>
      <c r="AF2040" s="7" t="n"/>
      <c r="AI2040" s="11" t="n"/>
      <c r="AK2040">
        <f>IF($D2040="","",IF(COUNTIF($D$2:$D2040,$D2040)=1,1,0))</f>
        <v/>
      </c>
      <c r="AL2040">
        <f>IF($AK2040=1,SUMPRODUCT(--($AO$2:$AO$3001&lt;$AO2040))+1,"")</f>
        <v/>
      </c>
      <c r="AM2040">
        <f>IF($D2040="","",IF(OR($R2040=TRUE(),$R2040="TRUE"),1,0))</f>
        <v/>
      </c>
      <c r="AN2040">
        <f>IF($D2040="","",IF($X2040="Yes",1,0))</f>
        <v/>
      </c>
      <c r="AO2040">
        <f>IF($AK2040=1,IFERROR(IF(VALUE($D2040)&lt;100000000,VALUE($D2040),1000000000),IFERROR(IF(VALUE(MID($D2040,2,20))&lt;100000000,VALUE(MID($D2040,2,20)),1000000000),1000000000))+ROW()/100000,"")</f>
        <v/>
      </c>
    </row>
    <row r="2041">
      <c r="F2041" s="11" t="n"/>
      <c r="N2041" s="7">
        <f>IF($D2041="","",M2041*V2041/100)</f>
        <v/>
      </c>
      <c r="O2041" s="7" t="n"/>
      <c r="U2041" s="7" t="n"/>
      <c r="V2041" s="7" t="n"/>
      <c r="Y2041">
        <f>IF($D2041="","",IF($AN2041=1,0,IF($AM2041=1,Settings!$C$6,Settings!$C$7))*100)</f>
        <v/>
      </c>
      <c r="Z2041" s="7">
        <f>IF($D2041="","",V2041*Y2041/100)</f>
        <v/>
      </c>
      <c r="AA2041" s="7">
        <f>IF($D2041="","",V2041-Z2041)</f>
        <v/>
      </c>
      <c r="AB2041" s="7">
        <f>IF($D2041="","",AA2041-N2041)</f>
        <v/>
      </c>
      <c r="AF2041" s="7" t="n"/>
      <c r="AI2041" s="11" t="n"/>
      <c r="AK2041">
        <f>IF($D2041="","",IF(COUNTIF($D$2:$D2041,$D2041)=1,1,0))</f>
        <v/>
      </c>
      <c r="AL2041">
        <f>IF($AK2041=1,SUMPRODUCT(--($AO$2:$AO$3001&lt;$AO2041))+1,"")</f>
        <v/>
      </c>
      <c r="AM2041">
        <f>IF($D2041="","",IF(OR($R2041=TRUE(),$R2041="TRUE"),1,0))</f>
        <v/>
      </c>
      <c r="AN2041">
        <f>IF($D2041="","",IF($X2041="Yes",1,0))</f>
        <v/>
      </c>
      <c r="AO2041">
        <f>IF($AK2041=1,IFERROR(IF(VALUE($D2041)&lt;100000000,VALUE($D2041),1000000000),IFERROR(IF(VALUE(MID($D2041,2,20))&lt;100000000,VALUE(MID($D2041,2,20)),1000000000),1000000000))+ROW()/100000,"")</f>
        <v/>
      </c>
    </row>
    <row r="2042">
      <c r="F2042" s="11" t="n"/>
      <c r="N2042" s="7">
        <f>IF($D2042="","",M2042*V2042/100)</f>
        <v/>
      </c>
      <c r="O2042" s="7" t="n"/>
      <c r="U2042" s="7" t="n"/>
      <c r="V2042" s="7" t="n"/>
      <c r="Y2042">
        <f>IF($D2042="","",IF($AN2042=1,0,IF($AM2042=1,Settings!$C$6,Settings!$C$7))*100)</f>
        <v/>
      </c>
      <c r="Z2042" s="7">
        <f>IF($D2042="","",V2042*Y2042/100)</f>
        <v/>
      </c>
      <c r="AA2042" s="7">
        <f>IF($D2042="","",V2042-Z2042)</f>
        <v/>
      </c>
      <c r="AB2042" s="7">
        <f>IF($D2042="","",AA2042-N2042)</f>
        <v/>
      </c>
      <c r="AF2042" s="7" t="n"/>
      <c r="AI2042" s="11" t="n"/>
      <c r="AK2042">
        <f>IF($D2042="","",IF(COUNTIF($D$2:$D2042,$D2042)=1,1,0))</f>
        <v/>
      </c>
      <c r="AL2042">
        <f>IF($AK2042=1,SUMPRODUCT(--($AO$2:$AO$3001&lt;$AO2042))+1,"")</f>
        <v/>
      </c>
      <c r="AM2042">
        <f>IF($D2042="","",IF(OR($R2042=TRUE(),$R2042="TRUE"),1,0))</f>
        <v/>
      </c>
      <c r="AN2042">
        <f>IF($D2042="","",IF($X2042="Yes",1,0))</f>
        <v/>
      </c>
      <c r="AO2042">
        <f>IF($AK2042=1,IFERROR(IF(VALUE($D2042)&lt;100000000,VALUE($D2042),1000000000),IFERROR(IF(VALUE(MID($D2042,2,20))&lt;100000000,VALUE(MID($D2042,2,20)),1000000000),1000000000))+ROW()/100000,"")</f>
        <v/>
      </c>
    </row>
    <row r="2043">
      <c r="F2043" s="11" t="n"/>
      <c r="N2043" s="7">
        <f>IF($D2043="","",M2043*V2043/100)</f>
        <v/>
      </c>
      <c r="O2043" s="7" t="n"/>
      <c r="U2043" s="7" t="n"/>
      <c r="V2043" s="7" t="n"/>
      <c r="Y2043">
        <f>IF($D2043="","",IF($AN2043=1,0,IF($AM2043=1,Settings!$C$6,Settings!$C$7))*100)</f>
        <v/>
      </c>
      <c r="Z2043" s="7">
        <f>IF($D2043="","",V2043*Y2043/100)</f>
        <v/>
      </c>
      <c r="AA2043" s="7">
        <f>IF($D2043="","",V2043-Z2043)</f>
        <v/>
      </c>
      <c r="AB2043" s="7">
        <f>IF($D2043="","",AA2043-N2043)</f>
        <v/>
      </c>
      <c r="AF2043" s="7" t="n"/>
      <c r="AI2043" s="11" t="n"/>
      <c r="AK2043">
        <f>IF($D2043="","",IF(COUNTIF($D$2:$D2043,$D2043)=1,1,0))</f>
        <v/>
      </c>
      <c r="AL2043">
        <f>IF($AK2043=1,SUMPRODUCT(--($AO$2:$AO$3001&lt;$AO2043))+1,"")</f>
        <v/>
      </c>
      <c r="AM2043">
        <f>IF($D2043="","",IF(OR($R2043=TRUE(),$R2043="TRUE"),1,0))</f>
        <v/>
      </c>
      <c r="AN2043">
        <f>IF($D2043="","",IF($X2043="Yes",1,0))</f>
        <v/>
      </c>
      <c r="AO2043">
        <f>IF($AK2043=1,IFERROR(IF(VALUE($D2043)&lt;100000000,VALUE($D2043),1000000000),IFERROR(IF(VALUE(MID($D2043,2,20))&lt;100000000,VALUE(MID($D2043,2,20)),1000000000),1000000000))+ROW()/100000,"")</f>
        <v/>
      </c>
    </row>
    <row r="2044">
      <c r="F2044" s="11" t="n"/>
      <c r="N2044" s="7">
        <f>IF($D2044="","",M2044*V2044/100)</f>
        <v/>
      </c>
      <c r="O2044" s="7" t="n"/>
      <c r="U2044" s="7" t="n"/>
      <c r="V2044" s="7" t="n"/>
      <c r="Y2044">
        <f>IF($D2044="","",IF($AN2044=1,0,IF($AM2044=1,Settings!$C$6,Settings!$C$7))*100)</f>
        <v/>
      </c>
      <c r="Z2044" s="7">
        <f>IF($D2044="","",V2044*Y2044/100)</f>
        <v/>
      </c>
      <c r="AA2044" s="7">
        <f>IF($D2044="","",V2044-Z2044)</f>
        <v/>
      </c>
      <c r="AB2044" s="7">
        <f>IF($D2044="","",AA2044-N2044)</f>
        <v/>
      </c>
      <c r="AF2044" s="7" t="n"/>
      <c r="AI2044" s="11" t="n"/>
      <c r="AK2044">
        <f>IF($D2044="","",IF(COUNTIF($D$2:$D2044,$D2044)=1,1,0))</f>
        <v/>
      </c>
      <c r="AL2044">
        <f>IF($AK2044=1,SUMPRODUCT(--($AO$2:$AO$3001&lt;$AO2044))+1,"")</f>
        <v/>
      </c>
      <c r="AM2044">
        <f>IF($D2044="","",IF(OR($R2044=TRUE(),$R2044="TRUE"),1,0))</f>
        <v/>
      </c>
      <c r="AN2044">
        <f>IF($D2044="","",IF($X2044="Yes",1,0))</f>
        <v/>
      </c>
      <c r="AO2044">
        <f>IF($AK2044=1,IFERROR(IF(VALUE($D2044)&lt;100000000,VALUE($D2044),1000000000),IFERROR(IF(VALUE(MID($D2044,2,20))&lt;100000000,VALUE(MID($D2044,2,20)),1000000000),1000000000))+ROW()/100000,"")</f>
        <v/>
      </c>
    </row>
    <row r="2045">
      <c r="F2045" s="11" t="n"/>
      <c r="N2045" s="7">
        <f>IF($D2045="","",M2045*V2045/100)</f>
        <v/>
      </c>
      <c r="O2045" s="7" t="n"/>
      <c r="U2045" s="7" t="n"/>
      <c r="V2045" s="7" t="n"/>
      <c r="Y2045">
        <f>IF($D2045="","",IF($AN2045=1,0,IF($AM2045=1,Settings!$C$6,Settings!$C$7))*100)</f>
        <v/>
      </c>
      <c r="Z2045" s="7">
        <f>IF($D2045="","",V2045*Y2045/100)</f>
        <v/>
      </c>
      <c r="AA2045" s="7">
        <f>IF($D2045="","",V2045-Z2045)</f>
        <v/>
      </c>
      <c r="AB2045" s="7">
        <f>IF($D2045="","",AA2045-N2045)</f>
        <v/>
      </c>
      <c r="AF2045" s="7" t="n"/>
      <c r="AI2045" s="11" t="n"/>
      <c r="AK2045">
        <f>IF($D2045="","",IF(COUNTIF($D$2:$D2045,$D2045)=1,1,0))</f>
        <v/>
      </c>
      <c r="AL2045">
        <f>IF($AK2045=1,SUMPRODUCT(--($AO$2:$AO$3001&lt;$AO2045))+1,"")</f>
        <v/>
      </c>
      <c r="AM2045">
        <f>IF($D2045="","",IF(OR($R2045=TRUE(),$R2045="TRUE"),1,0))</f>
        <v/>
      </c>
      <c r="AN2045">
        <f>IF($D2045="","",IF($X2045="Yes",1,0))</f>
        <v/>
      </c>
      <c r="AO2045">
        <f>IF($AK2045=1,IFERROR(IF(VALUE($D2045)&lt;100000000,VALUE($D2045),1000000000),IFERROR(IF(VALUE(MID($D2045,2,20))&lt;100000000,VALUE(MID($D2045,2,20)),1000000000),1000000000))+ROW()/100000,"")</f>
        <v/>
      </c>
    </row>
    <row r="2046">
      <c r="F2046" s="11" t="n"/>
      <c r="N2046" s="7">
        <f>IF($D2046="","",M2046*V2046/100)</f>
        <v/>
      </c>
      <c r="O2046" s="7" t="n"/>
      <c r="U2046" s="7" t="n"/>
      <c r="V2046" s="7" t="n"/>
      <c r="Y2046">
        <f>IF($D2046="","",IF($AN2046=1,0,IF($AM2046=1,Settings!$C$6,Settings!$C$7))*100)</f>
        <v/>
      </c>
      <c r="Z2046" s="7">
        <f>IF($D2046="","",V2046*Y2046/100)</f>
        <v/>
      </c>
      <c r="AA2046" s="7">
        <f>IF($D2046="","",V2046-Z2046)</f>
        <v/>
      </c>
      <c r="AB2046" s="7">
        <f>IF($D2046="","",AA2046-N2046)</f>
        <v/>
      </c>
      <c r="AF2046" s="7" t="n"/>
      <c r="AI2046" s="11" t="n"/>
      <c r="AK2046">
        <f>IF($D2046="","",IF(COUNTIF($D$2:$D2046,$D2046)=1,1,0))</f>
        <v/>
      </c>
      <c r="AL2046">
        <f>IF($AK2046=1,SUMPRODUCT(--($AO$2:$AO$3001&lt;$AO2046))+1,"")</f>
        <v/>
      </c>
      <c r="AM2046">
        <f>IF($D2046="","",IF(OR($R2046=TRUE(),$R2046="TRUE"),1,0))</f>
        <v/>
      </c>
      <c r="AN2046">
        <f>IF($D2046="","",IF($X2046="Yes",1,0))</f>
        <v/>
      </c>
      <c r="AO2046">
        <f>IF($AK2046=1,IFERROR(IF(VALUE($D2046)&lt;100000000,VALUE($D2046),1000000000),IFERROR(IF(VALUE(MID($D2046,2,20))&lt;100000000,VALUE(MID($D2046,2,20)),1000000000),1000000000))+ROW()/100000,"")</f>
        <v/>
      </c>
    </row>
    <row r="2047">
      <c r="F2047" s="11" t="n"/>
      <c r="N2047" s="7">
        <f>IF($D2047="","",M2047*V2047/100)</f>
        <v/>
      </c>
      <c r="O2047" s="7" t="n"/>
      <c r="U2047" s="7" t="n"/>
      <c r="V2047" s="7" t="n"/>
      <c r="Y2047">
        <f>IF($D2047="","",IF($AN2047=1,0,IF($AM2047=1,Settings!$C$6,Settings!$C$7))*100)</f>
        <v/>
      </c>
      <c r="Z2047" s="7">
        <f>IF($D2047="","",V2047*Y2047/100)</f>
        <v/>
      </c>
      <c r="AA2047" s="7">
        <f>IF($D2047="","",V2047-Z2047)</f>
        <v/>
      </c>
      <c r="AB2047" s="7">
        <f>IF($D2047="","",AA2047-N2047)</f>
        <v/>
      </c>
      <c r="AF2047" s="7" t="n"/>
      <c r="AI2047" s="11" t="n"/>
      <c r="AK2047">
        <f>IF($D2047="","",IF(COUNTIF($D$2:$D2047,$D2047)=1,1,0))</f>
        <v/>
      </c>
      <c r="AL2047">
        <f>IF($AK2047=1,SUMPRODUCT(--($AO$2:$AO$3001&lt;$AO2047))+1,"")</f>
        <v/>
      </c>
      <c r="AM2047">
        <f>IF($D2047="","",IF(OR($R2047=TRUE(),$R2047="TRUE"),1,0))</f>
        <v/>
      </c>
      <c r="AN2047">
        <f>IF($D2047="","",IF($X2047="Yes",1,0))</f>
        <v/>
      </c>
      <c r="AO2047">
        <f>IF($AK2047=1,IFERROR(IF(VALUE($D2047)&lt;100000000,VALUE($D2047),1000000000),IFERROR(IF(VALUE(MID($D2047,2,20))&lt;100000000,VALUE(MID($D2047,2,20)),1000000000),1000000000))+ROW()/100000,"")</f>
        <v/>
      </c>
    </row>
    <row r="2048">
      <c r="F2048" s="11" t="n"/>
      <c r="N2048" s="7">
        <f>IF($D2048="","",M2048*V2048/100)</f>
        <v/>
      </c>
      <c r="O2048" s="7" t="n"/>
      <c r="U2048" s="7" t="n"/>
      <c r="V2048" s="7" t="n"/>
      <c r="Y2048">
        <f>IF($D2048="","",IF($AN2048=1,0,IF($AM2048=1,Settings!$C$6,Settings!$C$7))*100)</f>
        <v/>
      </c>
      <c r="Z2048" s="7">
        <f>IF($D2048="","",V2048*Y2048/100)</f>
        <v/>
      </c>
      <c r="AA2048" s="7">
        <f>IF($D2048="","",V2048-Z2048)</f>
        <v/>
      </c>
      <c r="AB2048" s="7">
        <f>IF($D2048="","",AA2048-N2048)</f>
        <v/>
      </c>
      <c r="AF2048" s="7" t="n"/>
      <c r="AI2048" s="11" t="n"/>
      <c r="AK2048">
        <f>IF($D2048="","",IF(COUNTIF($D$2:$D2048,$D2048)=1,1,0))</f>
        <v/>
      </c>
      <c r="AL2048">
        <f>IF($AK2048=1,SUMPRODUCT(--($AO$2:$AO$3001&lt;$AO2048))+1,"")</f>
        <v/>
      </c>
      <c r="AM2048">
        <f>IF($D2048="","",IF(OR($R2048=TRUE(),$R2048="TRUE"),1,0))</f>
        <v/>
      </c>
      <c r="AN2048">
        <f>IF($D2048="","",IF($X2048="Yes",1,0))</f>
        <v/>
      </c>
      <c r="AO2048">
        <f>IF($AK2048=1,IFERROR(IF(VALUE($D2048)&lt;100000000,VALUE($D2048),1000000000),IFERROR(IF(VALUE(MID($D2048,2,20))&lt;100000000,VALUE(MID($D2048,2,20)),1000000000),1000000000))+ROW()/100000,"")</f>
        <v/>
      </c>
    </row>
    <row r="2049">
      <c r="F2049" s="11" t="n"/>
      <c r="N2049" s="7">
        <f>IF($D2049="","",M2049*V2049/100)</f>
        <v/>
      </c>
      <c r="O2049" s="7" t="n"/>
      <c r="U2049" s="7" t="n"/>
      <c r="V2049" s="7" t="n"/>
      <c r="Y2049">
        <f>IF($D2049="","",IF($AN2049=1,0,IF($AM2049=1,Settings!$C$6,Settings!$C$7))*100)</f>
        <v/>
      </c>
      <c r="Z2049" s="7">
        <f>IF($D2049="","",V2049*Y2049/100)</f>
        <v/>
      </c>
      <c r="AA2049" s="7">
        <f>IF($D2049="","",V2049-Z2049)</f>
        <v/>
      </c>
      <c r="AB2049" s="7">
        <f>IF($D2049="","",AA2049-N2049)</f>
        <v/>
      </c>
      <c r="AF2049" s="7" t="n"/>
      <c r="AI2049" s="11" t="n"/>
      <c r="AK2049">
        <f>IF($D2049="","",IF(COUNTIF($D$2:$D2049,$D2049)=1,1,0))</f>
        <v/>
      </c>
      <c r="AL2049">
        <f>IF($AK2049=1,SUMPRODUCT(--($AO$2:$AO$3001&lt;$AO2049))+1,"")</f>
        <v/>
      </c>
      <c r="AM2049">
        <f>IF($D2049="","",IF(OR($R2049=TRUE(),$R2049="TRUE"),1,0))</f>
        <v/>
      </c>
      <c r="AN2049">
        <f>IF($D2049="","",IF($X2049="Yes",1,0))</f>
        <v/>
      </c>
      <c r="AO2049">
        <f>IF($AK2049=1,IFERROR(IF(VALUE($D2049)&lt;100000000,VALUE($D2049),1000000000),IFERROR(IF(VALUE(MID($D2049,2,20))&lt;100000000,VALUE(MID($D2049,2,20)),1000000000),1000000000))+ROW()/100000,"")</f>
        <v/>
      </c>
    </row>
    <row r="2050">
      <c r="F2050" s="11" t="n"/>
      <c r="N2050" s="7">
        <f>IF($D2050="","",M2050*V2050/100)</f>
        <v/>
      </c>
      <c r="O2050" s="7" t="n"/>
      <c r="U2050" s="7" t="n"/>
      <c r="V2050" s="7" t="n"/>
      <c r="Y2050">
        <f>IF($D2050="","",IF($AN2050=1,0,IF($AM2050=1,Settings!$C$6,Settings!$C$7))*100)</f>
        <v/>
      </c>
      <c r="Z2050" s="7">
        <f>IF($D2050="","",V2050*Y2050/100)</f>
        <v/>
      </c>
      <c r="AA2050" s="7">
        <f>IF($D2050="","",V2050-Z2050)</f>
        <v/>
      </c>
      <c r="AB2050" s="7">
        <f>IF($D2050="","",AA2050-N2050)</f>
        <v/>
      </c>
      <c r="AF2050" s="7" t="n"/>
      <c r="AI2050" s="11" t="n"/>
      <c r="AK2050">
        <f>IF($D2050="","",IF(COUNTIF($D$2:$D2050,$D2050)=1,1,0))</f>
        <v/>
      </c>
      <c r="AL2050">
        <f>IF($AK2050=1,SUMPRODUCT(--($AO$2:$AO$3001&lt;$AO2050))+1,"")</f>
        <v/>
      </c>
      <c r="AM2050">
        <f>IF($D2050="","",IF(OR($R2050=TRUE(),$R2050="TRUE"),1,0))</f>
        <v/>
      </c>
      <c r="AN2050">
        <f>IF($D2050="","",IF($X2050="Yes",1,0))</f>
        <v/>
      </c>
      <c r="AO2050">
        <f>IF($AK2050=1,IFERROR(IF(VALUE($D2050)&lt;100000000,VALUE($D2050),1000000000),IFERROR(IF(VALUE(MID($D2050,2,20))&lt;100000000,VALUE(MID($D2050,2,20)),1000000000),1000000000))+ROW()/100000,"")</f>
        <v/>
      </c>
    </row>
    <row r="2051">
      <c r="F2051" s="11" t="n"/>
      <c r="N2051" s="7">
        <f>IF($D2051="","",M2051*V2051/100)</f>
        <v/>
      </c>
      <c r="O2051" s="7" t="n"/>
      <c r="U2051" s="7" t="n"/>
      <c r="V2051" s="7" t="n"/>
      <c r="Y2051">
        <f>IF($D2051="","",IF($AN2051=1,0,IF($AM2051=1,Settings!$C$6,Settings!$C$7))*100)</f>
        <v/>
      </c>
      <c r="Z2051" s="7">
        <f>IF($D2051="","",V2051*Y2051/100)</f>
        <v/>
      </c>
      <c r="AA2051" s="7">
        <f>IF($D2051="","",V2051-Z2051)</f>
        <v/>
      </c>
      <c r="AB2051" s="7">
        <f>IF($D2051="","",AA2051-N2051)</f>
        <v/>
      </c>
      <c r="AF2051" s="7" t="n"/>
      <c r="AI2051" s="11" t="n"/>
      <c r="AK2051">
        <f>IF($D2051="","",IF(COUNTIF($D$2:$D2051,$D2051)=1,1,0))</f>
        <v/>
      </c>
      <c r="AL2051">
        <f>IF($AK2051=1,SUMPRODUCT(--($AO$2:$AO$3001&lt;$AO2051))+1,"")</f>
        <v/>
      </c>
      <c r="AM2051">
        <f>IF($D2051="","",IF(OR($R2051=TRUE(),$R2051="TRUE"),1,0))</f>
        <v/>
      </c>
      <c r="AN2051">
        <f>IF($D2051="","",IF($X2051="Yes",1,0))</f>
        <v/>
      </c>
      <c r="AO2051">
        <f>IF($AK2051=1,IFERROR(IF(VALUE($D2051)&lt;100000000,VALUE($D2051),1000000000),IFERROR(IF(VALUE(MID($D2051,2,20))&lt;100000000,VALUE(MID($D2051,2,20)),1000000000),1000000000))+ROW()/100000,"")</f>
        <v/>
      </c>
    </row>
    <row r="2052">
      <c r="F2052" s="11" t="n"/>
      <c r="N2052" s="7">
        <f>IF($D2052="","",M2052*V2052/100)</f>
        <v/>
      </c>
      <c r="O2052" s="7" t="n"/>
      <c r="U2052" s="7" t="n"/>
      <c r="V2052" s="7" t="n"/>
      <c r="Y2052">
        <f>IF($D2052="","",IF($AN2052=1,0,IF($AM2052=1,Settings!$C$6,Settings!$C$7))*100)</f>
        <v/>
      </c>
      <c r="Z2052" s="7">
        <f>IF($D2052="","",V2052*Y2052/100)</f>
        <v/>
      </c>
      <c r="AA2052" s="7">
        <f>IF($D2052="","",V2052-Z2052)</f>
        <v/>
      </c>
      <c r="AB2052" s="7">
        <f>IF($D2052="","",AA2052-N2052)</f>
        <v/>
      </c>
      <c r="AF2052" s="7" t="n"/>
      <c r="AI2052" s="11" t="n"/>
      <c r="AK2052">
        <f>IF($D2052="","",IF(COUNTIF($D$2:$D2052,$D2052)=1,1,0))</f>
        <v/>
      </c>
      <c r="AL2052">
        <f>IF($AK2052=1,SUMPRODUCT(--($AO$2:$AO$3001&lt;$AO2052))+1,"")</f>
        <v/>
      </c>
      <c r="AM2052">
        <f>IF($D2052="","",IF(OR($R2052=TRUE(),$R2052="TRUE"),1,0))</f>
        <v/>
      </c>
      <c r="AN2052">
        <f>IF($D2052="","",IF($X2052="Yes",1,0))</f>
        <v/>
      </c>
      <c r="AO2052">
        <f>IF($AK2052=1,IFERROR(IF(VALUE($D2052)&lt;100000000,VALUE($D2052),1000000000),IFERROR(IF(VALUE(MID($D2052,2,20))&lt;100000000,VALUE(MID($D2052,2,20)),1000000000),1000000000))+ROW()/100000,"")</f>
        <v/>
      </c>
    </row>
    <row r="2053">
      <c r="F2053" s="11" t="n"/>
      <c r="N2053" s="7">
        <f>IF($D2053="","",M2053*V2053/100)</f>
        <v/>
      </c>
      <c r="O2053" s="7" t="n"/>
      <c r="U2053" s="7" t="n"/>
      <c r="V2053" s="7" t="n"/>
      <c r="Y2053">
        <f>IF($D2053="","",IF($AN2053=1,0,IF($AM2053=1,Settings!$C$6,Settings!$C$7))*100)</f>
        <v/>
      </c>
      <c r="Z2053" s="7">
        <f>IF($D2053="","",V2053*Y2053/100)</f>
        <v/>
      </c>
      <c r="AA2053" s="7">
        <f>IF($D2053="","",V2053-Z2053)</f>
        <v/>
      </c>
      <c r="AB2053" s="7">
        <f>IF($D2053="","",AA2053-N2053)</f>
        <v/>
      </c>
      <c r="AF2053" s="7" t="n"/>
      <c r="AI2053" s="11" t="n"/>
      <c r="AK2053">
        <f>IF($D2053="","",IF(COUNTIF($D$2:$D2053,$D2053)=1,1,0))</f>
        <v/>
      </c>
      <c r="AL2053">
        <f>IF($AK2053=1,SUMPRODUCT(--($AO$2:$AO$3001&lt;$AO2053))+1,"")</f>
        <v/>
      </c>
      <c r="AM2053">
        <f>IF($D2053="","",IF(OR($R2053=TRUE(),$R2053="TRUE"),1,0))</f>
        <v/>
      </c>
      <c r="AN2053">
        <f>IF($D2053="","",IF($X2053="Yes",1,0))</f>
        <v/>
      </c>
      <c r="AO2053">
        <f>IF($AK2053=1,IFERROR(IF(VALUE($D2053)&lt;100000000,VALUE($D2053),1000000000),IFERROR(IF(VALUE(MID($D2053,2,20))&lt;100000000,VALUE(MID($D2053,2,20)),1000000000),1000000000))+ROW()/100000,"")</f>
        <v/>
      </c>
    </row>
    <row r="2054">
      <c r="F2054" s="11" t="n"/>
      <c r="N2054" s="7">
        <f>IF($D2054="","",M2054*V2054/100)</f>
        <v/>
      </c>
      <c r="O2054" s="7" t="n"/>
      <c r="U2054" s="7" t="n"/>
      <c r="V2054" s="7" t="n"/>
      <c r="Y2054">
        <f>IF($D2054="","",IF($AN2054=1,0,IF($AM2054=1,Settings!$C$6,Settings!$C$7))*100)</f>
        <v/>
      </c>
      <c r="Z2054" s="7">
        <f>IF($D2054="","",V2054*Y2054/100)</f>
        <v/>
      </c>
      <c r="AA2054" s="7">
        <f>IF($D2054="","",V2054-Z2054)</f>
        <v/>
      </c>
      <c r="AB2054" s="7">
        <f>IF($D2054="","",AA2054-N2054)</f>
        <v/>
      </c>
      <c r="AF2054" s="7" t="n"/>
      <c r="AI2054" s="11" t="n"/>
      <c r="AK2054">
        <f>IF($D2054="","",IF(COUNTIF($D$2:$D2054,$D2054)=1,1,0))</f>
        <v/>
      </c>
      <c r="AL2054">
        <f>IF($AK2054=1,SUMPRODUCT(--($AO$2:$AO$3001&lt;$AO2054))+1,"")</f>
        <v/>
      </c>
      <c r="AM2054">
        <f>IF($D2054="","",IF(OR($R2054=TRUE(),$R2054="TRUE"),1,0))</f>
        <v/>
      </c>
      <c r="AN2054">
        <f>IF($D2054="","",IF($X2054="Yes",1,0))</f>
        <v/>
      </c>
      <c r="AO2054">
        <f>IF($AK2054=1,IFERROR(IF(VALUE($D2054)&lt;100000000,VALUE($D2054),1000000000),IFERROR(IF(VALUE(MID($D2054,2,20))&lt;100000000,VALUE(MID($D2054,2,20)),1000000000),1000000000))+ROW()/100000,"")</f>
        <v/>
      </c>
    </row>
    <row r="2055">
      <c r="F2055" s="11" t="n"/>
      <c r="N2055" s="7">
        <f>IF($D2055="","",M2055*V2055/100)</f>
        <v/>
      </c>
      <c r="O2055" s="7" t="n"/>
      <c r="U2055" s="7" t="n"/>
      <c r="V2055" s="7" t="n"/>
      <c r="Y2055">
        <f>IF($D2055="","",IF($AN2055=1,0,IF($AM2055=1,Settings!$C$6,Settings!$C$7))*100)</f>
        <v/>
      </c>
      <c r="Z2055" s="7">
        <f>IF($D2055="","",V2055*Y2055/100)</f>
        <v/>
      </c>
      <c r="AA2055" s="7">
        <f>IF($D2055="","",V2055-Z2055)</f>
        <v/>
      </c>
      <c r="AB2055" s="7">
        <f>IF($D2055="","",AA2055-N2055)</f>
        <v/>
      </c>
      <c r="AF2055" s="7" t="n"/>
      <c r="AI2055" s="11" t="n"/>
      <c r="AK2055">
        <f>IF($D2055="","",IF(COUNTIF($D$2:$D2055,$D2055)=1,1,0))</f>
        <v/>
      </c>
      <c r="AL2055">
        <f>IF($AK2055=1,SUMPRODUCT(--($AO$2:$AO$3001&lt;$AO2055))+1,"")</f>
        <v/>
      </c>
      <c r="AM2055">
        <f>IF($D2055="","",IF(OR($R2055=TRUE(),$R2055="TRUE"),1,0))</f>
        <v/>
      </c>
      <c r="AN2055">
        <f>IF($D2055="","",IF($X2055="Yes",1,0))</f>
        <v/>
      </c>
      <c r="AO2055">
        <f>IF($AK2055=1,IFERROR(IF(VALUE($D2055)&lt;100000000,VALUE($D2055),1000000000),IFERROR(IF(VALUE(MID($D2055,2,20))&lt;100000000,VALUE(MID($D2055,2,20)),1000000000),1000000000))+ROW()/100000,"")</f>
        <v/>
      </c>
    </row>
    <row r="2056">
      <c r="F2056" s="11" t="n"/>
      <c r="N2056" s="7">
        <f>IF($D2056="","",M2056*V2056/100)</f>
        <v/>
      </c>
      <c r="O2056" s="7" t="n"/>
      <c r="U2056" s="7" t="n"/>
      <c r="V2056" s="7" t="n"/>
      <c r="Y2056">
        <f>IF($D2056="","",IF($AN2056=1,0,IF($AM2056=1,Settings!$C$6,Settings!$C$7))*100)</f>
        <v/>
      </c>
      <c r="Z2056" s="7">
        <f>IF($D2056="","",V2056*Y2056/100)</f>
        <v/>
      </c>
      <c r="AA2056" s="7">
        <f>IF($D2056="","",V2056-Z2056)</f>
        <v/>
      </c>
      <c r="AB2056" s="7">
        <f>IF($D2056="","",AA2056-N2056)</f>
        <v/>
      </c>
      <c r="AF2056" s="7" t="n"/>
      <c r="AI2056" s="11" t="n"/>
      <c r="AK2056">
        <f>IF($D2056="","",IF(COUNTIF($D$2:$D2056,$D2056)=1,1,0))</f>
        <v/>
      </c>
      <c r="AL2056">
        <f>IF($AK2056=1,SUMPRODUCT(--($AO$2:$AO$3001&lt;$AO2056))+1,"")</f>
        <v/>
      </c>
      <c r="AM2056">
        <f>IF($D2056="","",IF(OR($R2056=TRUE(),$R2056="TRUE"),1,0))</f>
        <v/>
      </c>
      <c r="AN2056">
        <f>IF($D2056="","",IF($X2056="Yes",1,0))</f>
        <v/>
      </c>
      <c r="AO2056">
        <f>IF($AK2056=1,IFERROR(IF(VALUE($D2056)&lt;100000000,VALUE($D2056),1000000000),IFERROR(IF(VALUE(MID($D2056,2,20))&lt;100000000,VALUE(MID($D2056,2,20)),1000000000),1000000000))+ROW()/100000,"")</f>
        <v/>
      </c>
    </row>
    <row r="2057">
      <c r="F2057" s="11" t="n"/>
      <c r="N2057" s="7">
        <f>IF($D2057="","",M2057*V2057/100)</f>
        <v/>
      </c>
      <c r="O2057" s="7" t="n"/>
      <c r="U2057" s="7" t="n"/>
      <c r="V2057" s="7" t="n"/>
      <c r="Y2057">
        <f>IF($D2057="","",IF($AN2057=1,0,IF($AM2057=1,Settings!$C$6,Settings!$C$7))*100)</f>
        <v/>
      </c>
      <c r="Z2057" s="7">
        <f>IF($D2057="","",V2057*Y2057/100)</f>
        <v/>
      </c>
      <c r="AA2057" s="7">
        <f>IF($D2057="","",V2057-Z2057)</f>
        <v/>
      </c>
      <c r="AB2057" s="7">
        <f>IF($D2057="","",AA2057-N2057)</f>
        <v/>
      </c>
      <c r="AF2057" s="7" t="n"/>
      <c r="AI2057" s="11" t="n"/>
      <c r="AK2057">
        <f>IF($D2057="","",IF(COUNTIF($D$2:$D2057,$D2057)=1,1,0))</f>
        <v/>
      </c>
      <c r="AL2057">
        <f>IF($AK2057=1,SUMPRODUCT(--($AO$2:$AO$3001&lt;$AO2057))+1,"")</f>
        <v/>
      </c>
      <c r="AM2057">
        <f>IF($D2057="","",IF(OR($R2057=TRUE(),$R2057="TRUE"),1,0))</f>
        <v/>
      </c>
      <c r="AN2057">
        <f>IF($D2057="","",IF($X2057="Yes",1,0))</f>
        <v/>
      </c>
      <c r="AO2057">
        <f>IF($AK2057=1,IFERROR(IF(VALUE($D2057)&lt;100000000,VALUE($D2057),1000000000),IFERROR(IF(VALUE(MID($D2057,2,20))&lt;100000000,VALUE(MID($D2057,2,20)),1000000000),1000000000))+ROW()/100000,"")</f>
        <v/>
      </c>
    </row>
    <row r="2058">
      <c r="F2058" s="11" t="n"/>
      <c r="N2058" s="7">
        <f>IF($D2058="","",M2058*V2058/100)</f>
        <v/>
      </c>
      <c r="O2058" s="7" t="n"/>
      <c r="U2058" s="7" t="n"/>
      <c r="V2058" s="7" t="n"/>
      <c r="Y2058">
        <f>IF($D2058="","",IF($AN2058=1,0,IF($AM2058=1,Settings!$C$6,Settings!$C$7))*100)</f>
        <v/>
      </c>
      <c r="Z2058" s="7">
        <f>IF($D2058="","",V2058*Y2058/100)</f>
        <v/>
      </c>
      <c r="AA2058" s="7">
        <f>IF($D2058="","",V2058-Z2058)</f>
        <v/>
      </c>
      <c r="AB2058" s="7">
        <f>IF($D2058="","",AA2058-N2058)</f>
        <v/>
      </c>
      <c r="AF2058" s="7" t="n"/>
      <c r="AI2058" s="11" t="n"/>
      <c r="AK2058">
        <f>IF($D2058="","",IF(COUNTIF($D$2:$D2058,$D2058)=1,1,0))</f>
        <v/>
      </c>
      <c r="AL2058">
        <f>IF($AK2058=1,SUMPRODUCT(--($AO$2:$AO$3001&lt;$AO2058))+1,"")</f>
        <v/>
      </c>
      <c r="AM2058">
        <f>IF($D2058="","",IF(OR($R2058=TRUE(),$R2058="TRUE"),1,0))</f>
        <v/>
      </c>
      <c r="AN2058">
        <f>IF($D2058="","",IF($X2058="Yes",1,0))</f>
        <v/>
      </c>
      <c r="AO2058">
        <f>IF($AK2058=1,IFERROR(IF(VALUE($D2058)&lt;100000000,VALUE($D2058),1000000000),IFERROR(IF(VALUE(MID($D2058,2,20))&lt;100000000,VALUE(MID($D2058,2,20)),1000000000),1000000000))+ROW()/100000,"")</f>
        <v/>
      </c>
    </row>
    <row r="2059">
      <c r="F2059" s="11" t="n"/>
      <c r="N2059" s="7">
        <f>IF($D2059="","",M2059*V2059/100)</f>
        <v/>
      </c>
      <c r="O2059" s="7" t="n"/>
      <c r="U2059" s="7" t="n"/>
      <c r="V2059" s="7" t="n"/>
      <c r="Y2059">
        <f>IF($D2059="","",IF($AN2059=1,0,IF($AM2059=1,Settings!$C$6,Settings!$C$7))*100)</f>
        <v/>
      </c>
      <c r="Z2059" s="7">
        <f>IF($D2059="","",V2059*Y2059/100)</f>
        <v/>
      </c>
      <c r="AA2059" s="7">
        <f>IF($D2059="","",V2059-Z2059)</f>
        <v/>
      </c>
      <c r="AB2059" s="7">
        <f>IF($D2059="","",AA2059-N2059)</f>
        <v/>
      </c>
      <c r="AF2059" s="7" t="n"/>
      <c r="AI2059" s="11" t="n"/>
      <c r="AK2059">
        <f>IF($D2059="","",IF(COUNTIF($D$2:$D2059,$D2059)=1,1,0))</f>
        <v/>
      </c>
      <c r="AL2059">
        <f>IF($AK2059=1,SUMPRODUCT(--($AO$2:$AO$3001&lt;$AO2059))+1,"")</f>
        <v/>
      </c>
      <c r="AM2059">
        <f>IF($D2059="","",IF(OR($R2059=TRUE(),$R2059="TRUE"),1,0))</f>
        <v/>
      </c>
      <c r="AN2059">
        <f>IF($D2059="","",IF($X2059="Yes",1,0))</f>
        <v/>
      </c>
      <c r="AO2059">
        <f>IF($AK2059=1,IFERROR(IF(VALUE($D2059)&lt;100000000,VALUE($D2059),1000000000),IFERROR(IF(VALUE(MID($D2059,2,20))&lt;100000000,VALUE(MID($D2059,2,20)),1000000000),1000000000))+ROW()/100000,"")</f>
        <v/>
      </c>
    </row>
    <row r="2060">
      <c r="F2060" s="11" t="n"/>
      <c r="N2060" s="7">
        <f>IF($D2060="","",M2060*V2060/100)</f>
        <v/>
      </c>
      <c r="O2060" s="7" t="n"/>
      <c r="U2060" s="7" t="n"/>
      <c r="V2060" s="7" t="n"/>
      <c r="Y2060">
        <f>IF($D2060="","",IF($AN2060=1,0,IF($AM2060=1,Settings!$C$6,Settings!$C$7))*100)</f>
        <v/>
      </c>
      <c r="Z2060" s="7">
        <f>IF($D2060="","",V2060*Y2060/100)</f>
        <v/>
      </c>
      <c r="AA2060" s="7">
        <f>IF($D2060="","",V2060-Z2060)</f>
        <v/>
      </c>
      <c r="AB2060" s="7">
        <f>IF($D2060="","",AA2060-N2060)</f>
        <v/>
      </c>
      <c r="AF2060" s="7" t="n"/>
      <c r="AI2060" s="11" t="n"/>
      <c r="AK2060">
        <f>IF($D2060="","",IF(COUNTIF($D$2:$D2060,$D2060)=1,1,0))</f>
        <v/>
      </c>
      <c r="AL2060">
        <f>IF($AK2060=1,SUMPRODUCT(--($AO$2:$AO$3001&lt;$AO2060))+1,"")</f>
        <v/>
      </c>
      <c r="AM2060">
        <f>IF($D2060="","",IF(OR($R2060=TRUE(),$R2060="TRUE"),1,0))</f>
        <v/>
      </c>
      <c r="AN2060">
        <f>IF($D2060="","",IF($X2060="Yes",1,0))</f>
        <v/>
      </c>
      <c r="AO2060">
        <f>IF($AK2060=1,IFERROR(IF(VALUE($D2060)&lt;100000000,VALUE($D2060),1000000000),IFERROR(IF(VALUE(MID($D2060,2,20))&lt;100000000,VALUE(MID($D2060,2,20)),1000000000),1000000000))+ROW()/100000,"")</f>
        <v/>
      </c>
    </row>
    <row r="2061">
      <c r="F2061" s="11" t="n"/>
      <c r="N2061" s="7">
        <f>IF($D2061="","",M2061*V2061/100)</f>
        <v/>
      </c>
      <c r="O2061" s="7" t="n"/>
      <c r="U2061" s="7" t="n"/>
      <c r="V2061" s="7" t="n"/>
      <c r="Y2061">
        <f>IF($D2061="","",IF($AN2061=1,0,IF($AM2061=1,Settings!$C$6,Settings!$C$7))*100)</f>
        <v/>
      </c>
      <c r="Z2061" s="7">
        <f>IF($D2061="","",V2061*Y2061/100)</f>
        <v/>
      </c>
      <c r="AA2061" s="7">
        <f>IF($D2061="","",V2061-Z2061)</f>
        <v/>
      </c>
      <c r="AB2061" s="7">
        <f>IF($D2061="","",AA2061-N2061)</f>
        <v/>
      </c>
      <c r="AF2061" s="7" t="n"/>
      <c r="AI2061" s="11" t="n"/>
      <c r="AK2061">
        <f>IF($D2061="","",IF(COUNTIF($D$2:$D2061,$D2061)=1,1,0))</f>
        <v/>
      </c>
      <c r="AL2061">
        <f>IF($AK2061=1,SUMPRODUCT(--($AO$2:$AO$3001&lt;$AO2061))+1,"")</f>
        <v/>
      </c>
      <c r="AM2061">
        <f>IF($D2061="","",IF(OR($R2061=TRUE(),$R2061="TRUE"),1,0))</f>
        <v/>
      </c>
      <c r="AN2061">
        <f>IF($D2061="","",IF($X2061="Yes",1,0))</f>
        <v/>
      </c>
      <c r="AO2061">
        <f>IF($AK2061=1,IFERROR(IF(VALUE($D2061)&lt;100000000,VALUE($D2061),1000000000),IFERROR(IF(VALUE(MID($D2061,2,20))&lt;100000000,VALUE(MID($D2061,2,20)),1000000000),1000000000))+ROW()/100000,"")</f>
        <v/>
      </c>
    </row>
    <row r="2062">
      <c r="F2062" s="11" t="n"/>
      <c r="N2062" s="7">
        <f>IF($D2062="","",M2062*V2062/100)</f>
        <v/>
      </c>
      <c r="O2062" s="7" t="n"/>
      <c r="U2062" s="7" t="n"/>
      <c r="V2062" s="7" t="n"/>
      <c r="Y2062">
        <f>IF($D2062="","",IF($AN2062=1,0,IF($AM2062=1,Settings!$C$6,Settings!$C$7))*100)</f>
        <v/>
      </c>
      <c r="Z2062" s="7">
        <f>IF($D2062="","",V2062*Y2062/100)</f>
        <v/>
      </c>
      <c r="AA2062" s="7">
        <f>IF($D2062="","",V2062-Z2062)</f>
        <v/>
      </c>
      <c r="AB2062" s="7">
        <f>IF($D2062="","",AA2062-N2062)</f>
        <v/>
      </c>
      <c r="AF2062" s="7" t="n"/>
      <c r="AI2062" s="11" t="n"/>
      <c r="AK2062">
        <f>IF($D2062="","",IF(COUNTIF($D$2:$D2062,$D2062)=1,1,0))</f>
        <v/>
      </c>
      <c r="AL2062">
        <f>IF($AK2062=1,SUMPRODUCT(--($AO$2:$AO$3001&lt;$AO2062))+1,"")</f>
        <v/>
      </c>
      <c r="AM2062">
        <f>IF($D2062="","",IF(OR($R2062=TRUE(),$R2062="TRUE"),1,0))</f>
        <v/>
      </c>
      <c r="AN2062">
        <f>IF($D2062="","",IF($X2062="Yes",1,0))</f>
        <v/>
      </c>
      <c r="AO2062">
        <f>IF($AK2062=1,IFERROR(IF(VALUE($D2062)&lt;100000000,VALUE($D2062),1000000000),IFERROR(IF(VALUE(MID($D2062,2,20))&lt;100000000,VALUE(MID($D2062,2,20)),1000000000),1000000000))+ROW()/100000,"")</f>
        <v/>
      </c>
    </row>
    <row r="2063">
      <c r="F2063" s="11" t="n"/>
      <c r="N2063" s="7">
        <f>IF($D2063="","",M2063*V2063/100)</f>
        <v/>
      </c>
      <c r="O2063" s="7" t="n"/>
      <c r="U2063" s="7" t="n"/>
      <c r="V2063" s="7" t="n"/>
      <c r="Y2063">
        <f>IF($D2063="","",IF($AN2063=1,0,IF($AM2063=1,Settings!$C$6,Settings!$C$7))*100)</f>
        <v/>
      </c>
      <c r="Z2063" s="7">
        <f>IF($D2063="","",V2063*Y2063/100)</f>
        <v/>
      </c>
      <c r="AA2063" s="7">
        <f>IF($D2063="","",V2063-Z2063)</f>
        <v/>
      </c>
      <c r="AB2063" s="7">
        <f>IF($D2063="","",AA2063-N2063)</f>
        <v/>
      </c>
      <c r="AF2063" s="7" t="n"/>
      <c r="AI2063" s="11" t="n"/>
      <c r="AK2063">
        <f>IF($D2063="","",IF(COUNTIF($D$2:$D2063,$D2063)=1,1,0))</f>
        <v/>
      </c>
      <c r="AL2063">
        <f>IF($AK2063=1,SUMPRODUCT(--($AO$2:$AO$3001&lt;$AO2063))+1,"")</f>
        <v/>
      </c>
      <c r="AM2063">
        <f>IF($D2063="","",IF(OR($R2063=TRUE(),$R2063="TRUE"),1,0))</f>
        <v/>
      </c>
      <c r="AN2063">
        <f>IF($D2063="","",IF($X2063="Yes",1,0))</f>
        <v/>
      </c>
      <c r="AO2063">
        <f>IF($AK2063=1,IFERROR(IF(VALUE($D2063)&lt;100000000,VALUE($D2063),1000000000),IFERROR(IF(VALUE(MID($D2063,2,20))&lt;100000000,VALUE(MID($D2063,2,20)),1000000000),1000000000))+ROW()/100000,"")</f>
        <v/>
      </c>
    </row>
    <row r="2064">
      <c r="F2064" s="11" t="n"/>
      <c r="N2064" s="7">
        <f>IF($D2064="","",M2064*V2064/100)</f>
        <v/>
      </c>
      <c r="O2064" s="7" t="n"/>
      <c r="U2064" s="7" t="n"/>
      <c r="V2064" s="7" t="n"/>
      <c r="Y2064">
        <f>IF($D2064="","",IF($AN2064=1,0,IF($AM2064=1,Settings!$C$6,Settings!$C$7))*100)</f>
        <v/>
      </c>
      <c r="Z2064" s="7">
        <f>IF($D2064="","",V2064*Y2064/100)</f>
        <v/>
      </c>
      <c r="AA2064" s="7">
        <f>IF($D2064="","",V2064-Z2064)</f>
        <v/>
      </c>
      <c r="AB2064" s="7">
        <f>IF($D2064="","",AA2064-N2064)</f>
        <v/>
      </c>
      <c r="AF2064" s="7" t="n"/>
      <c r="AI2064" s="11" t="n"/>
      <c r="AK2064">
        <f>IF($D2064="","",IF(COUNTIF($D$2:$D2064,$D2064)=1,1,0))</f>
        <v/>
      </c>
      <c r="AL2064">
        <f>IF($AK2064=1,SUMPRODUCT(--($AO$2:$AO$3001&lt;$AO2064))+1,"")</f>
        <v/>
      </c>
      <c r="AM2064">
        <f>IF($D2064="","",IF(OR($R2064=TRUE(),$R2064="TRUE"),1,0))</f>
        <v/>
      </c>
      <c r="AN2064">
        <f>IF($D2064="","",IF($X2064="Yes",1,0))</f>
        <v/>
      </c>
      <c r="AO2064">
        <f>IF($AK2064=1,IFERROR(IF(VALUE($D2064)&lt;100000000,VALUE($D2064),1000000000),IFERROR(IF(VALUE(MID($D2064,2,20))&lt;100000000,VALUE(MID($D2064,2,20)),1000000000),1000000000))+ROW()/100000,"")</f>
        <v/>
      </c>
    </row>
    <row r="2065">
      <c r="F2065" s="11" t="n"/>
      <c r="N2065" s="7">
        <f>IF($D2065="","",M2065*V2065/100)</f>
        <v/>
      </c>
      <c r="O2065" s="7" t="n"/>
      <c r="U2065" s="7" t="n"/>
      <c r="V2065" s="7" t="n"/>
      <c r="Y2065">
        <f>IF($D2065="","",IF($AN2065=1,0,IF($AM2065=1,Settings!$C$6,Settings!$C$7))*100)</f>
        <v/>
      </c>
      <c r="Z2065" s="7">
        <f>IF($D2065="","",V2065*Y2065/100)</f>
        <v/>
      </c>
      <c r="AA2065" s="7">
        <f>IF($D2065="","",V2065-Z2065)</f>
        <v/>
      </c>
      <c r="AB2065" s="7">
        <f>IF($D2065="","",AA2065-N2065)</f>
        <v/>
      </c>
      <c r="AF2065" s="7" t="n"/>
      <c r="AI2065" s="11" t="n"/>
      <c r="AK2065">
        <f>IF($D2065="","",IF(COUNTIF($D$2:$D2065,$D2065)=1,1,0))</f>
        <v/>
      </c>
      <c r="AL2065">
        <f>IF($AK2065=1,SUMPRODUCT(--($AO$2:$AO$3001&lt;$AO2065))+1,"")</f>
        <v/>
      </c>
      <c r="AM2065">
        <f>IF($D2065="","",IF(OR($R2065=TRUE(),$R2065="TRUE"),1,0))</f>
        <v/>
      </c>
      <c r="AN2065">
        <f>IF($D2065="","",IF($X2065="Yes",1,0))</f>
        <v/>
      </c>
      <c r="AO2065">
        <f>IF($AK2065=1,IFERROR(IF(VALUE($D2065)&lt;100000000,VALUE($D2065),1000000000),IFERROR(IF(VALUE(MID($D2065,2,20))&lt;100000000,VALUE(MID($D2065,2,20)),1000000000),1000000000))+ROW()/100000,"")</f>
        <v/>
      </c>
    </row>
    <row r="2066">
      <c r="F2066" s="11" t="n"/>
      <c r="N2066" s="7">
        <f>IF($D2066="","",M2066*V2066/100)</f>
        <v/>
      </c>
      <c r="O2066" s="7" t="n"/>
      <c r="U2066" s="7" t="n"/>
      <c r="V2066" s="7" t="n"/>
      <c r="Y2066">
        <f>IF($D2066="","",IF($AN2066=1,0,IF($AM2066=1,Settings!$C$6,Settings!$C$7))*100)</f>
        <v/>
      </c>
      <c r="Z2066" s="7">
        <f>IF($D2066="","",V2066*Y2066/100)</f>
        <v/>
      </c>
      <c r="AA2066" s="7">
        <f>IF($D2066="","",V2066-Z2066)</f>
        <v/>
      </c>
      <c r="AB2066" s="7">
        <f>IF($D2066="","",AA2066-N2066)</f>
        <v/>
      </c>
      <c r="AF2066" s="7" t="n"/>
      <c r="AI2066" s="11" t="n"/>
      <c r="AK2066">
        <f>IF($D2066="","",IF(COUNTIF($D$2:$D2066,$D2066)=1,1,0))</f>
        <v/>
      </c>
      <c r="AL2066">
        <f>IF($AK2066=1,SUMPRODUCT(--($AO$2:$AO$3001&lt;$AO2066))+1,"")</f>
        <v/>
      </c>
      <c r="AM2066">
        <f>IF($D2066="","",IF(OR($R2066=TRUE(),$R2066="TRUE"),1,0))</f>
        <v/>
      </c>
      <c r="AN2066">
        <f>IF($D2066="","",IF($X2066="Yes",1,0))</f>
        <v/>
      </c>
      <c r="AO2066">
        <f>IF($AK2066=1,IFERROR(IF(VALUE($D2066)&lt;100000000,VALUE($D2066),1000000000),IFERROR(IF(VALUE(MID($D2066,2,20))&lt;100000000,VALUE(MID($D2066,2,20)),1000000000),1000000000))+ROW()/100000,"")</f>
        <v/>
      </c>
    </row>
    <row r="2067">
      <c r="F2067" s="11" t="n"/>
      <c r="N2067" s="7">
        <f>IF($D2067="","",M2067*V2067/100)</f>
        <v/>
      </c>
      <c r="O2067" s="7" t="n"/>
      <c r="U2067" s="7" t="n"/>
      <c r="V2067" s="7" t="n"/>
      <c r="Y2067">
        <f>IF($D2067="","",IF($AN2067=1,0,IF($AM2067=1,Settings!$C$6,Settings!$C$7))*100)</f>
        <v/>
      </c>
      <c r="Z2067" s="7">
        <f>IF($D2067="","",V2067*Y2067/100)</f>
        <v/>
      </c>
      <c r="AA2067" s="7">
        <f>IF($D2067="","",V2067-Z2067)</f>
        <v/>
      </c>
      <c r="AB2067" s="7">
        <f>IF($D2067="","",AA2067-N2067)</f>
        <v/>
      </c>
      <c r="AF2067" s="7" t="n"/>
      <c r="AI2067" s="11" t="n"/>
      <c r="AK2067">
        <f>IF($D2067="","",IF(COUNTIF($D$2:$D2067,$D2067)=1,1,0))</f>
        <v/>
      </c>
      <c r="AL2067">
        <f>IF($AK2067=1,SUMPRODUCT(--($AO$2:$AO$3001&lt;$AO2067))+1,"")</f>
        <v/>
      </c>
      <c r="AM2067">
        <f>IF($D2067="","",IF(OR($R2067=TRUE(),$R2067="TRUE"),1,0))</f>
        <v/>
      </c>
      <c r="AN2067">
        <f>IF($D2067="","",IF($X2067="Yes",1,0))</f>
        <v/>
      </c>
      <c r="AO2067">
        <f>IF($AK2067=1,IFERROR(IF(VALUE($D2067)&lt;100000000,VALUE($D2067),1000000000),IFERROR(IF(VALUE(MID($D2067,2,20))&lt;100000000,VALUE(MID($D2067,2,20)),1000000000),1000000000))+ROW()/100000,"")</f>
        <v/>
      </c>
    </row>
    <row r="2068">
      <c r="F2068" s="11" t="n"/>
      <c r="N2068" s="7">
        <f>IF($D2068="","",M2068*V2068/100)</f>
        <v/>
      </c>
      <c r="O2068" s="7" t="n"/>
      <c r="U2068" s="7" t="n"/>
      <c r="V2068" s="7" t="n"/>
      <c r="Y2068">
        <f>IF($D2068="","",IF($AN2068=1,0,IF($AM2068=1,Settings!$C$6,Settings!$C$7))*100)</f>
        <v/>
      </c>
      <c r="Z2068" s="7">
        <f>IF($D2068="","",V2068*Y2068/100)</f>
        <v/>
      </c>
      <c r="AA2068" s="7">
        <f>IF($D2068="","",V2068-Z2068)</f>
        <v/>
      </c>
      <c r="AB2068" s="7">
        <f>IF($D2068="","",AA2068-N2068)</f>
        <v/>
      </c>
      <c r="AF2068" s="7" t="n"/>
      <c r="AI2068" s="11" t="n"/>
      <c r="AK2068">
        <f>IF($D2068="","",IF(COUNTIF($D$2:$D2068,$D2068)=1,1,0))</f>
        <v/>
      </c>
      <c r="AL2068">
        <f>IF($AK2068=1,SUMPRODUCT(--($AO$2:$AO$3001&lt;$AO2068))+1,"")</f>
        <v/>
      </c>
      <c r="AM2068">
        <f>IF($D2068="","",IF(OR($R2068=TRUE(),$R2068="TRUE"),1,0))</f>
        <v/>
      </c>
      <c r="AN2068">
        <f>IF($D2068="","",IF($X2068="Yes",1,0))</f>
        <v/>
      </c>
      <c r="AO2068">
        <f>IF($AK2068=1,IFERROR(IF(VALUE($D2068)&lt;100000000,VALUE($D2068),1000000000),IFERROR(IF(VALUE(MID($D2068,2,20))&lt;100000000,VALUE(MID($D2068,2,20)),1000000000),1000000000))+ROW()/100000,"")</f>
        <v/>
      </c>
    </row>
    <row r="2069">
      <c r="F2069" s="11" t="n"/>
      <c r="N2069" s="7">
        <f>IF($D2069="","",M2069*V2069/100)</f>
        <v/>
      </c>
      <c r="O2069" s="7" t="n"/>
      <c r="U2069" s="7" t="n"/>
      <c r="V2069" s="7" t="n"/>
      <c r="Y2069">
        <f>IF($D2069="","",IF($AN2069=1,0,IF($AM2069=1,Settings!$C$6,Settings!$C$7))*100)</f>
        <v/>
      </c>
      <c r="Z2069" s="7">
        <f>IF($D2069="","",V2069*Y2069/100)</f>
        <v/>
      </c>
      <c r="AA2069" s="7">
        <f>IF($D2069="","",V2069-Z2069)</f>
        <v/>
      </c>
      <c r="AB2069" s="7">
        <f>IF($D2069="","",AA2069-N2069)</f>
        <v/>
      </c>
      <c r="AF2069" s="7" t="n"/>
      <c r="AI2069" s="11" t="n"/>
      <c r="AK2069">
        <f>IF($D2069="","",IF(COUNTIF($D$2:$D2069,$D2069)=1,1,0))</f>
        <v/>
      </c>
      <c r="AL2069">
        <f>IF($AK2069=1,SUMPRODUCT(--($AO$2:$AO$3001&lt;$AO2069))+1,"")</f>
        <v/>
      </c>
      <c r="AM2069">
        <f>IF($D2069="","",IF(OR($R2069=TRUE(),$R2069="TRUE"),1,0))</f>
        <v/>
      </c>
      <c r="AN2069">
        <f>IF($D2069="","",IF($X2069="Yes",1,0))</f>
        <v/>
      </c>
      <c r="AO2069">
        <f>IF($AK2069=1,IFERROR(IF(VALUE($D2069)&lt;100000000,VALUE($D2069),1000000000),IFERROR(IF(VALUE(MID($D2069,2,20))&lt;100000000,VALUE(MID($D2069,2,20)),1000000000),1000000000))+ROW()/100000,"")</f>
        <v/>
      </c>
    </row>
    <row r="2070">
      <c r="F2070" s="11" t="n"/>
      <c r="N2070" s="7">
        <f>IF($D2070="","",M2070*V2070/100)</f>
        <v/>
      </c>
      <c r="O2070" s="7" t="n"/>
      <c r="U2070" s="7" t="n"/>
      <c r="V2070" s="7" t="n"/>
      <c r="Y2070">
        <f>IF($D2070="","",IF($AN2070=1,0,IF($AM2070=1,Settings!$C$6,Settings!$C$7))*100)</f>
        <v/>
      </c>
      <c r="Z2070" s="7">
        <f>IF($D2070="","",V2070*Y2070/100)</f>
        <v/>
      </c>
      <c r="AA2070" s="7">
        <f>IF($D2070="","",V2070-Z2070)</f>
        <v/>
      </c>
      <c r="AB2070" s="7">
        <f>IF($D2070="","",AA2070-N2070)</f>
        <v/>
      </c>
      <c r="AF2070" s="7" t="n"/>
      <c r="AI2070" s="11" t="n"/>
      <c r="AK2070">
        <f>IF($D2070="","",IF(COUNTIF($D$2:$D2070,$D2070)=1,1,0))</f>
        <v/>
      </c>
      <c r="AL2070">
        <f>IF($AK2070=1,SUMPRODUCT(--($AO$2:$AO$3001&lt;$AO2070))+1,"")</f>
        <v/>
      </c>
      <c r="AM2070">
        <f>IF($D2070="","",IF(OR($R2070=TRUE(),$R2070="TRUE"),1,0))</f>
        <v/>
      </c>
      <c r="AN2070">
        <f>IF($D2070="","",IF($X2070="Yes",1,0))</f>
        <v/>
      </c>
      <c r="AO2070">
        <f>IF($AK2070=1,IFERROR(IF(VALUE($D2070)&lt;100000000,VALUE($D2070),1000000000),IFERROR(IF(VALUE(MID($D2070,2,20))&lt;100000000,VALUE(MID($D2070,2,20)),1000000000),1000000000))+ROW()/100000,"")</f>
        <v/>
      </c>
    </row>
    <row r="2071">
      <c r="F2071" s="11" t="n"/>
      <c r="N2071" s="7">
        <f>IF($D2071="","",M2071*V2071/100)</f>
        <v/>
      </c>
      <c r="O2071" s="7" t="n"/>
      <c r="U2071" s="7" t="n"/>
      <c r="V2071" s="7" t="n"/>
      <c r="Y2071">
        <f>IF($D2071="","",IF($AN2071=1,0,IF($AM2071=1,Settings!$C$6,Settings!$C$7))*100)</f>
        <v/>
      </c>
      <c r="Z2071" s="7">
        <f>IF($D2071="","",V2071*Y2071/100)</f>
        <v/>
      </c>
      <c r="AA2071" s="7">
        <f>IF($D2071="","",V2071-Z2071)</f>
        <v/>
      </c>
      <c r="AB2071" s="7">
        <f>IF($D2071="","",AA2071-N2071)</f>
        <v/>
      </c>
      <c r="AF2071" s="7" t="n"/>
      <c r="AI2071" s="11" t="n"/>
      <c r="AK2071">
        <f>IF($D2071="","",IF(COUNTIF($D$2:$D2071,$D2071)=1,1,0))</f>
        <v/>
      </c>
      <c r="AL2071">
        <f>IF($AK2071=1,SUMPRODUCT(--($AO$2:$AO$3001&lt;$AO2071))+1,"")</f>
        <v/>
      </c>
      <c r="AM2071">
        <f>IF($D2071="","",IF(OR($R2071=TRUE(),$R2071="TRUE"),1,0))</f>
        <v/>
      </c>
      <c r="AN2071">
        <f>IF($D2071="","",IF($X2071="Yes",1,0))</f>
        <v/>
      </c>
      <c r="AO2071">
        <f>IF($AK2071=1,IFERROR(IF(VALUE($D2071)&lt;100000000,VALUE($D2071),1000000000),IFERROR(IF(VALUE(MID($D2071,2,20))&lt;100000000,VALUE(MID($D2071,2,20)),1000000000),1000000000))+ROW()/100000,"")</f>
        <v/>
      </c>
    </row>
    <row r="2072">
      <c r="F2072" s="11" t="n"/>
      <c r="N2072" s="7">
        <f>IF($D2072="","",M2072*V2072/100)</f>
        <v/>
      </c>
      <c r="O2072" s="7" t="n"/>
      <c r="U2072" s="7" t="n"/>
      <c r="V2072" s="7" t="n"/>
      <c r="Y2072">
        <f>IF($D2072="","",IF($AN2072=1,0,IF($AM2072=1,Settings!$C$6,Settings!$C$7))*100)</f>
        <v/>
      </c>
      <c r="Z2072" s="7">
        <f>IF($D2072="","",V2072*Y2072/100)</f>
        <v/>
      </c>
      <c r="AA2072" s="7">
        <f>IF($D2072="","",V2072-Z2072)</f>
        <v/>
      </c>
      <c r="AB2072" s="7">
        <f>IF($D2072="","",AA2072-N2072)</f>
        <v/>
      </c>
      <c r="AF2072" s="7" t="n"/>
      <c r="AI2072" s="11" t="n"/>
      <c r="AK2072">
        <f>IF($D2072="","",IF(COUNTIF($D$2:$D2072,$D2072)=1,1,0))</f>
        <v/>
      </c>
      <c r="AL2072">
        <f>IF($AK2072=1,SUMPRODUCT(--($AO$2:$AO$3001&lt;$AO2072))+1,"")</f>
        <v/>
      </c>
      <c r="AM2072">
        <f>IF($D2072="","",IF(OR($R2072=TRUE(),$R2072="TRUE"),1,0))</f>
        <v/>
      </c>
      <c r="AN2072">
        <f>IF($D2072="","",IF($X2072="Yes",1,0))</f>
        <v/>
      </c>
      <c r="AO2072">
        <f>IF($AK2072=1,IFERROR(IF(VALUE($D2072)&lt;100000000,VALUE($D2072),1000000000),IFERROR(IF(VALUE(MID($D2072,2,20))&lt;100000000,VALUE(MID($D2072,2,20)),1000000000),1000000000))+ROW()/100000,"")</f>
        <v/>
      </c>
    </row>
    <row r="2073">
      <c r="F2073" s="11" t="n"/>
      <c r="N2073" s="7">
        <f>IF($D2073="","",M2073*V2073/100)</f>
        <v/>
      </c>
      <c r="O2073" s="7" t="n"/>
      <c r="U2073" s="7" t="n"/>
      <c r="V2073" s="7" t="n"/>
      <c r="Y2073">
        <f>IF($D2073="","",IF($AN2073=1,0,IF($AM2073=1,Settings!$C$6,Settings!$C$7))*100)</f>
        <v/>
      </c>
      <c r="Z2073" s="7">
        <f>IF($D2073="","",V2073*Y2073/100)</f>
        <v/>
      </c>
      <c r="AA2073" s="7">
        <f>IF($D2073="","",V2073-Z2073)</f>
        <v/>
      </c>
      <c r="AB2073" s="7">
        <f>IF($D2073="","",AA2073-N2073)</f>
        <v/>
      </c>
      <c r="AF2073" s="7" t="n"/>
      <c r="AI2073" s="11" t="n"/>
      <c r="AK2073">
        <f>IF($D2073="","",IF(COUNTIF($D$2:$D2073,$D2073)=1,1,0))</f>
        <v/>
      </c>
      <c r="AL2073">
        <f>IF($AK2073=1,SUMPRODUCT(--($AO$2:$AO$3001&lt;$AO2073))+1,"")</f>
        <v/>
      </c>
      <c r="AM2073">
        <f>IF($D2073="","",IF(OR($R2073=TRUE(),$R2073="TRUE"),1,0))</f>
        <v/>
      </c>
      <c r="AN2073">
        <f>IF($D2073="","",IF($X2073="Yes",1,0))</f>
        <v/>
      </c>
      <c r="AO2073">
        <f>IF($AK2073=1,IFERROR(IF(VALUE($D2073)&lt;100000000,VALUE($D2073),1000000000),IFERROR(IF(VALUE(MID($D2073,2,20))&lt;100000000,VALUE(MID($D2073,2,20)),1000000000),1000000000))+ROW()/100000,"")</f>
        <v/>
      </c>
    </row>
    <row r="2074">
      <c r="F2074" s="11" t="n"/>
      <c r="N2074" s="7">
        <f>IF($D2074="","",M2074*V2074/100)</f>
        <v/>
      </c>
      <c r="O2074" s="7" t="n"/>
      <c r="U2074" s="7" t="n"/>
      <c r="V2074" s="7" t="n"/>
      <c r="Y2074">
        <f>IF($D2074="","",IF($AN2074=1,0,IF($AM2074=1,Settings!$C$6,Settings!$C$7))*100)</f>
        <v/>
      </c>
      <c r="Z2074" s="7">
        <f>IF($D2074="","",V2074*Y2074/100)</f>
        <v/>
      </c>
      <c r="AA2074" s="7">
        <f>IF($D2074="","",V2074-Z2074)</f>
        <v/>
      </c>
      <c r="AB2074" s="7">
        <f>IF($D2074="","",AA2074-N2074)</f>
        <v/>
      </c>
      <c r="AF2074" s="7" t="n"/>
      <c r="AI2074" s="11" t="n"/>
      <c r="AK2074">
        <f>IF($D2074="","",IF(COUNTIF($D$2:$D2074,$D2074)=1,1,0))</f>
        <v/>
      </c>
      <c r="AL2074">
        <f>IF($AK2074=1,SUMPRODUCT(--($AO$2:$AO$3001&lt;$AO2074))+1,"")</f>
        <v/>
      </c>
      <c r="AM2074">
        <f>IF($D2074="","",IF(OR($R2074=TRUE(),$R2074="TRUE"),1,0))</f>
        <v/>
      </c>
      <c r="AN2074">
        <f>IF($D2074="","",IF($X2074="Yes",1,0))</f>
        <v/>
      </c>
      <c r="AO2074">
        <f>IF($AK2074=1,IFERROR(IF(VALUE($D2074)&lt;100000000,VALUE($D2074),1000000000),IFERROR(IF(VALUE(MID($D2074,2,20))&lt;100000000,VALUE(MID($D2074,2,20)),1000000000),1000000000))+ROW()/100000,"")</f>
        <v/>
      </c>
    </row>
    <row r="2075">
      <c r="F2075" s="11" t="n"/>
      <c r="N2075" s="7">
        <f>IF($D2075="","",M2075*V2075/100)</f>
        <v/>
      </c>
      <c r="O2075" s="7" t="n"/>
      <c r="U2075" s="7" t="n"/>
      <c r="V2075" s="7" t="n"/>
      <c r="Y2075">
        <f>IF($D2075="","",IF($AN2075=1,0,IF($AM2075=1,Settings!$C$6,Settings!$C$7))*100)</f>
        <v/>
      </c>
      <c r="Z2075" s="7">
        <f>IF($D2075="","",V2075*Y2075/100)</f>
        <v/>
      </c>
      <c r="AA2075" s="7">
        <f>IF($D2075="","",V2075-Z2075)</f>
        <v/>
      </c>
      <c r="AB2075" s="7">
        <f>IF($D2075="","",AA2075-N2075)</f>
        <v/>
      </c>
      <c r="AF2075" s="7" t="n"/>
      <c r="AI2075" s="11" t="n"/>
      <c r="AK2075">
        <f>IF($D2075="","",IF(COUNTIF($D$2:$D2075,$D2075)=1,1,0))</f>
        <v/>
      </c>
      <c r="AL2075">
        <f>IF($AK2075=1,SUMPRODUCT(--($AO$2:$AO$3001&lt;$AO2075))+1,"")</f>
        <v/>
      </c>
      <c r="AM2075">
        <f>IF($D2075="","",IF(OR($R2075=TRUE(),$R2075="TRUE"),1,0))</f>
        <v/>
      </c>
      <c r="AN2075">
        <f>IF($D2075="","",IF($X2075="Yes",1,0))</f>
        <v/>
      </c>
      <c r="AO2075">
        <f>IF($AK2075=1,IFERROR(IF(VALUE($D2075)&lt;100000000,VALUE($D2075),1000000000),IFERROR(IF(VALUE(MID($D2075,2,20))&lt;100000000,VALUE(MID($D2075,2,20)),1000000000),1000000000))+ROW()/100000,"")</f>
        <v/>
      </c>
    </row>
    <row r="2076">
      <c r="F2076" s="11" t="n"/>
      <c r="N2076" s="7">
        <f>IF($D2076="","",M2076*V2076/100)</f>
        <v/>
      </c>
      <c r="O2076" s="7" t="n"/>
      <c r="U2076" s="7" t="n"/>
      <c r="V2076" s="7" t="n"/>
      <c r="Y2076">
        <f>IF($D2076="","",IF($AN2076=1,0,IF($AM2076=1,Settings!$C$6,Settings!$C$7))*100)</f>
        <v/>
      </c>
      <c r="Z2076" s="7">
        <f>IF($D2076="","",V2076*Y2076/100)</f>
        <v/>
      </c>
      <c r="AA2076" s="7">
        <f>IF($D2076="","",V2076-Z2076)</f>
        <v/>
      </c>
      <c r="AB2076" s="7">
        <f>IF($D2076="","",AA2076-N2076)</f>
        <v/>
      </c>
      <c r="AF2076" s="7" t="n"/>
      <c r="AI2076" s="11" t="n"/>
      <c r="AK2076">
        <f>IF($D2076="","",IF(COUNTIF($D$2:$D2076,$D2076)=1,1,0))</f>
        <v/>
      </c>
      <c r="AL2076">
        <f>IF($AK2076=1,SUMPRODUCT(--($AO$2:$AO$3001&lt;$AO2076))+1,"")</f>
        <v/>
      </c>
      <c r="AM2076">
        <f>IF($D2076="","",IF(OR($R2076=TRUE(),$R2076="TRUE"),1,0))</f>
        <v/>
      </c>
      <c r="AN2076">
        <f>IF($D2076="","",IF($X2076="Yes",1,0))</f>
        <v/>
      </c>
      <c r="AO2076">
        <f>IF($AK2076=1,IFERROR(IF(VALUE($D2076)&lt;100000000,VALUE($D2076),1000000000),IFERROR(IF(VALUE(MID($D2076,2,20))&lt;100000000,VALUE(MID($D2076,2,20)),1000000000),1000000000))+ROW()/100000,"")</f>
        <v/>
      </c>
    </row>
    <row r="2077">
      <c r="F2077" s="11" t="n"/>
      <c r="N2077" s="7">
        <f>IF($D2077="","",M2077*V2077/100)</f>
        <v/>
      </c>
      <c r="O2077" s="7" t="n"/>
      <c r="U2077" s="7" t="n"/>
      <c r="V2077" s="7" t="n"/>
      <c r="Y2077">
        <f>IF($D2077="","",IF($AN2077=1,0,IF($AM2077=1,Settings!$C$6,Settings!$C$7))*100)</f>
        <v/>
      </c>
      <c r="Z2077" s="7">
        <f>IF($D2077="","",V2077*Y2077/100)</f>
        <v/>
      </c>
      <c r="AA2077" s="7">
        <f>IF($D2077="","",V2077-Z2077)</f>
        <v/>
      </c>
      <c r="AB2077" s="7">
        <f>IF($D2077="","",AA2077-N2077)</f>
        <v/>
      </c>
      <c r="AF2077" s="7" t="n"/>
      <c r="AI2077" s="11" t="n"/>
      <c r="AK2077">
        <f>IF($D2077="","",IF(COUNTIF($D$2:$D2077,$D2077)=1,1,0))</f>
        <v/>
      </c>
      <c r="AL2077">
        <f>IF($AK2077=1,SUMPRODUCT(--($AO$2:$AO$3001&lt;$AO2077))+1,"")</f>
        <v/>
      </c>
      <c r="AM2077">
        <f>IF($D2077="","",IF(OR($R2077=TRUE(),$R2077="TRUE"),1,0))</f>
        <v/>
      </c>
      <c r="AN2077">
        <f>IF($D2077="","",IF($X2077="Yes",1,0))</f>
        <v/>
      </c>
      <c r="AO2077">
        <f>IF($AK2077=1,IFERROR(IF(VALUE($D2077)&lt;100000000,VALUE($D2077),1000000000),IFERROR(IF(VALUE(MID($D2077,2,20))&lt;100000000,VALUE(MID($D2077,2,20)),1000000000),1000000000))+ROW()/100000,"")</f>
        <v/>
      </c>
    </row>
    <row r="2078">
      <c r="F2078" s="11" t="n"/>
      <c r="N2078" s="7">
        <f>IF($D2078="","",M2078*V2078/100)</f>
        <v/>
      </c>
      <c r="O2078" s="7" t="n"/>
      <c r="U2078" s="7" t="n"/>
      <c r="V2078" s="7" t="n"/>
      <c r="Y2078">
        <f>IF($D2078="","",IF($AN2078=1,0,IF($AM2078=1,Settings!$C$6,Settings!$C$7))*100)</f>
        <v/>
      </c>
      <c r="Z2078" s="7">
        <f>IF($D2078="","",V2078*Y2078/100)</f>
        <v/>
      </c>
      <c r="AA2078" s="7">
        <f>IF($D2078="","",V2078-Z2078)</f>
        <v/>
      </c>
      <c r="AB2078" s="7">
        <f>IF($D2078="","",AA2078-N2078)</f>
        <v/>
      </c>
      <c r="AF2078" s="7" t="n"/>
      <c r="AI2078" s="11" t="n"/>
      <c r="AK2078">
        <f>IF($D2078="","",IF(COUNTIF($D$2:$D2078,$D2078)=1,1,0))</f>
        <v/>
      </c>
      <c r="AL2078">
        <f>IF($AK2078=1,SUMPRODUCT(--($AO$2:$AO$3001&lt;$AO2078))+1,"")</f>
        <v/>
      </c>
      <c r="AM2078">
        <f>IF($D2078="","",IF(OR($R2078=TRUE(),$R2078="TRUE"),1,0))</f>
        <v/>
      </c>
      <c r="AN2078">
        <f>IF($D2078="","",IF($X2078="Yes",1,0))</f>
        <v/>
      </c>
      <c r="AO2078">
        <f>IF($AK2078=1,IFERROR(IF(VALUE($D2078)&lt;100000000,VALUE($D2078),1000000000),IFERROR(IF(VALUE(MID($D2078,2,20))&lt;100000000,VALUE(MID($D2078,2,20)),1000000000),1000000000))+ROW()/100000,"")</f>
        <v/>
      </c>
    </row>
    <row r="2079">
      <c r="F2079" s="11" t="n"/>
      <c r="N2079" s="7">
        <f>IF($D2079="","",M2079*V2079/100)</f>
        <v/>
      </c>
      <c r="O2079" s="7" t="n"/>
      <c r="U2079" s="7" t="n"/>
      <c r="V2079" s="7" t="n"/>
      <c r="Y2079">
        <f>IF($D2079="","",IF($AN2079=1,0,IF($AM2079=1,Settings!$C$6,Settings!$C$7))*100)</f>
        <v/>
      </c>
      <c r="Z2079" s="7">
        <f>IF($D2079="","",V2079*Y2079/100)</f>
        <v/>
      </c>
      <c r="AA2079" s="7">
        <f>IF($D2079="","",V2079-Z2079)</f>
        <v/>
      </c>
      <c r="AB2079" s="7">
        <f>IF($D2079="","",AA2079-N2079)</f>
        <v/>
      </c>
      <c r="AF2079" s="7" t="n"/>
      <c r="AI2079" s="11" t="n"/>
      <c r="AK2079">
        <f>IF($D2079="","",IF(COUNTIF($D$2:$D2079,$D2079)=1,1,0))</f>
        <v/>
      </c>
      <c r="AL2079">
        <f>IF($AK2079=1,SUMPRODUCT(--($AO$2:$AO$3001&lt;$AO2079))+1,"")</f>
        <v/>
      </c>
      <c r="AM2079">
        <f>IF($D2079="","",IF(OR($R2079=TRUE(),$R2079="TRUE"),1,0))</f>
        <v/>
      </c>
      <c r="AN2079">
        <f>IF($D2079="","",IF($X2079="Yes",1,0))</f>
        <v/>
      </c>
      <c r="AO2079">
        <f>IF($AK2079=1,IFERROR(IF(VALUE($D2079)&lt;100000000,VALUE($D2079),1000000000),IFERROR(IF(VALUE(MID($D2079,2,20))&lt;100000000,VALUE(MID($D2079,2,20)),1000000000),1000000000))+ROW()/100000,"")</f>
        <v/>
      </c>
    </row>
    <row r="2080">
      <c r="F2080" s="11" t="n"/>
      <c r="N2080" s="7">
        <f>IF($D2080="","",M2080*V2080/100)</f>
        <v/>
      </c>
      <c r="O2080" s="7" t="n"/>
      <c r="U2080" s="7" t="n"/>
      <c r="V2080" s="7" t="n"/>
      <c r="Y2080">
        <f>IF($D2080="","",IF($AN2080=1,0,IF($AM2080=1,Settings!$C$6,Settings!$C$7))*100)</f>
        <v/>
      </c>
      <c r="Z2080" s="7">
        <f>IF($D2080="","",V2080*Y2080/100)</f>
        <v/>
      </c>
      <c r="AA2080" s="7">
        <f>IF($D2080="","",V2080-Z2080)</f>
        <v/>
      </c>
      <c r="AB2080" s="7">
        <f>IF($D2080="","",AA2080-N2080)</f>
        <v/>
      </c>
      <c r="AF2080" s="7" t="n"/>
      <c r="AI2080" s="11" t="n"/>
      <c r="AK2080">
        <f>IF($D2080="","",IF(COUNTIF($D$2:$D2080,$D2080)=1,1,0))</f>
        <v/>
      </c>
      <c r="AL2080">
        <f>IF($AK2080=1,SUMPRODUCT(--($AO$2:$AO$3001&lt;$AO2080))+1,"")</f>
        <v/>
      </c>
      <c r="AM2080">
        <f>IF($D2080="","",IF(OR($R2080=TRUE(),$R2080="TRUE"),1,0))</f>
        <v/>
      </c>
      <c r="AN2080">
        <f>IF($D2080="","",IF($X2080="Yes",1,0))</f>
        <v/>
      </c>
      <c r="AO2080">
        <f>IF($AK2080=1,IFERROR(IF(VALUE($D2080)&lt;100000000,VALUE($D2080),1000000000),IFERROR(IF(VALUE(MID($D2080,2,20))&lt;100000000,VALUE(MID($D2080,2,20)),1000000000),1000000000))+ROW()/100000,"")</f>
        <v/>
      </c>
    </row>
    <row r="2081">
      <c r="F2081" s="11" t="n"/>
      <c r="N2081" s="7">
        <f>IF($D2081="","",M2081*V2081/100)</f>
        <v/>
      </c>
      <c r="O2081" s="7" t="n"/>
      <c r="U2081" s="7" t="n"/>
      <c r="V2081" s="7" t="n"/>
      <c r="Y2081">
        <f>IF($D2081="","",IF($AN2081=1,0,IF($AM2081=1,Settings!$C$6,Settings!$C$7))*100)</f>
        <v/>
      </c>
      <c r="Z2081" s="7">
        <f>IF($D2081="","",V2081*Y2081/100)</f>
        <v/>
      </c>
      <c r="AA2081" s="7">
        <f>IF($D2081="","",V2081-Z2081)</f>
        <v/>
      </c>
      <c r="AB2081" s="7">
        <f>IF($D2081="","",AA2081-N2081)</f>
        <v/>
      </c>
      <c r="AF2081" s="7" t="n"/>
      <c r="AI2081" s="11" t="n"/>
      <c r="AK2081">
        <f>IF($D2081="","",IF(COUNTIF($D$2:$D2081,$D2081)=1,1,0))</f>
        <v/>
      </c>
      <c r="AL2081">
        <f>IF($AK2081=1,SUMPRODUCT(--($AO$2:$AO$3001&lt;$AO2081))+1,"")</f>
        <v/>
      </c>
      <c r="AM2081">
        <f>IF($D2081="","",IF(OR($R2081=TRUE(),$R2081="TRUE"),1,0))</f>
        <v/>
      </c>
      <c r="AN2081">
        <f>IF($D2081="","",IF($X2081="Yes",1,0))</f>
        <v/>
      </c>
      <c r="AO2081">
        <f>IF($AK2081=1,IFERROR(IF(VALUE($D2081)&lt;100000000,VALUE($D2081),1000000000),IFERROR(IF(VALUE(MID($D2081,2,20))&lt;100000000,VALUE(MID($D2081,2,20)),1000000000),1000000000))+ROW()/100000,"")</f>
        <v/>
      </c>
    </row>
    <row r="2082">
      <c r="F2082" s="11" t="n"/>
      <c r="N2082" s="7">
        <f>IF($D2082="","",M2082*V2082/100)</f>
        <v/>
      </c>
      <c r="O2082" s="7" t="n"/>
      <c r="U2082" s="7" t="n"/>
      <c r="V2082" s="7" t="n"/>
      <c r="Y2082">
        <f>IF($D2082="","",IF($AN2082=1,0,IF($AM2082=1,Settings!$C$6,Settings!$C$7))*100)</f>
        <v/>
      </c>
      <c r="Z2082" s="7">
        <f>IF($D2082="","",V2082*Y2082/100)</f>
        <v/>
      </c>
      <c r="AA2082" s="7">
        <f>IF($D2082="","",V2082-Z2082)</f>
        <v/>
      </c>
      <c r="AB2082" s="7">
        <f>IF($D2082="","",AA2082-N2082)</f>
        <v/>
      </c>
      <c r="AF2082" s="7" t="n"/>
      <c r="AI2082" s="11" t="n"/>
      <c r="AK2082">
        <f>IF($D2082="","",IF(COUNTIF($D$2:$D2082,$D2082)=1,1,0))</f>
        <v/>
      </c>
      <c r="AL2082">
        <f>IF($AK2082=1,SUMPRODUCT(--($AO$2:$AO$3001&lt;$AO2082))+1,"")</f>
        <v/>
      </c>
      <c r="AM2082">
        <f>IF($D2082="","",IF(OR($R2082=TRUE(),$R2082="TRUE"),1,0))</f>
        <v/>
      </c>
      <c r="AN2082">
        <f>IF($D2082="","",IF($X2082="Yes",1,0))</f>
        <v/>
      </c>
      <c r="AO2082">
        <f>IF($AK2082=1,IFERROR(IF(VALUE($D2082)&lt;100000000,VALUE($D2082),1000000000),IFERROR(IF(VALUE(MID($D2082,2,20))&lt;100000000,VALUE(MID($D2082,2,20)),1000000000),1000000000))+ROW()/100000,"")</f>
        <v/>
      </c>
    </row>
    <row r="2083">
      <c r="F2083" s="11" t="n"/>
      <c r="N2083" s="7">
        <f>IF($D2083="","",M2083*V2083/100)</f>
        <v/>
      </c>
      <c r="O2083" s="7" t="n"/>
      <c r="U2083" s="7" t="n"/>
      <c r="V2083" s="7" t="n"/>
      <c r="Y2083">
        <f>IF($D2083="","",IF($AN2083=1,0,IF($AM2083=1,Settings!$C$6,Settings!$C$7))*100)</f>
        <v/>
      </c>
      <c r="Z2083" s="7">
        <f>IF($D2083="","",V2083*Y2083/100)</f>
        <v/>
      </c>
      <c r="AA2083" s="7">
        <f>IF($D2083="","",V2083-Z2083)</f>
        <v/>
      </c>
      <c r="AB2083" s="7">
        <f>IF($D2083="","",AA2083-N2083)</f>
        <v/>
      </c>
      <c r="AF2083" s="7" t="n"/>
      <c r="AI2083" s="11" t="n"/>
      <c r="AK2083">
        <f>IF($D2083="","",IF(COUNTIF($D$2:$D2083,$D2083)=1,1,0))</f>
        <v/>
      </c>
      <c r="AL2083">
        <f>IF($AK2083=1,SUMPRODUCT(--($AO$2:$AO$3001&lt;$AO2083))+1,"")</f>
        <v/>
      </c>
      <c r="AM2083">
        <f>IF($D2083="","",IF(OR($R2083=TRUE(),$R2083="TRUE"),1,0))</f>
        <v/>
      </c>
      <c r="AN2083">
        <f>IF($D2083="","",IF($X2083="Yes",1,0))</f>
        <v/>
      </c>
      <c r="AO2083">
        <f>IF($AK2083=1,IFERROR(IF(VALUE($D2083)&lt;100000000,VALUE($D2083),1000000000),IFERROR(IF(VALUE(MID($D2083,2,20))&lt;100000000,VALUE(MID($D2083,2,20)),1000000000),1000000000))+ROW()/100000,"")</f>
        <v/>
      </c>
    </row>
    <row r="2084">
      <c r="F2084" s="11" t="n"/>
      <c r="N2084" s="7">
        <f>IF($D2084="","",M2084*V2084/100)</f>
        <v/>
      </c>
      <c r="O2084" s="7" t="n"/>
      <c r="U2084" s="7" t="n"/>
      <c r="V2084" s="7" t="n"/>
      <c r="Y2084">
        <f>IF($D2084="","",IF($AN2084=1,0,IF($AM2084=1,Settings!$C$6,Settings!$C$7))*100)</f>
        <v/>
      </c>
      <c r="Z2084" s="7">
        <f>IF($D2084="","",V2084*Y2084/100)</f>
        <v/>
      </c>
      <c r="AA2084" s="7">
        <f>IF($D2084="","",V2084-Z2084)</f>
        <v/>
      </c>
      <c r="AB2084" s="7">
        <f>IF($D2084="","",AA2084-N2084)</f>
        <v/>
      </c>
      <c r="AF2084" s="7" t="n"/>
      <c r="AI2084" s="11" t="n"/>
      <c r="AK2084">
        <f>IF($D2084="","",IF(COUNTIF($D$2:$D2084,$D2084)=1,1,0))</f>
        <v/>
      </c>
      <c r="AL2084">
        <f>IF($AK2084=1,SUMPRODUCT(--($AO$2:$AO$3001&lt;$AO2084))+1,"")</f>
        <v/>
      </c>
      <c r="AM2084">
        <f>IF($D2084="","",IF(OR($R2084=TRUE(),$R2084="TRUE"),1,0))</f>
        <v/>
      </c>
      <c r="AN2084">
        <f>IF($D2084="","",IF($X2084="Yes",1,0))</f>
        <v/>
      </c>
      <c r="AO2084">
        <f>IF($AK2084=1,IFERROR(IF(VALUE($D2084)&lt;100000000,VALUE($D2084),1000000000),IFERROR(IF(VALUE(MID($D2084,2,20))&lt;100000000,VALUE(MID($D2084,2,20)),1000000000),1000000000))+ROW()/100000,"")</f>
        <v/>
      </c>
    </row>
    <row r="2085">
      <c r="F2085" s="11" t="n"/>
      <c r="N2085" s="7">
        <f>IF($D2085="","",M2085*V2085/100)</f>
        <v/>
      </c>
      <c r="O2085" s="7" t="n"/>
      <c r="U2085" s="7" t="n"/>
      <c r="V2085" s="7" t="n"/>
      <c r="Y2085">
        <f>IF($D2085="","",IF($AN2085=1,0,IF($AM2085=1,Settings!$C$6,Settings!$C$7))*100)</f>
        <v/>
      </c>
      <c r="Z2085" s="7">
        <f>IF($D2085="","",V2085*Y2085/100)</f>
        <v/>
      </c>
      <c r="AA2085" s="7">
        <f>IF($D2085="","",V2085-Z2085)</f>
        <v/>
      </c>
      <c r="AB2085" s="7">
        <f>IF($D2085="","",AA2085-N2085)</f>
        <v/>
      </c>
      <c r="AF2085" s="7" t="n"/>
      <c r="AI2085" s="11" t="n"/>
      <c r="AK2085">
        <f>IF($D2085="","",IF(COUNTIF($D$2:$D2085,$D2085)=1,1,0))</f>
        <v/>
      </c>
      <c r="AL2085">
        <f>IF($AK2085=1,SUMPRODUCT(--($AO$2:$AO$3001&lt;$AO2085))+1,"")</f>
        <v/>
      </c>
      <c r="AM2085">
        <f>IF($D2085="","",IF(OR($R2085=TRUE(),$R2085="TRUE"),1,0))</f>
        <v/>
      </c>
      <c r="AN2085">
        <f>IF($D2085="","",IF($X2085="Yes",1,0))</f>
        <v/>
      </c>
      <c r="AO2085">
        <f>IF($AK2085=1,IFERROR(IF(VALUE($D2085)&lt;100000000,VALUE($D2085),1000000000),IFERROR(IF(VALUE(MID($D2085,2,20))&lt;100000000,VALUE(MID($D2085,2,20)),1000000000),1000000000))+ROW()/100000,"")</f>
        <v/>
      </c>
    </row>
    <row r="2086">
      <c r="F2086" s="11" t="n"/>
      <c r="N2086" s="7">
        <f>IF($D2086="","",M2086*V2086/100)</f>
        <v/>
      </c>
      <c r="O2086" s="7" t="n"/>
      <c r="U2086" s="7" t="n"/>
      <c r="V2086" s="7" t="n"/>
      <c r="Y2086">
        <f>IF($D2086="","",IF($AN2086=1,0,IF($AM2086=1,Settings!$C$6,Settings!$C$7))*100)</f>
        <v/>
      </c>
      <c r="Z2086" s="7">
        <f>IF($D2086="","",V2086*Y2086/100)</f>
        <v/>
      </c>
      <c r="AA2086" s="7">
        <f>IF($D2086="","",V2086-Z2086)</f>
        <v/>
      </c>
      <c r="AB2086" s="7">
        <f>IF($D2086="","",AA2086-N2086)</f>
        <v/>
      </c>
      <c r="AF2086" s="7" t="n"/>
      <c r="AI2086" s="11" t="n"/>
      <c r="AK2086">
        <f>IF($D2086="","",IF(COUNTIF($D$2:$D2086,$D2086)=1,1,0))</f>
        <v/>
      </c>
      <c r="AL2086">
        <f>IF($AK2086=1,SUMPRODUCT(--($AO$2:$AO$3001&lt;$AO2086))+1,"")</f>
        <v/>
      </c>
      <c r="AM2086">
        <f>IF($D2086="","",IF(OR($R2086=TRUE(),$R2086="TRUE"),1,0))</f>
        <v/>
      </c>
      <c r="AN2086">
        <f>IF($D2086="","",IF($X2086="Yes",1,0))</f>
        <v/>
      </c>
      <c r="AO2086">
        <f>IF($AK2086=1,IFERROR(IF(VALUE($D2086)&lt;100000000,VALUE($D2086),1000000000),IFERROR(IF(VALUE(MID($D2086,2,20))&lt;100000000,VALUE(MID($D2086,2,20)),1000000000),1000000000))+ROW()/100000,"")</f>
        <v/>
      </c>
    </row>
    <row r="2087">
      <c r="F2087" s="11" t="n"/>
      <c r="N2087" s="7">
        <f>IF($D2087="","",M2087*V2087/100)</f>
        <v/>
      </c>
      <c r="O2087" s="7" t="n"/>
      <c r="U2087" s="7" t="n"/>
      <c r="V2087" s="7" t="n"/>
      <c r="Y2087">
        <f>IF($D2087="","",IF($AN2087=1,0,IF($AM2087=1,Settings!$C$6,Settings!$C$7))*100)</f>
        <v/>
      </c>
      <c r="Z2087" s="7">
        <f>IF($D2087="","",V2087*Y2087/100)</f>
        <v/>
      </c>
      <c r="AA2087" s="7">
        <f>IF($D2087="","",V2087-Z2087)</f>
        <v/>
      </c>
      <c r="AB2087" s="7">
        <f>IF($D2087="","",AA2087-N2087)</f>
        <v/>
      </c>
      <c r="AF2087" s="7" t="n"/>
      <c r="AI2087" s="11" t="n"/>
      <c r="AK2087">
        <f>IF($D2087="","",IF(COUNTIF($D$2:$D2087,$D2087)=1,1,0))</f>
        <v/>
      </c>
      <c r="AL2087">
        <f>IF($AK2087=1,SUMPRODUCT(--($AO$2:$AO$3001&lt;$AO2087))+1,"")</f>
        <v/>
      </c>
      <c r="AM2087">
        <f>IF($D2087="","",IF(OR($R2087=TRUE(),$R2087="TRUE"),1,0))</f>
        <v/>
      </c>
      <c r="AN2087">
        <f>IF($D2087="","",IF($X2087="Yes",1,0))</f>
        <v/>
      </c>
      <c r="AO2087">
        <f>IF($AK2087=1,IFERROR(IF(VALUE($D2087)&lt;100000000,VALUE($D2087),1000000000),IFERROR(IF(VALUE(MID($D2087,2,20))&lt;100000000,VALUE(MID($D2087,2,20)),1000000000),1000000000))+ROW()/100000,"")</f>
        <v/>
      </c>
    </row>
    <row r="2088">
      <c r="F2088" s="11" t="n"/>
      <c r="N2088" s="7">
        <f>IF($D2088="","",M2088*V2088/100)</f>
        <v/>
      </c>
      <c r="O2088" s="7" t="n"/>
      <c r="U2088" s="7" t="n"/>
      <c r="V2088" s="7" t="n"/>
      <c r="Y2088">
        <f>IF($D2088="","",IF($AN2088=1,0,IF($AM2088=1,Settings!$C$6,Settings!$C$7))*100)</f>
        <v/>
      </c>
      <c r="Z2088" s="7">
        <f>IF($D2088="","",V2088*Y2088/100)</f>
        <v/>
      </c>
      <c r="AA2088" s="7">
        <f>IF($D2088="","",V2088-Z2088)</f>
        <v/>
      </c>
      <c r="AB2088" s="7">
        <f>IF($D2088="","",AA2088-N2088)</f>
        <v/>
      </c>
      <c r="AF2088" s="7" t="n"/>
      <c r="AI2088" s="11" t="n"/>
      <c r="AK2088">
        <f>IF($D2088="","",IF(COUNTIF($D$2:$D2088,$D2088)=1,1,0))</f>
        <v/>
      </c>
      <c r="AL2088">
        <f>IF($AK2088=1,SUMPRODUCT(--($AO$2:$AO$3001&lt;$AO2088))+1,"")</f>
        <v/>
      </c>
      <c r="AM2088">
        <f>IF($D2088="","",IF(OR($R2088=TRUE(),$R2088="TRUE"),1,0))</f>
        <v/>
      </c>
      <c r="AN2088">
        <f>IF($D2088="","",IF($X2088="Yes",1,0))</f>
        <v/>
      </c>
      <c r="AO2088">
        <f>IF($AK2088=1,IFERROR(IF(VALUE($D2088)&lt;100000000,VALUE($D2088),1000000000),IFERROR(IF(VALUE(MID($D2088,2,20))&lt;100000000,VALUE(MID($D2088,2,20)),1000000000),1000000000))+ROW()/100000,"")</f>
        <v/>
      </c>
    </row>
    <row r="2089">
      <c r="F2089" s="11" t="n"/>
      <c r="N2089" s="7">
        <f>IF($D2089="","",M2089*V2089/100)</f>
        <v/>
      </c>
      <c r="O2089" s="7" t="n"/>
      <c r="U2089" s="7" t="n"/>
      <c r="V2089" s="7" t="n"/>
      <c r="Y2089">
        <f>IF($D2089="","",IF($AN2089=1,0,IF($AM2089=1,Settings!$C$6,Settings!$C$7))*100)</f>
        <v/>
      </c>
      <c r="Z2089" s="7">
        <f>IF($D2089="","",V2089*Y2089/100)</f>
        <v/>
      </c>
      <c r="AA2089" s="7">
        <f>IF($D2089="","",V2089-Z2089)</f>
        <v/>
      </c>
      <c r="AB2089" s="7">
        <f>IF($D2089="","",AA2089-N2089)</f>
        <v/>
      </c>
      <c r="AF2089" s="7" t="n"/>
      <c r="AI2089" s="11" t="n"/>
      <c r="AK2089">
        <f>IF($D2089="","",IF(COUNTIF($D$2:$D2089,$D2089)=1,1,0))</f>
        <v/>
      </c>
      <c r="AL2089">
        <f>IF($AK2089=1,SUMPRODUCT(--($AO$2:$AO$3001&lt;$AO2089))+1,"")</f>
        <v/>
      </c>
      <c r="AM2089">
        <f>IF($D2089="","",IF(OR($R2089=TRUE(),$R2089="TRUE"),1,0))</f>
        <v/>
      </c>
      <c r="AN2089">
        <f>IF($D2089="","",IF($X2089="Yes",1,0))</f>
        <v/>
      </c>
      <c r="AO2089">
        <f>IF($AK2089=1,IFERROR(IF(VALUE($D2089)&lt;100000000,VALUE($D2089),1000000000),IFERROR(IF(VALUE(MID($D2089,2,20))&lt;100000000,VALUE(MID($D2089,2,20)),1000000000),1000000000))+ROW()/100000,"")</f>
        <v/>
      </c>
    </row>
    <row r="2090">
      <c r="F2090" s="11" t="n"/>
      <c r="N2090" s="7">
        <f>IF($D2090="","",M2090*V2090/100)</f>
        <v/>
      </c>
      <c r="O2090" s="7" t="n"/>
      <c r="U2090" s="7" t="n"/>
      <c r="V2090" s="7" t="n"/>
      <c r="Y2090">
        <f>IF($D2090="","",IF($AN2090=1,0,IF($AM2090=1,Settings!$C$6,Settings!$C$7))*100)</f>
        <v/>
      </c>
      <c r="Z2090" s="7">
        <f>IF($D2090="","",V2090*Y2090/100)</f>
        <v/>
      </c>
      <c r="AA2090" s="7">
        <f>IF($D2090="","",V2090-Z2090)</f>
        <v/>
      </c>
      <c r="AB2090" s="7">
        <f>IF($D2090="","",AA2090-N2090)</f>
        <v/>
      </c>
      <c r="AF2090" s="7" t="n"/>
      <c r="AI2090" s="11" t="n"/>
      <c r="AK2090">
        <f>IF($D2090="","",IF(COUNTIF($D$2:$D2090,$D2090)=1,1,0))</f>
        <v/>
      </c>
      <c r="AL2090">
        <f>IF($AK2090=1,SUMPRODUCT(--($AO$2:$AO$3001&lt;$AO2090))+1,"")</f>
        <v/>
      </c>
      <c r="AM2090">
        <f>IF($D2090="","",IF(OR($R2090=TRUE(),$R2090="TRUE"),1,0))</f>
        <v/>
      </c>
      <c r="AN2090">
        <f>IF($D2090="","",IF($X2090="Yes",1,0))</f>
        <v/>
      </c>
      <c r="AO2090">
        <f>IF($AK2090=1,IFERROR(IF(VALUE($D2090)&lt;100000000,VALUE($D2090),1000000000),IFERROR(IF(VALUE(MID($D2090,2,20))&lt;100000000,VALUE(MID($D2090,2,20)),1000000000),1000000000))+ROW()/100000,"")</f>
        <v/>
      </c>
    </row>
    <row r="2091">
      <c r="F2091" s="11" t="n"/>
      <c r="N2091" s="7">
        <f>IF($D2091="","",M2091*V2091/100)</f>
        <v/>
      </c>
      <c r="O2091" s="7" t="n"/>
      <c r="U2091" s="7" t="n"/>
      <c r="V2091" s="7" t="n"/>
      <c r="Y2091">
        <f>IF($D2091="","",IF($AN2091=1,0,IF($AM2091=1,Settings!$C$6,Settings!$C$7))*100)</f>
        <v/>
      </c>
      <c r="Z2091" s="7">
        <f>IF($D2091="","",V2091*Y2091/100)</f>
        <v/>
      </c>
      <c r="AA2091" s="7">
        <f>IF($D2091="","",V2091-Z2091)</f>
        <v/>
      </c>
      <c r="AB2091" s="7">
        <f>IF($D2091="","",AA2091-N2091)</f>
        <v/>
      </c>
      <c r="AF2091" s="7" t="n"/>
      <c r="AI2091" s="11" t="n"/>
      <c r="AK2091">
        <f>IF($D2091="","",IF(COUNTIF($D$2:$D2091,$D2091)=1,1,0))</f>
        <v/>
      </c>
      <c r="AL2091">
        <f>IF($AK2091=1,SUMPRODUCT(--($AO$2:$AO$3001&lt;$AO2091))+1,"")</f>
        <v/>
      </c>
      <c r="AM2091">
        <f>IF($D2091="","",IF(OR($R2091=TRUE(),$R2091="TRUE"),1,0))</f>
        <v/>
      </c>
      <c r="AN2091">
        <f>IF($D2091="","",IF($X2091="Yes",1,0))</f>
        <v/>
      </c>
      <c r="AO2091">
        <f>IF($AK2091=1,IFERROR(IF(VALUE($D2091)&lt;100000000,VALUE($D2091),1000000000),IFERROR(IF(VALUE(MID($D2091,2,20))&lt;100000000,VALUE(MID($D2091,2,20)),1000000000),1000000000))+ROW()/100000,"")</f>
        <v/>
      </c>
    </row>
    <row r="2092">
      <c r="F2092" s="11" t="n"/>
      <c r="N2092" s="7">
        <f>IF($D2092="","",M2092*V2092/100)</f>
        <v/>
      </c>
      <c r="O2092" s="7" t="n"/>
      <c r="U2092" s="7" t="n"/>
      <c r="V2092" s="7" t="n"/>
      <c r="Y2092">
        <f>IF($D2092="","",IF($AN2092=1,0,IF($AM2092=1,Settings!$C$6,Settings!$C$7))*100)</f>
        <v/>
      </c>
      <c r="Z2092" s="7">
        <f>IF($D2092="","",V2092*Y2092/100)</f>
        <v/>
      </c>
      <c r="AA2092" s="7">
        <f>IF($D2092="","",V2092-Z2092)</f>
        <v/>
      </c>
      <c r="AB2092" s="7">
        <f>IF($D2092="","",AA2092-N2092)</f>
        <v/>
      </c>
      <c r="AF2092" s="7" t="n"/>
      <c r="AI2092" s="11" t="n"/>
      <c r="AK2092">
        <f>IF($D2092="","",IF(COUNTIF($D$2:$D2092,$D2092)=1,1,0))</f>
        <v/>
      </c>
      <c r="AL2092">
        <f>IF($AK2092=1,SUMPRODUCT(--($AO$2:$AO$3001&lt;$AO2092))+1,"")</f>
        <v/>
      </c>
      <c r="AM2092">
        <f>IF($D2092="","",IF(OR($R2092=TRUE(),$R2092="TRUE"),1,0))</f>
        <v/>
      </c>
      <c r="AN2092">
        <f>IF($D2092="","",IF($X2092="Yes",1,0))</f>
        <v/>
      </c>
      <c r="AO2092">
        <f>IF($AK2092=1,IFERROR(IF(VALUE($D2092)&lt;100000000,VALUE($D2092),1000000000),IFERROR(IF(VALUE(MID($D2092,2,20))&lt;100000000,VALUE(MID($D2092,2,20)),1000000000),1000000000))+ROW()/100000,"")</f>
        <v/>
      </c>
    </row>
    <row r="2093">
      <c r="F2093" s="11" t="n"/>
      <c r="N2093" s="7">
        <f>IF($D2093="","",M2093*V2093/100)</f>
        <v/>
      </c>
      <c r="O2093" s="7" t="n"/>
      <c r="U2093" s="7" t="n"/>
      <c r="V2093" s="7" t="n"/>
      <c r="Y2093">
        <f>IF($D2093="","",IF($AN2093=1,0,IF($AM2093=1,Settings!$C$6,Settings!$C$7))*100)</f>
        <v/>
      </c>
      <c r="Z2093" s="7">
        <f>IF($D2093="","",V2093*Y2093/100)</f>
        <v/>
      </c>
      <c r="AA2093" s="7">
        <f>IF($D2093="","",V2093-Z2093)</f>
        <v/>
      </c>
      <c r="AB2093" s="7">
        <f>IF($D2093="","",AA2093-N2093)</f>
        <v/>
      </c>
      <c r="AF2093" s="7" t="n"/>
      <c r="AI2093" s="11" t="n"/>
      <c r="AK2093">
        <f>IF($D2093="","",IF(COUNTIF($D$2:$D2093,$D2093)=1,1,0))</f>
        <v/>
      </c>
      <c r="AL2093">
        <f>IF($AK2093=1,SUMPRODUCT(--($AO$2:$AO$3001&lt;$AO2093))+1,"")</f>
        <v/>
      </c>
      <c r="AM2093">
        <f>IF($D2093="","",IF(OR($R2093=TRUE(),$R2093="TRUE"),1,0))</f>
        <v/>
      </c>
      <c r="AN2093">
        <f>IF($D2093="","",IF($X2093="Yes",1,0))</f>
        <v/>
      </c>
      <c r="AO2093">
        <f>IF($AK2093=1,IFERROR(IF(VALUE($D2093)&lt;100000000,VALUE($D2093),1000000000),IFERROR(IF(VALUE(MID($D2093,2,20))&lt;100000000,VALUE(MID($D2093,2,20)),1000000000),1000000000))+ROW()/100000,"")</f>
        <v/>
      </c>
    </row>
    <row r="2094">
      <c r="F2094" s="11" t="n"/>
      <c r="N2094" s="7">
        <f>IF($D2094="","",M2094*V2094/100)</f>
        <v/>
      </c>
      <c r="O2094" s="7" t="n"/>
      <c r="U2094" s="7" t="n"/>
      <c r="V2094" s="7" t="n"/>
      <c r="Y2094">
        <f>IF($D2094="","",IF($AN2094=1,0,IF($AM2094=1,Settings!$C$6,Settings!$C$7))*100)</f>
        <v/>
      </c>
      <c r="Z2094" s="7">
        <f>IF($D2094="","",V2094*Y2094/100)</f>
        <v/>
      </c>
      <c r="AA2094" s="7">
        <f>IF($D2094="","",V2094-Z2094)</f>
        <v/>
      </c>
      <c r="AB2094" s="7">
        <f>IF($D2094="","",AA2094-N2094)</f>
        <v/>
      </c>
      <c r="AF2094" s="7" t="n"/>
      <c r="AI2094" s="11" t="n"/>
      <c r="AK2094">
        <f>IF($D2094="","",IF(COUNTIF($D$2:$D2094,$D2094)=1,1,0))</f>
        <v/>
      </c>
      <c r="AL2094">
        <f>IF($AK2094=1,SUMPRODUCT(--($AO$2:$AO$3001&lt;$AO2094))+1,"")</f>
        <v/>
      </c>
      <c r="AM2094">
        <f>IF($D2094="","",IF(OR($R2094=TRUE(),$R2094="TRUE"),1,0))</f>
        <v/>
      </c>
      <c r="AN2094">
        <f>IF($D2094="","",IF($X2094="Yes",1,0))</f>
        <v/>
      </c>
      <c r="AO2094">
        <f>IF($AK2094=1,IFERROR(IF(VALUE($D2094)&lt;100000000,VALUE($D2094),1000000000),IFERROR(IF(VALUE(MID($D2094,2,20))&lt;100000000,VALUE(MID($D2094,2,20)),1000000000),1000000000))+ROW()/100000,"")</f>
        <v/>
      </c>
    </row>
    <row r="2095">
      <c r="F2095" s="11" t="n"/>
      <c r="N2095" s="7">
        <f>IF($D2095="","",M2095*V2095/100)</f>
        <v/>
      </c>
      <c r="O2095" s="7" t="n"/>
      <c r="U2095" s="7" t="n"/>
      <c r="V2095" s="7" t="n"/>
      <c r="Y2095">
        <f>IF($D2095="","",IF($AN2095=1,0,IF($AM2095=1,Settings!$C$6,Settings!$C$7))*100)</f>
        <v/>
      </c>
      <c r="Z2095" s="7">
        <f>IF($D2095="","",V2095*Y2095/100)</f>
        <v/>
      </c>
      <c r="AA2095" s="7">
        <f>IF($D2095="","",V2095-Z2095)</f>
        <v/>
      </c>
      <c r="AB2095" s="7">
        <f>IF($D2095="","",AA2095-N2095)</f>
        <v/>
      </c>
      <c r="AF2095" s="7" t="n"/>
      <c r="AI2095" s="11" t="n"/>
      <c r="AK2095">
        <f>IF($D2095="","",IF(COUNTIF($D$2:$D2095,$D2095)=1,1,0))</f>
        <v/>
      </c>
      <c r="AL2095">
        <f>IF($AK2095=1,SUMPRODUCT(--($AO$2:$AO$3001&lt;$AO2095))+1,"")</f>
        <v/>
      </c>
      <c r="AM2095">
        <f>IF($D2095="","",IF(OR($R2095=TRUE(),$R2095="TRUE"),1,0))</f>
        <v/>
      </c>
      <c r="AN2095">
        <f>IF($D2095="","",IF($X2095="Yes",1,0))</f>
        <v/>
      </c>
      <c r="AO2095">
        <f>IF($AK2095=1,IFERROR(IF(VALUE($D2095)&lt;100000000,VALUE($D2095),1000000000),IFERROR(IF(VALUE(MID($D2095,2,20))&lt;100000000,VALUE(MID($D2095,2,20)),1000000000),1000000000))+ROW()/100000,"")</f>
        <v/>
      </c>
    </row>
    <row r="2096">
      <c r="F2096" s="11" t="n"/>
      <c r="N2096" s="7">
        <f>IF($D2096="","",M2096*V2096/100)</f>
        <v/>
      </c>
      <c r="O2096" s="7" t="n"/>
      <c r="U2096" s="7" t="n"/>
      <c r="V2096" s="7" t="n"/>
      <c r="Y2096">
        <f>IF($D2096="","",IF($AN2096=1,0,IF($AM2096=1,Settings!$C$6,Settings!$C$7))*100)</f>
        <v/>
      </c>
      <c r="Z2096" s="7">
        <f>IF($D2096="","",V2096*Y2096/100)</f>
        <v/>
      </c>
      <c r="AA2096" s="7">
        <f>IF($D2096="","",V2096-Z2096)</f>
        <v/>
      </c>
      <c r="AB2096" s="7">
        <f>IF($D2096="","",AA2096-N2096)</f>
        <v/>
      </c>
      <c r="AF2096" s="7" t="n"/>
      <c r="AI2096" s="11" t="n"/>
      <c r="AK2096">
        <f>IF($D2096="","",IF(COUNTIF($D$2:$D2096,$D2096)=1,1,0))</f>
        <v/>
      </c>
      <c r="AL2096">
        <f>IF($AK2096=1,SUMPRODUCT(--($AO$2:$AO$3001&lt;$AO2096))+1,"")</f>
        <v/>
      </c>
      <c r="AM2096">
        <f>IF($D2096="","",IF(OR($R2096=TRUE(),$R2096="TRUE"),1,0))</f>
        <v/>
      </c>
      <c r="AN2096">
        <f>IF($D2096="","",IF($X2096="Yes",1,0))</f>
        <v/>
      </c>
      <c r="AO2096">
        <f>IF($AK2096=1,IFERROR(IF(VALUE($D2096)&lt;100000000,VALUE($D2096),1000000000),IFERROR(IF(VALUE(MID($D2096,2,20))&lt;100000000,VALUE(MID($D2096,2,20)),1000000000),1000000000))+ROW()/100000,"")</f>
        <v/>
      </c>
    </row>
    <row r="2097">
      <c r="F2097" s="11" t="n"/>
      <c r="N2097" s="7">
        <f>IF($D2097="","",M2097*V2097/100)</f>
        <v/>
      </c>
      <c r="O2097" s="7" t="n"/>
      <c r="U2097" s="7" t="n"/>
      <c r="V2097" s="7" t="n"/>
      <c r="Y2097">
        <f>IF($D2097="","",IF($AN2097=1,0,IF($AM2097=1,Settings!$C$6,Settings!$C$7))*100)</f>
        <v/>
      </c>
      <c r="Z2097" s="7">
        <f>IF($D2097="","",V2097*Y2097/100)</f>
        <v/>
      </c>
      <c r="AA2097" s="7">
        <f>IF($D2097="","",V2097-Z2097)</f>
        <v/>
      </c>
      <c r="AB2097" s="7">
        <f>IF($D2097="","",AA2097-N2097)</f>
        <v/>
      </c>
      <c r="AF2097" s="7" t="n"/>
      <c r="AI2097" s="11" t="n"/>
      <c r="AK2097">
        <f>IF($D2097="","",IF(COUNTIF($D$2:$D2097,$D2097)=1,1,0))</f>
        <v/>
      </c>
      <c r="AL2097">
        <f>IF($AK2097=1,SUMPRODUCT(--($AO$2:$AO$3001&lt;$AO2097))+1,"")</f>
        <v/>
      </c>
      <c r="AM2097">
        <f>IF($D2097="","",IF(OR($R2097=TRUE(),$R2097="TRUE"),1,0))</f>
        <v/>
      </c>
      <c r="AN2097">
        <f>IF($D2097="","",IF($X2097="Yes",1,0))</f>
        <v/>
      </c>
      <c r="AO2097">
        <f>IF($AK2097=1,IFERROR(IF(VALUE($D2097)&lt;100000000,VALUE($D2097),1000000000),IFERROR(IF(VALUE(MID($D2097,2,20))&lt;100000000,VALUE(MID($D2097,2,20)),1000000000),1000000000))+ROW()/100000,"")</f>
        <v/>
      </c>
    </row>
    <row r="2098">
      <c r="F2098" s="11" t="n"/>
      <c r="N2098" s="7">
        <f>IF($D2098="","",M2098*V2098/100)</f>
        <v/>
      </c>
      <c r="O2098" s="7" t="n"/>
      <c r="U2098" s="7" t="n"/>
      <c r="V2098" s="7" t="n"/>
      <c r="Y2098">
        <f>IF($D2098="","",IF($AN2098=1,0,IF($AM2098=1,Settings!$C$6,Settings!$C$7))*100)</f>
        <v/>
      </c>
      <c r="Z2098" s="7">
        <f>IF($D2098="","",V2098*Y2098/100)</f>
        <v/>
      </c>
      <c r="AA2098" s="7">
        <f>IF($D2098="","",V2098-Z2098)</f>
        <v/>
      </c>
      <c r="AB2098" s="7">
        <f>IF($D2098="","",AA2098-N2098)</f>
        <v/>
      </c>
      <c r="AF2098" s="7" t="n"/>
      <c r="AI2098" s="11" t="n"/>
      <c r="AK2098">
        <f>IF($D2098="","",IF(COUNTIF($D$2:$D2098,$D2098)=1,1,0))</f>
        <v/>
      </c>
      <c r="AL2098">
        <f>IF($AK2098=1,SUMPRODUCT(--($AO$2:$AO$3001&lt;$AO2098))+1,"")</f>
        <v/>
      </c>
      <c r="AM2098">
        <f>IF($D2098="","",IF(OR($R2098=TRUE(),$R2098="TRUE"),1,0))</f>
        <v/>
      </c>
      <c r="AN2098">
        <f>IF($D2098="","",IF($X2098="Yes",1,0))</f>
        <v/>
      </c>
      <c r="AO2098">
        <f>IF($AK2098=1,IFERROR(IF(VALUE($D2098)&lt;100000000,VALUE($D2098),1000000000),IFERROR(IF(VALUE(MID($D2098,2,20))&lt;100000000,VALUE(MID($D2098,2,20)),1000000000),1000000000))+ROW()/100000,"")</f>
        <v/>
      </c>
    </row>
    <row r="2099">
      <c r="F2099" s="11" t="n"/>
      <c r="N2099" s="7">
        <f>IF($D2099="","",M2099*V2099/100)</f>
        <v/>
      </c>
      <c r="O2099" s="7" t="n"/>
      <c r="U2099" s="7" t="n"/>
      <c r="V2099" s="7" t="n"/>
      <c r="Y2099">
        <f>IF($D2099="","",IF($AN2099=1,0,IF($AM2099=1,Settings!$C$6,Settings!$C$7))*100)</f>
        <v/>
      </c>
      <c r="Z2099" s="7">
        <f>IF($D2099="","",V2099*Y2099/100)</f>
        <v/>
      </c>
      <c r="AA2099" s="7">
        <f>IF($D2099="","",V2099-Z2099)</f>
        <v/>
      </c>
      <c r="AB2099" s="7">
        <f>IF($D2099="","",AA2099-N2099)</f>
        <v/>
      </c>
      <c r="AF2099" s="7" t="n"/>
      <c r="AI2099" s="11" t="n"/>
      <c r="AK2099">
        <f>IF($D2099="","",IF(COUNTIF($D$2:$D2099,$D2099)=1,1,0))</f>
        <v/>
      </c>
      <c r="AL2099">
        <f>IF($AK2099=1,SUMPRODUCT(--($AO$2:$AO$3001&lt;$AO2099))+1,"")</f>
        <v/>
      </c>
      <c r="AM2099">
        <f>IF($D2099="","",IF(OR($R2099=TRUE(),$R2099="TRUE"),1,0))</f>
        <v/>
      </c>
      <c r="AN2099">
        <f>IF($D2099="","",IF($X2099="Yes",1,0))</f>
        <v/>
      </c>
      <c r="AO2099">
        <f>IF($AK2099=1,IFERROR(IF(VALUE($D2099)&lt;100000000,VALUE($D2099),1000000000),IFERROR(IF(VALUE(MID($D2099,2,20))&lt;100000000,VALUE(MID($D2099,2,20)),1000000000),1000000000))+ROW()/100000,"")</f>
        <v/>
      </c>
    </row>
    <row r="2100">
      <c r="F2100" s="11" t="n"/>
      <c r="N2100" s="7">
        <f>IF($D2100="","",M2100*V2100/100)</f>
        <v/>
      </c>
      <c r="O2100" s="7" t="n"/>
      <c r="U2100" s="7" t="n"/>
      <c r="V2100" s="7" t="n"/>
      <c r="Y2100">
        <f>IF($D2100="","",IF($AN2100=1,0,IF($AM2100=1,Settings!$C$6,Settings!$C$7))*100)</f>
        <v/>
      </c>
      <c r="Z2100" s="7">
        <f>IF($D2100="","",V2100*Y2100/100)</f>
        <v/>
      </c>
      <c r="AA2100" s="7">
        <f>IF($D2100="","",V2100-Z2100)</f>
        <v/>
      </c>
      <c r="AB2100" s="7">
        <f>IF($D2100="","",AA2100-N2100)</f>
        <v/>
      </c>
      <c r="AF2100" s="7" t="n"/>
      <c r="AI2100" s="11" t="n"/>
      <c r="AK2100">
        <f>IF($D2100="","",IF(COUNTIF($D$2:$D2100,$D2100)=1,1,0))</f>
        <v/>
      </c>
      <c r="AL2100">
        <f>IF($AK2100=1,SUMPRODUCT(--($AO$2:$AO$3001&lt;$AO2100))+1,"")</f>
        <v/>
      </c>
      <c r="AM2100">
        <f>IF($D2100="","",IF(OR($R2100=TRUE(),$R2100="TRUE"),1,0))</f>
        <v/>
      </c>
      <c r="AN2100">
        <f>IF($D2100="","",IF($X2100="Yes",1,0))</f>
        <v/>
      </c>
      <c r="AO2100">
        <f>IF($AK2100=1,IFERROR(IF(VALUE($D2100)&lt;100000000,VALUE($D2100),1000000000),IFERROR(IF(VALUE(MID($D2100,2,20))&lt;100000000,VALUE(MID($D2100,2,20)),1000000000),1000000000))+ROW()/100000,"")</f>
        <v/>
      </c>
    </row>
    <row r="2101">
      <c r="F2101" s="11" t="n"/>
      <c r="N2101" s="7">
        <f>IF($D2101="","",M2101*V2101/100)</f>
        <v/>
      </c>
      <c r="O2101" s="7" t="n"/>
      <c r="U2101" s="7" t="n"/>
      <c r="V2101" s="7" t="n"/>
      <c r="Y2101">
        <f>IF($D2101="","",IF($AN2101=1,0,IF($AM2101=1,Settings!$C$6,Settings!$C$7))*100)</f>
        <v/>
      </c>
      <c r="Z2101" s="7">
        <f>IF($D2101="","",V2101*Y2101/100)</f>
        <v/>
      </c>
      <c r="AA2101" s="7">
        <f>IF($D2101="","",V2101-Z2101)</f>
        <v/>
      </c>
      <c r="AB2101" s="7">
        <f>IF($D2101="","",AA2101-N2101)</f>
        <v/>
      </c>
      <c r="AF2101" s="7" t="n"/>
      <c r="AI2101" s="11" t="n"/>
      <c r="AK2101">
        <f>IF($D2101="","",IF(COUNTIF($D$2:$D2101,$D2101)=1,1,0))</f>
        <v/>
      </c>
      <c r="AL2101">
        <f>IF($AK2101=1,SUMPRODUCT(--($AO$2:$AO$3001&lt;$AO2101))+1,"")</f>
        <v/>
      </c>
      <c r="AM2101">
        <f>IF($D2101="","",IF(OR($R2101=TRUE(),$R2101="TRUE"),1,0))</f>
        <v/>
      </c>
      <c r="AN2101">
        <f>IF($D2101="","",IF($X2101="Yes",1,0))</f>
        <v/>
      </c>
      <c r="AO2101">
        <f>IF($AK2101=1,IFERROR(IF(VALUE($D2101)&lt;100000000,VALUE($D2101),1000000000),IFERROR(IF(VALUE(MID($D2101,2,20))&lt;100000000,VALUE(MID($D2101,2,20)),1000000000),1000000000))+ROW()/100000,"")</f>
        <v/>
      </c>
    </row>
    <row r="2102">
      <c r="F2102" s="11" t="n"/>
      <c r="N2102" s="7">
        <f>IF($D2102="","",M2102*V2102/100)</f>
        <v/>
      </c>
      <c r="O2102" s="7" t="n"/>
      <c r="U2102" s="7" t="n"/>
      <c r="V2102" s="7" t="n"/>
      <c r="Y2102">
        <f>IF($D2102="","",IF($AN2102=1,0,IF($AM2102=1,Settings!$C$6,Settings!$C$7))*100)</f>
        <v/>
      </c>
      <c r="Z2102" s="7">
        <f>IF($D2102="","",V2102*Y2102/100)</f>
        <v/>
      </c>
      <c r="AA2102" s="7">
        <f>IF($D2102="","",V2102-Z2102)</f>
        <v/>
      </c>
      <c r="AB2102" s="7">
        <f>IF($D2102="","",AA2102-N2102)</f>
        <v/>
      </c>
      <c r="AF2102" s="7" t="n"/>
      <c r="AI2102" s="11" t="n"/>
      <c r="AK2102">
        <f>IF($D2102="","",IF(COUNTIF($D$2:$D2102,$D2102)=1,1,0))</f>
        <v/>
      </c>
      <c r="AL2102">
        <f>IF($AK2102=1,SUMPRODUCT(--($AO$2:$AO$3001&lt;$AO2102))+1,"")</f>
        <v/>
      </c>
      <c r="AM2102">
        <f>IF($D2102="","",IF(OR($R2102=TRUE(),$R2102="TRUE"),1,0))</f>
        <v/>
      </c>
      <c r="AN2102">
        <f>IF($D2102="","",IF($X2102="Yes",1,0))</f>
        <v/>
      </c>
      <c r="AO2102">
        <f>IF($AK2102=1,IFERROR(IF(VALUE($D2102)&lt;100000000,VALUE($D2102),1000000000),IFERROR(IF(VALUE(MID($D2102,2,20))&lt;100000000,VALUE(MID($D2102,2,20)),1000000000),1000000000))+ROW()/100000,"")</f>
        <v/>
      </c>
    </row>
    <row r="2103">
      <c r="F2103" s="11" t="n"/>
      <c r="N2103" s="7">
        <f>IF($D2103="","",M2103*V2103/100)</f>
        <v/>
      </c>
      <c r="O2103" s="7" t="n"/>
      <c r="U2103" s="7" t="n"/>
      <c r="V2103" s="7" t="n"/>
      <c r="Y2103">
        <f>IF($D2103="","",IF($AN2103=1,0,IF($AM2103=1,Settings!$C$6,Settings!$C$7))*100)</f>
        <v/>
      </c>
      <c r="Z2103" s="7">
        <f>IF($D2103="","",V2103*Y2103/100)</f>
        <v/>
      </c>
      <c r="AA2103" s="7">
        <f>IF($D2103="","",V2103-Z2103)</f>
        <v/>
      </c>
      <c r="AB2103" s="7">
        <f>IF($D2103="","",AA2103-N2103)</f>
        <v/>
      </c>
      <c r="AF2103" s="7" t="n"/>
      <c r="AI2103" s="11" t="n"/>
      <c r="AK2103">
        <f>IF($D2103="","",IF(COUNTIF($D$2:$D2103,$D2103)=1,1,0))</f>
        <v/>
      </c>
      <c r="AL2103">
        <f>IF($AK2103=1,SUMPRODUCT(--($AO$2:$AO$3001&lt;$AO2103))+1,"")</f>
        <v/>
      </c>
      <c r="AM2103">
        <f>IF($D2103="","",IF(OR($R2103=TRUE(),$R2103="TRUE"),1,0))</f>
        <v/>
      </c>
      <c r="AN2103">
        <f>IF($D2103="","",IF($X2103="Yes",1,0))</f>
        <v/>
      </c>
      <c r="AO2103">
        <f>IF($AK2103=1,IFERROR(IF(VALUE($D2103)&lt;100000000,VALUE($D2103),1000000000),IFERROR(IF(VALUE(MID($D2103,2,20))&lt;100000000,VALUE(MID($D2103,2,20)),1000000000),1000000000))+ROW()/100000,"")</f>
        <v/>
      </c>
    </row>
    <row r="2104">
      <c r="F2104" s="11" t="n"/>
      <c r="N2104" s="7">
        <f>IF($D2104="","",M2104*V2104/100)</f>
        <v/>
      </c>
      <c r="O2104" s="7" t="n"/>
      <c r="U2104" s="7" t="n"/>
      <c r="V2104" s="7" t="n"/>
      <c r="Y2104">
        <f>IF($D2104="","",IF($AN2104=1,0,IF($AM2104=1,Settings!$C$6,Settings!$C$7))*100)</f>
        <v/>
      </c>
      <c r="Z2104" s="7">
        <f>IF($D2104="","",V2104*Y2104/100)</f>
        <v/>
      </c>
      <c r="AA2104" s="7">
        <f>IF($D2104="","",V2104-Z2104)</f>
        <v/>
      </c>
      <c r="AB2104" s="7">
        <f>IF($D2104="","",AA2104-N2104)</f>
        <v/>
      </c>
      <c r="AF2104" s="7" t="n"/>
      <c r="AI2104" s="11" t="n"/>
      <c r="AK2104">
        <f>IF($D2104="","",IF(COUNTIF($D$2:$D2104,$D2104)=1,1,0))</f>
        <v/>
      </c>
      <c r="AL2104">
        <f>IF($AK2104=1,SUMPRODUCT(--($AO$2:$AO$3001&lt;$AO2104))+1,"")</f>
        <v/>
      </c>
      <c r="AM2104">
        <f>IF($D2104="","",IF(OR($R2104=TRUE(),$R2104="TRUE"),1,0))</f>
        <v/>
      </c>
      <c r="AN2104">
        <f>IF($D2104="","",IF($X2104="Yes",1,0))</f>
        <v/>
      </c>
      <c r="AO2104">
        <f>IF($AK2104=1,IFERROR(IF(VALUE($D2104)&lt;100000000,VALUE($D2104),1000000000),IFERROR(IF(VALUE(MID($D2104,2,20))&lt;100000000,VALUE(MID($D2104,2,20)),1000000000),1000000000))+ROW()/100000,"")</f>
        <v/>
      </c>
    </row>
    <row r="2105">
      <c r="F2105" s="11" t="n"/>
      <c r="N2105" s="7">
        <f>IF($D2105="","",M2105*V2105/100)</f>
        <v/>
      </c>
      <c r="O2105" s="7" t="n"/>
      <c r="U2105" s="7" t="n"/>
      <c r="V2105" s="7" t="n"/>
      <c r="Y2105">
        <f>IF($D2105="","",IF($AN2105=1,0,IF($AM2105=1,Settings!$C$6,Settings!$C$7))*100)</f>
        <v/>
      </c>
      <c r="Z2105" s="7">
        <f>IF($D2105="","",V2105*Y2105/100)</f>
        <v/>
      </c>
      <c r="AA2105" s="7">
        <f>IF($D2105="","",V2105-Z2105)</f>
        <v/>
      </c>
      <c r="AB2105" s="7">
        <f>IF($D2105="","",AA2105-N2105)</f>
        <v/>
      </c>
      <c r="AF2105" s="7" t="n"/>
      <c r="AI2105" s="11" t="n"/>
      <c r="AK2105">
        <f>IF($D2105="","",IF(COUNTIF($D$2:$D2105,$D2105)=1,1,0))</f>
        <v/>
      </c>
      <c r="AL2105">
        <f>IF($AK2105=1,SUMPRODUCT(--($AO$2:$AO$3001&lt;$AO2105))+1,"")</f>
        <v/>
      </c>
      <c r="AM2105">
        <f>IF($D2105="","",IF(OR($R2105=TRUE(),$R2105="TRUE"),1,0))</f>
        <v/>
      </c>
      <c r="AN2105">
        <f>IF($D2105="","",IF($X2105="Yes",1,0))</f>
        <v/>
      </c>
      <c r="AO2105">
        <f>IF($AK2105=1,IFERROR(IF(VALUE($D2105)&lt;100000000,VALUE($D2105),1000000000),IFERROR(IF(VALUE(MID($D2105,2,20))&lt;100000000,VALUE(MID($D2105,2,20)),1000000000),1000000000))+ROW()/100000,"")</f>
        <v/>
      </c>
    </row>
    <row r="2106">
      <c r="F2106" s="11" t="n"/>
      <c r="N2106" s="7">
        <f>IF($D2106="","",M2106*V2106/100)</f>
        <v/>
      </c>
      <c r="O2106" s="7" t="n"/>
      <c r="U2106" s="7" t="n"/>
      <c r="V2106" s="7" t="n"/>
      <c r="Y2106">
        <f>IF($D2106="","",IF($AN2106=1,0,IF($AM2106=1,Settings!$C$6,Settings!$C$7))*100)</f>
        <v/>
      </c>
      <c r="Z2106" s="7">
        <f>IF($D2106="","",V2106*Y2106/100)</f>
        <v/>
      </c>
      <c r="AA2106" s="7">
        <f>IF($D2106="","",V2106-Z2106)</f>
        <v/>
      </c>
      <c r="AB2106" s="7">
        <f>IF($D2106="","",AA2106-N2106)</f>
        <v/>
      </c>
      <c r="AF2106" s="7" t="n"/>
      <c r="AI2106" s="11" t="n"/>
      <c r="AK2106">
        <f>IF($D2106="","",IF(COUNTIF($D$2:$D2106,$D2106)=1,1,0))</f>
        <v/>
      </c>
      <c r="AL2106">
        <f>IF($AK2106=1,SUMPRODUCT(--($AO$2:$AO$3001&lt;$AO2106))+1,"")</f>
        <v/>
      </c>
      <c r="AM2106">
        <f>IF($D2106="","",IF(OR($R2106=TRUE(),$R2106="TRUE"),1,0))</f>
        <v/>
      </c>
      <c r="AN2106">
        <f>IF($D2106="","",IF($X2106="Yes",1,0))</f>
        <v/>
      </c>
      <c r="AO2106">
        <f>IF($AK2106=1,IFERROR(IF(VALUE($D2106)&lt;100000000,VALUE($D2106),1000000000),IFERROR(IF(VALUE(MID($D2106,2,20))&lt;100000000,VALUE(MID($D2106,2,20)),1000000000),1000000000))+ROW()/100000,"")</f>
        <v/>
      </c>
    </row>
    <row r="2107">
      <c r="F2107" s="11" t="n"/>
      <c r="N2107" s="7">
        <f>IF($D2107="","",M2107*V2107/100)</f>
        <v/>
      </c>
      <c r="O2107" s="7" t="n"/>
      <c r="U2107" s="7" t="n"/>
      <c r="V2107" s="7" t="n"/>
      <c r="Y2107">
        <f>IF($D2107="","",IF($AN2107=1,0,IF($AM2107=1,Settings!$C$6,Settings!$C$7))*100)</f>
        <v/>
      </c>
      <c r="Z2107" s="7">
        <f>IF($D2107="","",V2107*Y2107/100)</f>
        <v/>
      </c>
      <c r="AA2107" s="7">
        <f>IF($D2107="","",V2107-Z2107)</f>
        <v/>
      </c>
      <c r="AB2107" s="7">
        <f>IF($D2107="","",AA2107-N2107)</f>
        <v/>
      </c>
      <c r="AF2107" s="7" t="n"/>
      <c r="AI2107" s="11" t="n"/>
      <c r="AK2107">
        <f>IF($D2107="","",IF(COUNTIF($D$2:$D2107,$D2107)=1,1,0))</f>
        <v/>
      </c>
      <c r="AL2107">
        <f>IF($AK2107=1,SUMPRODUCT(--($AO$2:$AO$3001&lt;$AO2107))+1,"")</f>
        <v/>
      </c>
      <c r="AM2107">
        <f>IF($D2107="","",IF(OR($R2107=TRUE(),$R2107="TRUE"),1,0))</f>
        <v/>
      </c>
      <c r="AN2107">
        <f>IF($D2107="","",IF($X2107="Yes",1,0))</f>
        <v/>
      </c>
      <c r="AO2107">
        <f>IF($AK2107=1,IFERROR(IF(VALUE($D2107)&lt;100000000,VALUE($D2107),1000000000),IFERROR(IF(VALUE(MID($D2107,2,20))&lt;100000000,VALUE(MID($D2107,2,20)),1000000000),1000000000))+ROW()/100000,"")</f>
        <v/>
      </c>
    </row>
    <row r="2108">
      <c r="F2108" s="11" t="n"/>
      <c r="N2108" s="7">
        <f>IF($D2108="","",M2108*V2108/100)</f>
        <v/>
      </c>
      <c r="O2108" s="7" t="n"/>
      <c r="U2108" s="7" t="n"/>
      <c r="V2108" s="7" t="n"/>
      <c r="Y2108">
        <f>IF($D2108="","",IF($AN2108=1,0,IF($AM2108=1,Settings!$C$6,Settings!$C$7))*100)</f>
        <v/>
      </c>
      <c r="Z2108" s="7">
        <f>IF($D2108="","",V2108*Y2108/100)</f>
        <v/>
      </c>
      <c r="AA2108" s="7">
        <f>IF($D2108="","",V2108-Z2108)</f>
        <v/>
      </c>
      <c r="AB2108" s="7">
        <f>IF($D2108="","",AA2108-N2108)</f>
        <v/>
      </c>
      <c r="AF2108" s="7" t="n"/>
      <c r="AI2108" s="11" t="n"/>
      <c r="AK2108">
        <f>IF($D2108="","",IF(COUNTIF($D$2:$D2108,$D2108)=1,1,0))</f>
        <v/>
      </c>
      <c r="AL2108">
        <f>IF($AK2108=1,SUMPRODUCT(--($AO$2:$AO$3001&lt;$AO2108))+1,"")</f>
        <v/>
      </c>
      <c r="AM2108">
        <f>IF($D2108="","",IF(OR($R2108=TRUE(),$R2108="TRUE"),1,0))</f>
        <v/>
      </c>
      <c r="AN2108">
        <f>IF($D2108="","",IF($X2108="Yes",1,0))</f>
        <v/>
      </c>
      <c r="AO2108">
        <f>IF($AK2108=1,IFERROR(IF(VALUE($D2108)&lt;100000000,VALUE($D2108),1000000000),IFERROR(IF(VALUE(MID($D2108,2,20))&lt;100000000,VALUE(MID($D2108,2,20)),1000000000),1000000000))+ROW()/100000,"")</f>
        <v/>
      </c>
    </row>
    <row r="2109">
      <c r="F2109" s="11" t="n"/>
      <c r="N2109" s="7">
        <f>IF($D2109="","",M2109*V2109/100)</f>
        <v/>
      </c>
      <c r="O2109" s="7" t="n"/>
      <c r="U2109" s="7" t="n"/>
      <c r="V2109" s="7" t="n"/>
      <c r="Y2109">
        <f>IF($D2109="","",IF($AN2109=1,0,IF($AM2109=1,Settings!$C$6,Settings!$C$7))*100)</f>
        <v/>
      </c>
      <c r="Z2109" s="7">
        <f>IF($D2109="","",V2109*Y2109/100)</f>
        <v/>
      </c>
      <c r="AA2109" s="7">
        <f>IF($D2109="","",V2109-Z2109)</f>
        <v/>
      </c>
      <c r="AB2109" s="7">
        <f>IF($D2109="","",AA2109-N2109)</f>
        <v/>
      </c>
      <c r="AF2109" s="7" t="n"/>
      <c r="AI2109" s="11" t="n"/>
      <c r="AK2109">
        <f>IF($D2109="","",IF(COUNTIF($D$2:$D2109,$D2109)=1,1,0))</f>
        <v/>
      </c>
      <c r="AL2109">
        <f>IF($AK2109=1,SUMPRODUCT(--($AO$2:$AO$3001&lt;$AO2109))+1,"")</f>
        <v/>
      </c>
      <c r="AM2109">
        <f>IF($D2109="","",IF(OR($R2109=TRUE(),$R2109="TRUE"),1,0))</f>
        <v/>
      </c>
      <c r="AN2109">
        <f>IF($D2109="","",IF($X2109="Yes",1,0))</f>
        <v/>
      </c>
      <c r="AO2109">
        <f>IF($AK2109=1,IFERROR(IF(VALUE($D2109)&lt;100000000,VALUE($D2109),1000000000),IFERROR(IF(VALUE(MID($D2109,2,20))&lt;100000000,VALUE(MID($D2109,2,20)),1000000000),1000000000))+ROW()/100000,"")</f>
        <v/>
      </c>
    </row>
    <row r="2110">
      <c r="F2110" s="11" t="n"/>
      <c r="N2110" s="7">
        <f>IF($D2110="","",M2110*V2110/100)</f>
        <v/>
      </c>
      <c r="O2110" s="7" t="n"/>
      <c r="U2110" s="7" t="n"/>
      <c r="V2110" s="7" t="n"/>
      <c r="Y2110">
        <f>IF($D2110="","",IF($AN2110=1,0,IF($AM2110=1,Settings!$C$6,Settings!$C$7))*100)</f>
        <v/>
      </c>
      <c r="Z2110" s="7">
        <f>IF($D2110="","",V2110*Y2110/100)</f>
        <v/>
      </c>
      <c r="AA2110" s="7">
        <f>IF($D2110="","",V2110-Z2110)</f>
        <v/>
      </c>
      <c r="AB2110" s="7">
        <f>IF($D2110="","",AA2110-N2110)</f>
        <v/>
      </c>
      <c r="AF2110" s="7" t="n"/>
      <c r="AI2110" s="11" t="n"/>
      <c r="AK2110">
        <f>IF($D2110="","",IF(COUNTIF($D$2:$D2110,$D2110)=1,1,0))</f>
        <v/>
      </c>
      <c r="AL2110">
        <f>IF($AK2110=1,SUMPRODUCT(--($AO$2:$AO$3001&lt;$AO2110))+1,"")</f>
        <v/>
      </c>
      <c r="AM2110">
        <f>IF($D2110="","",IF(OR($R2110=TRUE(),$R2110="TRUE"),1,0))</f>
        <v/>
      </c>
      <c r="AN2110">
        <f>IF($D2110="","",IF($X2110="Yes",1,0))</f>
        <v/>
      </c>
      <c r="AO2110">
        <f>IF($AK2110=1,IFERROR(IF(VALUE($D2110)&lt;100000000,VALUE($D2110),1000000000),IFERROR(IF(VALUE(MID($D2110,2,20))&lt;100000000,VALUE(MID($D2110,2,20)),1000000000),1000000000))+ROW()/100000,"")</f>
        <v/>
      </c>
    </row>
    <row r="2111">
      <c r="F2111" s="11" t="n"/>
      <c r="N2111" s="7">
        <f>IF($D2111="","",M2111*V2111/100)</f>
        <v/>
      </c>
      <c r="O2111" s="7" t="n"/>
      <c r="U2111" s="7" t="n"/>
      <c r="V2111" s="7" t="n"/>
      <c r="Y2111">
        <f>IF($D2111="","",IF($AN2111=1,0,IF($AM2111=1,Settings!$C$6,Settings!$C$7))*100)</f>
        <v/>
      </c>
      <c r="Z2111" s="7">
        <f>IF($D2111="","",V2111*Y2111/100)</f>
        <v/>
      </c>
      <c r="AA2111" s="7">
        <f>IF($D2111="","",V2111-Z2111)</f>
        <v/>
      </c>
      <c r="AB2111" s="7">
        <f>IF($D2111="","",AA2111-N2111)</f>
        <v/>
      </c>
      <c r="AF2111" s="7" t="n"/>
      <c r="AI2111" s="11" t="n"/>
      <c r="AK2111">
        <f>IF($D2111="","",IF(COUNTIF($D$2:$D2111,$D2111)=1,1,0))</f>
        <v/>
      </c>
      <c r="AL2111">
        <f>IF($AK2111=1,SUMPRODUCT(--($AO$2:$AO$3001&lt;$AO2111))+1,"")</f>
        <v/>
      </c>
      <c r="AM2111">
        <f>IF($D2111="","",IF(OR($R2111=TRUE(),$R2111="TRUE"),1,0))</f>
        <v/>
      </c>
      <c r="AN2111">
        <f>IF($D2111="","",IF($X2111="Yes",1,0))</f>
        <v/>
      </c>
      <c r="AO2111">
        <f>IF($AK2111=1,IFERROR(IF(VALUE($D2111)&lt;100000000,VALUE($D2111),1000000000),IFERROR(IF(VALUE(MID($D2111,2,20))&lt;100000000,VALUE(MID($D2111,2,20)),1000000000),1000000000))+ROW()/100000,"")</f>
        <v/>
      </c>
    </row>
    <row r="2112">
      <c r="F2112" s="11" t="n"/>
      <c r="N2112" s="7">
        <f>IF($D2112="","",M2112*V2112/100)</f>
        <v/>
      </c>
      <c r="O2112" s="7" t="n"/>
      <c r="U2112" s="7" t="n"/>
      <c r="V2112" s="7" t="n"/>
      <c r="Y2112">
        <f>IF($D2112="","",IF($AN2112=1,0,IF($AM2112=1,Settings!$C$6,Settings!$C$7))*100)</f>
        <v/>
      </c>
      <c r="Z2112" s="7">
        <f>IF($D2112="","",V2112*Y2112/100)</f>
        <v/>
      </c>
      <c r="AA2112" s="7">
        <f>IF($D2112="","",V2112-Z2112)</f>
        <v/>
      </c>
      <c r="AB2112" s="7">
        <f>IF($D2112="","",AA2112-N2112)</f>
        <v/>
      </c>
      <c r="AF2112" s="7" t="n"/>
      <c r="AI2112" s="11" t="n"/>
      <c r="AK2112">
        <f>IF($D2112="","",IF(COUNTIF($D$2:$D2112,$D2112)=1,1,0))</f>
        <v/>
      </c>
      <c r="AL2112">
        <f>IF($AK2112=1,SUMPRODUCT(--($AO$2:$AO$3001&lt;$AO2112))+1,"")</f>
        <v/>
      </c>
      <c r="AM2112">
        <f>IF($D2112="","",IF(OR($R2112=TRUE(),$R2112="TRUE"),1,0))</f>
        <v/>
      </c>
      <c r="AN2112">
        <f>IF($D2112="","",IF($X2112="Yes",1,0))</f>
        <v/>
      </c>
      <c r="AO2112">
        <f>IF($AK2112=1,IFERROR(IF(VALUE($D2112)&lt;100000000,VALUE($D2112),1000000000),IFERROR(IF(VALUE(MID($D2112,2,20))&lt;100000000,VALUE(MID($D2112,2,20)),1000000000),1000000000))+ROW()/100000,"")</f>
        <v/>
      </c>
    </row>
    <row r="2113">
      <c r="F2113" s="11" t="n"/>
      <c r="N2113" s="7">
        <f>IF($D2113="","",M2113*V2113/100)</f>
        <v/>
      </c>
      <c r="O2113" s="7" t="n"/>
      <c r="U2113" s="7" t="n"/>
      <c r="V2113" s="7" t="n"/>
      <c r="Y2113">
        <f>IF($D2113="","",IF($AN2113=1,0,IF($AM2113=1,Settings!$C$6,Settings!$C$7))*100)</f>
        <v/>
      </c>
      <c r="Z2113" s="7">
        <f>IF($D2113="","",V2113*Y2113/100)</f>
        <v/>
      </c>
      <c r="AA2113" s="7">
        <f>IF($D2113="","",V2113-Z2113)</f>
        <v/>
      </c>
      <c r="AB2113" s="7">
        <f>IF($D2113="","",AA2113-N2113)</f>
        <v/>
      </c>
      <c r="AF2113" s="7" t="n"/>
      <c r="AI2113" s="11" t="n"/>
      <c r="AK2113">
        <f>IF($D2113="","",IF(COUNTIF($D$2:$D2113,$D2113)=1,1,0))</f>
        <v/>
      </c>
      <c r="AL2113">
        <f>IF($AK2113=1,SUMPRODUCT(--($AO$2:$AO$3001&lt;$AO2113))+1,"")</f>
        <v/>
      </c>
      <c r="AM2113">
        <f>IF($D2113="","",IF(OR($R2113=TRUE(),$R2113="TRUE"),1,0))</f>
        <v/>
      </c>
      <c r="AN2113">
        <f>IF($D2113="","",IF($X2113="Yes",1,0))</f>
        <v/>
      </c>
      <c r="AO2113">
        <f>IF($AK2113=1,IFERROR(IF(VALUE($D2113)&lt;100000000,VALUE($D2113),1000000000),IFERROR(IF(VALUE(MID($D2113,2,20))&lt;100000000,VALUE(MID($D2113,2,20)),1000000000),1000000000))+ROW()/100000,"")</f>
        <v/>
      </c>
    </row>
    <row r="2114">
      <c r="F2114" s="11" t="n"/>
      <c r="N2114" s="7">
        <f>IF($D2114="","",M2114*V2114/100)</f>
        <v/>
      </c>
      <c r="O2114" s="7" t="n"/>
      <c r="U2114" s="7" t="n"/>
      <c r="V2114" s="7" t="n"/>
      <c r="Y2114">
        <f>IF($D2114="","",IF($AN2114=1,0,IF($AM2114=1,Settings!$C$6,Settings!$C$7))*100)</f>
        <v/>
      </c>
      <c r="Z2114" s="7">
        <f>IF($D2114="","",V2114*Y2114/100)</f>
        <v/>
      </c>
      <c r="AA2114" s="7">
        <f>IF($D2114="","",V2114-Z2114)</f>
        <v/>
      </c>
      <c r="AB2114" s="7">
        <f>IF($D2114="","",AA2114-N2114)</f>
        <v/>
      </c>
      <c r="AF2114" s="7" t="n"/>
      <c r="AI2114" s="11" t="n"/>
      <c r="AK2114">
        <f>IF($D2114="","",IF(COUNTIF($D$2:$D2114,$D2114)=1,1,0))</f>
        <v/>
      </c>
      <c r="AL2114">
        <f>IF($AK2114=1,SUMPRODUCT(--($AO$2:$AO$3001&lt;$AO2114))+1,"")</f>
        <v/>
      </c>
      <c r="AM2114">
        <f>IF($D2114="","",IF(OR($R2114=TRUE(),$R2114="TRUE"),1,0))</f>
        <v/>
      </c>
      <c r="AN2114">
        <f>IF($D2114="","",IF($X2114="Yes",1,0))</f>
        <v/>
      </c>
      <c r="AO2114">
        <f>IF($AK2114=1,IFERROR(IF(VALUE($D2114)&lt;100000000,VALUE($D2114),1000000000),IFERROR(IF(VALUE(MID($D2114,2,20))&lt;100000000,VALUE(MID($D2114,2,20)),1000000000),1000000000))+ROW()/100000,"")</f>
        <v/>
      </c>
    </row>
    <row r="2115">
      <c r="F2115" s="11" t="n"/>
      <c r="N2115" s="7">
        <f>IF($D2115="","",M2115*V2115/100)</f>
        <v/>
      </c>
      <c r="O2115" s="7" t="n"/>
      <c r="U2115" s="7" t="n"/>
      <c r="V2115" s="7" t="n"/>
      <c r="Y2115">
        <f>IF($D2115="","",IF($AN2115=1,0,IF($AM2115=1,Settings!$C$6,Settings!$C$7))*100)</f>
        <v/>
      </c>
      <c r="Z2115" s="7">
        <f>IF($D2115="","",V2115*Y2115/100)</f>
        <v/>
      </c>
      <c r="AA2115" s="7">
        <f>IF($D2115="","",V2115-Z2115)</f>
        <v/>
      </c>
      <c r="AB2115" s="7">
        <f>IF($D2115="","",AA2115-N2115)</f>
        <v/>
      </c>
      <c r="AF2115" s="7" t="n"/>
      <c r="AI2115" s="11" t="n"/>
      <c r="AK2115">
        <f>IF($D2115="","",IF(COUNTIF($D$2:$D2115,$D2115)=1,1,0))</f>
        <v/>
      </c>
      <c r="AL2115">
        <f>IF($AK2115=1,SUMPRODUCT(--($AO$2:$AO$3001&lt;$AO2115))+1,"")</f>
        <v/>
      </c>
      <c r="AM2115">
        <f>IF($D2115="","",IF(OR($R2115=TRUE(),$R2115="TRUE"),1,0))</f>
        <v/>
      </c>
      <c r="AN2115">
        <f>IF($D2115="","",IF($X2115="Yes",1,0))</f>
        <v/>
      </c>
      <c r="AO2115">
        <f>IF($AK2115=1,IFERROR(IF(VALUE($D2115)&lt;100000000,VALUE($D2115),1000000000),IFERROR(IF(VALUE(MID($D2115,2,20))&lt;100000000,VALUE(MID($D2115,2,20)),1000000000),1000000000))+ROW()/100000,"")</f>
        <v/>
      </c>
    </row>
    <row r="2116">
      <c r="F2116" s="11" t="n"/>
      <c r="N2116" s="7">
        <f>IF($D2116="","",M2116*V2116/100)</f>
        <v/>
      </c>
      <c r="O2116" s="7" t="n"/>
      <c r="U2116" s="7" t="n"/>
      <c r="V2116" s="7" t="n"/>
      <c r="Y2116">
        <f>IF($D2116="","",IF($AN2116=1,0,IF($AM2116=1,Settings!$C$6,Settings!$C$7))*100)</f>
        <v/>
      </c>
      <c r="Z2116" s="7">
        <f>IF($D2116="","",V2116*Y2116/100)</f>
        <v/>
      </c>
      <c r="AA2116" s="7">
        <f>IF($D2116="","",V2116-Z2116)</f>
        <v/>
      </c>
      <c r="AB2116" s="7">
        <f>IF($D2116="","",AA2116-N2116)</f>
        <v/>
      </c>
      <c r="AF2116" s="7" t="n"/>
      <c r="AI2116" s="11" t="n"/>
      <c r="AK2116">
        <f>IF($D2116="","",IF(COUNTIF($D$2:$D2116,$D2116)=1,1,0))</f>
        <v/>
      </c>
      <c r="AL2116">
        <f>IF($AK2116=1,SUMPRODUCT(--($AO$2:$AO$3001&lt;$AO2116))+1,"")</f>
        <v/>
      </c>
      <c r="AM2116">
        <f>IF($D2116="","",IF(OR($R2116=TRUE(),$R2116="TRUE"),1,0))</f>
        <v/>
      </c>
      <c r="AN2116">
        <f>IF($D2116="","",IF($X2116="Yes",1,0))</f>
        <v/>
      </c>
      <c r="AO2116">
        <f>IF($AK2116=1,IFERROR(IF(VALUE($D2116)&lt;100000000,VALUE($D2116),1000000000),IFERROR(IF(VALUE(MID($D2116,2,20))&lt;100000000,VALUE(MID($D2116,2,20)),1000000000),1000000000))+ROW()/100000,"")</f>
        <v/>
      </c>
    </row>
    <row r="2117">
      <c r="F2117" s="11" t="n"/>
      <c r="N2117" s="7">
        <f>IF($D2117="","",M2117*V2117/100)</f>
        <v/>
      </c>
      <c r="O2117" s="7" t="n"/>
      <c r="U2117" s="7" t="n"/>
      <c r="V2117" s="7" t="n"/>
      <c r="Y2117">
        <f>IF($D2117="","",IF($AN2117=1,0,IF($AM2117=1,Settings!$C$6,Settings!$C$7))*100)</f>
        <v/>
      </c>
      <c r="Z2117" s="7">
        <f>IF($D2117="","",V2117*Y2117/100)</f>
        <v/>
      </c>
      <c r="AA2117" s="7">
        <f>IF($D2117="","",V2117-Z2117)</f>
        <v/>
      </c>
      <c r="AB2117" s="7">
        <f>IF($D2117="","",AA2117-N2117)</f>
        <v/>
      </c>
      <c r="AF2117" s="7" t="n"/>
      <c r="AI2117" s="11" t="n"/>
      <c r="AK2117">
        <f>IF($D2117="","",IF(COUNTIF($D$2:$D2117,$D2117)=1,1,0))</f>
        <v/>
      </c>
      <c r="AL2117">
        <f>IF($AK2117=1,SUMPRODUCT(--($AO$2:$AO$3001&lt;$AO2117))+1,"")</f>
        <v/>
      </c>
      <c r="AM2117">
        <f>IF($D2117="","",IF(OR($R2117=TRUE(),$R2117="TRUE"),1,0))</f>
        <v/>
      </c>
      <c r="AN2117">
        <f>IF($D2117="","",IF($X2117="Yes",1,0))</f>
        <v/>
      </c>
      <c r="AO2117">
        <f>IF($AK2117=1,IFERROR(IF(VALUE($D2117)&lt;100000000,VALUE($D2117),1000000000),IFERROR(IF(VALUE(MID($D2117,2,20))&lt;100000000,VALUE(MID($D2117,2,20)),1000000000),1000000000))+ROW()/100000,"")</f>
        <v/>
      </c>
    </row>
    <row r="2118">
      <c r="F2118" s="11" t="n"/>
      <c r="N2118" s="7">
        <f>IF($D2118="","",M2118*V2118/100)</f>
        <v/>
      </c>
      <c r="O2118" s="7" t="n"/>
      <c r="U2118" s="7" t="n"/>
      <c r="V2118" s="7" t="n"/>
      <c r="Y2118">
        <f>IF($D2118="","",IF($AN2118=1,0,IF($AM2118=1,Settings!$C$6,Settings!$C$7))*100)</f>
        <v/>
      </c>
      <c r="Z2118" s="7">
        <f>IF($D2118="","",V2118*Y2118/100)</f>
        <v/>
      </c>
      <c r="AA2118" s="7">
        <f>IF($D2118="","",V2118-Z2118)</f>
        <v/>
      </c>
      <c r="AB2118" s="7">
        <f>IF($D2118="","",AA2118-N2118)</f>
        <v/>
      </c>
      <c r="AF2118" s="7" t="n"/>
      <c r="AI2118" s="11" t="n"/>
      <c r="AK2118">
        <f>IF($D2118="","",IF(COUNTIF($D$2:$D2118,$D2118)=1,1,0))</f>
        <v/>
      </c>
      <c r="AL2118">
        <f>IF($AK2118=1,SUMPRODUCT(--($AO$2:$AO$3001&lt;$AO2118))+1,"")</f>
        <v/>
      </c>
      <c r="AM2118">
        <f>IF($D2118="","",IF(OR($R2118=TRUE(),$R2118="TRUE"),1,0))</f>
        <v/>
      </c>
      <c r="AN2118">
        <f>IF($D2118="","",IF($X2118="Yes",1,0))</f>
        <v/>
      </c>
      <c r="AO2118">
        <f>IF($AK2118=1,IFERROR(IF(VALUE($D2118)&lt;100000000,VALUE($D2118),1000000000),IFERROR(IF(VALUE(MID($D2118,2,20))&lt;100000000,VALUE(MID($D2118,2,20)),1000000000),1000000000))+ROW()/100000,"")</f>
        <v/>
      </c>
    </row>
    <row r="2119">
      <c r="F2119" s="11" t="n"/>
      <c r="N2119" s="7">
        <f>IF($D2119="","",M2119*V2119/100)</f>
        <v/>
      </c>
      <c r="O2119" s="7" t="n"/>
      <c r="U2119" s="7" t="n"/>
      <c r="V2119" s="7" t="n"/>
      <c r="Y2119">
        <f>IF($D2119="","",IF($AN2119=1,0,IF($AM2119=1,Settings!$C$6,Settings!$C$7))*100)</f>
        <v/>
      </c>
      <c r="Z2119" s="7">
        <f>IF($D2119="","",V2119*Y2119/100)</f>
        <v/>
      </c>
      <c r="AA2119" s="7">
        <f>IF($D2119="","",V2119-Z2119)</f>
        <v/>
      </c>
      <c r="AB2119" s="7">
        <f>IF($D2119="","",AA2119-N2119)</f>
        <v/>
      </c>
      <c r="AF2119" s="7" t="n"/>
      <c r="AI2119" s="11" t="n"/>
      <c r="AK2119">
        <f>IF($D2119="","",IF(COUNTIF($D$2:$D2119,$D2119)=1,1,0))</f>
        <v/>
      </c>
      <c r="AL2119">
        <f>IF($AK2119=1,SUMPRODUCT(--($AO$2:$AO$3001&lt;$AO2119))+1,"")</f>
        <v/>
      </c>
      <c r="AM2119">
        <f>IF($D2119="","",IF(OR($R2119=TRUE(),$R2119="TRUE"),1,0))</f>
        <v/>
      </c>
      <c r="AN2119">
        <f>IF($D2119="","",IF($X2119="Yes",1,0))</f>
        <v/>
      </c>
      <c r="AO2119">
        <f>IF($AK2119=1,IFERROR(IF(VALUE($D2119)&lt;100000000,VALUE($D2119),1000000000),IFERROR(IF(VALUE(MID($D2119,2,20))&lt;100000000,VALUE(MID($D2119,2,20)),1000000000),1000000000))+ROW()/100000,"")</f>
        <v/>
      </c>
    </row>
    <row r="2120">
      <c r="F2120" s="11" t="n"/>
      <c r="N2120" s="7">
        <f>IF($D2120="","",M2120*V2120/100)</f>
        <v/>
      </c>
      <c r="O2120" s="7" t="n"/>
      <c r="U2120" s="7" t="n"/>
      <c r="V2120" s="7" t="n"/>
      <c r="Y2120">
        <f>IF($D2120="","",IF($AN2120=1,0,IF($AM2120=1,Settings!$C$6,Settings!$C$7))*100)</f>
        <v/>
      </c>
      <c r="Z2120" s="7">
        <f>IF($D2120="","",V2120*Y2120/100)</f>
        <v/>
      </c>
      <c r="AA2120" s="7">
        <f>IF($D2120="","",V2120-Z2120)</f>
        <v/>
      </c>
      <c r="AB2120" s="7">
        <f>IF($D2120="","",AA2120-N2120)</f>
        <v/>
      </c>
      <c r="AF2120" s="7" t="n"/>
      <c r="AI2120" s="11" t="n"/>
      <c r="AK2120">
        <f>IF($D2120="","",IF(COUNTIF($D$2:$D2120,$D2120)=1,1,0))</f>
        <v/>
      </c>
      <c r="AL2120">
        <f>IF($AK2120=1,SUMPRODUCT(--($AO$2:$AO$3001&lt;$AO2120))+1,"")</f>
        <v/>
      </c>
      <c r="AM2120">
        <f>IF($D2120="","",IF(OR($R2120=TRUE(),$R2120="TRUE"),1,0))</f>
        <v/>
      </c>
      <c r="AN2120">
        <f>IF($D2120="","",IF($X2120="Yes",1,0))</f>
        <v/>
      </c>
      <c r="AO2120">
        <f>IF($AK2120=1,IFERROR(IF(VALUE($D2120)&lt;100000000,VALUE($D2120),1000000000),IFERROR(IF(VALUE(MID($D2120,2,20))&lt;100000000,VALUE(MID($D2120,2,20)),1000000000),1000000000))+ROW()/100000,"")</f>
        <v/>
      </c>
    </row>
    <row r="2121">
      <c r="F2121" s="11" t="n"/>
      <c r="N2121" s="7">
        <f>IF($D2121="","",M2121*V2121/100)</f>
        <v/>
      </c>
      <c r="O2121" s="7" t="n"/>
      <c r="U2121" s="7" t="n"/>
      <c r="V2121" s="7" t="n"/>
      <c r="Y2121">
        <f>IF($D2121="","",IF($AN2121=1,0,IF($AM2121=1,Settings!$C$6,Settings!$C$7))*100)</f>
        <v/>
      </c>
      <c r="Z2121" s="7">
        <f>IF($D2121="","",V2121*Y2121/100)</f>
        <v/>
      </c>
      <c r="AA2121" s="7">
        <f>IF($D2121="","",V2121-Z2121)</f>
        <v/>
      </c>
      <c r="AB2121" s="7">
        <f>IF($D2121="","",AA2121-N2121)</f>
        <v/>
      </c>
      <c r="AF2121" s="7" t="n"/>
      <c r="AI2121" s="11" t="n"/>
      <c r="AK2121">
        <f>IF($D2121="","",IF(COUNTIF($D$2:$D2121,$D2121)=1,1,0))</f>
        <v/>
      </c>
      <c r="AL2121">
        <f>IF($AK2121=1,SUMPRODUCT(--($AO$2:$AO$3001&lt;$AO2121))+1,"")</f>
        <v/>
      </c>
      <c r="AM2121">
        <f>IF($D2121="","",IF(OR($R2121=TRUE(),$R2121="TRUE"),1,0))</f>
        <v/>
      </c>
      <c r="AN2121">
        <f>IF($D2121="","",IF($X2121="Yes",1,0))</f>
        <v/>
      </c>
      <c r="AO2121">
        <f>IF($AK2121=1,IFERROR(IF(VALUE($D2121)&lt;100000000,VALUE($D2121),1000000000),IFERROR(IF(VALUE(MID($D2121,2,20))&lt;100000000,VALUE(MID($D2121,2,20)),1000000000),1000000000))+ROW()/100000,"")</f>
        <v/>
      </c>
    </row>
    <row r="2122">
      <c r="F2122" s="11" t="n"/>
      <c r="N2122" s="7">
        <f>IF($D2122="","",M2122*V2122/100)</f>
        <v/>
      </c>
      <c r="O2122" s="7" t="n"/>
      <c r="U2122" s="7" t="n"/>
      <c r="V2122" s="7" t="n"/>
      <c r="Y2122">
        <f>IF($D2122="","",IF($AN2122=1,0,IF($AM2122=1,Settings!$C$6,Settings!$C$7))*100)</f>
        <v/>
      </c>
      <c r="Z2122" s="7">
        <f>IF($D2122="","",V2122*Y2122/100)</f>
        <v/>
      </c>
      <c r="AA2122" s="7">
        <f>IF($D2122="","",V2122-Z2122)</f>
        <v/>
      </c>
      <c r="AB2122" s="7">
        <f>IF($D2122="","",AA2122-N2122)</f>
        <v/>
      </c>
      <c r="AF2122" s="7" t="n"/>
      <c r="AI2122" s="11" t="n"/>
      <c r="AK2122">
        <f>IF($D2122="","",IF(COUNTIF($D$2:$D2122,$D2122)=1,1,0))</f>
        <v/>
      </c>
      <c r="AL2122">
        <f>IF($AK2122=1,SUMPRODUCT(--($AO$2:$AO$3001&lt;$AO2122))+1,"")</f>
        <v/>
      </c>
      <c r="AM2122">
        <f>IF($D2122="","",IF(OR($R2122=TRUE(),$R2122="TRUE"),1,0))</f>
        <v/>
      </c>
      <c r="AN2122">
        <f>IF($D2122="","",IF($X2122="Yes",1,0))</f>
        <v/>
      </c>
      <c r="AO2122">
        <f>IF($AK2122=1,IFERROR(IF(VALUE($D2122)&lt;100000000,VALUE($D2122),1000000000),IFERROR(IF(VALUE(MID($D2122,2,20))&lt;100000000,VALUE(MID($D2122,2,20)),1000000000),1000000000))+ROW()/100000,"")</f>
        <v/>
      </c>
    </row>
    <row r="2123">
      <c r="F2123" s="11" t="n"/>
      <c r="N2123" s="7">
        <f>IF($D2123="","",M2123*V2123/100)</f>
        <v/>
      </c>
      <c r="O2123" s="7" t="n"/>
      <c r="U2123" s="7" t="n"/>
      <c r="V2123" s="7" t="n"/>
      <c r="Y2123">
        <f>IF($D2123="","",IF($AN2123=1,0,IF($AM2123=1,Settings!$C$6,Settings!$C$7))*100)</f>
        <v/>
      </c>
      <c r="Z2123" s="7">
        <f>IF($D2123="","",V2123*Y2123/100)</f>
        <v/>
      </c>
      <c r="AA2123" s="7">
        <f>IF($D2123="","",V2123-Z2123)</f>
        <v/>
      </c>
      <c r="AB2123" s="7">
        <f>IF($D2123="","",AA2123-N2123)</f>
        <v/>
      </c>
      <c r="AF2123" s="7" t="n"/>
      <c r="AI2123" s="11" t="n"/>
      <c r="AK2123">
        <f>IF($D2123="","",IF(COUNTIF($D$2:$D2123,$D2123)=1,1,0))</f>
        <v/>
      </c>
      <c r="AL2123">
        <f>IF($AK2123=1,SUMPRODUCT(--($AO$2:$AO$3001&lt;$AO2123))+1,"")</f>
        <v/>
      </c>
      <c r="AM2123">
        <f>IF($D2123="","",IF(OR($R2123=TRUE(),$R2123="TRUE"),1,0))</f>
        <v/>
      </c>
      <c r="AN2123">
        <f>IF($D2123="","",IF($X2123="Yes",1,0))</f>
        <v/>
      </c>
      <c r="AO2123">
        <f>IF($AK2123=1,IFERROR(IF(VALUE($D2123)&lt;100000000,VALUE($D2123),1000000000),IFERROR(IF(VALUE(MID($D2123,2,20))&lt;100000000,VALUE(MID($D2123,2,20)),1000000000),1000000000))+ROW()/100000,"")</f>
        <v/>
      </c>
    </row>
    <row r="2124">
      <c r="F2124" s="11" t="n"/>
      <c r="N2124" s="7">
        <f>IF($D2124="","",M2124*V2124/100)</f>
        <v/>
      </c>
      <c r="O2124" s="7" t="n"/>
      <c r="U2124" s="7" t="n"/>
      <c r="V2124" s="7" t="n"/>
      <c r="Y2124">
        <f>IF($D2124="","",IF($AN2124=1,0,IF($AM2124=1,Settings!$C$6,Settings!$C$7))*100)</f>
        <v/>
      </c>
      <c r="Z2124" s="7">
        <f>IF($D2124="","",V2124*Y2124/100)</f>
        <v/>
      </c>
      <c r="AA2124" s="7">
        <f>IF($D2124="","",V2124-Z2124)</f>
        <v/>
      </c>
      <c r="AB2124" s="7">
        <f>IF($D2124="","",AA2124-N2124)</f>
        <v/>
      </c>
      <c r="AF2124" s="7" t="n"/>
      <c r="AI2124" s="11" t="n"/>
      <c r="AK2124">
        <f>IF($D2124="","",IF(COUNTIF($D$2:$D2124,$D2124)=1,1,0))</f>
        <v/>
      </c>
      <c r="AL2124">
        <f>IF($AK2124=1,SUMPRODUCT(--($AO$2:$AO$3001&lt;$AO2124))+1,"")</f>
        <v/>
      </c>
      <c r="AM2124">
        <f>IF($D2124="","",IF(OR($R2124=TRUE(),$R2124="TRUE"),1,0))</f>
        <v/>
      </c>
      <c r="AN2124">
        <f>IF($D2124="","",IF($X2124="Yes",1,0))</f>
        <v/>
      </c>
      <c r="AO2124">
        <f>IF($AK2124=1,IFERROR(IF(VALUE($D2124)&lt;100000000,VALUE($D2124),1000000000),IFERROR(IF(VALUE(MID($D2124,2,20))&lt;100000000,VALUE(MID($D2124,2,20)),1000000000),1000000000))+ROW()/100000,"")</f>
        <v/>
      </c>
    </row>
    <row r="2125">
      <c r="F2125" s="11" t="n"/>
      <c r="N2125" s="7">
        <f>IF($D2125="","",M2125*V2125/100)</f>
        <v/>
      </c>
      <c r="O2125" s="7" t="n"/>
      <c r="U2125" s="7" t="n"/>
      <c r="V2125" s="7" t="n"/>
      <c r="Y2125">
        <f>IF($D2125="","",IF($AN2125=1,0,IF($AM2125=1,Settings!$C$6,Settings!$C$7))*100)</f>
        <v/>
      </c>
      <c r="Z2125" s="7">
        <f>IF($D2125="","",V2125*Y2125/100)</f>
        <v/>
      </c>
      <c r="AA2125" s="7">
        <f>IF($D2125="","",V2125-Z2125)</f>
        <v/>
      </c>
      <c r="AB2125" s="7">
        <f>IF($D2125="","",AA2125-N2125)</f>
        <v/>
      </c>
      <c r="AF2125" s="7" t="n"/>
      <c r="AI2125" s="11" t="n"/>
      <c r="AK2125">
        <f>IF($D2125="","",IF(COUNTIF($D$2:$D2125,$D2125)=1,1,0))</f>
        <v/>
      </c>
      <c r="AL2125">
        <f>IF($AK2125=1,SUMPRODUCT(--($AO$2:$AO$3001&lt;$AO2125))+1,"")</f>
        <v/>
      </c>
      <c r="AM2125">
        <f>IF($D2125="","",IF(OR($R2125=TRUE(),$R2125="TRUE"),1,0))</f>
        <v/>
      </c>
      <c r="AN2125">
        <f>IF($D2125="","",IF($X2125="Yes",1,0))</f>
        <v/>
      </c>
      <c r="AO2125">
        <f>IF($AK2125=1,IFERROR(IF(VALUE($D2125)&lt;100000000,VALUE($D2125),1000000000),IFERROR(IF(VALUE(MID($D2125,2,20))&lt;100000000,VALUE(MID($D2125,2,20)),1000000000),1000000000))+ROW()/100000,"")</f>
        <v/>
      </c>
    </row>
    <row r="2126">
      <c r="F2126" s="11" t="n"/>
      <c r="N2126" s="7">
        <f>IF($D2126="","",M2126*V2126/100)</f>
        <v/>
      </c>
      <c r="O2126" s="7" t="n"/>
      <c r="U2126" s="7" t="n"/>
      <c r="V2126" s="7" t="n"/>
      <c r="Y2126">
        <f>IF($D2126="","",IF($AN2126=1,0,IF($AM2126=1,Settings!$C$6,Settings!$C$7))*100)</f>
        <v/>
      </c>
      <c r="Z2126" s="7">
        <f>IF($D2126="","",V2126*Y2126/100)</f>
        <v/>
      </c>
      <c r="AA2126" s="7">
        <f>IF($D2126="","",V2126-Z2126)</f>
        <v/>
      </c>
      <c r="AB2126" s="7">
        <f>IF($D2126="","",AA2126-N2126)</f>
        <v/>
      </c>
      <c r="AF2126" s="7" t="n"/>
      <c r="AI2126" s="11" t="n"/>
      <c r="AK2126">
        <f>IF($D2126="","",IF(COUNTIF($D$2:$D2126,$D2126)=1,1,0))</f>
        <v/>
      </c>
      <c r="AL2126">
        <f>IF($AK2126=1,SUMPRODUCT(--($AO$2:$AO$3001&lt;$AO2126))+1,"")</f>
        <v/>
      </c>
      <c r="AM2126">
        <f>IF($D2126="","",IF(OR($R2126=TRUE(),$R2126="TRUE"),1,0))</f>
        <v/>
      </c>
      <c r="AN2126">
        <f>IF($D2126="","",IF($X2126="Yes",1,0))</f>
        <v/>
      </c>
      <c r="AO2126">
        <f>IF($AK2126=1,IFERROR(IF(VALUE($D2126)&lt;100000000,VALUE($D2126),1000000000),IFERROR(IF(VALUE(MID($D2126,2,20))&lt;100000000,VALUE(MID($D2126,2,20)),1000000000),1000000000))+ROW()/100000,"")</f>
        <v/>
      </c>
    </row>
    <row r="2127">
      <c r="F2127" s="11" t="n"/>
      <c r="N2127" s="7">
        <f>IF($D2127="","",M2127*V2127/100)</f>
        <v/>
      </c>
      <c r="O2127" s="7" t="n"/>
      <c r="U2127" s="7" t="n"/>
      <c r="V2127" s="7" t="n"/>
      <c r="Y2127">
        <f>IF($D2127="","",IF($AN2127=1,0,IF($AM2127=1,Settings!$C$6,Settings!$C$7))*100)</f>
        <v/>
      </c>
      <c r="Z2127" s="7">
        <f>IF($D2127="","",V2127*Y2127/100)</f>
        <v/>
      </c>
      <c r="AA2127" s="7">
        <f>IF($D2127="","",V2127-Z2127)</f>
        <v/>
      </c>
      <c r="AB2127" s="7">
        <f>IF($D2127="","",AA2127-N2127)</f>
        <v/>
      </c>
      <c r="AF2127" s="7" t="n"/>
      <c r="AI2127" s="11" t="n"/>
      <c r="AK2127">
        <f>IF($D2127="","",IF(COUNTIF($D$2:$D2127,$D2127)=1,1,0))</f>
        <v/>
      </c>
      <c r="AL2127">
        <f>IF($AK2127=1,SUMPRODUCT(--($AO$2:$AO$3001&lt;$AO2127))+1,"")</f>
        <v/>
      </c>
      <c r="AM2127">
        <f>IF($D2127="","",IF(OR($R2127=TRUE(),$R2127="TRUE"),1,0))</f>
        <v/>
      </c>
      <c r="AN2127">
        <f>IF($D2127="","",IF($X2127="Yes",1,0))</f>
        <v/>
      </c>
      <c r="AO2127">
        <f>IF($AK2127=1,IFERROR(IF(VALUE($D2127)&lt;100000000,VALUE($D2127),1000000000),IFERROR(IF(VALUE(MID($D2127,2,20))&lt;100000000,VALUE(MID($D2127,2,20)),1000000000),1000000000))+ROW()/100000,"")</f>
        <v/>
      </c>
    </row>
    <row r="2128">
      <c r="F2128" s="11" t="n"/>
      <c r="N2128" s="7">
        <f>IF($D2128="","",M2128*V2128/100)</f>
        <v/>
      </c>
      <c r="O2128" s="7" t="n"/>
      <c r="U2128" s="7" t="n"/>
      <c r="V2128" s="7" t="n"/>
      <c r="Y2128">
        <f>IF($D2128="","",IF($AN2128=1,0,IF($AM2128=1,Settings!$C$6,Settings!$C$7))*100)</f>
        <v/>
      </c>
      <c r="Z2128" s="7">
        <f>IF($D2128="","",V2128*Y2128/100)</f>
        <v/>
      </c>
      <c r="AA2128" s="7">
        <f>IF($D2128="","",V2128-Z2128)</f>
        <v/>
      </c>
      <c r="AB2128" s="7">
        <f>IF($D2128="","",AA2128-N2128)</f>
        <v/>
      </c>
      <c r="AF2128" s="7" t="n"/>
      <c r="AI2128" s="11" t="n"/>
      <c r="AK2128">
        <f>IF($D2128="","",IF(COUNTIF($D$2:$D2128,$D2128)=1,1,0))</f>
        <v/>
      </c>
      <c r="AL2128">
        <f>IF($AK2128=1,SUMPRODUCT(--($AO$2:$AO$3001&lt;$AO2128))+1,"")</f>
        <v/>
      </c>
      <c r="AM2128">
        <f>IF($D2128="","",IF(OR($R2128=TRUE(),$R2128="TRUE"),1,0))</f>
        <v/>
      </c>
      <c r="AN2128">
        <f>IF($D2128="","",IF($X2128="Yes",1,0))</f>
        <v/>
      </c>
      <c r="AO2128">
        <f>IF($AK2128=1,IFERROR(IF(VALUE($D2128)&lt;100000000,VALUE($D2128),1000000000),IFERROR(IF(VALUE(MID($D2128,2,20))&lt;100000000,VALUE(MID($D2128,2,20)),1000000000),1000000000))+ROW()/100000,"")</f>
        <v/>
      </c>
    </row>
    <row r="2129">
      <c r="F2129" s="11" t="n"/>
      <c r="N2129" s="7">
        <f>IF($D2129="","",M2129*V2129/100)</f>
        <v/>
      </c>
      <c r="O2129" s="7" t="n"/>
      <c r="U2129" s="7" t="n"/>
      <c r="V2129" s="7" t="n"/>
      <c r="Y2129">
        <f>IF($D2129="","",IF($AN2129=1,0,IF($AM2129=1,Settings!$C$6,Settings!$C$7))*100)</f>
        <v/>
      </c>
      <c r="Z2129" s="7">
        <f>IF($D2129="","",V2129*Y2129/100)</f>
        <v/>
      </c>
      <c r="AA2129" s="7">
        <f>IF($D2129="","",V2129-Z2129)</f>
        <v/>
      </c>
      <c r="AB2129" s="7">
        <f>IF($D2129="","",AA2129-N2129)</f>
        <v/>
      </c>
      <c r="AF2129" s="7" t="n"/>
      <c r="AI2129" s="11" t="n"/>
      <c r="AK2129">
        <f>IF($D2129="","",IF(COUNTIF($D$2:$D2129,$D2129)=1,1,0))</f>
        <v/>
      </c>
      <c r="AL2129">
        <f>IF($AK2129=1,SUMPRODUCT(--($AO$2:$AO$3001&lt;$AO2129))+1,"")</f>
        <v/>
      </c>
      <c r="AM2129">
        <f>IF($D2129="","",IF(OR($R2129=TRUE(),$R2129="TRUE"),1,0))</f>
        <v/>
      </c>
      <c r="AN2129">
        <f>IF($D2129="","",IF($X2129="Yes",1,0))</f>
        <v/>
      </c>
      <c r="AO2129">
        <f>IF($AK2129=1,IFERROR(IF(VALUE($D2129)&lt;100000000,VALUE($D2129),1000000000),IFERROR(IF(VALUE(MID($D2129,2,20))&lt;100000000,VALUE(MID($D2129,2,20)),1000000000),1000000000))+ROW()/100000,"")</f>
        <v/>
      </c>
    </row>
    <row r="2130">
      <c r="F2130" s="11" t="n"/>
      <c r="N2130" s="7">
        <f>IF($D2130="","",M2130*V2130/100)</f>
        <v/>
      </c>
      <c r="O2130" s="7" t="n"/>
      <c r="U2130" s="7" t="n"/>
      <c r="V2130" s="7" t="n"/>
      <c r="Y2130">
        <f>IF($D2130="","",IF($AN2130=1,0,IF($AM2130=1,Settings!$C$6,Settings!$C$7))*100)</f>
        <v/>
      </c>
      <c r="Z2130" s="7">
        <f>IF($D2130="","",V2130*Y2130/100)</f>
        <v/>
      </c>
      <c r="AA2130" s="7">
        <f>IF($D2130="","",V2130-Z2130)</f>
        <v/>
      </c>
      <c r="AB2130" s="7">
        <f>IF($D2130="","",AA2130-N2130)</f>
        <v/>
      </c>
      <c r="AF2130" s="7" t="n"/>
      <c r="AI2130" s="11" t="n"/>
      <c r="AK2130">
        <f>IF($D2130="","",IF(COUNTIF($D$2:$D2130,$D2130)=1,1,0))</f>
        <v/>
      </c>
      <c r="AL2130">
        <f>IF($AK2130=1,SUMPRODUCT(--($AO$2:$AO$3001&lt;$AO2130))+1,"")</f>
        <v/>
      </c>
      <c r="AM2130">
        <f>IF($D2130="","",IF(OR($R2130=TRUE(),$R2130="TRUE"),1,0))</f>
        <v/>
      </c>
      <c r="AN2130">
        <f>IF($D2130="","",IF($X2130="Yes",1,0))</f>
        <v/>
      </c>
      <c r="AO2130">
        <f>IF($AK2130=1,IFERROR(IF(VALUE($D2130)&lt;100000000,VALUE($D2130),1000000000),IFERROR(IF(VALUE(MID($D2130,2,20))&lt;100000000,VALUE(MID($D2130,2,20)),1000000000),1000000000))+ROW()/100000,"")</f>
        <v/>
      </c>
    </row>
    <row r="2131">
      <c r="F2131" s="11" t="n"/>
      <c r="N2131" s="7">
        <f>IF($D2131="","",M2131*V2131/100)</f>
        <v/>
      </c>
      <c r="O2131" s="7" t="n"/>
      <c r="U2131" s="7" t="n"/>
      <c r="V2131" s="7" t="n"/>
      <c r="Y2131">
        <f>IF($D2131="","",IF($AN2131=1,0,IF($AM2131=1,Settings!$C$6,Settings!$C$7))*100)</f>
        <v/>
      </c>
      <c r="Z2131" s="7">
        <f>IF($D2131="","",V2131*Y2131/100)</f>
        <v/>
      </c>
      <c r="AA2131" s="7">
        <f>IF($D2131="","",V2131-Z2131)</f>
        <v/>
      </c>
      <c r="AB2131" s="7">
        <f>IF($D2131="","",AA2131-N2131)</f>
        <v/>
      </c>
      <c r="AF2131" s="7" t="n"/>
      <c r="AI2131" s="11" t="n"/>
      <c r="AK2131">
        <f>IF($D2131="","",IF(COUNTIF($D$2:$D2131,$D2131)=1,1,0))</f>
        <v/>
      </c>
      <c r="AL2131">
        <f>IF($AK2131=1,SUMPRODUCT(--($AO$2:$AO$3001&lt;$AO2131))+1,"")</f>
        <v/>
      </c>
      <c r="AM2131">
        <f>IF($D2131="","",IF(OR($R2131=TRUE(),$R2131="TRUE"),1,0))</f>
        <v/>
      </c>
      <c r="AN2131">
        <f>IF($D2131="","",IF($X2131="Yes",1,0))</f>
        <v/>
      </c>
      <c r="AO2131">
        <f>IF($AK2131=1,IFERROR(IF(VALUE($D2131)&lt;100000000,VALUE($D2131),1000000000),IFERROR(IF(VALUE(MID($D2131,2,20))&lt;100000000,VALUE(MID($D2131,2,20)),1000000000),1000000000))+ROW()/100000,"")</f>
        <v/>
      </c>
    </row>
    <row r="2132">
      <c r="F2132" s="11" t="n"/>
      <c r="N2132" s="7">
        <f>IF($D2132="","",M2132*V2132/100)</f>
        <v/>
      </c>
      <c r="O2132" s="7" t="n"/>
      <c r="U2132" s="7" t="n"/>
      <c r="V2132" s="7" t="n"/>
      <c r="Y2132">
        <f>IF($D2132="","",IF($AN2132=1,0,IF($AM2132=1,Settings!$C$6,Settings!$C$7))*100)</f>
        <v/>
      </c>
      <c r="Z2132" s="7">
        <f>IF($D2132="","",V2132*Y2132/100)</f>
        <v/>
      </c>
      <c r="AA2132" s="7">
        <f>IF($D2132="","",V2132-Z2132)</f>
        <v/>
      </c>
      <c r="AB2132" s="7">
        <f>IF($D2132="","",AA2132-N2132)</f>
        <v/>
      </c>
      <c r="AF2132" s="7" t="n"/>
      <c r="AI2132" s="11" t="n"/>
      <c r="AK2132">
        <f>IF($D2132="","",IF(COUNTIF($D$2:$D2132,$D2132)=1,1,0))</f>
        <v/>
      </c>
      <c r="AL2132">
        <f>IF($AK2132=1,SUMPRODUCT(--($AO$2:$AO$3001&lt;$AO2132))+1,"")</f>
        <v/>
      </c>
      <c r="AM2132">
        <f>IF($D2132="","",IF(OR($R2132=TRUE(),$R2132="TRUE"),1,0))</f>
        <v/>
      </c>
      <c r="AN2132">
        <f>IF($D2132="","",IF($X2132="Yes",1,0))</f>
        <v/>
      </c>
      <c r="AO2132">
        <f>IF($AK2132=1,IFERROR(IF(VALUE($D2132)&lt;100000000,VALUE($D2132),1000000000),IFERROR(IF(VALUE(MID($D2132,2,20))&lt;100000000,VALUE(MID($D2132,2,20)),1000000000),1000000000))+ROW()/100000,"")</f>
        <v/>
      </c>
    </row>
    <row r="2133">
      <c r="F2133" s="11" t="n"/>
      <c r="N2133" s="7">
        <f>IF($D2133="","",M2133*V2133/100)</f>
        <v/>
      </c>
      <c r="O2133" s="7" t="n"/>
      <c r="U2133" s="7" t="n"/>
      <c r="V2133" s="7" t="n"/>
      <c r="Y2133">
        <f>IF($D2133="","",IF($AN2133=1,0,IF($AM2133=1,Settings!$C$6,Settings!$C$7))*100)</f>
        <v/>
      </c>
      <c r="Z2133" s="7">
        <f>IF($D2133="","",V2133*Y2133/100)</f>
        <v/>
      </c>
      <c r="AA2133" s="7">
        <f>IF($D2133="","",V2133-Z2133)</f>
        <v/>
      </c>
      <c r="AB2133" s="7">
        <f>IF($D2133="","",AA2133-N2133)</f>
        <v/>
      </c>
      <c r="AF2133" s="7" t="n"/>
      <c r="AI2133" s="11" t="n"/>
      <c r="AK2133">
        <f>IF($D2133="","",IF(COUNTIF($D$2:$D2133,$D2133)=1,1,0))</f>
        <v/>
      </c>
      <c r="AL2133">
        <f>IF($AK2133=1,SUMPRODUCT(--($AO$2:$AO$3001&lt;$AO2133))+1,"")</f>
        <v/>
      </c>
      <c r="AM2133">
        <f>IF($D2133="","",IF(OR($R2133=TRUE(),$R2133="TRUE"),1,0))</f>
        <v/>
      </c>
      <c r="AN2133">
        <f>IF($D2133="","",IF($X2133="Yes",1,0))</f>
        <v/>
      </c>
      <c r="AO2133">
        <f>IF($AK2133=1,IFERROR(IF(VALUE($D2133)&lt;100000000,VALUE($D2133),1000000000),IFERROR(IF(VALUE(MID($D2133,2,20))&lt;100000000,VALUE(MID($D2133,2,20)),1000000000),1000000000))+ROW()/100000,"")</f>
        <v/>
      </c>
    </row>
    <row r="2134">
      <c r="F2134" s="11" t="n"/>
      <c r="N2134" s="7">
        <f>IF($D2134="","",M2134*V2134/100)</f>
        <v/>
      </c>
      <c r="O2134" s="7" t="n"/>
      <c r="U2134" s="7" t="n"/>
      <c r="V2134" s="7" t="n"/>
      <c r="Y2134">
        <f>IF($D2134="","",IF($AN2134=1,0,IF($AM2134=1,Settings!$C$6,Settings!$C$7))*100)</f>
        <v/>
      </c>
      <c r="Z2134" s="7">
        <f>IF($D2134="","",V2134*Y2134/100)</f>
        <v/>
      </c>
      <c r="AA2134" s="7">
        <f>IF($D2134="","",V2134-Z2134)</f>
        <v/>
      </c>
      <c r="AB2134" s="7">
        <f>IF($D2134="","",AA2134-N2134)</f>
        <v/>
      </c>
      <c r="AF2134" s="7" t="n"/>
      <c r="AI2134" s="11" t="n"/>
      <c r="AK2134">
        <f>IF($D2134="","",IF(COUNTIF($D$2:$D2134,$D2134)=1,1,0))</f>
        <v/>
      </c>
      <c r="AL2134">
        <f>IF($AK2134=1,SUMPRODUCT(--($AO$2:$AO$3001&lt;$AO2134))+1,"")</f>
        <v/>
      </c>
      <c r="AM2134">
        <f>IF($D2134="","",IF(OR($R2134=TRUE(),$R2134="TRUE"),1,0))</f>
        <v/>
      </c>
      <c r="AN2134">
        <f>IF($D2134="","",IF($X2134="Yes",1,0))</f>
        <v/>
      </c>
      <c r="AO2134">
        <f>IF($AK2134=1,IFERROR(IF(VALUE($D2134)&lt;100000000,VALUE($D2134),1000000000),IFERROR(IF(VALUE(MID($D2134,2,20))&lt;100000000,VALUE(MID($D2134,2,20)),1000000000),1000000000))+ROW()/100000,"")</f>
        <v/>
      </c>
    </row>
    <row r="2135">
      <c r="F2135" s="11" t="n"/>
      <c r="N2135" s="7">
        <f>IF($D2135="","",M2135*V2135/100)</f>
        <v/>
      </c>
      <c r="O2135" s="7" t="n"/>
      <c r="U2135" s="7" t="n"/>
      <c r="V2135" s="7" t="n"/>
      <c r="Y2135">
        <f>IF($D2135="","",IF($AN2135=1,0,IF($AM2135=1,Settings!$C$6,Settings!$C$7))*100)</f>
        <v/>
      </c>
      <c r="Z2135" s="7">
        <f>IF($D2135="","",V2135*Y2135/100)</f>
        <v/>
      </c>
      <c r="AA2135" s="7">
        <f>IF($D2135="","",V2135-Z2135)</f>
        <v/>
      </c>
      <c r="AB2135" s="7">
        <f>IF($D2135="","",AA2135-N2135)</f>
        <v/>
      </c>
      <c r="AF2135" s="7" t="n"/>
      <c r="AI2135" s="11" t="n"/>
      <c r="AK2135">
        <f>IF($D2135="","",IF(COUNTIF($D$2:$D2135,$D2135)=1,1,0))</f>
        <v/>
      </c>
      <c r="AL2135">
        <f>IF($AK2135=1,SUMPRODUCT(--($AO$2:$AO$3001&lt;$AO2135))+1,"")</f>
        <v/>
      </c>
      <c r="AM2135">
        <f>IF($D2135="","",IF(OR($R2135=TRUE(),$R2135="TRUE"),1,0))</f>
        <v/>
      </c>
      <c r="AN2135">
        <f>IF($D2135="","",IF($X2135="Yes",1,0))</f>
        <v/>
      </c>
      <c r="AO2135">
        <f>IF($AK2135=1,IFERROR(IF(VALUE($D2135)&lt;100000000,VALUE($D2135),1000000000),IFERROR(IF(VALUE(MID($D2135,2,20))&lt;100000000,VALUE(MID($D2135,2,20)),1000000000),1000000000))+ROW()/100000,"")</f>
        <v/>
      </c>
    </row>
    <row r="2136">
      <c r="F2136" s="11" t="n"/>
      <c r="N2136" s="7">
        <f>IF($D2136="","",M2136*V2136/100)</f>
        <v/>
      </c>
      <c r="O2136" s="7" t="n"/>
      <c r="U2136" s="7" t="n"/>
      <c r="V2136" s="7" t="n"/>
      <c r="Y2136">
        <f>IF($D2136="","",IF($AN2136=1,0,IF($AM2136=1,Settings!$C$6,Settings!$C$7))*100)</f>
        <v/>
      </c>
      <c r="Z2136" s="7">
        <f>IF($D2136="","",V2136*Y2136/100)</f>
        <v/>
      </c>
      <c r="AA2136" s="7">
        <f>IF($D2136="","",V2136-Z2136)</f>
        <v/>
      </c>
      <c r="AB2136" s="7">
        <f>IF($D2136="","",AA2136-N2136)</f>
        <v/>
      </c>
      <c r="AF2136" s="7" t="n"/>
      <c r="AI2136" s="11" t="n"/>
      <c r="AK2136">
        <f>IF($D2136="","",IF(COUNTIF($D$2:$D2136,$D2136)=1,1,0))</f>
        <v/>
      </c>
      <c r="AL2136">
        <f>IF($AK2136=1,SUMPRODUCT(--($AO$2:$AO$3001&lt;$AO2136))+1,"")</f>
        <v/>
      </c>
      <c r="AM2136">
        <f>IF($D2136="","",IF(OR($R2136=TRUE(),$R2136="TRUE"),1,0))</f>
        <v/>
      </c>
      <c r="AN2136">
        <f>IF($D2136="","",IF($X2136="Yes",1,0))</f>
        <v/>
      </c>
      <c r="AO2136">
        <f>IF($AK2136=1,IFERROR(IF(VALUE($D2136)&lt;100000000,VALUE($D2136),1000000000),IFERROR(IF(VALUE(MID($D2136,2,20))&lt;100000000,VALUE(MID($D2136,2,20)),1000000000),1000000000))+ROW()/100000,"")</f>
        <v/>
      </c>
    </row>
    <row r="2137">
      <c r="F2137" s="11" t="n"/>
      <c r="N2137" s="7">
        <f>IF($D2137="","",M2137*V2137/100)</f>
        <v/>
      </c>
      <c r="O2137" s="7" t="n"/>
      <c r="U2137" s="7" t="n"/>
      <c r="V2137" s="7" t="n"/>
      <c r="Y2137">
        <f>IF($D2137="","",IF($AN2137=1,0,IF($AM2137=1,Settings!$C$6,Settings!$C$7))*100)</f>
        <v/>
      </c>
      <c r="Z2137" s="7">
        <f>IF($D2137="","",V2137*Y2137/100)</f>
        <v/>
      </c>
      <c r="AA2137" s="7">
        <f>IF($D2137="","",V2137-Z2137)</f>
        <v/>
      </c>
      <c r="AB2137" s="7">
        <f>IF($D2137="","",AA2137-N2137)</f>
        <v/>
      </c>
      <c r="AF2137" s="7" t="n"/>
      <c r="AI2137" s="11" t="n"/>
      <c r="AK2137">
        <f>IF($D2137="","",IF(COUNTIF($D$2:$D2137,$D2137)=1,1,0))</f>
        <v/>
      </c>
      <c r="AL2137">
        <f>IF($AK2137=1,SUMPRODUCT(--($AO$2:$AO$3001&lt;$AO2137))+1,"")</f>
        <v/>
      </c>
      <c r="AM2137">
        <f>IF($D2137="","",IF(OR($R2137=TRUE(),$R2137="TRUE"),1,0))</f>
        <v/>
      </c>
      <c r="AN2137">
        <f>IF($D2137="","",IF($X2137="Yes",1,0))</f>
        <v/>
      </c>
      <c r="AO2137">
        <f>IF($AK2137=1,IFERROR(IF(VALUE($D2137)&lt;100000000,VALUE($D2137),1000000000),IFERROR(IF(VALUE(MID($D2137,2,20))&lt;100000000,VALUE(MID($D2137,2,20)),1000000000),1000000000))+ROW()/100000,"")</f>
        <v/>
      </c>
    </row>
    <row r="2138">
      <c r="F2138" s="11" t="n"/>
      <c r="N2138" s="7">
        <f>IF($D2138="","",M2138*V2138/100)</f>
        <v/>
      </c>
      <c r="O2138" s="7" t="n"/>
      <c r="U2138" s="7" t="n"/>
      <c r="V2138" s="7" t="n"/>
      <c r="Y2138">
        <f>IF($D2138="","",IF($AN2138=1,0,IF($AM2138=1,Settings!$C$6,Settings!$C$7))*100)</f>
        <v/>
      </c>
      <c r="Z2138" s="7">
        <f>IF($D2138="","",V2138*Y2138/100)</f>
        <v/>
      </c>
      <c r="AA2138" s="7">
        <f>IF($D2138="","",V2138-Z2138)</f>
        <v/>
      </c>
      <c r="AB2138" s="7">
        <f>IF($D2138="","",AA2138-N2138)</f>
        <v/>
      </c>
      <c r="AF2138" s="7" t="n"/>
      <c r="AI2138" s="11" t="n"/>
      <c r="AK2138">
        <f>IF($D2138="","",IF(COUNTIF($D$2:$D2138,$D2138)=1,1,0))</f>
        <v/>
      </c>
      <c r="AL2138">
        <f>IF($AK2138=1,SUMPRODUCT(--($AO$2:$AO$3001&lt;$AO2138))+1,"")</f>
        <v/>
      </c>
      <c r="AM2138">
        <f>IF($D2138="","",IF(OR($R2138=TRUE(),$R2138="TRUE"),1,0))</f>
        <v/>
      </c>
      <c r="AN2138">
        <f>IF($D2138="","",IF($X2138="Yes",1,0))</f>
        <v/>
      </c>
      <c r="AO2138">
        <f>IF($AK2138=1,IFERROR(IF(VALUE($D2138)&lt;100000000,VALUE($D2138),1000000000),IFERROR(IF(VALUE(MID($D2138,2,20))&lt;100000000,VALUE(MID($D2138,2,20)),1000000000),1000000000))+ROW()/100000,"")</f>
        <v/>
      </c>
    </row>
    <row r="2139">
      <c r="F2139" s="11" t="n"/>
      <c r="N2139" s="7">
        <f>IF($D2139="","",M2139*V2139/100)</f>
        <v/>
      </c>
      <c r="O2139" s="7" t="n"/>
      <c r="U2139" s="7" t="n"/>
      <c r="V2139" s="7" t="n"/>
      <c r="Y2139">
        <f>IF($D2139="","",IF($AN2139=1,0,IF($AM2139=1,Settings!$C$6,Settings!$C$7))*100)</f>
        <v/>
      </c>
      <c r="Z2139" s="7">
        <f>IF($D2139="","",V2139*Y2139/100)</f>
        <v/>
      </c>
      <c r="AA2139" s="7">
        <f>IF($D2139="","",V2139-Z2139)</f>
        <v/>
      </c>
      <c r="AB2139" s="7">
        <f>IF($D2139="","",AA2139-N2139)</f>
        <v/>
      </c>
      <c r="AF2139" s="7" t="n"/>
      <c r="AI2139" s="11" t="n"/>
      <c r="AK2139">
        <f>IF($D2139="","",IF(COUNTIF($D$2:$D2139,$D2139)=1,1,0))</f>
        <v/>
      </c>
      <c r="AL2139">
        <f>IF($AK2139=1,SUMPRODUCT(--($AO$2:$AO$3001&lt;$AO2139))+1,"")</f>
        <v/>
      </c>
      <c r="AM2139">
        <f>IF($D2139="","",IF(OR($R2139=TRUE(),$R2139="TRUE"),1,0))</f>
        <v/>
      </c>
      <c r="AN2139">
        <f>IF($D2139="","",IF($X2139="Yes",1,0))</f>
        <v/>
      </c>
      <c r="AO2139">
        <f>IF($AK2139=1,IFERROR(IF(VALUE($D2139)&lt;100000000,VALUE($D2139),1000000000),IFERROR(IF(VALUE(MID($D2139,2,20))&lt;100000000,VALUE(MID($D2139,2,20)),1000000000),1000000000))+ROW()/100000,"")</f>
        <v/>
      </c>
    </row>
    <row r="2140">
      <c r="F2140" s="11" t="n"/>
      <c r="N2140" s="7">
        <f>IF($D2140="","",M2140*V2140/100)</f>
        <v/>
      </c>
      <c r="O2140" s="7" t="n"/>
      <c r="U2140" s="7" t="n"/>
      <c r="V2140" s="7" t="n"/>
      <c r="Y2140">
        <f>IF($D2140="","",IF($AN2140=1,0,IF($AM2140=1,Settings!$C$6,Settings!$C$7))*100)</f>
        <v/>
      </c>
      <c r="Z2140" s="7">
        <f>IF($D2140="","",V2140*Y2140/100)</f>
        <v/>
      </c>
      <c r="AA2140" s="7">
        <f>IF($D2140="","",V2140-Z2140)</f>
        <v/>
      </c>
      <c r="AB2140" s="7">
        <f>IF($D2140="","",AA2140-N2140)</f>
        <v/>
      </c>
      <c r="AF2140" s="7" t="n"/>
      <c r="AI2140" s="11" t="n"/>
      <c r="AK2140">
        <f>IF($D2140="","",IF(COUNTIF($D$2:$D2140,$D2140)=1,1,0))</f>
        <v/>
      </c>
      <c r="AL2140">
        <f>IF($AK2140=1,SUMPRODUCT(--($AO$2:$AO$3001&lt;$AO2140))+1,"")</f>
        <v/>
      </c>
      <c r="AM2140">
        <f>IF($D2140="","",IF(OR($R2140=TRUE(),$R2140="TRUE"),1,0))</f>
        <v/>
      </c>
      <c r="AN2140">
        <f>IF($D2140="","",IF($X2140="Yes",1,0))</f>
        <v/>
      </c>
      <c r="AO2140">
        <f>IF($AK2140=1,IFERROR(IF(VALUE($D2140)&lt;100000000,VALUE($D2140),1000000000),IFERROR(IF(VALUE(MID($D2140,2,20))&lt;100000000,VALUE(MID($D2140,2,20)),1000000000),1000000000))+ROW()/100000,"")</f>
        <v/>
      </c>
    </row>
    <row r="2141">
      <c r="F2141" s="11" t="n"/>
      <c r="N2141" s="7">
        <f>IF($D2141="","",M2141*V2141/100)</f>
        <v/>
      </c>
      <c r="O2141" s="7" t="n"/>
      <c r="U2141" s="7" t="n"/>
      <c r="V2141" s="7" t="n"/>
      <c r="Y2141">
        <f>IF($D2141="","",IF($AN2141=1,0,IF($AM2141=1,Settings!$C$6,Settings!$C$7))*100)</f>
        <v/>
      </c>
      <c r="Z2141" s="7">
        <f>IF($D2141="","",V2141*Y2141/100)</f>
        <v/>
      </c>
      <c r="AA2141" s="7">
        <f>IF($D2141="","",V2141-Z2141)</f>
        <v/>
      </c>
      <c r="AB2141" s="7">
        <f>IF($D2141="","",AA2141-N2141)</f>
        <v/>
      </c>
      <c r="AF2141" s="7" t="n"/>
      <c r="AI2141" s="11" t="n"/>
      <c r="AK2141">
        <f>IF($D2141="","",IF(COUNTIF($D$2:$D2141,$D2141)=1,1,0))</f>
        <v/>
      </c>
      <c r="AL2141">
        <f>IF($AK2141=1,SUMPRODUCT(--($AO$2:$AO$3001&lt;$AO2141))+1,"")</f>
        <v/>
      </c>
      <c r="AM2141">
        <f>IF($D2141="","",IF(OR($R2141=TRUE(),$R2141="TRUE"),1,0))</f>
        <v/>
      </c>
      <c r="AN2141">
        <f>IF($D2141="","",IF($X2141="Yes",1,0))</f>
        <v/>
      </c>
      <c r="AO2141">
        <f>IF($AK2141=1,IFERROR(IF(VALUE($D2141)&lt;100000000,VALUE($D2141),1000000000),IFERROR(IF(VALUE(MID($D2141,2,20))&lt;100000000,VALUE(MID($D2141,2,20)),1000000000),1000000000))+ROW()/100000,"")</f>
        <v/>
      </c>
    </row>
    <row r="2142">
      <c r="F2142" s="11" t="n"/>
      <c r="N2142" s="7">
        <f>IF($D2142="","",M2142*V2142/100)</f>
        <v/>
      </c>
      <c r="O2142" s="7" t="n"/>
      <c r="U2142" s="7" t="n"/>
      <c r="V2142" s="7" t="n"/>
      <c r="Y2142">
        <f>IF($D2142="","",IF($AN2142=1,0,IF($AM2142=1,Settings!$C$6,Settings!$C$7))*100)</f>
        <v/>
      </c>
      <c r="Z2142" s="7">
        <f>IF($D2142="","",V2142*Y2142/100)</f>
        <v/>
      </c>
      <c r="AA2142" s="7">
        <f>IF($D2142="","",V2142-Z2142)</f>
        <v/>
      </c>
      <c r="AB2142" s="7">
        <f>IF($D2142="","",AA2142-N2142)</f>
        <v/>
      </c>
      <c r="AF2142" s="7" t="n"/>
      <c r="AI2142" s="11" t="n"/>
      <c r="AK2142">
        <f>IF($D2142="","",IF(COUNTIF($D$2:$D2142,$D2142)=1,1,0))</f>
        <v/>
      </c>
      <c r="AL2142">
        <f>IF($AK2142=1,SUMPRODUCT(--($AO$2:$AO$3001&lt;$AO2142))+1,"")</f>
        <v/>
      </c>
      <c r="AM2142">
        <f>IF($D2142="","",IF(OR($R2142=TRUE(),$R2142="TRUE"),1,0))</f>
        <v/>
      </c>
      <c r="AN2142">
        <f>IF($D2142="","",IF($X2142="Yes",1,0))</f>
        <v/>
      </c>
      <c r="AO2142">
        <f>IF($AK2142=1,IFERROR(IF(VALUE($D2142)&lt;100000000,VALUE($D2142),1000000000),IFERROR(IF(VALUE(MID($D2142,2,20))&lt;100000000,VALUE(MID($D2142,2,20)),1000000000),1000000000))+ROW()/100000,"")</f>
        <v/>
      </c>
    </row>
    <row r="2143">
      <c r="F2143" s="11" t="n"/>
      <c r="N2143" s="7">
        <f>IF($D2143="","",M2143*V2143/100)</f>
        <v/>
      </c>
      <c r="O2143" s="7" t="n"/>
      <c r="U2143" s="7" t="n"/>
      <c r="V2143" s="7" t="n"/>
      <c r="Y2143">
        <f>IF($D2143="","",IF($AN2143=1,0,IF($AM2143=1,Settings!$C$6,Settings!$C$7))*100)</f>
        <v/>
      </c>
      <c r="Z2143" s="7">
        <f>IF($D2143="","",V2143*Y2143/100)</f>
        <v/>
      </c>
      <c r="AA2143" s="7">
        <f>IF($D2143="","",V2143-Z2143)</f>
        <v/>
      </c>
      <c r="AB2143" s="7">
        <f>IF($D2143="","",AA2143-N2143)</f>
        <v/>
      </c>
      <c r="AF2143" s="7" t="n"/>
      <c r="AI2143" s="11" t="n"/>
      <c r="AK2143">
        <f>IF($D2143="","",IF(COUNTIF($D$2:$D2143,$D2143)=1,1,0))</f>
        <v/>
      </c>
      <c r="AL2143">
        <f>IF($AK2143=1,SUMPRODUCT(--($AO$2:$AO$3001&lt;$AO2143))+1,"")</f>
        <v/>
      </c>
      <c r="AM2143">
        <f>IF($D2143="","",IF(OR($R2143=TRUE(),$R2143="TRUE"),1,0))</f>
        <v/>
      </c>
      <c r="AN2143">
        <f>IF($D2143="","",IF($X2143="Yes",1,0))</f>
        <v/>
      </c>
      <c r="AO2143">
        <f>IF($AK2143=1,IFERROR(IF(VALUE($D2143)&lt;100000000,VALUE($D2143),1000000000),IFERROR(IF(VALUE(MID($D2143,2,20))&lt;100000000,VALUE(MID($D2143,2,20)),1000000000),1000000000))+ROW()/100000,"")</f>
        <v/>
      </c>
    </row>
    <row r="2144">
      <c r="F2144" s="11" t="n"/>
      <c r="N2144" s="7">
        <f>IF($D2144="","",M2144*V2144/100)</f>
        <v/>
      </c>
      <c r="O2144" s="7" t="n"/>
      <c r="U2144" s="7" t="n"/>
      <c r="V2144" s="7" t="n"/>
      <c r="Y2144">
        <f>IF($D2144="","",IF($AN2144=1,0,IF($AM2144=1,Settings!$C$6,Settings!$C$7))*100)</f>
        <v/>
      </c>
      <c r="Z2144" s="7">
        <f>IF($D2144="","",V2144*Y2144/100)</f>
        <v/>
      </c>
      <c r="AA2144" s="7">
        <f>IF($D2144="","",V2144-Z2144)</f>
        <v/>
      </c>
      <c r="AB2144" s="7">
        <f>IF($D2144="","",AA2144-N2144)</f>
        <v/>
      </c>
      <c r="AF2144" s="7" t="n"/>
      <c r="AI2144" s="11" t="n"/>
      <c r="AK2144">
        <f>IF($D2144="","",IF(COUNTIF($D$2:$D2144,$D2144)=1,1,0))</f>
        <v/>
      </c>
      <c r="AL2144">
        <f>IF($AK2144=1,SUMPRODUCT(--($AO$2:$AO$3001&lt;$AO2144))+1,"")</f>
        <v/>
      </c>
      <c r="AM2144">
        <f>IF($D2144="","",IF(OR($R2144=TRUE(),$R2144="TRUE"),1,0))</f>
        <v/>
      </c>
      <c r="AN2144">
        <f>IF($D2144="","",IF($X2144="Yes",1,0))</f>
        <v/>
      </c>
      <c r="AO2144">
        <f>IF($AK2144=1,IFERROR(IF(VALUE($D2144)&lt;100000000,VALUE($D2144),1000000000),IFERROR(IF(VALUE(MID($D2144,2,20))&lt;100000000,VALUE(MID($D2144,2,20)),1000000000),1000000000))+ROW()/100000,"")</f>
        <v/>
      </c>
    </row>
    <row r="2145">
      <c r="F2145" s="11" t="n"/>
      <c r="N2145" s="7">
        <f>IF($D2145="","",M2145*V2145/100)</f>
        <v/>
      </c>
      <c r="O2145" s="7" t="n"/>
      <c r="U2145" s="7" t="n"/>
      <c r="V2145" s="7" t="n"/>
      <c r="Y2145">
        <f>IF($D2145="","",IF($AN2145=1,0,IF($AM2145=1,Settings!$C$6,Settings!$C$7))*100)</f>
        <v/>
      </c>
      <c r="Z2145" s="7">
        <f>IF($D2145="","",V2145*Y2145/100)</f>
        <v/>
      </c>
      <c r="AA2145" s="7">
        <f>IF($D2145="","",V2145-Z2145)</f>
        <v/>
      </c>
      <c r="AB2145" s="7">
        <f>IF($D2145="","",AA2145-N2145)</f>
        <v/>
      </c>
      <c r="AF2145" s="7" t="n"/>
      <c r="AI2145" s="11" t="n"/>
      <c r="AK2145">
        <f>IF($D2145="","",IF(COUNTIF($D$2:$D2145,$D2145)=1,1,0))</f>
        <v/>
      </c>
      <c r="AL2145">
        <f>IF($AK2145=1,SUMPRODUCT(--($AO$2:$AO$3001&lt;$AO2145))+1,"")</f>
        <v/>
      </c>
      <c r="AM2145">
        <f>IF($D2145="","",IF(OR($R2145=TRUE(),$R2145="TRUE"),1,0))</f>
        <v/>
      </c>
      <c r="AN2145">
        <f>IF($D2145="","",IF($X2145="Yes",1,0))</f>
        <v/>
      </c>
      <c r="AO2145">
        <f>IF($AK2145=1,IFERROR(IF(VALUE($D2145)&lt;100000000,VALUE($D2145),1000000000),IFERROR(IF(VALUE(MID($D2145,2,20))&lt;100000000,VALUE(MID($D2145,2,20)),1000000000),1000000000))+ROW()/100000,"")</f>
        <v/>
      </c>
    </row>
    <row r="2146">
      <c r="F2146" s="11" t="n"/>
      <c r="N2146" s="7">
        <f>IF($D2146="","",M2146*V2146/100)</f>
        <v/>
      </c>
      <c r="O2146" s="7" t="n"/>
      <c r="U2146" s="7" t="n"/>
      <c r="V2146" s="7" t="n"/>
      <c r="Y2146">
        <f>IF($D2146="","",IF($AN2146=1,0,IF($AM2146=1,Settings!$C$6,Settings!$C$7))*100)</f>
        <v/>
      </c>
      <c r="Z2146" s="7">
        <f>IF($D2146="","",V2146*Y2146/100)</f>
        <v/>
      </c>
      <c r="AA2146" s="7">
        <f>IF($D2146="","",V2146-Z2146)</f>
        <v/>
      </c>
      <c r="AB2146" s="7">
        <f>IF($D2146="","",AA2146-N2146)</f>
        <v/>
      </c>
      <c r="AF2146" s="7" t="n"/>
      <c r="AI2146" s="11" t="n"/>
      <c r="AK2146">
        <f>IF($D2146="","",IF(COUNTIF($D$2:$D2146,$D2146)=1,1,0))</f>
        <v/>
      </c>
      <c r="AL2146">
        <f>IF($AK2146=1,SUMPRODUCT(--($AO$2:$AO$3001&lt;$AO2146))+1,"")</f>
        <v/>
      </c>
      <c r="AM2146">
        <f>IF($D2146="","",IF(OR($R2146=TRUE(),$R2146="TRUE"),1,0))</f>
        <v/>
      </c>
      <c r="AN2146">
        <f>IF($D2146="","",IF($X2146="Yes",1,0))</f>
        <v/>
      </c>
      <c r="AO2146">
        <f>IF($AK2146=1,IFERROR(IF(VALUE($D2146)&lt;100000000,VALUE($D2146),1000000000),IFERROR(IF(VALUE(MID($D2146,2,20))&lt;100000000,VALUE(MID($D2146,2,20)),1000000000),1000000000))+ROW()/100000,"")</f>
        <v/>
      </c>
    </row>
    <row r="2147">
      <c r="F2147" s="11" t="n"/>
      <c r="N2147" s="7">
        <f>IF($D2147="","",M2147*V2147/100)</f>
        <v/>
      </c>
      <c r="O2147" s="7" t="n"/>
      <c r="U2147" s="7" t="n"/>
      <c r="V2147" s="7" t="n"/>
      <c r="Y2147">
        <f>IF($D2147="","",IF($AN2147=1,0,IF($AM2147=1,Settings!$C$6,Settings!$C$7))*100)</f>
        <v/>
      </c>
      <c r="Z2147" s="7">
        <f>IF($D2147="","",V2147*Y2147/100)</f>
        <v/>
      </c>
      <c r="AA2147" s="7">
        <f>IF($D2147="","",V2147-Z2147)</f>
        <v/>
      </c>
      <c r="AB2147" s="7">
        <f>IF($D2147="","",AA2147-N2147)</f>
        <v/>
      </c>
      <c r="AF2147" s="7" t="n"/>
      <c r="AI2147" s="11" t="n"/>
      <c r="AK2147">
        <f>IF($D2147="","",IF(COUNTIF($D$2:$D2147,$D2147)=1,1,0))</f>
        <v/>
      </c>
      <c r="AL2147">
        <f>IF($AK2147=1,SUMPRODUCT(--($AO$2:$AO$3001&lt;$AO2147))+1,"")</f>
        <v/>
      </c>
      <c r="AM2147">
        <f>IF($D2147="","",IF(OR($R2147=TRUE(),$R2147="TRUE"),1,0))</f>
        <v/>
      </c>
      <c r="AN2147">
        <f>IF($D2147="","",IF($X2147="Yes",1,0))</f>
        <v/>
      </c>
      <c r="AO2147">
        <f>IF($AK2147=1,IFERROR(IF(VALUE($D2147)&lt;100000000,VALUE($D2147),1000000000),IFERROR(IF(VALUE(MID($D2147,2,20))&lt;100000000,VALUE(MID($D2147,2,20)),1000000000),1000000000))+ROW()/100000,"")</f>
        <v/>
      </c>
    </row>
    <row r="2148">
      <c r="F2148" s="11" t="n"/>
      <c r="N2148" s="7">
        <f>IF($D2148="","",M2148*V2148/100)</f>
        <v/>
      </c>
      <c r="O2148" s="7" t="n"/>
      <c r="U2148" s="7" t="n"/>
      <c r="V2148" s="7" t="n"/>
      <c r="Y2148">
        <f>IF($D2148="","",IF($AN2148=1,0,IF($AM2148=1,Settings!$C$6,Settings!$C$7))*100)</f>
        <v/>
      </c>
      <c r="Z2148" s="7">
        <f>IF($D2148="","",V2148*Y2148/100)</f>
        <v/>
      </c>
      <c r="AA2148" s="7">
        <f>IF($D2148="","",V2148-Z2148)</f>
        <v/>
      </c>
      <c r="AB2148" s="7">
        <f>IF($D2148="","",AA2148-N2148)</f>
        <v/>
      </c>
      <c r="AF2148" s="7" t="n"/>
      <c r="AI2148" s="11" t="n"/>
      <c r="AK2148">
        <f>IF($D2148="","",IF(COUNTIF($D$2:$D2148,$D2148)=1,1,0))</f>
        <v/>
      </c>
      <c r="AL2148">
        <f>IF($AK2148=1,SUMPRODUCT(--($AO$2:$AO$3001&lt;$AO2148))+1,"")</f>
        <v/>
      </c>
      <c r="AM2148">
        <f>IF($D2148="","",IF(OR($R2148=TRUE(),$R2148="TRUE"),1,0))</f>
        <v/>
      </c>
      <c r="AN2148">
        <f>IF($D2148="","",IF($X2148="Yes",1,0))</f>
        <v/>
      </c>
      <c r="AO2148">
        <f>IF($AK2148=1,IFERROR(IF(VALUE($D2148)&lt;100000000,VALUE($D2148),1000000000),IFERROR(IF(VALUE(MID($D2148,2,20))&lt;100000000,VALUE(MID($D2148,2,20)),1000000000),1000000000))+ROW()/100000,"")</f>
        <v/>
      </c>
    </row>
    <row r="2149">
      <c r="F2149" s="11" t="n"/>
      <c r="N2149" s="7">
        <f>IF($D2149="","",M2149*V2149/100)</f>
        <v/>
      </c>
      <c r="O2149" s="7" t="n"/>
      <c r="U2149" s="7" t="n"/>
      <c r="V2149" s="7" t="n"/>
      <c r="Y2149">
        <f>IF($D2149="","",IF($AN2149=1,0,IF($AM2149=1,Settings!$C$6,Settings!$C$7))*100)</f>
        <v/>
      </c>
      <c r="Z2149" s="7">
        <f>IF($D2149="","",V2149*Y2149/100)</f>
        <v/>
      </c>
      <c r="AA2149" s="7">
        <f>IF($D2149="","",V2149-Z2149)</f>
        <v/>
      </c>
      <c r="AB2149" s="7">
        <f>IF($D2149="","",AA2149-N2149)</f>
        <v/>
      </c>
      <c r="AF2149" s="7" t="n"/>
      <c r="AI2149" s="11" t="n"/>
      <c r="AK2149">
        <f>IF($D2149="","",IF(COUNTIF($D$2:$D2149,$D2149)=1,1,0))</f>
        <v/>
      </c>
      <c r="AL2149">
        <f>IF($AK2149=1,SUMPRODUCT(--($AO$2:$AO$3001&lt;$AO2149))+1,"")</f>
        <v/>
      </c>
      <c r="AM2149">
        <f>IF($D2149="","",IF(OR($R2149=TRUE(),$R2149="TRUE"),1,0))</f>
        <v/>
      </c>
      <c r="AN2149">
        <f>IF($D2149="","",IF($X2149="Yes",1,0))</f>
        <v/>
      </c>
      <c r="AO2149">
        <f>IF($AK2149=1,IFERROR(IF(VALUE($D2149)&lt;100000000,VALUE($D2149),1000000000),IFERROR(IF(VALUE(MID($D2149,2,20))&lt;100000000,VALUE(MID($D2149,2,20)),1000000000),1000000000))+ROW()/100000,"")</f>
        <v/>
      </c>
    </row>
    <row r="2150">
      <c r="F2150" s="11" t="n"/>
      <c r="N2150" s="7">
        <f>IF($D2150="","",M2150*V2150/100)</f>
        <v/>
      </c>
      <c r="O2150" s="7" t="n"/>
      <c r="U2150" s="7" t="n"/>
      <c r="V2150" s="7" t="n"/>
      <c r="Y2150">
        <f>IF($D2150="","",IF($AN2150=1,0,IF($AM2150=1,Settings!$C$6,Settings!$C$7))*100)</f>
        <v/>
      </c>
      <c r="Z2150" s="7">
        <f>IF($D2150="","",V2150*Y2150/100)</f>
        <v/>
      </c>
      <c r="AA2150" s="7">
        <f>IF($D2150="","",V2150-Z2150)</f>
        <v/>
      </c>
      <c r="AB2150" s="7">
        <f>IF($D2150="","",AA2150-N2150)</f>
        <v/>
      </c>
      <c r="AF2150" s="7" t="n"/>
      <c r="AI2150" s="11" t="n"/>
      <c r="AK2150">
        <f>IF($D2150="","",IF(COUNTIF($D$2:$D2150,$D2150)=1,1,0))</f>
        <v/>
      </c>
      <c r="AL2150">
        <f>IF($AK2150=1,SUMPRODUCT(--($AO$2:$AO$3001&lt;$AO2150))+1,"")</f>
        <v/>
      </c>
      <c r="AM2150">
        <f>IF($D2150="","",IF(OR($R2150=TRUE(),$R2150="TRUE"),1,0))</f>
        <v/>
      </c>
      <c r="AN2150">
        <f>IF($D2150="","",IF($X2150="Yes",1,0))</f>
        <v/>
      </c>
      <c r="AO2150">
        <f>IF($AK2150=1,IFERROR(IF(VALUE($D2150)&lt;100000000,VALUE($D2150),1000000000),IFERROR(IF(VALUE(MID($D2150,2,20))&lt;100000000,VALUE(MID($D2150,2,20)),1000000000),1000000000))+ROW()/100000,"")</f>
        <v/>
      </c>
    </row>
    <row r="2151">
      <c r="F2151" s="11" t="n"/>
      <c r="N2151" s="7">
        <f>IF($D2151="","",M2151*V2151/100)</f>
        <v/>
      </c>
      <c r="O2151" s="7" t="n"/>
      <c r="U2151" s="7" t="n"/>
      <c r="V2151" s="7" t="n"/>
      <c r="Y2151">
        <f>IF($D2151="","",IF($AN2151=1,0,IF($AM2151=1,Settings!$C$6,Settings!$C$7))*100)</f>
        <v/>
      </c>
      <c r="Z2151" s="7">
        <f>IF($D2151="","",V2151*Y2151/100)</f>
        <v/>
      </c>
      <c r="AA2151" s="7">
        <f>IF($D2151="","",V2151-Z2151)</f>
        <v/>
      </c>
      <c r="AB2151" s="7">
        <f>IF($D2151="","",AA2151-N2151)</f>
        <v/>
      </c>
      <c r="AF2151" s="7" t="n"/>
      <c r="AI2151" s="11" t="n"/>
      <c r="AK2151">
        <f>IF($D2151="","",IF(COUNTIF($D$2:$D2151,$D2151)=1,1,0))</f>
        <v/>
      </c>
      <c r="AL2151">
        <f>IF($AK2151=1,SUMPRODUCT(--($AO$2:$AO$3001&lt;$AO2151))+1,"")</f>
        <v/>
      </c>
      <c r="AM2151">
        <f>IF($D2151="","",IF(OR($R2151=TRUE(),$R2151="TRUE"),1,0))</f>
        <v/>
      </c>
      <c r="AN2151">
        <f>IF($D2151="","",IF($X2151="Yes",1,0))</f>
        <v/>
      </c>
      <c r="AO2151">
        <f>IF($AK2151=1,IFERROR(IF(VALUE($D2151)&lt;100000000,VALUE($D2151),1000000000),IFERROR(IF(VALUE(MID($D2151,2,20))&lt;100000000,VALUE(MID($D2151,2,20)),1000000000),1000000000))+ROW()/100000,"")</f>
        <v/>
      </c>
    </row>
    <row r="2152">
      <c r="F2152" s="11" t="n"/>
      <c r="N2152" s="7">
        <f>IF($D2152="","",M2152*V2152/100)</f>
        <v/>
      </c>
      <c r="O2152" s="7" t="n"/>
      <c r="U2152" s="7" t="n"/>
      <c r="V2152" s="7" t="n"/>
      <c r="Y2152">
        <f>IF($D2152="","",IF($AN2152=1,0,IF($AM2152=1,Settings!$C$6,Settings!$C$7))*100)</f>
        <v/>
      </c>
      <c r="Z2152" s="7">
        <f>IF($D2152="","",V2152*Y2152/100)</f>
        <v/>
      </c>
      <c r="AA2152" s="7">
        <f>IF($D2152="","",V2152-Z2152)</f>
        <v/>
      </c>
      <c r="AB2152" s="7">
        <f>IF($D2152="","",AA2152-N2152)</f>
        <v/>
      </c>
      <c r="AF2152" s="7" t="n"/>
      <c r="AI2152" s="11" t="n"/>
      <c r="AK2152">
        <f>IF($D2152="","",IF(COUNTIF($D$2:$D2152,$D2152)=1,1,0))</f>
        <v/>
      </c>
      <c r="AL2152">
        <f>IF($AK2152=1,SUMPRODUCT(--($AO$2:$AO$3001&lt;$AO2152))+1,"")</f>
        <v/>
      </c>
      <c r="AM2152">
        <f>IF($D2152="","",IF(OR($R2152=TRUE(),$R2152="TRUE"),1,0))</f>
        <v/>
      </c>
      <c r="AN2152">
        <f>IF($D2152="","",IF($X2152="Yes",1,0))</f>
        <v/>
      </c>
      <c r="AO2152">
        <f>IF($AK2152=1,IFERROR(IF(VALUE($D2152)&lt;100000000,VALUE($D2152),1000000000),IFERROR(IF(VALUE(MID($D2152,2,20))&lt;100000000,VALUE(MID($D2152,2,20)),1000000000),1000000000))+ROW()/100000,"")</f>
        <v/>
      </c>
    </row>
    <row r="2153">
      <c r="F2153" s="11" t="n"/>
      <c r="N2153" s="7">
        <f>IF($D2153="","",M2153*V2153/100)</f>
        <v/>
      </c>
      <c r="O2153" s="7" t="n"/>
      <c r="U2153" s="7" t="n"/>
      <c r="V2153" s="7" t="n"/>
      <c r="Y2153">
        <f>IF($D2153="","",IF($AN2153=1,0,IF($AM2153=1,Settings!$C$6,Settings!$C$7))*100)</f>
        <v/>
      </c>
      <c r="Z2153" s="7">
        <f>IF($D2153="","",V2153*Y2153/100)</f>
        <v/>
      </c>
      <c r="AA2153" s="7">
        <f>IF($D2153="","",V2153-Z2153)</f>
        <v/>
      </c>
      <c r="AB2153" s="7">
        <f>IF($D2153="","",AA2153-N2153)</f>
        <v/>
      </c>
      <c r="AF2153" s="7" t="n"/>
      <c r="AI2153" s="11" t="n"/>
      <c r="AK2153">
        <f>IF($D2153="","",IF(COUNTIF($D$2:$D2153,$D2153)=1,1,0))</f>
        <v/>
      </c>
      <c r="AL2153">
        <f>IF($AK2153=1,SUMPRODUCT(--($AO$2:$AO$3001&lt;$AO2153))+1,"")</f>
        <v/>
      </c>
      <c r="AM2153">
        <f>IF($D2153="","",IF(OR($R2153=TRUE(),$R2153="TRUE"),1,0))</f>
        <v/>
      </c>
      <c r="AN2153">
        <f>IF($D2153="","",IF($X2153="Yes",1,0))</f>
        <v/>
      </c>
      <c r="AO2153">
        <f>IF($AK2153=1,IFERROR(IF(VALUE($D2153)&lt;100000000,VALUE($D2153),1000000000),IFERROR(IF(VALUE(MID($D2153,2,20))&lt;100000000,VALUE(MID($D2153,2,20)),1000000000),1000000000))+ROW()/100000,"")</f>
        <v/>
      </c>
    </row>
    <row r="2154">
      <c r="F2154" s="11" t="n"/>
      <c r="N2154" s="7">
        <f>IF($D2154="","",M2154*V2154/100)</f>
        <v/>
      </c>
      <c r="O2154" s="7" t="n"/>
      <c r="U2154" s="7" t="n"/>
      <c r="V2154" s="7" t="n"/>
      <c r="Y2154">
        <f>IF($D2154="","",IF($AN2154=1,0,IF($AM2154=1,Settings!$C$6,Settings!$C$7))*100)</f>
        <v/>
      </c>
      <c r="Z2154" s="7">
        <f>IF($D2154="","",V2154*Y2154/100)</f>
        <v/>
      </c>
      <c r="AA2154" s="7">
        <f>IF($D2154="","",V2154-Z2154)</f>
        <v/>
      </c>
      <c r="AB2154" s="7">
        <f>IF($D2154="","",AA2154-N2154)</f>
        <v/>
      </c>
      <c r="AF2154" s="7" t="n"/>
      <c r="AI2154" s="11" t="n"/>
      <c r="AK2154">
        <f>IF($D2154="","",IF(COUNTIF($D$2:$D2154,$D2154)=1,1,0))</f>
        <v/>
      </c>
      <c r="AL2154">
        <f>IF($AK2154=1,SUMPRODUCT(--($AO$2:$AO$3001&lt;$AO2154))+1,"")</f>
        <v/>
      </c>
      <c r="AM2154">
        <f>IF($D2154="","",IF(OR($R2154=TRUE(),$R2154="TRUE"),1,0))</f>
        <v/>
      </c>
      <c r="AN2154">
        <f>IF($D2154="","",IF($X2154="Yes",1,0))</f>
        <v/>
      </c>
      <c r="AO2154">
        <f>IF($AK2154=1,IFERROR(IF(VALUE($D2154)&lt;100000000,VALUE($D2154),1000000000),IFERROR(IF(VALUE(MID($D2154,2,20))&lt;100000000,VALUE(MID($D2154,2,20)),1000000000),1000000000))+ROW()/100000,"")</f>
        <v/>
      </c>
    </row>
    <row r="2155">
      <c r="F2155" s="11" t="n"/>
      <c r="N2155" s="7">
        <f>IF($D2155="","",M2155*V2155/100)</f>
        <v/>
      </c>
      <c r="O2155" s="7" t="n"/>
      <c r="U2155" s="7" t="n"/>
      <c r="V2155" s="7" t="n"/>
      <c r="Y2155">
        <f>IF($D2155="","",IF($AN2155=1,0,IF($AM2155=1,Settings!$C$6,Settings!$C$7))*100)</f>
        <v/>
      </c>
      <c r="Z2155" s="7">
        <f>IF($D2155="","",V2155*Y2155/100)</f>
        <v/>
      </c>
      <c r="AA2155" s="7">
        <f>IF($D2155="","",V2155-Z2155)</f>
        <v/>
      </c>
      <c r="AB2155" s="7">
        <f>IF($D2155="","",AA2155-N2155)</f>
        <v/>
      </c>
      <c r="AF2155" s="7" t="n"/>
      <c r="AI2155" s="11" t="n"/>
      <c r="AK2155">
        <f>IF($D2155="","",IF(COUNTIF($D$2:$D2155,$D2155)=1,1,0))</f>
        <v/>
      </c>
      <c r="AL2155">
        <f>IF($AK2155=1,SUMPRODUCT(--($AO$2:$AO$3001&lt;$AO2155))+1,"")</f>
        <v/>
      </c>
      <c r="AM2155">
        <f>IF($D2155="","",IF(OR($R2155=TRUE(),$R2155="TRUE"),1,0))</f>
        <v/>
      </c>
      <c r="AN2155">
        <f>IF($D2155="","",IF($X2155="Yes",1,0))</f>
        <v/>
      </c>
      <c r="AO2155">
        <f>IF($AK2155=1,IFERROR(IF(VALUE($D2155)&lt;100000000,VALUE($D2155),1000000000),IFERROR(IF(VALUE(MID($D2155,2,20))&lt;100000000,VALUE(MID($D2155,2,20)),1000000000),1000000000))+ROW()/100000,"")</f>
        <v/>
      </c>
    </row>
    <row r="2156">
      <c r="F2156" s="11" t="n"/>
      <c r="N2156" s="7">
        <f>IF($D2156="","",M2156*V2156/100)</f>
        <v/>
      </c>
      <c r="O2156" s="7" t="n"/>
      <c r="U2156" s="7" t="n"/>
      <c r="V2156" s="7" t="n"/>
      <c r="Y2156">
        <f>IF($D2156="","",IF($AN2156=1,0,IF($AM2156=1,Settings!$C$6,Settings!$C$7))*100)</f>
        <v/>
      </c>
      <c r="Z2156" s="7">
        <f>IF($D2156="","",V2156*Y2156/100)</f>
        <v/>
      </c>
      <c r="AA2156" s="7">
        <f>IF($D2156="","",V2156-Z2156)</f>
        <v/>
      </c>
      <c r="AB2156" s="7">
        <f>IF($D2156="","",AA2156-N2156)</f>
        <v/>
      </c>
      <c r="AF2156" s="7" t="n"/>
      <c r="AI2156" s="11" t="n"/>
      <c r="AK2156">
        <f>IF($D2156="","",IF(COUNTIF($D$2:$D2156,$D2156)=1,1,0))</f>
        <v/>
      </c>
      <c r="AL2156">
        <f>IF($AK2156=1,SUMPRODUCT(--($AO$2:$AO$3001&lt;$AO2156))+1,"")</f>
        <v/>
      </c>
      <c r="AM2156">
        <f>IF($D2156="","",IF(OR($R2156=TRUE(),$R2156="TRUE"),1,0))</f>
        <v/>
      </c>
      <c r="AN2156">
        <f>IF($D2156="","",IF($X2156="Yes",1,0))</f>
        <v/>
      </c>
      <c r="AO2156">
        <f>IF($AK2156=1,IFERROR(IF(VALUE($D2156)&lt;100000000,VALUE($D2156),1000000000),IFERROR(IF(VALUE(MID($D2156,2,20))&lt;100000000,VALUE(MID($D2156,2,20)),1000000000),1000000000))+ROW()/100000,"")</f>
        <v/>
      </c>
    </row>
    <row r="2157">
      <c r="F2157" s="11" t="n"/>
      <c r="N2157" s="7">
        <f>IF($D2157="","",M2157*V2157/100)</f>
        <v/>
      </c>
      <c r="O2157" s="7" t="n"/>
      <c r="U2157" s="7" t="n"/>
      <c r="V2157" s="7" t="n"/>
      <c r="Y2157">
        <f>IF($D2157="","",IF($AN2157=1,0,IF($AM2157=1,Settings!$C$6,Settings!$C$7))*100)</f>
        <v/>
      </c>
      <c r="Z2157" s="7">
        <f>IF($D2157="","",V2157*Y2157/100)</f>
        <v/>
      </c>
      <c r="AA2157" s="7">
        <f>IF($D2157="","",V2157-Z2157)</f>
        <v/>
      </c>
      <c r="AB2157" s="7">
        <f>IF($D2157="","",AA2157-N2157)</f>
        <v/>
      </c>
      <c r="AF2157" s="7" t="n"/>
      <c r="AI2157" s="11" t="n"/>
      <c r="AK2157">
        <f>IF($D2157="","",IF(COUNTIF($D$2:$D2157,$D2157)=1,1,0))</f>
        <v/>
      </c>
      <c r="AL2157">
        <f>IF($AK2157=1,SUMPRODUCT(--($AO$2:$AO$3001&lt;$AO2157))+1,"")</f>
        <v/>
      </c>
      <c r="AM2157">
        <f>IF($D2157="","",IF(OR($R2157=TRUE(),$R2157="TRUE"),1,0))</f>
        <v/>
      </c>
      <c r="AN2157">
        <f>IF($D2157="","",IF($X2157="Yes",1,0))</f>
        <v/>
      </c>
      <c r="AO2157">
        <f>IF($AK2157=1,IFERROR(IF(VALUE($D2157)&lt;100000000,VALUE($D2157),1000000000),IFERROR(IF(VALUE(MID($D2157,2,20))&lt;100000000,VALUE(MID($D2157,2,20)),1000000000),1000000000))+ROW()/100000,"")</f>
        <v/>
      </c>
    </row>
    <row r="2158">
      <c r="F2158" s="11" t="n"/>
      <c r="N2158" s="7">
        <f>IF($D2158="","",M2158*V2158/100)</f>
        <v/>
      </c>
      <c r="O2158" s="7" t="n"/>
      <c r="U2158" s="7" t="n"/>
      <c r="V2158" s="7" t="n"/>
      <c r="Y2158">
        <f>IF($D2158="","",IF($AN2158=1,0,IF($AM2158=1,Settings!$C$6,Settings!$C$7))*100)</f>
        <v/>
      </c>
      <c r="Z2158" s="7">
        <f>IF($D2158="","",V2158*Y2158/100)</f>
        <v/>
      </c>
      <c r="AA2158" s="7">
        <f>IF($D2158="","",V2158-Z2158)</f>
        <v/>
      </c>
      <c r="AB2158" s="7">
        <f>IF($D2158="","",AA2158-N2158)</f>
        <v/>
      </c>
      <c r="AF2158" s="7" t="n"/>
      <c r="AI2158" s="11" t="n"/>
      <c r="AK2158">
        <f>IF($D2158="","",IF(COUNTIF($D$2:$D2158,$D2158)=1,1,0))</f>
        <v/>
      </c>
      <c r="AL2158">
        <f>IF($AK2158=1,SUMPRODUCT(--($AO$2:$AO$3001&lt;$AO2158))+1,"")</f>
        <v/>
      </c>
      <c r="AM2158">
        <f>IF($D2158="","",IF(OR($R2158=TRUE(),$R2158="TRUE"),1,0))</f>
        <v/>
      </c>
      <c r="AN2158">
        <f>IF($D2158="","",IF($X2158="Yes",1,0))</f>
        <v/>
      </c>
      <c r="AO2158">
        <f>IF($AK2158=1,IFERROR(IF(VALUE($D2158)&lt;100000000,VALUE($D2158),1000000000),IFERROR(IF(VALUE(MID($D2158,2,20))&lt;100000000,VALUE(MID($D2158,2,20)),1000000000),1000000000))+ROW()/100000,"")</f>
        <v/>
      </c>
    </row>
    <row r="2159">
      <c r="F2159" s="11" t="n"/>
      <c r="N2159" s="7">
        <f>IF($D2159="","",M2159*V2159/100)</f>
        <v/>
      </c>
      <c r="O2159" s="7" t="n"/>
      <c r="U2159" s="7" t="n"/>
      <c r="V2159" s="7" t="n"/>
      <c r="Y2159">
        <f>IF($D2159="","",IF($AN2159=1,0,IF($AM2159=1,Settings!$C$6,Settings!$C$7))*100)</f>
        <v/>
      </c>
      <c r="Z2159" s="7">
        <f>IF($D2159="","",V2159*Y2159/100)</f>
        <v/>
      </c>
      <c r="AA2159" s="7">
        <f>IF($D2159="","",V2159-Z2159)</f>
        <v/>
      </c>
      <c r="AB2159" s="7">
        <f>IF($D2159="","",AA2159-N2159)</f>
        <v/>
      </c>
      <c r="AF2159" s="7" t="n"/>
      <c r="AI2159" s="11" t="n"/>
      <c r="AK2159">
        <f>IF($D2159="","",IF(COUNTIF($D$2:$D2159,$D2159)=1,1,0))</f>
        <v/>
      </c>
      <c r="AL2159">
        <f>IF($AK2159=1,SUMPRODUCT(--($AO$2:$AO$3001&lt;$AO2159))+1,"")</f>
        <v/>
      </c>
      <c r="AM2159">
        <f>IF($D2159="","",IF(OR($R2159=TRUE(),$R2159="TRUE"),1,0))</f>
        <v/>
      </c>
      <c r="AN2159">
        <f>IF($D2159="","",IF($X2159="Yes",1,0))</f>
        <v/>
      </c>
      <c r="AO2159">
        <f>IF($AK2159=1,IFERROR(IF(VALUE($D2159)&lt;100000000,VALUE($D2159),1000000000),IFERROR(IF(VALUE(MID($D2159,2,20))&lt;100000000,VALUE(MID($D2159,2,20)),1000000000),1000000000))+ROW()/100000,"")</f>
        <v/>
      </c>
    </row>
    <row r="2160">
      <c r="F2160" s="11" t="n"/>
      <c r="N2160" s="7">
        <f>IF($D2160="","",M2160*V2160/100)</f>
        <v/>
      </c>
      <c r="O2160" s="7" t="n"/>
      <c r="U2160" s="7" t="n"/>
      <c r="V2160" s="7" t="n"/>
      <c r="Y2160">
        <f>IF($D2160="","",IF($AN2160=1,0,IF($AM2160=1,Settings!$C$6,Settings!$C$7))*100)</f>
        <v/>
      </c>
      <c r="Z2160" s="7">
        <f>IF($D2160="","",V2160*Y2160/100)</f>
        <v/>
      </c>
      <c r="AA2160" s="7">
        <f>IF($D2160="","",V2160-Z2160)</f>
        <v/>
      </c>
      <c r="AB2160" s="7">
        <f>IF($D2160="","",AA2160-N2160)</f>
        <v/>
      </c>
      <c r="AF2160" s="7" t="n"/>
      <c r="AI2160" s="11" t="n"/>
      <c r="AK2160">
        <f>IF($D2160="","",IF(COUNTIF($D$2:$D2160,$D2160)=1,1,0))</f>
        <v/>
      </c>
      <c r="AL2160">
        <f>IF($AK2160=1,SUMPRODUCT(--($AO$2:$AO$3001&lt;$AO2160))+1,"")</f>
        <v/>
      </c>
      <c r="AM2160">
        <f>IF($D2160="","",IF(OR($R2160=TRUE(),$R2160="TRUE"),1,0))</f>
        <v/>
      </c>
      <c r="AN2160">
        <f>IF($D2160="","",IF($X2160="Yes",1,0))</f>
        <v/>
      </c>
      <c r="AO2160">
        <f>IF($AK2160=1,IFERROR(IF(VALUE($D2160)&lt;100000000,VALUE($D2160),1000000000),IFERROR(IF(VALUE(MID($D2160,2,20))&lt;100000000,VALUE(MID($D2160,2,20)),1000000000),1000000000))+ROW()/100000,"")</f>
        <v/>
      </c>
    </row>
    <row r="2161">
      <c r="F2161" s="11" t="n"/>
      <c r="N2161" s="7">
        <f>IF($D2161="","",M2161*V2161/100)</f>
        <v/>
      </c>
      <c r="O2161" s="7" t="n"/>
      <c r="U2161" s="7" t="n"/>
      <c r="V2161" s="7" t="n"/>
      <c r="Y2161">
        <f>IF($D2161="","",IF($AN2161=1,0,IF($AM2161=1,Settings!$C$6,Settings!$C$7))*100)</f>
        <v/>
      </c>
      <c r="Z2161" s="7">
        <f>IF($D2161="","",V2161*Y2161/100)</f>
        <v/>
      </c>
      <c r="AA2161" s="7">
        <f>IF($D2161="","",V2161-Z2161)</f>
        <v/>
      </c>
      <c r="AB2161" s="7">
        <f>IF($D2161="","",AA2161-N2161)</f>
        <v/>
      </c>
      <c r="AF2161" s="7" t="n"/>
      <c r="AI2161" s="11" t="n"/>
      <c r="AK2161">
        <f>IF($D2161="","",IF(COUNTIF($D$2:$D2161,$D2161)=1,1,0))</f>
        <v/>
      </c>
      <c r="AL2161">
        <f>IF($AK2161=1,SUMPRODUCT(--($AO$2:$AO$3001&lt;$AO2161))+1,"")</f>
        <v/>
      </c>
      <c r="AM2161">
        <f>IF($D2161="","",IF(OR($R2161=TRUE(),$R2161="TRUE"),1,0))</f>
        <v/>
      </c>
      <c r="AN2161">
        <f>IF($D2161="","",IF($X2161="Yes",1,0))</f>
        <v/>
      </c>
      <c r="AO2161">
        <f>IF($AK2161=1,IFERROR(IF(VALUE($D2161)&lt;100000000,VALUE($D2161),1000000000),IFERROR(IF(VALUE(MID($D2161,2,20))&lt;100000000,VALUE(MID($D2161,2,20)),1000000000),1000000000))+ROW()/100000,"")</f>
        <v/>
      </c>
    </row>
    <row r="2162">
      <c r="F2162" s="11" t="n"/>
      <c r="N2162" s="7">
        <f>IF($D2162="","",M2162*V2162/100)</f>
        <v/>
      </c>
      <c r="O2162" s="7" t="n"/>
      <c r="U2162" s="7" t="n"/>
      <c r="V2162" s="7" t="n"/>
      <c r="Y2162">
        <f>IF($D2162="","",IF($AN2162=1,0,IF($AM2162=1,Settings!$C$6,Settings!$C$7))*100)</f>
        <v/>
      </c>
      <c r="Z2162" s="7">
        <f>IF($D2162="","",V2162*Y2162/100)</f>
        <v/>
      </c>
      <c r="AA2162" s="7">
        <f>IF($D2162="","",V2162-Z2162)</f>
        <v/>
      </c>
      <c r="AB2162" s="7">
        <f>IF($D2162="","",AA2162-N2162)</f>
        <v/>
      </c>
      <c r="AF2162" s="7" t="n"/>
      <c r="AI2162" s="11" t="n"/>
      <c r="AK2162">
        <f>IF($D2162="","",IF(COUNTIF($D$2:$D2162,$D2162)=1,1,0))</f>
        <v/>
      </c>
      <c r="AL2162">
        <f>IF($AK2162=1,SUMPRODUCT(--($AO$2:$AO$3001&lt;$AO2162))+1,"")</f>
        <v/>
      </c>
      <c r="AM2162">
        <f>IF($D2162="","",IF(OR($R2162=TRUE(),$R2162="TRUE"),1,0))</f>
        <v/>
      </c>
      <c r="AN2162">
        <f>IF($D2162="","",IF($X2162="Yes",1,0))</f>
        <v/>
      </c>
      <c r="AO2162">
        <f>IF($AK2162=1,IFERROR(IF(VALUE($D2162)&lt;100000000,VALUE($D2162),1000000000),IFERROR(IF(VALUE(MID($D2162,2,20))&lt;100000000,VALUE(MID($D2162,2,20)),1000000000),1000000000))+ROW()/100000,"")</f>
        <v/>
      </c>
    </row>
    <row r="2163">
      <c r="F2163" s="11" t="n"/>
      <c r="N2163" s="7">
        <f>IF($D2163="","",M2163*V2163/100)</f>
        <v/>
      </c>
      <c r="O2163" s="7" t="n"/>
      <c r="U2163" s="7" t="n"/>
      <c r="V2163" s="7" t="n"/>
      <c r="Y2163">
        <f>IF($D2163="","",IF($AN2163=1,0,IF($AM2163=1,Settings!$C$6,Settings!$C$7))*100)</f>
        <v/>
      </c>
      <c r="Z2163" s="7">
        <f>IF($D2163="","",V2163*Y2163/100)</f>
        <v/>
      </c>
      <c r="AA2163" s="7">
        <f>IF($D2163="","",V2163-Z2163)</f>
        <v/>
      </c>
      <c r="AB2163" s="7">
        <f>IF($D2163="","",AA2163-N2163)</f>
        <v/>
      </c>
      <c r="AF2163" s="7" t="n"/>
      <c r="AI2163" s="11" t="n"/>
      <c r="AK2163">
        <f>IF($D2163="","",IF(COUNTIF($D$2:$D2163,$D2163)=1,1,0))</f>
        <v/>
      </c>
      <c r="AL2163">
        <f>IF($AK2163=1,SUMPRODUCT(--($AO$2:$AO$3001&lt;$AO2163))+1,"")</f>
        <v/>
      </c>
      <c r="AM2163">
        <f>IF($D2163="","",IF(OR($R2163=TRUE(),$R2163="TRUE"),1,0))</f>
        <v/>
      </c>
      <c r="AN2163">
        <f>IF($D2163="","",IF($X2163="Yes",1,0))</f>
        <v/>
      </c>
      <c r="AO2163">
        <f>IF($AK2163=1,IFERROR(IF(VALUE($D2163)&lt;100000000,VALUE($D2163),1000000000),IFERROR(IF(VALUE(MID($D2163,2,20))&lt;100000000,VALUE(MID($D2163,2,20)),1000000000),1000000000))+ROW()/100000,"")</f>
        <v/>
      </c>
    </row>
    <row r="2164">
      <c r="F2164" s="11" t="n"/>
      <c r="N2164" s="7">
        <f>IF($D2164="","",M2164*V2164/100)</f>
        <v/>
      </c>
      <c r="O2164" s="7" t="n"/>
      <c r="U2164" s="7" t="n"/>
      <c r="V2164" s="7" t="n"/>
      <c r="Y2164">
        <f>IF($D2164="","",IF($AN2164=1,0,IF($AM2164=1,Settings!$C$6,Settings!$C$7))*100)</f>
        <v/>
      </c>
      <c r="Z2164" s="7">
        <f>IF($D2164="","",V2164*Y2164/100)</f>
        <v/>
      </c>
      <c r="AA2164" s="7">
        <f>IF($D2164="","",V2164-Z2164)</f>
        <v/>
      </c>
      <c r="AB2164" s="7">
        <f>IF($D2164="","",AA2164-N2164)</f>
        <v/>
      </c>
      <c r="AF2164" s="7" t="n"/>
      <c r="AI2164" s="11" t="n"/>
      <c r="AK2164">
        <f>IF($D2164="","",IF(COUNTIF($D$2:$D2164,$D2164)=1,1,0))</f>
        <v/>
      </c>
      <c r="AL2164">
        <f>IF($AK2164=1,SUMPRODUCT(--($AO$2:$AO$3001&lt;$AO2164))+1,"")</f>
        <v/>
      </c>
      <c r="AM2164">
        <f>IF($D2164="","",IF(OR($R2164=TRUE(),$R2164="TRUE"),1,0))</f>
        <v/>
      </c>
      <c r="AN2164">
        <f>IF($D2164="","",IF($X2164="Yes",1,0))</f>
        <v/>
      </c>
      <c r="AO2164">
        <f>IF($AK2164=1,IFERROR(IF(VALUE($D2164)&lt;100000000,VALUE($D2164),1000000000),IFERROR(IF(VALUE(MID($D2164,2,20))&lt;100000000,VALUE(MID($D2164,2,20)),1000000000),1000000000))+ROW()/100000,"")</f>
        <v/>
      </c>
    </row>
    <row r="2165">
      <c r="F2165" s="11" t="n"/>
      <c r="N2165" s="7">
        <f>IF($D2165="","",M2165*V2165/100)</f>
        <v/>
      </c>
      <c r="O2165" s="7" t="n"/>
      <c r="U2165" s="7" t="n"/>
      <c r="V2165" s="7" t="n"/>
      <c r="Y2165">
        <f>IF($D2165="","",IF($AN2165=1,0,IF($AM2165=1,Settings!$C$6,Settings!$C$7))*100)</f>
        <v/>
      </c>
      <c r="Z2165" s="7">
        <f>IF($D2165="","",V2165*Y2165/100)</f>
        <v/>
      </c>
      <c r="AA2165" s="7">
        <f>IF($D2165="","",V2165-Z2165)</f>
        <v/>
      </c>
      <c r="AB2165" s="7">
        <f>IF($D2165="","",AA2165-N2165)</f>
        <v/>
      </c>
      <c r="AF2165" s="7" t="n"/>
      <c r="AI2165" s="11" t="n"/>
      <c r="AK2165">
        <f>IF($D2165="","",IF(COUNTIF($D$2:$D2165,$D2165)=1,1,0))</f>
        <v/>
      </c>
      <c r="AL2165">
        <f>IF($AK2165=1,SUMPRODUCT(--($AO$2:$AO$3001&lt;$AO2165))+1,"")</f>
        <v/>
      </c>
      <c r="AM2165">
        <f>IF($D2165="","",IF(OR($R2165=TRUE(),$R2165="TRUE"),1,0))</f>
        <v/>
      </c>
      <c r="AN2165">
        <f>IF($D2165="","",IF($X2165="Yes",1,0))</f>
        <v/>
      </c>
      <c r="AO2165">
        <f>IF($AK2165=1,IFERROR(IF(VALUE($D2165)&lt;100000000,VALUE($D2165),1000000000),IFERROR(IF(VALUE(MID($D2165,2,20))&lt;100000000,VALUE(MID($D2165,2,20)),1000000000),1000000000))+ROW()/100000,"")</f>
        <v/>
      </c>
    </row>
    <row r="2166">
      <c r="F2166" s="11" t="n"/>
      <c r="N2166" s="7">
        <f>IF($D2166="","",M2166*V2166/100)</f>
        <v/>
      </c>
      <c r="O2166" s="7" t="n"/>
      <c r="U2166" s="7" t="n"/>
      <c r="V2166" s="7" t="n"/>
      <c r="Y2166">
        <f>IF($D2166="","",IF($AN2166=1,0,IF($AM2166=1,Settings!$C$6,Settings!$C$7))*100)</f>
        <v/>
      </c>
      <c r="Z2166" s="7">
        <f>IF($D2166="","",V2166*Y2166/100)</f>
        <v/>
      </c>
      <c r="AA2166" s="7">
        <f>IF($D2166="","",V2166-Z2166)</f>
        <v/>
      </c>
      <c r="AB2166" s="7">
        <f>IF($D2166="","",AA2166-N2166)</f>
        <v/>
      </c>
      <c r="AF2166" s="7" t="n"/>
      <c r="AI2166" s="11" t="n"/>
      <c r="AK2166">
        <f>IF($D2166="","",IF(COUNTIF($D$2:$D2166,$D2166)=1,1,0))</f>
        <v/>
      </c>
      <c r="AL2166">
        <f>IF($AK2166=1,SUMPRODUCT(--($AO$2:$AO$3001&lt;$AO2166))+1,"")</f>
        <v/>
      </c>
      <c r="AM2166">
        <f>IF($D2166="","",IF(OR($R2166=TRUE(),$R2166="TRUE"),1,0))</f>
        <v/>
      </c>
      <c r="AN2166">
        <f>IF($D2166="","",IF($X2166="Yes",1,0))</f>
        <v/>
      </c>
      <c r="AO2166">
        <f>IF($AK2166=1,IFERROR(IF(VALUE($D2166)&lt;100000000,VALUE($D2166),1000000000),IFERROR(IF(VALUE(MID($D2166,2,20))&lt;100000000,VALUE(MID($D2166,2,20)),1000000000),1000000000))+ROW()/100000,"")</f>
        <v/>
      </c>
    </row>
    <row r="2167">
      <c r="F2167" s="11" t="n"/>
      <c r="N2167" s="7">
        <f>IF($D2167="","",M2167*V2167/100)</f>
        <v/>
      </c>
      <c r="O2167" s="7" t="n"/>
      <c r="U2167" s="7" t="n"/>
      <c r="V2167" s="7" t="n"/>
      <c r="Y2167">
        <f>IF($D2167="","",IF($AN2167=1,0,IF($AM2167=1,Settings!$C$6,Settings!$C$7))*100)</f>
        <v/>
      </c>
      <c r="Z2167" s="7">
        <f>IF($D2167="","",V2167*Y2167/100)</f>
        <v/>
      </c>
      <c r="AA2167" s="7">
        <f>IF($D2167="","",V2167-Z2167)</f>
        <v/>
      </c>
      <c r="AB2167" s="7">
        <f>IF($D2167="","",AA2167-N2167)</f>
        <v/>
      </c>
      <c r="AF2167" s="7" t="n"/>
      <c r="AI2167" s="11" t="n"/>
      <c r="AK2167">
        <f>IF($D2167="","",IF(COUNTIF($D$2:$D2167,$D2167)=1,1,0))</f>
        <v/>
      </c>
      <c r="AL2167">
        <f>IF($AK2167=1,SUMPRODUCT(--($AO$2:$AO$3001&lt;$AO2167))+1,"")</f>
        <v/>
      </c>
      <c r="AM2167">
        <f>IF($D2167="","",IF(OR($R2167=TRUE(),$R2167="TRUE"),1,0))</f>
        <v/>
      </c>
      <c r="AN2167">
        <f>IF($D2167="","",IF($X2167="Yes",1,0))</f>
        <v/>
      </c>
      <c r="AO2167">
        <f>IF($AK2167=1,IFERROR(IF(VALUE($D2167)&lt;100000000,VALUE($D2167),1000000000),IFERROR(IF(VALUE(MID($D2167,2,20))&lt;100000000,VALUE(MID($D2167,2,20)),1000000000),1000000000))+ROW()/100000,"")</f>
        <v/>
      </c>
    </row>
    <row r="2168">
      <c r="F2168" s="11" t="n"/>
      <c r="N2168" s="7">
        <f>IF($D2168="","",M2168*V2168/100)</f>
        <v/>
      </c>
      <c r="O2168" s="7" t="n"/>
      <c r="U2168" s="7" t="n"/>
      <c r="V2168" s="7" t="n"/>
      <c r="Y2168">
        <f>IF($D2168="","",IF($AN2168=1,0,IF($AM2168=1,Settings!$C$6,Settings!$C$7))*100)</f>
        <v/>
      </c>
      <c r="Z2168" s="7">
        <f>IF($D2168="","",V2168*Y2168/100)</f>
        <v/>
      </c>
      <c r="AA2168" s="7">
        <f>IF($D2168="","",V2168-Z2168)</f>
        <v/>
      </c>
      <c r="AB2168" s="7">
        <f>IF($D2168="","",AA2168-N2168)</f>
        <v/>
      </c>
      <c r="AF2168" s="7" t="n"/>
      <c r="AI2168" s="11" t="n"/>
      <c r="AK2168">
        <f>IF($D2168="","",IF(COUNTIF($D$2:$D2168,$D2168)=1,1,0))</f>
        <v/>
      </c>
      <c r="AL2168">
        <f>IF($AK2168=1,SUMPRODUCT(--($AO$2:$AO$3001&lt;$AO2168))+1,"")</f>
        <v/>
      </c>
      <c r="AM2168">
        <f>IF($D2168="","",IF(OR($R2168=TRUE(),$R2168="TRUE"),1,0))</f>
        <v/>
      </c>
      <c r="AN2168">
        <f>IF($D2168="","",IF($X2168="Yes",1,0))</f>
        <v/>
      </c>
      <c r="AO2168">
        <f>IF($AK2168=1,IFERROR(IF(VALUE($D2168)&lt;100000000,VALUE($D2168),1000000000),IFERROR(IF(VALUE(MID($D2168,2,20))&lt;100000000,VALUE(MID($D2168,2,20)),1000000000),1000000000))+ROW()/100000,"")</f>
        <v/>
      </c>
    </row>
    <row r="2169">
      <c r="F2169" s="11" t="n"/>
      <c r="N2169" s="7">
        <f>IF($D2169="","",M2169*V2169/100)</f>
        <v/>
      </c>
      <c r="O2169" s="7" t="n"/>
      <c r="U2169" s="7" t="n"/>
      <c r="V2169" s="7" t="n"/>
      <c r="Y2169">
        <f>IF($D2169="","",IF($AN2169=1,0,IF($AM2169=1,Settings!$C$6,Settings!$C$7))*100)</f>
        <v/>
      </c>
      <c r="Z2169" s="7">
        <f>IF($D2169="","",V2169*Y2169/100)</f>
        <v/>
      </c>
      <c r="AA2169" s="7">
        <f>IF($D2169="","",V2169-Z2169)</f>
        <v/>
      </c>
      <c r="AB2169" s="7">
        <f>IF($D2169="","",AA2169-N2169)</f>
        <v/>
      </c>
      <c r="AF2169" s="7" t="n"/>
      <c r="AI2169" s="11" t="n"/>
      <c r="AK2169">
        <f>IF($D2169="","",IF(COUNTIF($D$2:$D2169,$D2169)=1,1,0))</f>
        <v/>
      </c>
      <c r="AL2169">
        <f>IF($AK2169=1,SUMPRODUCT(--($AO$2:$AO$3001&lt;$AO2169))+1,"")</f>
        <v/>
      </c>
      <c r="AM2169">
        <f>IF($D2169="","",IF(OR($R2169=TRUE(),$R2169="TRUE"),1,0))</f>
        <v/>
      </c>
      <c r="AN2169">
        <f>IF($D2169="","",IF($X2169="Yes",1,0))</f>
        <v/>
      </c>
      <c r="AO2169">
        <f>IF($AK2169=1,IFERROR(IF(VALUE($D2169)&lt;100000000,VALUE($D2169),1000000000),IFERROR(IF(VALUE(MID($D2169,2,20))&lt;100000000,VALUE(MID($D2169,2,20)),1000000000),1000000000))+ROW()/100000,"")</f>
        <v/>
      </c>
    </row>
    <row r="2170">
      <c r="F2170" s="11" t="n"/>
      <c r="N2170" s="7">
        <f>IF($D2170="","",M2170*V2170/100)</f>
        <v/>
      </c>
      <c r="O2170" s="7" t="n"/>
      <c r="U2170" s="7" t="n"/>
      <c r="V2170" s="7" t="n"/>
      <c r="Y2170">
        <f>IF($D2170="","",IF($AN2170=1,0,IF($AM2170=1,Settings!$C$6,Settings!$C$7))*100)</f>
        <v/>
      </c>
      <c r="Z2170" s="7">
        <f>IF($D2170="","",V2170*Y2170/100)</f>
        <v/>
      </c>
      <c r="AA2170" s="7">
        <f>IF($D2170="","",V2170-Z2170)</f>
        <v/>
      </c>
      <c r="AB2170" s="7">
        <f>IF($D2170="","",AA2170-N2170)</f>
        <v/>
      </c>
      <c r="AF2170" s="7" t="n"/>
      <c r="AI2170" s="11" t="n"/>
      <c r="AK2170">
        <f>IF($D2170="","",IF(COUNTIF($D$2:$D2170,$D2170)=1,1,0))</f>
        <v/>
      </c>
      <c r="AL2170">
        <f>IF($AK2170=1,SUMPRODUCT(--($AO$2:$AO$3001&lt;$AO2170))+1,"")</f>
        <v/>
      </c>
      <c r="AM2170">
        <f>IF($D2170="","",IF(OR($R2170=TRUE(),$R2170="TRUE"),1,0))</f>
        <v/>
      </c>
      <c r="AN2170">
        <f>IF($D2170="","",IF($X2170="Yes",1,0))</f>
        <v/>
      </c>
      <c r="AO2170">
        <f>IF($AK2170=1,IFERROR(IF(VALUE($D2170)&lt;100000000,VALUE($D2170),1000000000),IFERROR(IF(VALUE(MID($D2170,2,20))&lt;100000000,VALUE(MID($D2170,2,20)),1000000000),1000000000))+ROW()/100000,"")</f>
        <v/>
      </c>
    </row>
    <row r="2171">
      <c r="F2171" s="11" t="n"/>
      <c r="N2171" s="7">
        <f>IF($D2171="","",M2171*V2171/100)</f>
        <v/>
      </c>
      <c r="O2171" s="7" t="n"/>
      <c r="U2171" s="7" t="n"/>
      <c r="V2171" s="7" t="n"/>
      <c r="Y2171">
        <f>IF($D2171="","",IF($AN2171=1,0,IF($AM2171=1,Settings!$C$6,Settings!$C$7))*100)</f>
        <v/>
      </c>
      <c r="Z2171" s="7">
        <f>IF($D2171="","",V2171*Y2171/100)</f>
        <v/>
      </c>
      <c r="AA2171" s="7">
        <f>IF($D2171="","",V2171-Z2171)</f>
        <v/>
      </c>
      <c r="AB2171" s="7">
        <f>IF($D2171="","",AA2171-N2171)</f>
        <v/>
      </c>
      <c r="AF2171" s="7" t="n"/>
      <c r="AI2171" s="11" t="n"/>
      <c r="AK2171">
        <f>IF($D2171="","",IF(COUNTIF($D$2:$D2171,$D2171)=1,1,0))</f>
        <v/>
      </c>
      <c r="AL2171">
        <f>IF($AK2171=1,SUMPRODUCT(--($AO$2:$AO$3001&lt;$AO2171))+1,"")</f>
        <v/>
      </c>
      <c r="AM2171">
        <f>IF($D2171="","",IF(OR($R2171=TRUE(),$R2171="TRUE"),1,0))</f>
        <v/>
      </c>
      <c r="AN2171">
        <f>IF($D2171="","",IF($X2171="Yes",1,0))</f>
        <v/>
      </c>
      <c r="AO2171">
        <f>IF($AK2171=1,IFERROR(IF(VALUE($D2171)&lt;100000000,VALUE($D2171),1000000000),IFERROR(IF(VALUE(MID($D2171,2,20))&lt;100000000,VALUE(MID($D2171,2,20)),1000000000),1000000000))+ROW()/100000,"")</f>
        <v/>
      </c>
    </row>
    <row r="2172">
      <c r="F2172" s="11" t="n"/>
      <c r="N2172" s="7">
        <f>IF($D2172="","",M2172*V2172/100)</f>
        <v/>
      </c>
      <c r="O2172" s="7" t="n"/>
      <c r="U2172" s="7" t="n"/>
      <c r="V2172" s="7" t="n"/>
      <c r="Y2172">
        <f>IF($D2172="","",IF($AN2172=1,0,IF($AM2172=1,Settings!$C$6,Settings!$C$7))*100)</f>
        <v/>
      </c>
      <c r="Z2172" s="7">
        <f>IF($D2172="","",V2172*Y2172/100)</f>
        <v/>
      </c>
      <c r="AA2172" s="7">
        <f>IF($D2172="","",V2172-Z2172)</f>
        <v/>
      </c>
      <c r="AB2172" s="7">
        <f>IF($D2172="","",AA2172-N2172)</f>
        <v/>
      </c>
      <c r="AF2172" s="7" t="n"/>
      <c r="AI2172" s="11" t="n"/>
      <c r="AK2172">
        <f>IF($D2172="","",IF(COUNTIF($D$2:$D2172,$D2172)=1,1,0))</f>
        <v/>
      </c>
      <c r="AL2172">
        <f>IF($AK2172=1,SUMPRODUCT(--($AO$2:$AO$3001&lt;$AO2172))+1,"")</f>
        <v/>
      </c>
      <c r="AM2172">
        <f>IF($D2172="","",IF(OR($R2172=TRUE(),$R2172="TRUE"),1,0))</f>
        <v/>
      </c>
      <c r="AN2172">
        <f>IF($D2172="","",IF($X2172="Yes",1,0))</f>
        <v/>
      </c>
      <c r="AO2172">
        <f>IF($AK2172=1,IFERROR(IF(VALUE($D2172)&lt;100000000,VALUE($D2172),1000000000),IFERROR(IF(VALUE(MID($D2172,2,20))&lt;100000000,VALUE(MID($D2172,2,20)),1000000000),1000000000))+ROW()/100000,"")</f>
        <v/>
      </c>
    </row>
    <row r="2173">
      <c r="F2173" s="11" t="n"/>
      <c r="N2173" s="7">
        <f>IF($D2173="","",M2173*V2173/100)</f>
        <v/>
      </c>
      <c r="O2173" s="7" t="n"/>
      <c r="U2173" s="7" t="n"/>
      <c r="V2173" s="7" t="n"/>
      <c r="Y2173">
        <f>IF($D2173="","",IF($AN2173=1,0,IF($AM2173=1,Settings!$C$6,Settings!$C$7))*100)</f>
        <v/>
      </c>
      <c r="Z2173" s="7">
        <f>IF($D2173="","",V2173*Y2173/100)</f>
        <v/>
      </c>
      <c r="AA2173" s="7">
        <f>IF($D2173="","",V2173-Z2173)</f>
        <v/>
      </c>
      <c r="AB2173" s="7">
        <f>IF($D2173="","",AA2173-N2173)</f>
        <v/>
      </c>
      <c r="AF2173" s="7" t="n"/>
      <c r="AI2173" s="11" t="n"/>
      <c r="AK2173">
        <f>IF($D2173="","",IF(COUNTIF($D$2:$D2173,$D2173)=1,1,0))</f>
        <v/>
      </c>
      <c r="AL2173">
        <f>IF($AK2173=1,SUMPRODUCT(--($AO$2:$AO$3001&lt;$AO2173))+1,"")</f>
        <v/>
      </c>
      <c r="AM2173">
        <f>IF($D2173="","",IF(OR($R2173=TRUE(),$R2173="TRUE"),1,0))</f>
        <v/>
      </c>
      <c r="AN2173">
        <f>IF($D2173="","",IF($X2173="Yes",1,0))</f>
        <v/>
      </c>
      <c r="AO2173">
        <f>IF($AK2173=1,IFERROR(IF(VALUE($D2173)&lt;100000000,VALUE($D2173),1000000000),IFERROR(IF(VALUE(MID($D2173,2,20))&lt;100000000,VALUE(MID($D2173,2,20)),1000000000),1000000000))+ROW()/100000,"")</f>
        <v/>
      </c>
    </row>
    <row r="2174">
      <c r="F2174" s="11" t="n"/>
      <c r="N2174" s="7">
        <f>IF($D2174="","",M2174*V2174/100)</f>
        <v/>
      </c>
      <c r="O2174" s="7" t="n"/>
      <c r="U2174" s="7" t="n"/>
      <c r="V2174" s="7" t="n"/>
      <c r="Y2174">
        <f>IF($D2174="","",IF($AN2174=1,0,IF($AM2174=1,Settings!$C$6,Settings!$C$7))*100)</f>
        <v/>
      </c>
      <c r="Z2174" s="7">
        <f>IF($D2174="","",V2174*Y2174/100)</f>
        <v/>
      </c>
      <c r="AA2174" s="7">
        <f>IF($D2174="","",V2174-Z2174)</f>
        <v/>
      </c>
      <c r="AB2174" s="7">
        <f>IF($D2174="","",AA2174-N2174)</f>
        <v/>
      </c>
      <c r="AF2174" s="7" t="n"/>
      <c r="AI2174" s="11" t="n"/>
      <c r="AK2174">
        <f>IF($D2174="","",IF(COUNTIF($D$2:$D2174,$D2174)=1,1,0))</f>
        <v/>
      </c>
      <c r="AL2174">
        <f>IF($AK2174=1,SUMPRODUCT(--($AO$2:$AO$3001&lt;$AO2174))+1,"")</f>
        <v/>
      </c>
      <c r="AM2174">
        <f>IF($D2174="","",IF(OR($R2174=TRUE(),$R2174="TRUE"),1,0))</f>
        <v/>
      </c>
      <c r="AN2174">
        <f>IF($D2174="","",IF($X2174="Yes",1,0))</f>
        <v/>
      </c>
      <c r="AO2174">
        <f>IF($AK2174=1,IFERROR(IF(VALUE($D2174)&lt;100000000,VALUE($D2174),1000000000),IFERROR(IF(VALUE(MID($D2174,2,20))&lt;100000000,VALUE(MID($D2174,2,20)),1000000000),1000000000))+ROW()/100000,"")</f>
        <v/>
      </c>
    </row>
    <row r="2175">
      <c r="F2175" s="11" t="n"/>
      <c r="N2175" s="7">
        <f>IF($D2175="","",M2175*V2175/100)</f>
        <v/>
      </c>
      <c r="O2175" s="7" t="n"/>
      <c r="U2175" s="7" t="n"/>
      <c r="V2175" s="7" t="n"/>
      <c r="Y2175">
        <f>IF($D2175="","",IF($AN2175=1,0,IF($AM2175=1,Settings!$C$6,Settings!$C$7))*100)</f>
        <v/>
      </c>
      <c r="Z2175" s="7">
        <f>IF($D2175="","",V2175*Y2175/100)</f>
        <v/>
      </c>
      <c r="AA2175" s="7">
        <f>IF($D2175="","",V2175-Z2175)</f>
        <v/>
      </c>
      <c r="AB2175" s="7">
        <f>IF($D2175="","",AA2175-N2175)</f>
        <v/>
      </c>
      <c r="AF2175" s="7" t="n"/>
      <c r="AI2175" s="11" t="n"/>
      <c r="AK2175">
        <f>IF($D2175="","",IF(COUNTIF($D$2:$D2175,$D2175)=1,1,0))</f>
        <v/>
      </c>
      <c r="AL2175">
        <f>IF($AK2175=1,SUMPRODUCT(--($AO$2:$AO$3001&lt;$AO2175))+1,"")</f>
        <v/>
      </c>
      <c r="AM2175">
        <f>IF($D2175="","",IF(OR($R2175=TRUE(),$R2175="TRUE"),1,0))</f>
        <v/>
      </c>
      <c r="AN2175">
        <f>IF($D2175="","",IF($X2175="Yes",1,0))</f>
        <v/>
      </c>
      <c r="AO2175">
        <f>IF($AK2175=1,IFERROR(IF(VALUE($D2175)&lt;100000000,VALUE($D2175),1000000000),IFERROR(IF(VALUE(MID($D2175,2,20))&lt;100000000,VALUE(MID($D2175,2,20)),1000000000),1000000000))+ROW()/100000,"")</f>
        <v/>
      </c>
    </row>
    <row r="2176">
      <c r="F2176" s="11" t="n"/>
      <c r="N2176" s="7">
        <f>IF($D2176="","",M2176*V2176/100)</f>
        <v/>
      </c>
      <c r="O2176" s="7" t="n"/>
      <c r="U2176" s="7" t="n"/>
      <c r="V2176" s="7" t="n"/>
      <c r="Y2176">
        <f>IF($D2176="","",IF($AN2176=1,0,IF($AM2176=1,Settings!$C$6,Settings!$C$7))*100)</f>
        <v/>
      </c>
      <c r="Z2176" s="7">
        <f>IF($D2176="","",V2176*Y2176/100)</f>
        <v/>
      </c>
      <c r="AA2176" s="7">
        <f>IF($D2176="","",V2176-Z2176)</f>
        <v/>
      </c>
      <c r="AB2176" s="7">
        <f>IF($D2176="","",AA2176-N2176)</f>
        <v/>
      </c>
      <c r="AF2176" s="7" t="n"/>
      <c r="AI2176" s="11" t="n"/>
      <c r="AK2176">
        <f>IF($D2176="","",IF(COUNTIF($D$2:$D2176,$D2176)=1,1,0))</f>
        <v/>
      </c>
      <c r="AL2176">
        <f>IF($AK2176=1,SUMPRODUCT(--($AO$2:$AO$3001&lt;$AO2176))+1,"")</f>
        <v/>
      </c>
      <c r="AM2176">
        <f>IF($D2176="","",IF(OR($R2176=TRUE(),$R2176="TRUE"),1,0))</f>
        <v/>
      </c>
      <c r="AN2176">
        <f>IF($D2176="","",IF($X2176="Yes",1,0))</f>
        <v/>
      </c>
      <c r="AO2176">
        <f>IF($AK2176=1,IFERROR(IF(VALUE($D2176)&lt;100000000,VALUE($D2176),1000000000),IFERROR(IF(VALUE(MID($D2176,2,20))&lt;100000000,VALUE(MID($D2176,2,20)),1000000000),1000000000))+ROW()/100000,"")</f>
        <v/>
      </c>
    </row>
    <row r="2177">
      <c r="F2177" s="11" t="n"/>
      <c r="N2177" s="7">
        <f>IF($D2177="","",M2177*V2177/100)</f>
        <v/>
      </c>
      <c r="O2177" s="7" t="n"/>
      <c r="U2177" s="7" t="n"/>
      <c r="V2177" s="7" t="n"/>
      <c r="Y2177">
        <f>IF($D2177="","",IF($AN2177=1,0,IF($AM2177=1,Settings!$C$6,Settings!$C$7))*100)</f>
        <v/>
      </c>
      <c r="Z2177" s="7">
        <f>IF($D2177="","",V2177*Y2177/100)</f>
        <v/>
      </c>
      <c r="AA2177" s="7">
        <f>IF($D2177="","",V2177-Z2177)</f>
        <v/>
      </c>
      <c r="AB2177" s="7">
        <f>IF($D2177="","",AA2177-N2177)</f>
        <v/>
      </c>
      <c r="AF2177" s="7" t="n"/>
      <c r="AI2177" s="11" t="n"/>
      <c r="AK2177">
        <f>IF($D2177="","",IF(COUNTIF($D$2:$D2177,$D2177)=1,1,0))</f>
        <v/>
      </c>
      <c r="AL2177">
        <f>IF($AK2177=1,SUMPRODUCT(--($AO$2:$AO$3001&lt;$AO2177))+1,"")</f>
        <v/>
      </c>
      <c r="AM2177">
        <f>IF($D2177="","",IF(OR($R2177=TRUE(),$R2177="TRUE"),1,0))</f>
        <v/>
      </c>
      <c r="AN2177">
        <f>IF($D2177="","",IF($X2177="Yes",1,0))</f>
        <v/>
      </c>
      <c r="AO2177">
        <f>IF($AK2177=1,IFERROR(IF(VALUE($D2177)&lt;100000000,VALUE($D2177),1000000000),IFERROR(IF(VALUE(MID($D2177,2,20))&lt;100000000,VALUE(MID($D2177,2,20)),1000000000),1000000000))+ROW()/100000,"")</f>
        <v/>
      </c>
    </row>
    <row r="2178">
      <c r="F2178" s="11" t="n"/>
      <c r="N2178" s="7">
        <f>IF($D2178="","",M2178*V2178/100)</f>
        <v/>
      </c>
      <c r="O2178" s="7" t="n"/>
      <c r="U2178" s="7" t="n"/>
      <c r="V2178" s="7" t="n"/>
      <c r="Y2178">
        <f>IF($D2178="","",IF($AN2178=1,0,IF($AM2178=1,Settings!$C$6,Settings!$C$7))*100)</f>
        <v/>
      </c>
      <c r="Z2178" s="7">
        <f>IF($D2178="","",V2178*Y2178/100)</f>
        <v/>
      </c>
      <c r="AA2178" s="7">
        <f>IF($D2178="","",V2178-Z2178)</f>
        <v/>
      </c>
      <c r="AB2178" s="7">
        <f>IF($D2178="","",AA2178-N2178)</f>
        <v/>
      </c>
      <c r="AF2178" s="7" t="n"/>
      <c r="AI2178" s="11" t="n"/>
      <c r="AK2178">
        <f>IF($D2178="","",IF(COUNTIF($D$2:$D2178,$D2178)=1,1,0))</f>
        <v/>
      </c>
      <c r="AL2178">
        <f>IF($AK2178=1,SUMPRODUCT(--($AO$2:$AO$3001&lt;$AO2178))+1,"")</f>
        <v/>
      </c>
      <c r="AM2178">
        <f>IF($D2178="","",IF(OR($R2178=TRUE(),$R2178="TRUE"),1,0))</f>
        <v/>
      </c>
      <c r="AN2178">
        <f>IF($D2178="","",IF($X2178="Yes",1,0))</f>
        <v/>
      </c>
      <c r="AO2178">
        <f>IF($AK2178=1,IFERROR(IF(VALUE($D2178)&lt;100000000,VALUE($D2178),1000000000),IFERROR(IF(VALUE(MID($D2178,2,20))&lt;100000000,VALUE(MID($D2178,2,20)),1000000000),1000000000))+ROW()/100000,"")</f>
        <v/>
      </c>
    </row>
    <row r="2179">
      <c r="F2179" s="11" t="n"/>
      <c r="N2179" s="7">
        <f>IF($D2179="","",M2179*V2179/100)</f>
        <v/>
      </c>
      <c r="O2179" s="7" t="n"/>
      <c r="U2179" s="7" t="n"/>
      <c r="V2179" s="7" t="n"/>
      <c r="Y2179">
        <f>IF($D2179="","",IF($AN2179=1,0,IF($AM2179=1,Settings!$C$6,Settings!$C$7))*100)</f>
        <v/>
      </c>
      <c r="Z2179" s="7">
        <f>IF($D2179="","",V2179*Y2179/100)</f>
        <v/>
      </c>
      <c r="AA2179" s="7">
        <f>IF($D2179="","",V2179-Z2179)</f>
        <v/>
      </c>
      <c r="AB2179" s="7">
        <f>IF($D2179="","",AA2179-N2179)</f>
        <v/>
      </c>
      <c r="AF2179" s="7" t="n"/>
      <c r="AI2179" s="11" t="n"/>
      <c r="AK2179">
        <f>IF($D2179="","",IF(COUNTIF($D$2:$D2179,$D2179)=1,1,0))</f>
        <v/>
      </c>
      <c r="AL2179">
        <f>IF($AK2179=1,SUMPRODUCT(--($AO$2:$AO$3001&lt;$AO2179))+1,"")</f>
        <v/>
      </c>
      <c r="AM2179">
        <f>IF($D2179="","",IF(OR($R2179=TRUE(),$R2179="TRUE"),1,0))</f>
        <v/>
      </c>
      <c r="AN2179">
        <f>IF($D2179="","",IF($X2179="Yes",1,0))</f>
        <v/>
      </c>
      <c r="AO2179">
        <f>IF($AK2179=1,IFERROR(IF(VALUE($D2179)&lt;100000000,VALUE($D2179),1000000000),IFERROR(IF(VALUE(MID($D2179,2,20))&lt;100000000,VALUE(MID($D2179,2,20)),1000000000),1000000000))+ROW()/100000,"")</f>
        <v/>
      </c>
    </row>
    <row r="2180">
      <c r="F2180" s="11" t="n"/>
      <c r="N2180" s="7">
        <f>IF($D2180="","",M2180*V2180/100)</f>
        <v/>
      </c>
      <c r="O2180" s="7" t="n"/>
      <c r="U2180" s="7" t="n"/>
      <c r="V2180" s="7" t="n"/>
      <c r="Y2180">
        <f>IF($D2180="","",IF($AN2180=1,0,IF($AM2180=1,Settings!$C$6,Settings!$C$7))*100)</f>
        <v/>
      </c>
      <c r="Z2180" s="7">
        <f>IF($D2180="","",V2180*Y2180/100)</f>
        <v/>
      </c>
      <c r="AA2180" s="7">
        <f>IF($D2180="","",V2180-Z2180)</f>
        <v/>
      </c>
      <c r="AB2180" s="7">
        <f>IF($D2180="","",AA2180-N2180)</f>
        <v/>
      </c>
      <c r="AF2180" s="7" t="n"/>
      <c r="AI2180" s="11" t="n"/>
      <c r="AK2180">
        <f>IF($D2180="","",IF(COUNTIF($D$2:$D2180,$D2180)=1,1,0))</f>
        <v/>
      </c>
      <c r="AL2180">
        <f>IF($AK2180=1,SUMPRODUCT(--($AO$2:$AO$3001&lt;$AO2180))+1,"")</f>
        <v/>
      </c>
      <c r="AM2180">
        <f>IF($D2180="","",IF(OR($R2180=TRUE(),$R2180="TRUE"),1,0))</f>
        <v/>
      </c>
      <c r="AN2180">
        <f>IF($D2180="","",IF($X2180="Yes",1,0))</f>
        <v/>
      </c>
      <c r="AO2180">
        <f>IF($AK2180=1,IFERROR(IF(VALUE($D2180)&lt;100000000,VALUE($D2180),1000000000),IFERROR(IF(VALUE(MID($D2180,2,20))&lt;100000000,VALUE(MID($D2180,2,20)),1000000000),1000000000))+ROW()/100000,"")</f>
        <v/>
      </c>
    </row>
    <row r="2181">
      <c r="F2181" s="11" t="n"/>
      <c r="N2181" s="7">
        <f>IF($D2181="","",M2181*V2181/100)</f>
        <v/>
      </c>
      <c r="O2181" s="7" t="n"/>
      <c r="U2181" s="7" t="n"/>
      <c r="V2181" s="7" t="n"/>
      <c r="Y2181">
        <f>IF($D2181="","",IF($AN2181=1,0,IF($AM2181=1,Settings!$C$6,Settings!$C$7))*100)</f>
        <v/>
      </c>
      <c r="Z2181" s="7">
        <f>IF($D2181="","",V2181*Y2181/100)</f>
        <v/>
      </c>
      <c r="AA2181" s="7">
        <f>IF($D2181="","",V2181-Z2181)</f>
        <v/>
      </c>
      <c r="AB2181" s="7">
        <f>IF($D2181="","",AA2181-N2181)</f>
        <v/>
      </c>
      <c r="AF2181" s="7" t="n"/>
      <c r="AI2181" s="11" t="n"/>
      <c r="AK2181">
        <f>IF($D2181="","",IF(COUNTIF($D$2:$D2181,$D2181)=1,1,0))</f>
        <v/>
      </c>
      <c r="AL2181">
        <f>IF($AK2181=1,SUMPRODUCT(--($AO$2:$AO$3001&lt;$AO2181))+1,"")</f>
        <v/>
      </c>
      <c r="AM2181">
        <f>IF($D2181="","",IF(OR($R2181=TRUE(),$R2181="TRUE"),1,0))</f>
        <v/>
      </c>
      <c r="AN2181">
        <f>IF($D2181="","",IF($X2181="Yes",1,0))</f>
        <v/>
      </c>
      <c r="AO2181">
        <f>IF($AK2181=1,IFERROR(IF(VALUE($D2181)&lt;100000000,VALUE($D2181),1000000000),IFERROR(IF(VALUE(MID($D2181,2,20))&lt;100000000,VALUE(MID($D2181,2,20)),1000000000),1000000000))+ROW()/100000,"")</f>
        <v/>
      </c>
    </row>
    <row r="2182">
      <c r="F2182" s="11" t="n"/>
      <c r="N2182" s="7">
        <f>IF($D2182="","",M2182*V2182/100)</f>
        <v/>
      </c>
      <c r="O2182" s="7" t="n"/>
      <c r="U2182" s="7" t="n"/>
      <c r="V2182" s="7" t="n"/>
      <c r="Y2182">
        <f>IF($D2182="","",IF($AN2182=1,0,IF($AM2182=1,Settings!$C$6,Settings!$C$7))*100)</f>
        <v/>
      </c>
      <c r="Z2182" s="7">
        <f>IF($D2182="","",V2182*Y2182/100)</f>
        <v/>
      </c>
      <c r="AA2182" s="7">
        <f>IF($D2182="","",V2182-Z2182)</f>
        <v/>
      </c>
      <c r="AB2182" s="7">
        <f>IF($D2182="","",AA2182-N2182)</f>
        <v/>
      </c>
      <c r="AF2182" s="7" t="n"/>
      <c r="AI2182" s="11" t="n"/>
      <c r="AK2182">
        <f>IF($D2182="","",IF(COUNTIF($D$2:$D2182,$D2182)=1,1,0))</f>
        <v/>
      </c>
      <c r="AL2182">
        <f>IF($AK2182=1,SUMPRODUCT(--($AO$2:$AO$3001&lt;$AO2182))+1,"")</f>
        <v/>
      </c>
      <c r="AM2182">
        <f>IF($D2182="","",IF(OR($R2182=TRUE(),$R2182="TRUE"),1,0))</f>
        <v/>
      </c>
      <c r="AN2182">
        <f>IF($D2182="","",IF($X2182="Yes",1,0))</f>
        <v/>
      </c>
      <c r="AO2182">
        <f>IF($AK2182=1,IFERROR(IF(VALUE($D2182)&lt;100000000,VALUE($D2182),1000000000),IFERROR(IF(VALUE(MID($D2182,2,20))&lt;100000000,VALUE(MID($D2182,2,20)),1000000000),1000000000))+ROW()/100000,"")</f>
        <v/>
      </c>
    </row>
    <row r="2183">
      <c r="F2183" s="11" t="n"/>
      <c r="N2183" s="7">
        <f>IF($D2183="","",M2183*V2183/100)</f>
        <v/>
      </c>
      <c r="O2183" s="7" t="n"/>
      <c r="U2183" s="7" t="n"/>
      <c r="V2183" s="7" t="n"/>
      <c r="Y2183">
        <f>IF($D2183="","",IF($AN2183=1,0,IF($AM2183=1,Settings!$C$6,Settings!$C$7))*100)</f>
        <v/>
      </c>
      <c r="Z2183" s="7">
        <f>IF($D2183="","",V2183*Y2183/100)</f>
        <v/>
      </c>
      <c r="AA2183" s="7">
        <f>IF($D2183="","",V2183-Z2183)</f>
        <v/>
      </c>
      <c r="AB2183" s="7">
        <f>IF($D2183="","",AA2183-N2183)</f>
        <v/>
      </c>
      <c r="AF2183" s="7" t="n"/>
      <c r="AI2183" s="11" t="n"/>
      <c r="AK2183">
        <f>IF($D2183="","",IF(COUNTIF($D$2:$D2183,$D2183)=1,1,0))</f>
        <v/>
      </c>
      <c r="AL2183">
        <f>IF($AK2183=1,SUMPRODUCT(--($AO$2:$AO$3001&lt;$AO2183))+1,"")</f>
        <v/>
      </c>
      <c r="AM2183">
        <f>IF($D2183="","",IF(OR($R2183=TRUE(),$R2183="TRUE"),1,0))</f>
        <v/>
      </c>
      <c r="AN2183">
        <f>IF($D2183="","",IF($X2183="Yes",1,0))</f>
        <v/>
      </c>
      <c r="AO2183">
        <f>IF($AK2183=1,IFERROR(IF(VALUE($D2183)&lt;100000000,VALUE($D2183),1000000000),IFERROR(IF(VALUE(MID($D2183,2,20))&lt;100000000,VALUE(MID($D2183,2,20)),1000000000),1000000000))+ROW()/100000,"")</f>
        <v/>
      </c>
    </row>
    <row r="2184">
      <c r="F2184" s="11" t="n"/>
      <c r="N2184" s="7">
        <f>IF($D2184="","",M2184*V2184/100)</f>
        <v/>
      </c>
      <c r="O2184" s="7" t="n"/>
      <c r="U2184" s="7" t="n"/>
      <c r="V2184" s="7" t="n"/>
      <c r="Y2184">
        <f>IF($D2184="","",IF($AN2184=1,0,IF($AM2184=1,Settings!$C$6,Settings!$C$7))*100)</f>
        <v/>
      </c>
      <c r="Z2184" s="7">
        <f>IF($D2184="","",V2184*Y2184/100)</f>
        <v/>
      </c>
      <c r="AA2184" s="7">
        <f>IF($D2184="","",V2184-Z2184)</f>
        <v/>
      </c>
      <c r="AB2184" s="7">
        <f>IF($D2184="","",AA2184-N2184)</f>
        <v/>
      </c>
      <c r="AF2184" s="7" t="n"/>
      <c r="AI2184" s="11" t="n"/>
      <c r="AK2184">
        <f>IF($D2184="","",IF(COUNTIF($D$2:$D2184,$D2184)=1,1,0))</f>
        <v/>
      </c>
      <c r="AL2184">
        <f>IF($AK2184=1,SUMPRODUCT(--($AO$2:$AO$3001&lt;$AO2184))+1,"")</f>
        <v/>
      </c>
      <c r="AM2184">
        <f>IF($D2184="","",IF(OR($R2184=TRUE(),$R2184="TRUE"),1,0))</f>
        <v/>
      </c>
      <c r="AN2184">
        <f>IF($D2184="","",IF($X2184="Yes",1,0))</f>
        <v/>
      </c>
      <c r="AO2184">
        <f>IF($AK2184=1,IFERROR(IF(VALUE($D2184)&lt;100000000,VALUE($D2184),1000000000),IFERROR(IF(VALUE(MID($D2184,2,20))&lt;100000000,VALUE(MID($D2184,2,20)),1000000000),1000000000))+ROW()/100000,"")</f>
        <v/>
      </c>
    </row>
    <row r="2185">
      <c r="F2185" s="11" t="n"/>
      <c r="N2185" s="7">
        <f>IF($D2185="","",M2185*V2185/100)</f>
        <v/>
      </c>
      <c r="O2185" s="7" t="n"/>
      <c r="U2185" s="7" t="n"/>
      <c r="V2185" s="7" t="n"/>
      <c r="Y2185">
        <f>IF($D2185="","",IF($AN2185=1,0,IF($AM2185=1,Settings!$C$6,Settings!$C$7))*100)</f>
        <v/>
      </c>
      <c r="Z2185" s="7">
        <f>IF($D2185="","",V2185*Y2185/100)</f>
        <v/>
      </c>
      <c r="AA2185" s="7">
        <f>IF($D2185="","",V2185-Z2185)</f>
        <v/>
      </c>
      <c r="AB2185" s="7">
        <f>IF($D2185="","",AA2185-N2185)</f>
        <v/>
      </c>
      <c r="AF2185" s="7" t="n"/>
      <c r="AI2185" s="11" t="n"/>
      <c r="AK2185">
        <f>IF($D2185="","",IF(COUNTIF($D$2:$D2185,$D2185)=1,1,0))</f>
        <v/>
      </c>
      <c r="AL2185">
        <f>IF($AK2185=1,SUMPRODUCT(--($AO$2:$AO$3001&lt;$AO2185))+1,"")</f>
        <v/>
      </c>
      <c r="AM2185">
        <f>IF($D2185="","",IF(OR($R2185=TRUE(),$R2185="TRUE"),1,0))</f>
        <v/>
      </c>
      <c r="AN2185">
        <f>IF($D2185="","",IF($X2185="Yes",1,0))</f>
        <v/>
      </c>
      <c r="AO2185">
        <f>IF($AK2185=1,IFERROR(IF(VALUE($D2185)&lt;100000000,VALUE($D2185),1000000000),IFERROR(IF(VALUE(MID($D2185,2,20))&lt;100000000,VALUE(MID($D2185,2,20)),1000000000),1000000000))+ROW()/100000,"")</f>
        <v/>
      </c>
    </row>
    <row r="2186">
      <c r="F2186" s="11" t="n"/>
      <c r="N2186" s="7">
        <f>IF($D2186="","",M2186*V2186/100)</f>
        <v/>
      </c>
      <c r="O2186" s="7" t="n"/>
      <c r="U2186" s="7" t="n"/>
      <c r="V2186" s="7" t="n"/>
      <c r="Y2186">
        <f>IF($D2186="","",IF($AN2186=1,0,IF($AM2186=1,Settings!$C$6,Settings!$C$7))*100)</f>
        <v/>
      </c>
      <c r="Z2186" s="7">
        <f>IF($D2186="","",V2186*Y2186/100)</f>
        <v/>
      </c>
      <c r="AA2186" s="7">
        <f>IF($D2186="","",V2186-Z2186)</f>
        <v/>
      </c>
      <c r="AB2186" s="7">
        <f>IF($D2186="","",AA2186-N2186)</f>
        <v/>
      </c>
      <c r="AF2186" s="7" t="n"/>
      <c r="AI2186" s="11" t="n"/>
      <c r="AK2186">
        <f>IF($D2186="","",IF(COUNTIF($D$2:$D2186,$D2186)=1,1,0))</f>
        <v/>
      </c>
      <c r="AL2186">
        <f>IF($AK2186=1,SUMPRODUCT(--($AO$2:$AO$3001&lt;$AO2186))+1,"")</f>
        <v/>
      </c>
      <c r="AM2186">
        <f>IF($D2186="","",IF(OR($R2186=TRUE(),$R2186="TRUE"),1,0))</f>
        <v/>
      </c>
      <c r="AN2186">
        <f>IF($D2186="","",IF($X2186="Yes",1,0))</f>
        <v/>
      </c>
      <c r="AO2186">
        <f>IF($AK2186=1,IFERROR(IF(VALUE($D2186)&lt;100000000,VALUE($D2186),1000000000),IFERROR(IF(VALUE(MID($D2186,2,20))&lt;100000000,VALUE(MID($D2186,2,20)),1000000000),1000000000))+ROW()/100000,"")</f>
        <v/>
      </c>
    </row>
    <row r="2187">
      <c r="F2187" s="11" t="n"/>
      <c r="N2187" s="7">
        <f>IF($D2187="","",M2187*V2187/100)</f>
        <v/>
      </c>
      <c r="O2187" s="7" t="n"/>
      <c r="U2187" s="7" t="n"/>
      <c r="V2187" s="7" t="n"/>
      <c r="Y2187">
        <f>IF($D2187="","",IF($AN2187=1,0,IF($AM2187=1,Settings!$C$6,Settings!$C$7))*100)</f>
        <v/>
      </c>
      <c r="Z2187" s="7">
        <f>IF($D2187="","",V2187*Y2187/100)</f>
        <v/>
      </c>
      <c r="AA2187" s="7">
        <f>IF($D2187="","",V2187-Z2187)</f>
        <v/>
      </c>
      <c r="AB2187" s="7">
        <f>IF($D2187="","",AA2187-N2187)</f>
        <v/>
      </c>
      <c r="AF2187" s="7" t="n"/>
      <c r="AI2187" s="11" t="n"/>
      <c r="AK2187">
        <f>IF($D2187="","",IF(COUNTIF($D$2:$D2187,$D2187)=1,1,0))</f>
        <v/>
      </c>
      <c r="AL2187">
        <f>IF($AK2187=1,SUMPRODUCT(--($AO$2:$AO$3001&lt;$AO2187))+1,"")</f>
        <v/>
      </c>
      <c r="AM2187">
        <f>IF($D2187="","",IF(OR($R2187=TRUE(),$R2187="TRUE"),1,0))</f>
        <v/>
      </c>
      <c r="AN2187">
        <f>IF($D2187="","",IF($X2187="Yes",1,0))</f>
        <v/>
      </c>
      <c r="AO2187">
        <f>IF($AK2187=1,IFERROR(IF(VALUE($D2187)&lt;100000000,VALUE($D2187),1000000000),IFERROR(IF(VALUE(MID($D2187,2,20))&lt;100000000,VALUE(MID($D2187,2,20)),1000000000),1000000000))+ROW()/100000,"")</f>
        <v/>
      </c>
    </row>
    <row r="2188">
      <c r="F2188" s="11" t="n"/>
      <c r="N2188" s="7">
        <f>IF($D2188="","",M2188*V2188/100)</f>
        <v/>
      </c>
      <c r="O2188" s="7" t="n"/>
      <c r="U2188" s="7" t="n"/>
      <c r="V2188" s="7" t="n"/>
      <c r="Y2188">
        <f>IF($D2188="","",IF($AN2188=1,0,IF($AM2188=1,Settings!$C$6,Settings!$C$7))*100)</f>
        <v/>
      </c>
      <c r="Z2188" s="7">
        <f>IF($D2188="","",V2188*Y2188/100)</f>
        <v/>
      </c>
      <c r="AA2188" s="7">
        <f>IF($D2188="","",V2188-Z2188)</f>
        <v/>
      </c>
      <c r="AB2188" s="7">
        <f>IF($D2188="","",AA2188-N2188)</f>
        <v/>
      </c>
      <c r="AF2188" s="7" t="n"/>
      <c r="AI2188" s="11" t="n"/>
      <c r="AK2188">
        <f>IF($D2188="","",IF(COUNTIF($D$2:$D2188,$D2188)=1,1,0))</f>
        <v/>
      </c>
      <c r="AL2188">
        <f>IF($AK2188=1,SUMPRODUCT(--($AO$2:$AO$3001&lt;$AO2188))+1,"")</f>
        <v/>
      </c>
      <c r="AM2188">
        <f>IF($D2188="","",IF(OR($R2188=TRUE(),$R2188="TRUE"),1,0))</f>
        <v/>
      </c>
      <c r="AN2188">
        <f>IF($D2188="","",IF($X2188="Yes",1,0))</f>
        <v/>
      </c>
      <c r="AO2188">
        <f>IF($AK2188=1,IFERROR(IF(VALUE($D2188)&lt;100000000,VALUE($D2188),1000000000),IFERROR(IF(VALUE(MID($D2188,2,20))&lt;100000000,VALUE(MID($D2188,2,20)),1000000000),1000000000))+ROW()/100000,"")</f>
        <v/>
      </c>
    </row>
    <row r="2189">
      <c r="F2189" s="11" t="n"/>
      <c r="N2189" s="7">
        <f>IF($D2189="","",M2189*V2189/100)</f>
        <v/>
      </c>
      <c r="O2189" s="7" t="n"/>
      <c r="U2189" s="7" t="n"/>
      <c r="V2189" s="7" t="n"/>
      <c r="Y2189">
        <f>IF($D2189="","",IF($AN2189=1,0,IF($AM2189=1,Settings!$C$6,Settings!$C$7))*100)</f>
        <v/>
      </c>
      <c r="Z2189" s="7">
        <f>IF($D2189="","",V2189*Y2189/100)</f>
        <v/>
      </c>
      <c r="AA2189" s="7">
        <f>IF($D2189="","",V2189-Z2189)</f>
        <v/>
      </c>
      <c r="AB2189" s="7">
        <f>IF($D2189="","",AA2189-N2189)</f>
        <v/>
      </c>
      <c r="AF2189" s="7" t="n"/>
      <c r="AI2189" s="11" t="n"/>
      <c r="AK2189">
        <f>IF($D2189="","",IF(COUNTIF($D$2:$D2189,$D2189)=1,1,0))</f>
        <v/>
      </c>
      <c r="AL2189">
        <f>IF($AK2189=1,SUMPRODUCT(--($AO$2:$AO$3001&lt;$AO2189))+1,"")</f>
        <v/>
      </c>
      <c r="AM2189">
        <f>IF($D2189="","",IF(OR($R2189=TRUE(),$R2189="TRUE"),1,0))</f>
        <v/>
      </c>
      <c r="AN2189">
        <f>IF($D2189="","",IF($X2189="Yes",1,0))</f>
        <v/>
      </c>
      <c r="AO2189">
        <f>IF($AK2189=1,IFERROR(IF(VALUE($D2189)&lt;100000000,VALUE($D2189),1000000000),IFERROR(IF(VALUE(MID($D2189,2,20))&lt;100000000,VALUE(MID($D2189,2,20)),1000000000),1000000000))+ROW()/100000,"")</f>
        <v/>
      </c>
    </row>
    <row r="2190">
      <c r="F2190" s="11" t="n"/>
      <c r="N2190" s="7">
        <f>IF($D2190="","",M2190*V2190/100)</f>
        <v/>
      </c>
      <c r="O2190" s="7" t="n"/>
      <c r="U2190" s="7" t="n"/>
      <c r="V2190" s="7" t="n"/>
      <c r="Y2190">
        <f>IF($D2190="","",IF($AN2190=1,0,IF($AM2190=1,Settings!$C$6,Settings!$C$7))*100)</f>
        <v/>
      </c>
      <c r="Z2190" s="7">
        <f>IF($D2190="","",V2190*Y2190/100)</f>
        <v/>
      </c>
      <c r="AA2190" s="7">
        <f>IF($D2190="","",V2190-Z2190)</f>
        <v/>
      </c>
      <c r="AB2190" s="7">
        <f>IF($D2190="","",AA2190-N2190)</f>
        <v/>
      </c>
      <c r="AF2190" s="7" t="n"/>
      <c r="AI2190" s="11" t="n"/>
      <c r="AK2190">
        <f>IF($D2190="","",IF(COUNTIF($D$2:$D2190,$D2190)=1,1,0))</f>
        <v/>
      </c>
      <c r="AL2190">
        <f>IF($AK2190=1,SUMPRODUCT(--($AO$2:$AO$3001&lt;$AO2190))+1,"")</f>
        <v/>
      </c>
      <c r="AM2190">
        <f>IF($D2190="","",IF(OR($R2190=TRUE(),$R2190="TRUE"),1,0))</f>
        <v/>
      </c>
      <c r="AN2190">
        <f>IF($D2190="","",IF($X2190="Yes",1,0))</f>
        <v/>
      </c>
      <c r="AO2190">
        <f>IF($AK2190=1,IFERROR(IF(VALUE($D2190)&lt;100000000,VALUE($D2190),1000000000),IFERROR(IF(VALUE(MID($D2190,2,20))&lt;100000000,VALUE(MID($D2190,2,20)),1000000000),1000000000))+ROW()/100000,"")</f>
        <v/>
      </c>
    </row>
    <row r="2191">
      <c r="F2191" s="11" t="n"/>
      <c r="N2191" s="7">
        <f>IF($D2191="","",M2191*V2191/100)</f>
        <v/>
      </c>
      <c r="O2191" s="7" t="n"/>
      <c r="U2191" s="7" t="n"/>
      <c r="V2191" s="7" t="n"/>
      <c r="Y2191">
        <f>IF($D2191="","",IF($AN2191=1,0,IF($AM2191=1,Settings!$C$6,Settings!$C$7))*100)</f>
        <v/>
      </c>
      <c r="Z2191" s="7">
        <f>IF($D2191="","",V2191*Y2191/100)</f>
        <v/>
      </c>
      <c r="AA2191" s="7">
        <f>IF($D2191="","",V2191-Z2191)</f>
        <v/>
      </c>
      <c r="AB2191" s="7">
        <f>IF($D2191="","",AA2191-N2191)</f>
        <v/>
      </c>
      <c r="AF2191" s="7" t="n"/>
      <c r="AI2191" s="11" t="n"/>
      <c r="AK2191">
        <f>IF($D2191="","",IF(COUNTIF($D$2:$D2191,$D2191)=1,1,0))</f>
        <v/>
      </c>
      <c r="AL2191">
        <f>IF($AK2191=1,SUMPRODUCT(--($AO$2:$AO$3001&lt;$AO2191))+1,"")</f>
        <v/>
      </c>
      <c r="AM2191">
        <f>IF($D2191="","",IF(OR($R2191=TRUE(),$R2191="TRUE"),1,0))</f>
        <v/>
      </c>
      <c r="AN2191">
        <f>IF($D2191="","",IF($X2191="Yes",1,0))</f>
        <v/>
      </c>
      <c r="AO2191">
        <f>IF($AK2191=1,IFERROR(IF(VALUE($D2191)&lt;100000000,VALUE($D2191),1000000000),IFERROR(IF(VALUE(MID($D2191,2,20))&lt;100000000,VALUE(MID($D2191,2,20)),1000000000),1000000000))+ROW()/100000,"")</f>
        <v/>
      </c>
    </row>
    <row r="2192">
      <c r="F2192" s="11" t="n"/>
      <c r="N2192" s="7">
        <f>IF($D2192="","",M2192*V2192/100)</f>
        <v/>
      </c>
      <c r="O2192" s="7" t="n"/>
      <c r="U2192" s="7" t="n"/>
      <c r="V2192" s="7" t="n"/>
      <c r="Y2192">
        <f>IF($D2192="","",IF($AN2192=1,0,IF($AM2192=1,Settings!$C$6,Settings!$C$7))*100)</f>
        <v/>
      </c>
      <c r="Z2192" s="7">
        <f>IF($D2192="","",V2192*Y2192/100)</f>
        <v/>
      </c>
      <c r="AA2192" s="7">
        <f>IF($D2192="","",V2192-Z2192)</f>
        <v/>
      </c>
      <c r="AB2192" s="7">
        <f>IF($D2192="","",AA2192-N2192)</f>
        <v/>
      </c>
      <c r="AF2192" s="7" t="n"/>
      <c r="AI2192" s="11" t="n"/>
      <c r="AK2192">
        <f>IF($D2192="","",IF(COUNTIF($D$2:$D2192,$D2192)=1,1,0))</f>
        <v/>
      </c>
      <c r="AL2192">
        <f>IF($AK2192=1,SUMPRODUCT(--($AO$2:$AO$3001&lt;$AO2192))+1,"")</f>
        <v/>
      </c>
      <c r="AM2192">
        <f>IF($D2192="","",IF(OR($R2192=TRUE(),$R2192="TRUE"),1,0))</f>
        <v/>
      </c>
      <c r="AN2192">
        <f>IF($D2192="","",IF($X2192="Yes",1,0))</f>
        <v/>
      </c>
      <c r="AO2192">
        <f>IF($AK2192=1,IFERROR(IF(VALUE($D2192)&lt;100000000,VALUE($D2192),1000000000),IFERROR(IF(VALUE(MID($D2192,2,20))&lt;100000000,VALUE(MID($D2192,2,20)),1000000000),1000000000))+ROW()/100000,"")</f>
        <v/>
      </c>
    </row>
    <row r="2193">
      <c r="F2193" s="11" t="n"/>
      <c r="N2193" s="7">
        <f>IF($D2193="","",M2193*V2193/100)</f>
        <v/>
      </c>
      <c r="O2193" s="7" t="n"/>
      <c r="U2193" s="7" t="n"/>
      <c r="V2193" s="7" t="n"/>
      <c r="Y2193">
        <f>IF($D2193="","",IF($AN2193=1,0,IF($AM2193=1,Settings!$C$6,Settings!$C$7))*100)</f>
        <v/>
      </c>
      <c r="Z2193" s="7">
        <f>IF($D2193="","",V2193*Y2193/100)</f>
        <v/>
      </c>
      <c r="AA2193" s="7">
        <f>IF($D2193="","",V2193-Z2193)</f>
        <v/>
      </c>
      <c r="AB2193" s="7">
        <f>IF($D2193="","",AA2193-N2193)</f>
        <v/>
      </c>
      <c r="AF2193" s="7" t="n"/>
      <c r="AI2193" s="11" t="n"/>
      <c r="AK2193">
        <f>IF($D2193="","",IF(COUNTIF($D$2:$D2193,$D2193)=1,1,0))</f>
        <v/>
      </c>
      <c r="AL2193">
        <f>IF($AK2193=1,SUMPRODUCT(--($AO$2:$AO$3001&lt;$AO2193))+1,"")</f>
        <v/>
      </c>
      <c r="AM2193">
        <f>IF($D2193="","",IF(OR($R2193=TRUE(),$R2193="TRUE"),1,0))</f>
        <v/>
      </c>
      <c r="AN2193">
        <f>IF($D2193="","",IF($X2193="Yes",1,0))</f>
        <v/>
      </c>
      <c r="AO2193">
        <f>IF($AK2193=1,IFERROR(IF(VALUE($D2193)&lt;100000000,VALUE($D2193),1000000000),IFERROR(IF(VALUE(MID($D2193,2,20))&lt;100000000,VALUE(MID($D2193,2,20)),1000000000),1000000000))+ROW()/100000,"")</f>
        <v/>
      </c>
    </row>
    <row r="2194">
      <c r="F2194" s="11" t="n"/>
      <c r="N2194" s="7">
        <f>IF($D2194="","",M2194*V2194/100)</f>
        <v/>
      </c>
      <c r="O2194" s="7" t="n"/>
      <c r="U2194" s="7" t="n"/>
      <c r="V2194" s="7" t="n"/>
      <c r="Y2194">
        <f>IF($D2194="","",IF($AN2194=1,0,IF($AM2194=1,Settings!$C$6,Settings!$C$7))*100)</f>
        <v/>
      </c>
      <c r="Z2194" s="7">
        <f>IF($D2194="","",V2194*Y2194/100)</f>
        <v/>
      </c>
      <c r="AA2194" s="7">
        <f>IF($D2194="","",V2194-Z2194)</f>
        <v/>
      </c>
      <c r="AB2194" s="7">
        <f>IF($D2194="","",AA2194-N2194)</f>
        <v/>
      </c>
      <c r="AF2194" s="7" t="n"/>
      <c r="AI2194" s="11" t="n"/>
      <c r="AK2194">
        <f>IF($D2194="","",IF(COUNTIF($D$2:$D2194,$D2194)=1,1,0))</f>
        <v/>
      </c>
      <c r="AL2194">
        <f>IF($AK2194=1,SUMPRODUCT(--($AO$2:$AO$3001&lt;$AO2194))+1,"")</f>
        <v/>
      </c>
      <c r="AM2194">
        <f>IF($D2194="","",IF(OR($R2194=TRUE(),$R2194="TRUE"),1,0))</f>
        <v/>
      </c>
      <c r="AN2194">
        <f>IF($D2194="","",IF($X2194="Yes",1,0))</f>
        <v/>
      </c>
      <c r="AO2194">
        <f>IF($AK2194=1,IFERROR(IF(VALUE($D2194)&lt;100000000,VALUE($D2194),1000000000),IFERROR(IF(VALUE(MID($D2194,2,20))&lt;100000000,VALUE(MID($D2194,2,20)),1000000000),1000000000))+ROW()/100000,"")</f>
        <v/>
      </c>
    </row>
    <row r="2195">
      <c r="F2195" s="11" t="n"/>
      <c r="N2195" s="7">
        <f>IF($D2195="","",M2195*V2195/100)</f>
        <v/>
      </c>
      <c r="O2195" s="7" t="n"/>
      <c r="U2195" s="7" t="n"/>
      <c r="V2195" s="7" t="n"/>
      <c r="Y2195">
        <f>IF($D2195="","",IF($AN2195=1,0,IF($AM2195=1,Settings!$C$6,Settings!$C$7))*100)</f>
        <v/>
      </c>
      <c r="Z2195" s="7">
        <f>IF($D2195="","",V2195*Y2195/100)</f>
        <v/>
      </c>
      <c r="AA2195" s="7">
        <f>IF($D2195="","",V2195-Z2195)</f>
        <v/>
      </c>
      <c r="AB2195" s="7">
        <f>IF($D2195="","",AA2195-N2195)</f>
        <v/>
      </c>
      <c r="AF2195" s="7" t="n"/>
      <c r="AI2195" s="11" t="n"/>
      <c r="AK2195">
        <f>IF($D2195="","",IF(COUNTIF($D$2:$D2195,$D2195)=1,1,0))</f>
        <v/>
      </c>
      <c r="AL2195">
        <f>IF($AK2195=1,SUMPRODUCT(--($AO$2:$AO$3001&lt;$AO2195))+1,"")</f>
        <v/>
      </c>
      <c r="AM2195">
        <f>IF($D2195="","",IF(OR($R2195=TRUE(),$R2195="TRUE"),1,0))</f>
        <v/>
      </c>
      <c r="AN2195">
        <f>IF($D2195="","",IF($X2195="Yes",1,0))</f>
        <v/>
      </c>
      <c r="AO2195">
        <f>IF($AK2195=1,IFERROR(IF(VALUE($D2195)&lt;100000000,VALUE($D2195),1000000000),IFERROR(IF(VALUE(MID($D2195,2,20))&lt;100000000,VALUE(MID($D2195,2,20)),1000000000),1000000000))+ROW()/100000,"")</f>
        <v/>
      </c>
    </row>
    <row r="2196">
      <c r="F2196" s="11" t="n"/>
      <c r="N2196" s="7">
        <f>IF($D2196="","",M2196*V2196/100)</f>
        <v/>
      </c>
      <c r="O2196" s="7" t="n"/>
      <c r="U2196" s="7" t="n"/>
      <c r="V2196" s="7" t="n"/>
      <c r="Y2196">
        <f>IF($D2196="","",IF($AN2196=1,0,IF($AM2196=1,Settings!$C$6,Settings!$C$7))*100)</f>
        <v/>
      </c>
      <c r="Z2196" s="7">
        <f>IF($D2196="","",V2196*Y2196/100)</f>
        <v/>
      </c>
      <c r="AA2196" s="7">
        <f>IF($D2196="","",V2196-Z2196)</f>
        <v/>
      </c>
      <c r="AB2196" s="7">
        <f>IF($D2196="","",AA2196-N2196)</f>
        <v/>
      </c>
      <c r="AF2196" s="7" t="n"/>
      <c r="AI2196" s="11" t="n"/>
      <c r="AK2196">
        <f>IF($D2196="","",IF(COUNTIF($D$2:$D2196,$D2196)=1,1,0))</f>
        <v/>
      </c>
      <c r="AL2196">
        <f>IF($AK2196=1,SUMPRODUCT(--($AO$2:$AO$3001&lt;$AO2196))+1,"")</f>
        <v/>
      </c>
      <c r="AM2196">
        <f>IF($D2196="","",IF(OR($R2196=TRUE(),$R2196="TRUE"),1,0))</f>
        <v/>
      </c>
      <c r="AN2196">
        <f>IF($D2196="","",IF($X2196="Yes",1,0))</f>
        <v/>
      </c>
      <c r="AO2196">
        <f>IF($AK2196=1,IFERROR(IF(VALUE($D2196)&lt;100000000,VALUE($D2196),1000000000),IFERROR(IF(VALUE(MID($D2196,2,20))&lt;100000000,VALUE(MID($D2196,2,20)),1000000000),1000000000))+ROW()/100000,"")</f>
        <v/>
      </c>
    </row>
    <row r="2197">
      <c r="F2197" s="11" t="n"/>
      <c r="N2197" s="7">
        <f>IF($D2197="","",M2197*V2197/100)</f>
        <v/>
      </c>
      <c r="O2197" s="7" t="n"/>
      <c r="U2197" s="7" t="n"/>
      <c r="V2197" s="7" t="n"/>
      <c r="Y2197">
        <f>IF($D2197="","",IF($AN2197=1,0,IF($AM2197=1,Settings!$C$6,Settings!$C$7))*100)</f>
        <v/>
      </c>
      <c r="Z2197" s="7">
        <f>IF($D2197="","",V2197*Y2197/100)</f>
        <v/>
      </c>
      <c r="AA2197" s="7">
        <f>IF($D2197="","",V2197-Z2197)</f>
        <v/>
      </c>
      <c r="AB2197" s="7">
        <f>IF($D2197="","",AA2197-N2197)</f>
        <v/>
      </c>
      <c r="AF2197" s="7" t="n"/>
      <c r="AI2197" s="11" t="n"/>
      <c r="AK2197">
        <f>IF($D2197="","",IF(COUNTIF($D$2:$D2197,$D2197)=1,1,0))</f>
        <v/>
      </c>
      <c r="AL2197">
        <f>IF($AK2197=1,SUMPRODUCT(--($AO$2:$AO$3001&lt;$AO2197))+1,"")</f>
        <v/>
      </c>
      <c r="AM2197">
        <f>IF($D2197="","",IF(OR($R2197=TRUE(),$R2197="TRUE"),1,0))</f>
        <v/>
      </c>
      <c r="AN2197">
        <f>IF($D2197="","",IF($X2197="Yes",1,0))</f>
        <v/>
      </c>
      <c r="AO2197">
        <f>IF($AK2197=1,IFERROR(IF(VALUE($D2197)&lt;100000000,VALUE($D2197),1000000000),IFERROR(IF(VALUE(MID($D2197,2,20))&lt;100000000,VALUE(MID($D2197,2,20)),1000000000),1000000000))+ROW()/100000,"")</f>
        <v/>
      </c>
    </row>
    <row r="2198">
      <c r="F2198" s="11" t="n"/>
      <c r="N2198" s="7">
        <f>IF($D2198="","",M2198*V2198/100)</f>
        <v/>
      </c>
      <c r="O2198" s="7" t="n"/>
      <c r="U2198" s="7" t="n"/>
      <c r="V2198" s="7" t="n"/>
      <c r="Y2198">
        <f>IF($D2198="","",IF($AN2198=1,0,IF($AM2198=1,Settings!$C$6,Settings!$C$7))*100)</f>
        <v/>
      </c>
      <c r="Z2198" s="7">
        <f>IF($D2198="","",V2198*Y2198/100)</f>
        <v/>
      </c>
      <c r="AA2198" s="7">
        <f>IF($D2198="","",V2198-Z2198)</f>
        <v/>
      </c>
      <c r="AB2198" s="7">
        <f>IF($D2198="","",AA2198-N2198)</f>
        <v/>
      </c>
      <c r="AF2198" s="7" t="n"/>
      <c r="AI2198" s="11" t="n"/>
      <c r="AK2198">
        <f>IF($D2198="","",IF(COUNTIF($D$2:$D2198,$D2198)=1,1,0))</f>
        <v/>
      </c>
      <c r="AL2198">
        <f>IF($AK2198=1,SUMPRODUCT(--($AO$2:$AO$3001&lt;$AO2198))+1,"")</f>
        <v/>
      </c>
      <c r="AM2198">
        <f>IF($D2198="","",IF(OR($R2198=TRUE(),$R2198="TRUE"),1,0))</f>
        <v/>
      </c>
      <c r="AN2198">
        <f>IF($D2198="","",IF($X2198="Yes",1,0))</f>
        <v/>
      </c>
      <c r="AO2198">
        <f>IF($AK2198=1,IFERROR(IF(VALUE($D2198)&lt;100000000,VALUE($D2198),1000000000),IFERROR(IF(VALUE(MID($D2198,2,20))&lt;100000000,VALUE(MID($D2198,2,20)),1000000000),1000000000))+ROW()/100000,"")</f>
        <v/>
      </c>
    </row>
    <row r="2199">
      <c r="F2199" s="11" t="n"/>
      <c r="N2199" s="7">
        <f>IF($D2199="","",M2199*V2199/100)</f>
        <v/>
      </c>
      <c r="O2199" s="7" t="n"/>
      <c r="U2199" s="7" t="n"/>
      <c r="V2199" s="7" t="n"/>
      <c r="Y2199">
        <f>IF($D2199="","",IF($AN2199=1,0,IF($AM2199=1,Settings!$C$6,Settings!$C$7))*100)</f>
        <v/>
      </c>
      <c r="Z2199" s="7">
        <f>IF($D2199="","",V2199*Y2199/100)</f>
        <v/>
      </c>
      <c r="AA2199" s="7">
        <f>IF($D2199="","",V2199-Z2199)</f>
        <v/>
      </c>
      <c r="AB2199" s="7">
        <f>IF($D2199="","",AA2199-N2199)</f>
        <v/>
      </c>
      <c r="AF2199" s="7" t="n"/>
      <c r="AI2199" s="11" t="n"/>
      <c r="AK2199">
        <f>IF($D2199="","",IF(COUNTIF($D$2:$D2199,$D2199)=1,1,0))</f>
        <v/>
      </c>
      <c r="AL2199">
        <f>IF($AK2199=1,SUMPRODUCT(--($AO$2:$AO$3001&lt;$AO2199))+1,"")</f>
        <v/>
      </c>
      <c r="AM2199">
        <f>IF($D2199="","",IF(OR($R2199=TRUE(),$R2199="TRUE"),1,0))</f>
        <v/>
      </c>
      <c r="AN2199">
        <f>IF($D2199="","",IF($X2199="Yes",1,0))</f>
        <v/>
      </c>
      <c r="AO2199">
        <f>IF($AK2199=1,IFERROR(IF(VALUE($D2199)&lt;100000000,VALUE($D2199),1000000000),IFERROR(IF(VALUE(MID($D2199,2,20))&lt;100000000,VALUE(MID($D2199,2,20)),1000000000),1000000000))+ROW()/100000,"")</f>
        <v/>
      </c>
    </row>
    <row r="2200">
      <c r="F2200" s="11" t="n"/>
      <c r="N2200" s="7">
        <f>IF($D2200="","",M2200*V2200/100)</f>
        <v/>
      </c>
      <c r="O2200" s="7" t="n"/>
      <c r="U2200" s="7" t="n"/>
      <c r="V2200" s="7" t="n"/>
      <c r="Y2200">
        <f>IF($D2200="","",IF($AN2200=1,0,IF($AM2200=1,Settings!$C$6,Settings!$C$7))*100)</f>
        <v/>
      </c>
      <c r="Z2200" s="7">
        <f>IF($D2200="","",V2200*Y2200/100)</f>
        <v/>
      </c>
      <c r="AA2200" s="7">
        <f>IF($D2200="","",V2200-Z2200)</f>
        <v/>
      </c>
      <c r="AB2200" s="7">
        <f>IF($D2200="","",AA2200-N2200)</f>
        <v/>
      </c>
      <c r="AF2200" s="7" t="n"/>
      <c r="AI2200" s="11" t="n"/>
      <c r="AK2200">
        <f>IF($D2200="","",IF(COUNTIF($D$2:$D2200,$D2200)=1,1,0))</f>
        <v/>
      </c>
      <c r="AL2200">
        <f>IF($AK2200=1,SUMPRODUCT(--($AO$2:$AO$3001&lt;$AO2200))+1,"")</f>
        <v/>
      </c>
      <c r="AM2200">
        <f>IF($D2200="","",IF(OR($R2200=TRUE(),$R2200="TRUE"),1,0))</f>
        <v/>
      </c>
      <c r="AN2200">
        <f>IF($D2200="","",IF($X2200="Yes",1,0))</f>
        <v/>
      </c>
      <c r="AO2200">
        <f>IF($AK2200=1,IFERROR(IF(VALUE($D2200)&lt;100000000,VALUE($D2200),1000000000),IFERROR(IF(VALUE(MID($D2200,2,20))&lt;100000000,VALUE(MID($D2200,2,20)),1000000000),1000000000))+ROW()/100000,"")</f>
        <v/>
      </c>
    </row>
    <row r="2201">
      <c r="F2201" s="11" t="n"/>
      <c r="N2201" s="7">
        <f>IF($D2201="","",M2201*V2201/100)</f>
        <v/>
      </c>
      <c r="O2201" s="7" t="n"/>
      <c r="U2201" s="7" t="n"/>
      <c r="V2201" s="7" t="n"/>
      <c r="Y2201">
        <f>IF($D2201="","",IF($AN2201=1,0,IF($AM2201=1,Settings!$C$6,Settings!$C$7))*100)</f>
        <v/>
      </c>
      <c r="Z2201" s="7">
        <f>IF($D2201="","",V2201*Y2201/100)</f>
        <v/>
      </c>
      <c r="AA2201" s="7">
        <f>IF($D2201="","",V2201-Z2201)</f>
        <v/>
      </c>
      <c r="AB2201" s="7">
        <f>IF($D2201="","",AA2201-N2201)</f>
        <v/>
      </c>
      <c r="AF2201" s="7" t="n"/>
      <c r="AI2201" s="11" t="n"/>
      <c r="AK2201">
        <f>IF($D2201="","",IF(COUNTIF($D$2:$D2201,$D2201)=1,1,0))</f>
        <v/>
      </c>
      <c r="AL2201">
        <f>IF($AK2201=1,SUMPRODUCT(--($AO$2:$AO$3001&lt;$AO2201))+1,"")</f>
        <v/>
      </c>
      <c r="AM2201">
        <f>IF($D2201="","",IF(OR($R2201=TRUE(),$R2201="TRUE"),1,0))</f>
        <v/>
      </c>
      <c r="AN2201">
        <f>IF($D2201="","",IF($X2201="Yes",1,0))</f>
        <v/>
      </c>
      <c r="AO2201">
        <f>IF($AK2201=1,IFERROR(IF(VALUE($D2201)&lt;100000000,VALUE($D2201),1000000000),IFERROR(IF(VALUE(MID($D2201,2,20))&lt;100000000,VALUE(MID($D2201,2,20)),1000000000),1000000000))+ROW()/100000,"")</f>
        <v/>
      </c>
    </row>
    <row r="2202">
      <c r="F2202" s="11" t="n"/>
      <c r="N2202" s="7">
        <f>IF($D2202="","",M2202*V2202/100)</f>
        <v/>
      </c>
      <c r="O2202" s="7" t="n"/>
      <c r="U2202" s="7" t="n"/>
      <c r="V2202" s="7" t="n"/>
      <c r="Y2202">
        <f>IF($D2202="","",IF($AN2202=1,0,IF($AM2202=1,Settings!$C$6,Settings!$C$7))*100)</f>
        <v/>
      </c>
      <c r="Z2202" s="7">
        <f>IF($D2202="","",V2202*Y2202/100)</f>
        <v/>
      </c>
      <c r="AA2202" s="7">
        <f>IF($D2202="","",V2202-Z2202)</f>
        <v/>
      </c>
      <c r="AB2202" s="7">
        <f>IF($D2202="","",AA2202-N2202)</f>
        <v/>
      </c>
      <c r="AF2202" s="7" t="n"/>
      <c r="AI2202" s="11" t="n"/>
      <c r="AK2202">
        <f>IF($D2202="","",IF(COUNTIF($D$2:$D2202,$D2202)=1,1,0))</f>
        <v/>
      </c>
      <c r="AL2202">
        <f>IF($AK2202=1,SUMPRODUCT(--($AO$2:$AO$3001&lt;$AO2202))+1,"")</f>
        <v/>
      </c>
      <c r="AM2202">
        <f>IF($D2202="","",IF(OR($R2202=TRUE(),$R2202="TRUE"),1,0))</f>
        <v/>
      </c>
      <c r="AN2202">
        <f>IF($D2202="","",IF($X2202="Yes",1,0))</f>
        <v/>
      </c>
      <c r="AO2202">
        <f>IF($AK2202=1,IFERROR(IF(VALUE($D2202)&lt;100000000,VALUE($D2202),1000000000),IFERROR(IF(VALUE(MID($D2202,2,20))&lt;100000000,VALUE(MID($D2202,2,20)),1000000000),1000000000))+ROW()/100000,"")</f>
        <v/>
      </c>
    </row>
    <row r="2203">
      <c r="F2203" s="11" t="n"/>
      <c r="N2203" s="7">
        <f>IF($D2203="","",M2203*V2203/100)</f>
        <v/>
      </c>
      <c r="O2203" s="7" t="n"/>
      <c r="U2203" s="7" t="n"/>
      <c r="V2203" s="7" t="n"/>
      <c r="Y2203">
        <f>IF($D2203="","",IF($AN2203=1,0,IF($AM2203=1,Settings!$C$6,Settings!$C$7))*100)</f>
        <v/>
      </c>
      <c r="Z2203" s="7">
        <f>IF($D2203="","",V2203*Y2203/100)</f>
        <v/>
      </c>
      <c r="AA2203" s="7">
        <f>IF($D2203="","",V2203-Z2203)</f>
        <v/>
      </c>
      <c r="AB2203" s="7">
        <f>IF($D2203="","",AA2203-N2203)</f>
        <v/>
      </c>
      <c r="AF2203" s="7" t="n"/>
      <c r="AI2203" s="11" t="n"/>
      <c r="AK2203">
        <f>IF($D2203="","",IF(COUNTIF($D$2:$D2203,$D2203)=1,1,0))</f>
        <v/>
      </c>
      <c r="AL2203">
        <f>IF($AK2203=1,SUMPRODUCT(--($AO$2:$AO$3001&lt;$AO2203))+1,"")</f>
        <v/>
      </c>
      <c r="AM2203">
        <f>IF($D2203="","",IF(OR($R2203=TRUE(),$R2203="TRUE"),1,0))</f>
        <v/>
      </c>
      <c r="AN2203">
        <f>IF($D2203="","",IF($X2203="Yes",1,0))</f>
        <v/>
      </c>
      <c r="AO2203">
        <f>IF($AK2203=1,IFERROR(IF(VALUE($D2203)&lt;100000000,VALUE($D2203),1000000000),IFERROR(IF(VALUE(MID($D2203,2,20))&lt;100000000,VALUE(MID($D2203,2,20)),1000000000),1000000000))+ROW()/100000,"")</f>
        <v/>
      </c>
    </row>
    <row r="2204">
      <c r="F2204" s="11" t="n"/>
      <c r="N2204" s="7">
        <f>IF($D2204="","",M2204*V2204/100)</f>
        <v/>
      </c>
      <c r="O2204" s="7" t="n"/>
      <c r="U2204" s="7" t="n"/>
      <c r="V2204" s="7" t="n"/>
      <c r="Y2204">
        <f>IF($D2204="","",IF($AN2204=1,0,IF($AM2204=1,Settings!$C$6,Settings!$C$7))*100)</f>
        <v/>
      </c>
      <c r="Z2204" s="7">
        <f>IF($D2204="","",V2204*Y2204/100)</f>
        <v/>
      </c>
      <c r="AA2204" s="7">
        <f>IF($D2204="","",V2204-Z2204)</f>
        <v/>
      </c>
      <c r="AB2204" s="7">
        <f>IF($D2204="","",AA2204-N2204)</f>
        <v/>
      </c>
      <c r="AF2204" s="7" t="n"/>
      <c r="AI2204" s="11" t="n"/>
      <c r="AK2204">
        <f>IF($D2204="","",IF(COUNTIF($D$2:$D2204,$D2204)=1,1,0))</f>
        <v/>
      </c>
      <c r="AL2204">
        <f>IF($AK2204=1,SUMPRODUCT(--($AO$2:$AO$3001&lt;$AO2204))+1,"")</f>
        <v/>
      </c>
      <c r="AM2204">
        <f>IF($D2204="","",IF(OR($R2204=TRUE(),$R2204="TRUE"),1,0))</f>
        <v/>
      </c>
      <c r="AN2204">
        <f>IF($D2204="","",IF($X2204="Yes",1,0))</f>
        <v/>
      </c>
      <c r="AO2204">
        <f>IF($AK2204=1,IFERROR(IF(VALUE($D2204)&lt;100000000,VALUE($D2204),1000000000),IFERROR(IF(VALUE(MID($D2204,2,20))&lt;100000000,VALUE(MID($D2204,2,20)),1000000000),1000000000))+ROW()/100000,"")</f>
        <v/>
      </c>
    </row>
    <row r="2205">
      <c r="F2205" s="11" t="n"/>
      <c r="N2205" s="7">
        <f>IF($D2205="","",M2205*V2205/100)</f>
        <v/>
      </c>
      <c r="O2205" s="7" t="n"/>
      <c r="U2205" s="7" t="n"/>
      <c r="V2205" s="7" t="n"/>
      <c r="Y2205">
        <f>IF($D2205="","",IF($AN2205=1,0,IF($AM2205=1,Settings!$C$6,Settings!$C$7))*100)</f>
        <v/>
      </c>
      <c r="Z2205" s="7">
        <f>IF($D2205="","",V2205*Y2205/100)</f>
        <v/>
      </c>
      <c r="AA2205" s="7">
        <f>IF($D2205="","",V2205-Z2205)</f>
        <v/>
      </c>
      <c r="AB2205" s="7">
        <f>IF($D2205="","",AA2205-N2205)</f>
        <v/>
      </c>
      <c r="AF2205" s="7" t="n"/>
      <c r="AI2205" s="11" t="n"/>
      <c r="AK2205">
        <f>IF($D2205="","",IF(COUNTIF($D$2:$D2205,$D2205)=1,1,0))</f>
        <v/>
      </c>
      <c r="AL2205">
        <f>IF($AK2205=1,SUMPRODUCT(--($AO$2:$AO$3001&lt;$AO2205))+1,"")</f>
        <v/>
      </c>
      <c r="AM2205">
        <f>IF($D2205="","",IF(OR($R2205=TRUE(),$R2205="TRUE"),1,0))</f>
        <v/>
      </c>
      <c r="AN2205">
        <f>IF($D2205="","",IF($X2205="Yes",1,0))</f>
        <v/>
      </c>
      <c r="AO2205">
        <f>IF($AK2205=1,IFERROR(IF(VALUE($D2205)&lt;100000000,VALUE($D2205),1000000000),IFERROR(IF(VALUE(MID($D2205,2,20))&lt;100000000,VALUE(MID($D2205,2,20)),1000000000),1000000000))+ROW()/100000,"")</f>
        <v/>
      </c>
    </row>
    <row r="2206">
      <c r="F2206" s="11" t="n"/>
      <c r="N2206" s="7">
        <f>IF($D2206="","",M2206*V2206/100)</f>
        <v/>
      </c>
      <c r="O2206" s="7" t="n"/>
      <c r="U2206" s="7" t="n"/>
      <c r="V2206" s="7" t="n"/>
      <c r="Y2206">
        <f>IF($D2206="","",IF($AN2206=1,0,IF($AM2206=1,Settings!$C$6,Settings!$C$7))*100)</f>
        <v/>
      </c>
      <c r="Z2206" s="7">
        <f>IF($D2206="","",V2206*Y2206/100)</f>
        <v/>
      </c>
      <c r="AA2206" s="7">
        <f>IF($D2206="","",V2206-Z2206)</f>
        <v/>
      </c>
      <c r="AB2206" s="7">
        <f>IF($D2206="","",AA2206-N2206)</f>
        <v/>
      </c>
      <c r="AF2206" s="7" t="n"/>
      <c r="AI2206" s="11" t="n"/>
      <c r="AK2206">
        <f>IF($D2206="","",IF(COUNTIF($D$2:$D2206,$D2206)=1,1,0))</f>
        <v/>
      </c>
      <c r="AL2206">
        <f>IF($AK2206=1,SUMPRODUCT(--($AO$2:$AO$3001&lt;$AO2206))+1,"")</f>
        <v/>
      </c>
      <c r="AM2206">
        <f>IF($D2206="","",IF(OR($R2206=TRUE(),$R2206="TRUE"),1,0))</f>
        <v/>
      </c>
      <c r="AN2206">
        <f>IF($D2206="","",IF($X2206="Yes",1,0))</f>
        <v/>
      </c>
      <c r="AO2206">
        <f>IF($AK2206=1,IFERROR(IF(VALUE($D2206)&lt;100000000,VALUE($D2206),1000000000),IFERROR(IF(VALUE(MID($D2206,2,20))&lt;100000000,VALUE(MID($D2206,2,20)),1000000000),1000000000))+ROW()/100000,"")</f>
        <v/>
      </c>
    </row>
    <row r="2207">
      <c r="F2207" s="11" t="n"/>
      <c r="N2207" s="7">
        <f>IF($D2207="","",M2207*V2207/100)</f>
        <v/>
      </c>
      <c r="O2207" s="7" t="n"/>
      <c r="U2207" s="7" t="n"/>
      <c r="V2207" s="7" t="n"/>
      <c r="Y2207">
        <f>IF($D2207="","",IF($AN2207=1,0,IF($AM2207=1,Settings!$C$6,Settings!$C$7))*100)</f>
        <v/>
      </c>
      <c r="Z2207" s="7">
        <f>IF($D2207="","",V2207*Y2207/100)</f>
        <v/>
      </c>
      <c r="AA2207" s="7">
        <f>IF($D2207="","",V2207-Z2207)</f>
        <v/>
      </c>
      <c r="AB2207" s="7">
        <f>IF($D2207="","",AA2207-N2207)</f>
        <v/>
      </c>
      <c r="AF2207" s="7" t="n"/>
      <c r="AI2207" s="11" t="n"/>
      <c r="AK2207">
        <f>IF($D2207="","",IF(COUNTIF($D$2:$D2207,$D2207)=1,1,0))</f>
        <v/>
      </c>
      <c r="AL2207">
        <f>IF($AK2207=1,SUMPRODUCT(--($AO$2:$AO$3001&lt;$AO2207))+1,"")</f>
        <v/>
      </c>
      <c r="AM2207">
        <f>IF($D2207="","",IF(OR($R2207=TRUE(),$R2207="TRUE"),1,0))</f>
        <v/>
      </c>
      <c r="AN2207">
        <f>IF($D2207="","",IF($X2207="Yes",1,0))</f>
        <v/>
      </c>
      <c r="AO2207">
        <f>IF($AK2207=1,IFERROR(IF(VALUE($D2207)&lt;100000000,VALUE($D2207),1000000000),IFERROR(IF(VALUE(MID($D2207,2,20))&lt;100000000,VALUE(MID($D2207,2,20)),1000000000),1000000000))+ROW()/100000,"")</f>
        <v/>
      </c>
    </row>
    <row r="2208">
      <c r="F2208" s="11" t="n"/>
      <c r="N2208" s="7">
        <f>IF($D2208="","",M2208*V2208/100)</f>
        <v/>
      </c>
      <c r="O2208" s="7" t="n"/>
      <c r="U2208" s="7" t="n"/>
      <c r="V2208" s="7" t="n"/>
      <c r="Y2208">
        <f>IF($D2208="","",IF($AN2208=1,0,IF($AM2208=1,Settings!$C$6,Settings!$C$7))*100)</f>
        <v/>
      </c>
      <c r="Z2208" s="7">
        <f>IF($D2208="","",V2208*Y2208/100)</f>
        <v/>
      </c>
      <c r="AA2208" s="7">
        <f>IF($D2208="","",V2208-Z2208)</f>
        <v/>
      </c>
      <c r="AB2208" s="7">
        <f>IF($D2208="","",AA2208-N2208)</f>
        <v/>
      </c>
      <c r="AF2208" s="7" t="n"/>
      <c r="AI2208" s="11" t="n"/>
      <c r="AK2208">
        <f>IF($D2208="","",IF(COUNTIF($D$2:$D2208,$D2208)=1,1,0))</f>
        <v/>
      </c>
      <c r="AL2208">
        <f>IF($AK2208=1,SUMPRODUCT(--($AO$2:$AO$3001&lt;$AO2208))+1,"")</f>
        <v/>
      </c>
      <c r="AM2208">
        <f>IF($D2208="","",IF(OR($R2208=TRUE(),$R2208="TRUE"),1,0))</f>
        <v/>
      </c>
      <c r="AN2208">
        <f>IF($D2208="","",IF($X2208="Yes",1,0))</f>
        <v/>
      </c>
      <c r="AO2208">
        <f>IF($AK2208=1,IFERROR(IF(VALUE($D2208)&lt;100000000,VALUE($D2208),1000000000),IFERROR(IF(VALUE(MID($D2208,2,20))&lt;100000000,VALUE(MID($D2208,2,20)),1000000000),1000000000))+ROW()/100000,"")</f>
        <v/>
      </c>
    </row>
    <row r="2209">
      <c r="F2209" s="11" t="n"/>
      <c r="N2209" s="7">
        <f>IF($D2209="","",M2209*V2209/100)</f>
        <v/>
      </c>
      <c r="O2209" s="7" t="n"/>
      <c r="U2209" s="7" t="n"/>
      <c r="V2209" s="7" t="n"/>
      <c r="Y2209">
        <f>IF($D2209="","",IF($AN2209=1,0,IF($AM2209=1,Settings!$C$6,Settings!$C$7))*100)</f>
        <v/>
      </c>
      <c r="Z2209" s="7">
        <f>IF($D2209="","",V2209*Y2209/100)</f>
        <v/>
      </c>
      <c r="AA2209" s="7">
        <f>IF($D2209="","",V2209-Z2209)</f>
        <v/>
      </c>
      <c r="AB2209" s="7">
        <f>IF($D2209="","",AA2209-N2209)</f>
        <v/>
      </c>
      <c r="AF2209" s="7" t="n"/>
      <c r="AI2209" s="11" t="n"/>
      <c r="AK2209">
        <f>IF($D2209="","",IF(COUNTIF($D$2:$D2209,$D2209)=1,1,0))</f>
        <v/>
      </c>
      <c r="AL2209">
        <f>IF($AK2209=1,SUMPRODUCT(--($AO$2:$AO$3001&lt;$AO2209))+1,"")</f>
        <v/>
      </c>
      <c r="AM2209">
        <f>IF($D2209="","",IF(OR($R2209=TRUE(),$R2209="TRUE"),1,0))</f>
        <v/>
      </c>
      <c r="AN2209">
        <f>IF($D2209="","",IF($X2209="Yes",1,0))</f>
        <v/>
      </c>
      <c r="AO2209">
        <f>IF($AK2209=1,IFERROR(IF(VALUE($D2209)&lt;100000000,VALUE($D2209),1000000000),IFERROR(IF(VALUE(MID($D2209,2,20))&lt;100000000,VALUE(MID($D2209,2,20)),1000000000),1000000000))+ROW()/100000,"")</f>
        <v/>
      </c>
    </row>
    <row r="2210">
      <c r="F2210" s="11" t="n"/>
      <c r="N2210" s="7">
        <f>IF($D2210="","",M2210*V2210/100)</f>
        <v/>
      </c>
      <c r="O2210" s="7" t="n"/>
      <c r="U2210" s="7" t="n"/>
      <c r="V2210" s="7" t="n"/>
      <c r="Y2210">
        <f>IF($D2210="","",IF($AN2210=1,0,IF($AM2210=1,Settings!$C$6,Settings!$C$7))*100)</f>
        <v/>
      </c>
      <c r="Z2210" s="7">
        <f>IF($D2210="","",V2210*Y2210/100)</f>
        <v/>
      </c>
      <c r="AA2210" s="7">
        <f>IF($D2210="","",V2210-Z2210)</f>
        <v/>
      </c>
      <c r="AB2210" s="7">
        <f>IF($D2210="","",AA2210-N2210)</f>
        <v/>
      </c>
      <c r="AF2210" s="7" t="n"/>
      <c r="AI2210" s="11" t="n"/>
      <c r="AK2210">
        <f>IF($D2210="","",IF(COUNTIF($D$2:$D2210,$D2210)=1,1,0))</f>
        <v/>
      </c>
      <c r="AL2210">
        <f>IF($AK2210=1,SUMPRODUCT(--($AO$2:$AO$3001&lt;$AO2210))+1,"")</f>
        <v/>
      </c>
      <c r="AM2210">
        <f>IF($D2210="","",IF(OR($R2210=TRUE(),$R2210="TRUE"),1,0))</f>
        <v/>
      </c>
      <c r="AN2210">
        <f>IF($D2210="","",IF($X2210="Yes",1,0))</f>
        <v/>
      </c>
      <c r="AO2210">
        <f>IF($AK2210=1,IFERROR(IF(VALUE($D2210)&lt;100000000,VALUE($D2210),1000000000),IFERROR(IF(VALUE(MID($D2210,2,20))&lt;100000000,VALUE(MID($D2210,2,20)),1000000000),1000000000))+ROW()/100000,"")</f>
        <v/>
      </c>
    </row>
    <row r="2211">
      <c r="F2211" s="11" t="n"/>
      <c r="N2211" s="7">
        <f>IF($D2211="","",M2211*V2211/100)</f>
        <v/>
      </c>
      <c r="O2211" s="7" t="n"/>
      <c r="U2211" s="7" t="n"/>
      <c r="V2211" s="7" t="n"/>
      <c r="Y2211">
        <f>IF($D2211="","",IF($AN2211=1,0,IF($AM2211=1,Settings!$C$6,Settings!$C$7))*100)</f>
        <v/>
      </c>
      <c r="Z2211" s="7">
        <f>IF($D2211="","",V2211*Y2211/100)</f>
        <v/>
      </c>
      <c r="AA2211" s="7">
        <f>IF($D2211="","",V2211-Z2211)</f>
        <v/>
      </c>
      <c r="AB2211" s="7">
        <f>IF($D2211="","",AA2211-N2211)</f>
        <v/>
      </c>
      <c r="AF2211" s="7" t="n"/>
      <c r="AI2211" s="11" t="n"/>
      <c r="AK2211">
        <f>IF($D2211="","",IF(COUNTIF($D$2:$D2211,$D2211)=1,1,0))</f>
        <v/>
      </c>
      <c r="AL2211">
        <f>IF($AK2211=1,SUMPRODUCT(--($AO$2:$AO$3001&lt;$AO2211))+1,"")</f>
        <v/>
      </c>
      <c r="AM2211">
        <f>IF($D2211="","",IF(OR($R2211=TRUE(),$R2211="TRUE"),1,0))</f>
        <v/>
      </c>
      <c r="AN2211">
        <f>IF($D2211="","",IF($X2211="Yes",1,0))</f>
        <v/>
      </c>
      <c r="AO2211">
        <f>IF($AK2211=1,IFERROR(IF(VALUE($D2211)&lt;100000000,VALUE($D2211),1000000000),IFERROR(IF(VALUE(MID($D2211,2,20))&lt;100000000,VALUE(MID($D2211,2,20)),1000000000),1000000000))+ROW()/100000,"")</f>
        <v/>
      </c>
    </row>
    <row r="2212">
      <c r="F2212" s="11" t="n"/>
      <c r="N2212" s="7">
        <f>IF($D2212="","",M2212*V2212/100)</f>
        <v/>
      </c>
      <c r="O2212" s="7" t="n"/>
      <c r="U2212" s="7" t="n"/>
      <c r="V2212" s="7" t="n"/>
      <c r="Y2212">
        <f>IF($D2212="","",IF($AN2212=1,0,IF($AM2212=1,Settings!$C$6,Settings!$C$7))*100)</f>
        <v/>
      </c>
      <c r="Z2212" s="7">
        <f>IF($D2212="","",V2212*Y2212/100)</f>
        <v/>
      </c>
      <c r="AA2212" s="7">
        <f>IF($D2212="","",V2212-Z2212)</f>
        <v/>
      </c>
      <c r="AB2212" s="7">
        <f>IF($D2212="","",AA2212-N2212)</f>
        <v/>
      </c>
      <c r="AF2212" s="7" t="n"/>
      <c r="AI2212" s="11" t="n"/>
      <c r="AK2212">
        <f>IF($D2212="","",IF(COUNTIF($D$2:$D2212,$D2212)=1,1,0))</f>
        <v/>
      </c>
      <c r="AL2212">
        <f>IF($AK2212=1,SUMPRODUCT(--($AO$2:$AO$3001&lt;$AO2212))+1,"")</f>
        <v/>
      </c>
      <c r="AM2212">
        <f>IF($D2212="","",IF(OR($R2212=TRUE(),$R2212="TRUE"),1,0))</f>
        <v/>
      </c>
      <c r="AN2212">
        <f>IF($D2212="","",IF($X2212="Yes",1,0))</f>
        <v/>
      </c>
      <c r="AO2212">
        <f>IF($AK2212=1,IFERROR(IF(VALUE($D2212)&lt;100000000,VALUE($D2212),1000000000),IFERROR(IF(VALUE(MID($D2212,2,20))&lt;100000000,VALUE(MID($D2212,2,20)),1000000000),1000000000))+ROW()/100000,"")</f>
        <v/>
      </c>
    </row>
    <row r="2213">
      <c r="F2213" s="11" t="n"/>
      <c r="N2213" s="7">
        <f>IF($D2213="","",M2213*V2213/100)</f>
        <v/>
      </c>
      <c r="O2213" s="7" t="n"/>
      <c r="U2213" s="7" t="n"/>
      <c r="V2213" s="7" t="n"/>
      <c r="Y2213">
        <f>IF($D2213="","",IF($AN2213=1,0,IF($AM2213=1,Settings!$C$6,Settings!$C$7))*100)</f>
        <v/>
      </c>
      <c r="Z2213" s="7">
        <f>IF($D2213="","",V2213*Y2213/100)</f>
        <v/>
      </c>
      <c r="AA2213" s="7">
        <f>IF($D2213="","",V2213-Z2213)</f>
        <v/>
      </c>
      <c r="AB2213" s="7">
        <f>IF($D2213="","",AA2213-N2213)</f>
        <v/>
      </c>
      <c r="AF2213" s="7" t="n"/>
      <c r="AI2213" s="11" t="n"/>
      <c r="AK2213">
        <f>IF($D2213="","",IF(COUNTIF($D$2:$D2213,$D2213)=1,1,0))</f>
        <v/>
      </c>
      <c r="AL2213">
        <f>IF($AK2213=1,SUMPRODUCT(--($AO$2:$AO$3001&lt;$AO2213))+1,"")</f>
        <v/>
      </c>
      <c r="AM2213">
        <f>IF($D2213="","",IF(OR($R2213=TRUE(),$R2213="TRUE"),1,0))</f>
        <v/>
      </c>
      <c r="AN2213">
        <f>IF($D2213="","",IF($X2213="Yes",1,0))</f>
        <v/>
      </c>
      <c r="AO2213">
        <f>IF($AK2213=1,IFERROR(IF(VALUE($D2213)&lt;100000000,VALUE($D2213),1000000000),IFERROR(IF(VALUE(MID($D2213,2,20))&lt;100000000,VALUE(MID($D2213,2,20)),1000000000),1000000000))+ROW()/100000,"")</f>
        <v/>
      </c>
    </row>
    <row r="2214">
      <c r="F2214" s="11" t="n"/>
      <c r="N2214" s="7">
        <f>IF($D2214="","",M2214*V2214/100)</f>
        <v/>
      </c>
      <c r="O2214" s="7" t="n"/>
      <c r="U2214" s="7" t="n"/>
      <c r="V2214" s="7" t="n"/>
      <c r="Y2214">
        <f>IF($D2214="","",IF($AN2214=1,0,IF($AM2214=1,Settings!$C$6,Settings!$C$7))*100)</f>
        <v/>
      </c>
      <c r="Z2214" s="7">
        <f>IF($D2214="","",V2214*Y2214/100)</f>
        <v/>
      </c>
      <c r="AA2214" s="7">
        <f>IF($D2214="","",V2214-Z2214)</f>
        <v/>
      </c>
      <c r="AB2214" s="7">
        <f>IF($D2214="","",AA2214-N2214)</f>
        <v/>
      </c>
      <c r="AF2214" s="7" t="n"/>
      <c r="AI2214" s="11" t="n"/>
      <c r="AK2214">
        <f>IF($D2214="","",IF(COUNTIF($D$2:$D2214,$D2214)=1,1,0))</f>
        <v/>
      </c>
      <c r="AL2214">
        <f>IF($AK2214=1,SUMPRODUCT(--($AO$2:$AO$3001&lt;$AO2214))+1,"")</f>
        <v/>
      </c>
      <c r="AM2214">
        <f>IF($D2214="","",IF(OR($R2214=TRUE(),$R2214="TRUE"),1,0))</f>
        <v/>
      </c>
      <c r="AN2214">
        <f>IF($D2214="","",IF($X2214="Yes",1,0))</f>
        <v/>
      </c>
      <c r="AO2214">
        <f>IF($AK2214=1,IFERROR(IF(VALUE($D2214)&lt;100000000,VALUE($D2214),1000000000),IFERROR(IF(VALUE(MID($D2214,2,20))&lt;100000000,VALUE(MID($D2214,2,20)),1000000000),1000000000))+ROW()/100000,"")</f>
        <v/>
      </c>
    </row>
    <row r="2215">
      <c r="F2215" s="11" t="n"/>
      <c r="N2215" s="7">
        <f>IF($D2215="","",M2215*V2215/100)</f>
        <v/>
      </c>
      <c r="O2215" s="7" t="n"/>
      <c r="U2215" s="7" t="n"/>
      <c r="V2215" s="7" t="n"/>
      <c r="Y2215">
        <f>IF($D2215="","",IF($AN2215=1,0,IF($AM2215=1,Settings!$C$6,Settings!$C$7))*100)</f>
        <v/>
      </c>
      <c r="Z2215" s="7">
        <f>IF($D2215="","",V2215*Y2215/100)</f>
        <v/>
      </c>
      <c r="AA2215" s="7">
        <f>IF($D2215="","",V2215-Z2215)</f>
        <v/>
      </c>
      <c r="AB2215" s="7">
        <f>IF($D2215="","",AA2215-N2215)</f>
        <v/>
      </c>
      <c r="AF2215" s="7" t="n"/>
      <c r="AI2215" s="11" t="n"/>
      <c r="AK2215">
        <f>IF($D2215="","",IF(COUNTIF($D$2:$D2215,$D2215)=1,1,0))</f>
        <v/>
      </c>
      <c r="AL2215">
        <f>IF($AK2215=1,SUMPRODUCT(--($AO$2:$AO$3001&lt;$AO2215))+1,"")</f>
        <v/>
      </c>
      <c r="AM2215">
        <f>IF($D2215="","",IF(OR($R2215=TRUE(),$R2215="TRUE"),1,0))</f>
        <v/>
      </c>
      <c r="AN2215">
        <f>IF($D2215="","",IF($X2215="Yes",1,0))</f>
        <v/>
      </c>
      <c r="AO2215">
        <f>IF($AK2215=1,IFERROR(IF(VALUE($D2215)&lt;100000000,VALUE($D2215),1000000000),IFERROR(IF(VALUE(MID($D2215,2,20))&lt;100000000,VALUE(MID($D2215,2,20)),1000000000),1000000000))+ROW()/100000,"")</f>
        <v/>
      </c>
    </row>
    <row r="2216">
      <c r="F2216" s="11" t="n"/>
      <c r="N2216" s="7">
        <f>IF($D2216="","",M2216*V2216/100)</f>
        <v/>
      </c>
      <c r="O2216" s="7" t="n"/>
      <c r="U2216" s="7" t="n"/>
      <c r="V2216" s="7" t="n"/>
      <c r="Y2216">
        <f>IF($D2216="","",IF($AN2216=1,0,IF($AM2216=1,Settings!$C$6,Settings!$C$7))*100)</f>
        <v/>
      </c>
      <c r="Z2216" s="7">
        <f>IF($D2216="","",V2216*Y2216/100)</f>
        <v/>
      </c>
      <c r="AA2216" s="7">
        <f>IF($D2216="","",V2216-Z2216)</f>
        <v/>
      </c>
      <c r="AB2216" s="7">
        <f>IF($D2216="","",AA2216-N2216)</f>
        <v/>
      </c>
      <c r="AF2216" s="7" t="n"/>
      <c r="AI2216" s="11" t="n"/>
      <c r="AK2216">
        <f>IF($D2216="","",IF(COUNTIF($D$2:$D2216,$D2216)=1,1,0))</f>
        <v/>
      </c>
      <c r="AL2216">
        <f>IF($AK2216=1,SUMPRODUCT(--($AO$2:$AO$3001&lt;$AO2216))+1,"")</f>
        <v/>
      </c>
      <c r="AM2216">
        <f>IF($D2216="","",IF(OR($R2216=TRUE(),$R2216="TRUE"),1,0))</f>
        <v/>
      </c>
      <c r="AN2216">
        <f>IF($D2216="","",IF($X2216="Yes",1,0))</f>
        <v/>
      </c>
      <c r="AO2216">
        <f>IF($AK2216=1,IFERROR(IF(VALUE($D2216)&lt;100000000,VALUE($D2216),1000000000),IFERROR(IF(VALUE(MID($D2216,2,20))&lt;100000000,VALUE(MID($D2216,2,20)),1000000000),1000000000))+ROW()/100000,"")</f>
        <v/>
      </c>
    </row>
    <row r="2217">
      <c r="F2217" s="11" t="n"/>
      <c r="N2217" s="7">
        <f>IF($D2217="","",M2217*V2217/100)</f>
        <v/>
      </c>
      <c r="O2217" s="7" t="n"/>
      <c r="U2217" s="7" t="n"/>
      <c r="V2217" s="7" t="n"/>
      <c r="Y2217">
        <f>IF($D2217="","",IF($AN2217=1,0,IF($AM2217=1,Settings!$C$6,Settings!$C$7))*100)</f>
        <v/>
      </c>
      <c r="Z2217" s="7">
        <f>IF($D2217="","",V2217*Y2217/100)</f>
        <v/>
      </c>
      <c r="AA2217" s="7">
        <f>IF($D2217="","",V2217-Z2217)</f>
        <v/>
      </c>
      <c r="AB2217" s="7">
        <f>IF($D2217="","",AA2217-N2217)</f>
        <v/>
      </c>
      <c r="AF2217" s="7" t="n"/>
      <c r="AI2217" s="11" t="n"/>
      <c r="AK2217">
        <f>IF($D2217="","",IF(COUNTIF($D$2:$D2217,$D2217)=1,1,0))</f>
        <v/>
      </c>
      <c r="AL2217">
        <f>IF($AK2217=1,SUMPRODUCT(--($AO$2:$AO$3001&lt;$AO2217))+1,"")</f>
        <v/>
      </c>
      <c r="AM2217">
        <f>IF($D2217="","",IF(OR($R2217=TRUE(),$R2217="TRUE"),1,0))</f>
        <v/>
      </c>
      <c r="AN2217">
        <f>IF($D2217="","",IF($X2217="Yes",1,0))</f>
        <v/>
      </c>
      <c r="AO2217">
        <f>IF($AK2217=1,IFERROR(IF(VALUE($D2217)&lt;100000000,VALUE($D2217),1000000000),IFERROR(IF(VALUE(MID($D2217,2,20))&lt;100000000,VALUE(MID($D2217,2,20)),1000000000),1000000000))+ROW()/100000,"")</f>
        <v/>
      </c>
    </row>
    <row r="2218">
      <c r="F2218" s="11" t="n"/>
      <c r="N2218" s="7">
        <f>IF($D2218="","",M2218*V2218/100)</f>
        <v/>
      </c>
      <c r="O2218" s="7" t="n"/>
      <c r="U2218" s="7" t="n"/>
      <c r="V2218" s="7" t="n"/>
      <c r="Y2218">
        <f>IF($D2218="","",IF($AN2218=1,0,IF($AM2218=1,Settings!$C$6,Settings!$C$7))*100)</f>
        <v/>
      </c>
      <c r="Z2218" s="7">
        <f>IF($D2218="","",V2218*Y2218/100)</f>
        <v/>
      </c>
      <c r="AA2218" s="7">
        <f>IF($D2218="","",V2218-Z2218)</f>
        <v/>
      </c>
      <c r="AB2218" s="7">
        <f>IF($D2218="","",AA2218-N2218)</f>
        <v/>
      </c>
      <c r="AF2218" s="7" t="n"/>
      <c r="AI2218" s="11" t="n"/>
      <c r="AK2218">
        <f>IF($D2218="","",IF(COUNTIF($D$2:$D2218,$D2218)=1,1,0))</f>
        <v/>
      </c>
      <c r="AL2218">
        <f>IF($AK2218=1,SUMPRODUCT(--($AO$2:$AO$3001&lt;$AO2218))+1,"")</f>
        <v/>
      </c>
      <c r="AM2218">
        <f>IF($D2218="","",IF(OR($R2218=TRUE(),$R2218="TRUE"),1,0))</f>
        <v/>
      </c>
      <c r="AN2218">
        <f>IF($D2218="","",IF($X2218="Yes",1,0))</f>
        <v/>
      </c>
      <c r="AO2218">
        <f>IF($AK2218=1,IFERROR(IF(VALUE($D2218)&lt;100000000,VALUE($D2218),1000000000),IFERROR(IF(VALUE(MID($D2218,2,20))&lt;100000000,VALUE(MID($D2218,2,20)),1000000000),1000000000))+ROW()/100000,"")</f>
        <v/>
      </c>
    </row>
    <row r="2219">
      <c r="F2219" s="11" t="n"/>
      <c r="N2219" s="7">
        <f>IF($D2219="","",M2219*V2219/100)</f>
        <v/>
      </c>
      <c r="O2219" s="7" t="n"/>
      <c r="U2219" s="7" t="n"/>
      <c r="V2219" s="7" t="n"/>
      <c r="Y2219">
        <f>IF($D2219="","",IF($AN2219=1,0,IF($AM2219=1,Settings!$C$6,Settings!$C$7))*100)</f>
        <v/>
      </c>
      <c r="Z2219" s="7">
        <f>IF($D2219="","",V2219*Y2219/100)</f>
        <v/>
      </c>
      <c r="AA2219" s="7">
        <f>IF($D2219="","",V2219-Z2219)</f>
        <v/>
      </c>
      <c r="AB2219" s="7">
        <f>IF($D2219="","",AA2219-N2219)</f>
        <v/>
      </c>
      <c r="AF2219" s="7" t="n"/>
      <c r="AI2219" s="11" t="n"/>
      <c r="AK2219">
        <f>IF($D2219="","",IF(COUNTIF($D$2:$D2219,$D2219)=1,1,0))</f>
        <v/>
      </c>
      <c r="AL2219">
        <f>IF($AK2219=1,SUMPRODUCT(--($AO$2:$AO$3001&lt;$AO2219))+1,"")</f>
        <v/>
      </c>
      <c r="AM2219">
        <f>IF($D2219="","",IF(OR($R2219=TRUE(),$R2219="TRUE"),1,0))</f>
        <v/>
      </c>
      <c r="AN2219">
        <f>IF($D2219="","",IF($X2219="Yes",1,0))</f>
        <v/>
      </c>
      <c r="AO2219">
        <f>IF($AK2219=1,IFERROR(IF(VALUE($D2219)&lt;100000000,VALUE($D2219),1000000000),IFERROR(IF(VALUE(MID($D2219,2,20))&lt;100000000,VALUE(MID($D2219,2,20)),1000000000),1000000000))+ROW()/100000,"")</f>
        <v/>
      </c>
    </row>
    <row r="2220">
      <c r="F2220" s="11" t="n"/>
      <c r="N2220" s="7">
        <f>IF($D2220="","",M2220*V2220/100)</f>
        <v/>
      </c>
      <c r="O2220" s="7" t="n"/>
      <c r="U2220" s="7" t="n"/>
      <c r="V2220" s="7" t="n"/>
      <c r="Y2220">
        <f>IF($D2220="","",IF($AN2220=1,0,IF($AM2220=1,Settings!$C$6,Settings!$C$7))*100)</f>
        <v/>
      </c>
      <c r="Z2220" s="7">
        <f>IF($D2220="","",V2220*Y2220/100)</f>
        <v/>
      </c>
      <c r="AA2220" s="7">
        <f>IF($D2220="","",V2220-Z2220)</f>
        <v/>
      </c>
      <c r="AB2220" s="7">
        <f>IF($D2220="","",AA2220-N2220)</f>
        <v/>
      </c>
      <c r="AF2220" s="7" t="n"/>
      <c r="AI2220" s="11" t="n"/>
      <c r="AK2220">
        <f>IF($D2220="","",IF(COUNTIF($D$2:$D2220,$D2220)=1,1,0))</f>
        <v/>
      </c>
      <c r="AL2220">
        <f>IF($AK2220=1,SUMPRODUCT(--($AO$2:$AO$3001&lt;$AO2220))+1,"")</f>
        <v/>
      </c>
      <c r="AM2220">
        <f>IF($D2220="","",IF(OR($R2220=TRUE(),$R2220="TRUE"),1,0))</f>
        <v/>
      </c>
      <c r="AN2220">
        <f>IF($D2220="","",IF($X2220="Yes",1,0))</f>
        <v/>
      </c>
      <c r="AO2220">
        <f>IF($AK2220=1,IFERROR(IF(VALUE($D2220)&lt;100000000,VALUE($D2220),1000000000),IFERROR(IF(VALUE(MID($D2220,2,20))&lt;100000000,VALUE(MID($D2220,2,20)),1000000000),1000000000))+ROW()/100000,"")</f>
        <v/>
      </c>
    </row>
    <row r="2221">
      <c r="F2221" s="11" t="n"/>
      <c r="N2221" s="7">
        <f>IF($D2221="","",M2221*V2221/100)</f>
        <v/>
      </c>
      <c r="O2221" s="7" t="n"/>
      <c r="U2221" s="7" t="n"/>
      <c r="V2221" s="7" t="n"/>
      <c r="Y2221">
        <f>IF($D2221="","",IF($AN2221=1,0,IF($AM2221=1,Settings!$C$6,Settings!$C$7))*100)</f>
        <v/>
      </c>
      <c r="Z2221" s="7">
        <f>IF($D2221="","",V2221*Y2221/100)</f>
        <v/>
      </c>
      <c r="AA2221" s="7">
        <f>IF($D2221="","",V2221-Z2221)</f>
        <v/>
      </c>
      <c r="AB2221" s="7">
        <f>IF($D2221="","",AA2221-N2221)</f>
        <v/>
      </c>
      <c r="AF2221" s="7" t="n"/>
      <c r="AI2221" s="11" t="n"/>
      <c r="AK2221">
        <f>IF($D2221="","",IF(COUNTIF($D$2:$D2221,$D2221)=1,1,0))</f>
        <v/>
      </c>
      <c r="AL2221">
        <f>IF($AK2221=1,SUMPRODUCT(--($AO$2:$AO$3001&lt;$AO2221))+1,"")</f>
        <v/>
      </c>
      <c r="AM2221">
        <f>IF($D2221="","",IF(OR($R2221=TRUE(),$R2221="TRUE"),1,0))</f>
        <v/>
      </c>
      <c r="AN2221">
        <f>IF($D2221="","",IF($X2221="Yes",1,0))</f>
        <v/>
      </c>
      <c r="AO2221">
        <f>IF($AK2221=1,IFERROR(IF(VALUE($D2221)&lt;100000000,VALUE($D2221),1000000000),IFERROR(IF(VALUE(MID($D2221,2,20))&lt;100000000,VALUE(MID($D2221,2,20)),1000000000),1000000000))+ROW()/100000,"")</f>
        <v/>
      </c>
    </row>
    <row r="2222">
      <c r="F2222" s="11" t="n"/>
      <c r="N2222" s="7">
        <f>IF($D2222="","",M2222*V2222/100)</f>
        <v/>
      </c>
      <c r="O2222" s="7" t="n"/>
      <c r="U2222" s="7" t="n"/>
      <c r="V2222" s="7" t="n"/>
      <c r="Y2222">
        <f>IF($D2222="","",IF($AN2222=1,0,IF($AM2222=1,Settings!$C$6,Settings!$C$7))*100)</f>
        <v/>
      </c>
      <c r="Z2222" s="7">
        <f>IF($D2222="","",V2222*Y2222/100)</f>
        <v/>
      </c>
      <c r="AA2222" s="7">
        <f>IF($D2222="","",V2222-Z2222)</f>
        <v/>
      </c>
      <c r="AB2222" s="7">
        <f>IF($D2222="","",AA2222-N2222)</f>
        <v/>
      </c>
      <c r="AF2222" s="7" t="n"/>
      <c r="AI2222" s="11" t="n"/>
      <c r="AK2222">
        <f>IF($D2222="","",IF(COUNTIF($D$2:$D2222,$D2222)=1,1,0))</f>
        <v/>
      </c>
      <c r="AL2222">
        <f>IF($AK2222=1,SUMPRODUCT(--($AO$2:$AO$3001&lt;$AO2222))+1,"")</f>
        <v/>
      </c>
      <c r="AM2222">
        <f>IF($D2222="","",IF(OR($R2222=TRUE(),$R2222="TRUE"),1,0))</f>
        <v/>
      </c>
      <c r="AN2222">
        <f>IF($D2222="","",IF($X2222="Yes",1,0))</f>
        <v/>
      </c>
      <c r="AO2222">
        <f>IF($AK2222=1,IFERROR(IF(VALUE($D2222)&lt;100000000,VALUE($D2222),1000000000),IFERROR(IF(VALUE(MID($D2222,2,20))&lt;100000000,VALUE(MID($D2222,2,20)),1000000000),1000000000))+ROW()/100000,"")</f>
        <v/>
      </c>
    </row>
    <row r="2223">
      <c r="F2223" s="11" t="n"/>
      <c r="N2223" s="7">
        <f>IF($D2223="","",M2223*V2223/100)</f>
        <v/>
      </c>
      <c r="O2223" s="7" t="n"/>
      <c r="U2223" s="7" t="n"/>
      <c r="V2223" s="7" t="n"/>
      <c r="Y2223">
        <f>IF($D2223="","",IF($AN2223=1,0,IF($AM2223=1,Settings!$C$6,Settings!$C$7))*100)</f>
        <v/>
      </c>
      <c r="Z2223" s="7">
        <f>IF($D2223="","",V2223*Y2223/100)</f>
        <v/>
      </c>
      <c r="AA2223" s="7">
        <f>IF($D2223="","",V2223-Z2223)</f>
        <v/>
      </c>
      <c r="AB2223" s="7">
        <f>IF($D2223="","",AA2223-N2223)</f>
        <v/>
      </c>
      <c r="AF2223" s="7" t="n"/>
      <c r="AI2223" s="11" t="n"/>
      <c r="AK2223">
        <f>IF($D2223="","",IF(COUNTIF($D$2:$D2223,$D2223)=1,1,0))</f>
        <v/>
      </c>
      <c r="AL2223">
        <f>IF($AK2223=1,SUMPRODUCT(--($AO$2:$AO$3001&lt;$AO2223))+1,"")</f>
        <v/>
      </c>
      <c r="AM2223">
        <f>IF($D2223="","",IF(OR($R2223=TRUE(),$R2223="TRUE"),1,0))</f>
        <v/>
      </c>
      <c r="AN2223">
        <f>IF($D2223="","",IF($X2223="Yes",1,0))</f>
        <v/>
      </c>
      <c r="AO2223">
        <f>IF($AK2223=1,IFERROR(IF(VALUE($D2223)&lt;100000000,VALUE($D2223),1000000000),IFERROR(IF(VALUE(MID($D2223,2,20))&lt;100000000,VALUE(MID($D2223,2,20)),1000000000),1000000000))+ROW()/100000,"")</f>
        <v/>
      </c>
    </row>
    <row r="2224">
      <c r="F2224" s="11" t="n"/>
      <c r="N2224" s="7">
        <f>IF($D2224="","",M2224*V2224/100)</f>
        <v/>
      </c>
      <c r="O2224" s="7" t="n"/>
      <c r="U2224" s="7" t="n"/>
      <c r="V2224" s="7" t="n"/>
      <c r="Y2224">
        <f>IF($D2224="","",IF($AN2224=1,0,IF($AM2224=1,Settings!$C$6,Settings!$C$7))*100)</f>
        <v/>
      </c>
      <c r="Z2224" s="7">
        <f>IF($D2224="","",V2224*Y2224/100)</f>
        <v/>
      </c>
      <c r="AA2224" s="7">
        <f>IF($D2224="","",V2224-Z2224)</f>
        <v/>
      </c>
      <c r="AB2224" s="7">
        <f>IF($D2224="","",AA2224-N2224)</f>
        <v/>
      </c>
      <c r="AF2224" s="7" t="n"/>
      <c r="AI2224" s="11" t="n"/>
      <c r="AK2224">
        <f>IF($D2224="","",IF(COUNTIF($D$2:$D2224,$D2224)=1,1,0))</f>
        <v/>
      </c>
      <c r="AL2224">
        <f>IF($AK2224=1,SUMPRODUCT(--($AO$2:$AO$3001&lt;$AO2224))+1,"")</f>
        <v/>
      </c>
      <c r="AM2224">
        <f>IF($D2224="","",IF(OR($R2224=TRUE(),$R2224="TRUE"),1,0))</f>
        <v/>
      </c>
      <c r="AN2224">
        <f>IF($D2224="","",IF($X2224="Yes",1,0))</f>
        <v/>
      </c>
      <c r="AO2224">
        <f>IF($AK2224=1,IFERROR(IF(VALUE($D2224)&lt;100000000,VALUE($D2224),1000000000),IFERROR(IF(VALUE(MID($D2224,2,20))&lt;100000000,VALUE(MID($D2224,2,20)),1000000000),1000000000))+ROW()/100000,"")</f>
        <v/>
      </c>
    </row>
    <row r="2225">
      <c r="F2225" s="11" t="n"/>
      <c r="N2225" s="7">
        <f>IF($D2225="","",M2225*V2225/100)</f>
        <v/>
      </c>
      <c r="O2225" s="7" t="n"/>
      <c r="U2225" s="7" t="n"/>
      <c r="V2225" s="7" t="n"/>
      <c r="Y2225">
        <f>IF($D2225="","",IF($AN2225=1,0,IF($AM2225=1,Settings!$C$6,Settings!$C$7))*100)</f>
        <v/>
      </c>
      <c r="Z2225" s="7">
        <f>IF($D2225="","",V2225*Y2225/100)</f>
        <v/>
      </c>
      <c r="AA2225" s="7">
        <f>IF($D2225="","",V2225-Z2225)</f>
        <v/>
      </c>
      <c r="AB2225" s="7">
        <f>IF($D2225="","",AA2225-N2225)</f>
        <v/>
      </c>
      <c r="AF2225" s="7" t="n"/>
      <c r="AI2225" s="11" t="n"/>
      <c r="AK2225">
        <f>IF($D2225="","",IF(COUNTIF($D$2:$D2225,$D2225)=1,1,0))</f>
        <v/>
      </c>
      <c r="AL2225">
        <f>IF($AK2225=1,SUMPRODUCT(--($AO$2:$AO$3001&lt;$AO2225))+1,"")</f>
        <v/>
      </c>
      <c r="AM2225">
        <f>IF($D2225="","",IF(OR($R2225=TRUE(),$R2225="TRUE"),1,0))</f>
        <v/>
      </c>
      <c r="AN2225">
        <f>IF($D2225="","",IF($X2225="Yes",1,0))</f>
        <v/>
      </c>
      <c r="AO2225">
        <f>IF($AK2225=1,IFERROR(IF(VALUE($D2225)&lt;100000000,VALUE($D2225),1000000000),IFERROR(IF(VALUE(MID($D2225,2,20))&lt;100000000,VALUE(MID($D2225,2,20)),1000000000),1000000000))+ROW()/100000,"")</f>
        <v/>
      </c>
    </row>
    <row r="2226">
      <c r="F2226" s="11" t="n"/>
      <c r="N2226" s="7">
        <f>IF($D2226="","",M2226*V2226/100)</f>
        <v/>
      </c>
      <c r="O2226" s="7" t="n"/>
      <c r="U2226" s="7" t="n"/>
      <c r="V2226" s="7" t="n"/>
      <c r="Y2226">
        <f>IF($D2226="","",IF($AN2226=1,0,IF($AM2226=1,Settings!$C$6,Settings!$C$7))*100)</f>
        <v/>
      </c>
      <c r="Z2226" s="7">
        <f>IF($D2226="","",V2226*Y2226/100)</f>
        <v/>
      </c>
      <c r="AA2226" s="7">
        <f>IF($D2226="","",V2226-Z2226)</f>
        <v/>
      </c>
      <c r="AB2226" s="7">
        <f>IF($D2226="","",AA2226-N2226)</f>
        <v/>
      </c>
      <c r="AF2226" s="7" t="n"/>
      <c r="AI2226" s="11" t="n"/>
      <c r="AK2226">
        <f>IF($D2226="","",IF(COUNTIF($D$2:$D2226,$D2226)=1,1,0))</f>
        <v/>
      </c>
      <c r="AL2226">
        <f>IF($AK2226=1,SUMPRODUCT(--($AO$2:$AO$3001&lt;$AO2226))+1,"")</f>
        <v/>
      </c>
      <c r="AM2226">
        <f>IF($D2226="","",IF(OR($R2226=TRUE(),$R2226="TRUE"),1,0))</f>
        <v/>
      </c>
      <c r="AN2226">
        <f>IF($D2226="","",IF($X2226="Yes",1,0))</f>
        <v/>
      </c>
      <c r="AO2226">
        <f>IF($AK2226=1,IFERROR(IF(VALUE($D2226)&lt;100000000,VALUE($D2226),1000000000),IFERROR(IF(VALUE(MID($D2226,2,20))&lt;100000000,VALUE(MID($D2226,2,20)),1000000000),1000000000))+ROW()/100000,"")</f>
        <v/>
      </c>
    </row>
    <row r="2227">
      <c r="F2227" s="11" t="n"/>
      <c r="N2227" s="7">
        <f>IF($D2227="","",M2227*V2227/100)</f>
        <v/>
      </c>
      <c r="O2227" s="7" t="n"/>
      <c r="U2227" s="7" t="n"/>
      <c r="V2227" s="7" t="n"/>
      <c r="Y2227">
        <f>IF($D2227="","",IF($AN2227=1,0,IF($AM2227=1,Settings!$C$6,Settings!$C$7))*100)</f>
        <v/>
      </c>
      <c r="Z2227" s="7">
        <f>IF($D2227="","",V2227*Y2227/100)</f>
        <v/>
      </c>
      <c r="AA2227" s="7">
        <f>IF($D2227="","",V2227-Z2227)</f>
        <v/>
      </c>
      <c r="AB2227" s="7">
        <f>IF($D2227="","",AA2227-N2227)</f>
        <v/>
      </c>
      <c r="AF2227" s="7" t="n"/>
      <c r="AI2227" s="11" t="n"/>
      <c r="AK2227">
        <f>IF($D2227="","",IF(COUNTIF($D$2:$D2227,$D2227)=1,1,0))</f>
        <v/>
      </c>
      <c r="AL2227">
        <f>IF($AK2227=1,SUMPRODUCT(--($AO$2:$AO$3001&lt;$AO2227))+1,"")</f>
        <v/>
      </c>
      <c r="AM2227">
        <f>IF($D2227="","",IF(OR($R2227=TRUE(),$R2227="TRUE"),1,0))</f>
        <v/>
      </c>
      <c r="AN2227">
        <f>IF($D2227="","",IF($X2227="Yes",1,0))</f>
        <v/>
      </c>
      <c r="AO2227">
        <f>IF($AK2227=1,IFERROR(IF(VALUE($D2227)&lt;100000000,VALUE($D2227),1000000000),IFERROR(IF(VALUE(MID($D2227,2,20))&lt;100000000,VALUE(MID($D2227,2,20)),1000000000),1000000000))+ROW()/100000,"")</f>
        <v/>
      </c>
    </row>
    <row r="2228">
      <c r="F2228" s="11" t="n"/>
      <c r="N2228" s="7">
        <f>IF($D2228="","",M2228*V2228/100)</f>
        <v/>
      </c>
      <c r="O2228" s="7" t="n"/>
      <c r="U2228" s="7" t="n"/>
      <c r="V2228" s="7" t="n"/>
      <c r="Y2228">
        <f>IF($D2228="","",IF($AN2228=1,0,IF($AM2228=1,Settings!$C$6,Settings!$C$7))*100)</f>
        <v/>
      </c>
      <c r="Z2228" s="7">
        <f>IF($D2228="","",V2228*Y2228/100)</f>
        <v/>
      </c>
      <c r="AA2228" s="7">
        <f>IF($D2228="","",V2228-Z2228)</f>
        <v/>
      </c>
      <c r="AB2228" s="7">
        <f>IF($D2228="","",AA2228-N2228)</f>
        <v/>
      </c>
      <c r="AF2228" s="7" t="n"/>
      <c r="AI2228" s="11" t="n"/>
      <c r="AK2228">
        <f>IF($D2228="","",IF(COUNTIF($D$2:$D2228,$D2228)=1,1,0))</f>
        <v/>
      </c>
      <c r="AL2228">
        <f>IF($AK2228=1,SUMPRODUCT(--($AO$2:$AO$3001&lt;$AO2228))+1,"")</f>
        <v/>
      </c>
      <c r="AM2228">
        <f>IF($D2228="","",IF(OR($R2228=TRUE(),$R2228="TRUE"),1,0))</f>
        <v/>
      </c>
      <c r="AN2228">
        <f>IF($D2228="","",IF($X2228="Yes",1,0))</f>
        <v/>
      </c>
      <c r="AO2228">
        <f>IF($AK2228=1,IFERROR(IF(VALUE($D2228)&lt;100000000,VALUE($D2228),1000000000),IFERROR(IF(VALUE(MID($D2228,2,20))&lt;100000000,VALUE(MID($D2228,2,20)),1000000000),1000000000))+ROW()/100000,"")</f>
        <v/>
      </c>
    </row>
    <row r="2229">
      <c r="F2229" s="11" t="n"/>
      <c r="N2229" s="7">
        <f>IF($D2229="","",M2229*V2229/100)</f>
        <v/>
      </c>
      <c r="O2229" s="7" t="n"/>
      <c r="U2229" s="7" t="n"/>
      <c r="V2229" s="7" t="n"/>
      <c r="Y2229">
        <f>IF($D2229="","",IF($AN2229=1,0,IF($AM2229=1,Settings!$C$6,Settings!$C$7))*100)</f>
        <v/>
      </c>
      <c r="Z2229" s="7">
        <f>IF($D2229="","",V2229*Y2229/100)</f>
        <v/>
      </c>
      <c r="AA2229" s="7">
        <f>IF($D2229="","",V2229-Z2229)</f>
        <v/>
      </c>
      <c r="AB2229" s="7">
        <f>IF($D2229="","",AA2229-N2229)</f>
        <v/>
      </c>
      <c r="AF2229" s="7" t="n"/>
      <c r="AI2229" s="11" t="n"/>
      <c r="AK2229">
        <f>IF($D2229="","",IF(COUNTIF($D$2:$D2229,$D2229)=1,1,0))</f>
        <v/>
      </c>
      <c r="AL2229">
        <f>IF($AK2229=1,SUMPRODUCT(--($AO$2:$AO$3001&lt;$AO2229))+1,"")</f>
        <v/>
      </c>
      <c r="AM2229">
        <f>IF($D2229="","",IF(OR($R2229=TRUE(),$R2229="TRUE"),1,0))</f>
        <v/>
      </c>
      <c r="AN2229">
        <f>IF($D2229="","",IF($X2229="Yes",1,0))</f>
        <v/>
      </c>
      <c r="AO2229">
        <f>IF($AK2229=1,IFERROR(IF(VALUE($D2229)&lt;100000000,VALUE($D2229),1000000000),IFERROR(IF(VALUE(MID($D2229,2,20))&lt;100000000,VALUE(MID($D2229,2,20)),1000000000),1000000000))+ROW()/100000,"")</f>
        <v/>
      </c>
    </row>
    <row r="2230">
      <c r="F2230" s="11" t="n"/>
      <c r="N2230" s="7">
        <f>IF($D2230="","",M2230*V2230/100)</f>
        <v/>
      </c>
      <c r="O2230" s="7" t="n"/>
      <c r="U2230" s="7" t="n"/>
      <c r="V2230" s="7" t="n"/>
      <c r="Y2230">
        <f>IF($D2230="","",IF($AN2230=1,0,IF($AM2230=1,Settings!$C$6,Settings!$C$7))*100)</f>
        <v/>
      </c>
      <c r="Z2230" s="7">
        <f>IF($D2230="","",V2230*Y2230/100)</f>
        <v/>
      </c>
      <c r="AA2230" s="7">
        <f>IF($D2230="","",V2230-Z2230)</f>
        <v/>
      </c>
      <c r="AB2230" s="7">
        <f>IF($D2230="","",AA2230-N2230)</f>
        <v/>
      </c>
      <c r="AF2230" s="7" t="n"/>
      <c r="AI2230" s="11" t="n"/>
      <c r="AK2230">
        <f>IF($D2230="","",IF(COUNTIF($D$2:$D2230,$D2230)=1,1,0))</f>
        <v/>
      </c>
      <c r="AL2230">
        <f>IF($AK2230=1,SUMPRODUCT(--($AO$2:$AO$3001&lt;$AO2230))+1,"")</f>
        <v/>
      </c>
      <c r="AM2230">
        <f>IF($D2230="","",IF(OR($R2230=TRUE(),$R2230="TRUE"),1,0))</f>
        <v/>
      </c>
      <c r="AN2230">
        <f>IF($D2230="","",IF($X2230="Yes",1,0))</f>
        <v/>
      </c>
      <c r="AO2230">
        <f>IF($AK2230=1,IFERROR(IF(VALUE($D2230)&lt;100000000,VALUE($D2230),1000000000),IFERROR(IF(VALUE(MID($D2230,2,20))&lt;100000000,VALUE(MID($D2230,2,20)),1000000000),1000000000))+ROW()/100000,"")</f>
        <v/>
      </c>
    </row>
    <row r="2231">
      <c r="F2231" s="11" t="n"/>
      <c r="N2231" s="7">
        <f>IF($D2231="","",M2231*V2231/100)</f>
        <v/>
      </c>
      <c r="O2231" s="7" t="n"/>
      <c r="U2231" s="7" t="n"/>
      <c r="V2231" s="7" t="n"/>
      <c r="Y2231">
        <f>IF($D2231="","",IF($AN2231=1,0,IF($AM2231=1,Settings!$C$6,Settings!$C$7))*100)</f>
        <v/>
      </c>
      <c r="Z2231" s="7">
        <f>IF($D2231="","",V2231*Y2231/100)</f>
        <v/>
      </c>
      <c r="AA2231" s="7">
        <f>IF($D2231="","",V2231-Z2231)</f>
        <v/>
      </c>
      <c r="AB2231" s="7">
        <f>IF($D2231="","",AA2231-N2231)</f>
        <v/>
      </c>
      <c r="AF2231" s="7" t="n"/>
      <c r="AI2231" s="11" t="n"/>
      <c r="AK2231">
        <f>IF($D2231="","",IF(COUNTIF($D$2:$D2231,$D2231)=1,1,0))</f>
        <v/>
      </c>
      <c r="AL2231">
        <f>IF($AK2231=1,SUMPRODUCT(--($AO$2:$AO$3001&lt;$AO2231))+1,"")</f>
        <v/>
      </c>
      <c r="AM2231">
        <f>IF($D2231="","",IF(OR($R2231=TRUE(),$R2231="TRUE"),1,0))</f>
        <v/>
      </c>
      <c r="AN2231">
        <f>IF($D2231="","",IF($X2231="Yes",1,0))</f>
        <v/>
      </c>
      <c r="AO2231">
        <f>IF($AK2231=1,IFERROR(IF(VALUE($D2231)&lt;100000000,VALUE($D2231),1000000000),IFERROR(IF(VALUE(MID($D2231,2,20))&lt;100000000,VALUE(MID($D2231,2,20)),1000000000),1000000000))+ROW()/100000,"")</f>
        <v/>
      </c>
    </row>
    <row r="2232">
      <c r="F2232" s="11" t="n"/>
      <c r="N2232" s="7">
        <f>IF($D2232="","",M2232*V2232/100)</f>
        <v/>
      </c>
      <c r="O2232" s="7" t="n"/>
      <c r="U2232" s="7" t="n"/>
      <c r="V2232" s="7" t="n"/>
      <c r="Y2232">
        <f>IF($D2232="","",IF($AN2232=1,0,IF($AM2232=1,Settings!$C$6,Settings!$C$7))*100)</f>
        <v/>
      </c>
      <c r="Z2232" s="7">
        <f>IF($D2232="","",V2232*Y2232/100)</f>
        <v/>
      </c>
      <c r="AA2232" s="7">
        <f>IF($D2232="","",V2232-Z2232)</f>
        <v/>
      </c>
      <c r="AB2232" s="7">
        <f>IF($D2232="","",AA2232-N2232)</f>
        <v/>
      </c>
      <c r="AF2232" s="7" t="n"/>
      <c r="AI2232" s="11" t="n"/>
      <c r="AK2232">
        <f>IF($D2232="","",IF(COUNTIF($D$2:$D2232,$D2232)=1,1,0))</f>
        <v/>
      </c>
      <c r="AL2232">
        <f>IF($AK2232=1,SUMPRODUCT(--($AO$2:$AO$3001&lt;$AO2232))+1,"")</f>
        <v/>
      </c>
      <c r="AM2232">
        <f>IF($D2232="","",IF(OR($R2232=TRUE(),$R2232="TRUE"),1,0))</f>
        <v/>
      </c>
      <c r="AN2232">
        <f>IF($D2232="","",IF($X2232="Yes",1,0))</f>
        <v/>
      </c>
      <c r="AO2232">
        <f>IF($AK2232=1,IFERROR(IF(VALUE($D2232)&lt;100000000,VALUE($D2232),1000000000),IFERROR(IF(VALUE(MID($D2232,2,20))&lt;100000000,VALUE(MID($D2232,2,20)),1000000000),1000000000))+ROW()/100000,"")</f>
        <v/>
      </c>
    </row>
    <row r="2233">
      <c r="F2233" s="11" t="n"/>
      <c r="N2233" s="7">
        <f>IF($D2233="","",M2233*V2233/100)</f>
        <v/>
      </c>
      <c r="O2233" s="7" t="n"/>
      <c r="U2233" s="7" t="n"/>
      <c r="V2233" s="7" t="n"/>
      <c r="Y2233">
        <f>IF($D2233="","",IF($AN2233=1,0,IF($AM2233=1,Settings!$C$6,Settings!$C$7))*100)</f>
        <v/>
      </c>
      <c r="Z2233" s="7">
        <f>IF($D2233="","",V2233*Y2233/100)</f>
        <v/>
      </c>
      <c r="AA2233" s="7">
        <f>IF($D2233="","",V2233-Z2233)</f>
        <v/>
      </c>
      <c r="AB2233" s="7">
        <f>IF($D2233="","",AA2233-N2233)</f>
        <v/>
      </c>
      <c r="AF2233" s="7" t="n"/>
      <c r="AI2233" s="11" t="n"/>
      <c r="AK2233">
        <f>IF($D2233="","",IF(COUNTIF($D$2:$D2233,$D2233)=1,1,0))</f>
        <v/>
      </c>
      <c r="AL2233">
        <f>IF($AK2233=1,SUMPRODUCT(--($AO$2:$AO$3001&lt;$AO2233))+1,"")</f>
        <v/>
      </c>
      <c r="AM2233">
        <f>IF($D2233="","",IF(OR($R2233=TRUE(),$R2233="TRUE"),1,0))</f>
        <v/>
      </c>
      <c r="AN2233">
        <f>IF($D2233="","",IF($X2233="Yes",1,0))</f>
        <v/>
      </c>
      <c r="AO2233">
        <f>IF($AK2233=1,IFERROR(IF(VALUE($D2233)&lt;100000000,VALUE($D2233),1000000000),IFERROR(IF(VALUE(MID($D2233,2,20))&lt;100000000,VALUE(MID($D2233,2,20)),1000000000),1000000000))+ROW()/100000,"")</f>
        <v/>
      </c>
    </row>
    <row r="2234">
      <c r="F2234" s="11" t="n"/>
      <c r="N2234" s="7">
        <f>IF($D2234="","",M2234*V2234/100)</f>
        <v/>
      </c>
      <c r="O2234" s="7" t="n"/>
      <c r="U2234" s="7" t="n"/>
      <c r="V2234" s="7" t="n"/>
      <c r="Y2234">
        <f>IF($D2234="","",IF($AN2234=1,0,IF($AM2234=1,Settings!$C$6,Settings!$C$7))*100)</f>
        <v/>
      </c>
      <c r="Z2234" s="7">
        <f>IF($D2234="","",V2234*Y2234/100)</f>
        <v/>
      </c>
      <c r="AA2234" s="7">
        <f>IF($D2234="","",V2234-Z2234)</f>
        <v/>
      </c>
      <c r="AB2234" s="7">
        <f>IF($D2234="","",AA2234-N2234)</f>
        <v/>
      </c>
      <c r="AF2234" s="7" t="n"/>
      <c r="AI2234" s="11" t="n"/>
      <c r="AK2234">
        <f>IF($D2234="","",IF(COUNTIF($D$2:$D2234,$D2234)=1,1,0))</f>
        <v/>
      </c>
      <c r="AL2234">
        <f>IF($AK2234=1,SUMPRODUCT(--($AO$2:$AO$3001&lt;$AO2234))+1,"")</f>
        <v/>
      </c>
      <c r="AM2234">
        <f>IF($D2234="","",IF(OR($R2234=TRUE(),$R2234="TRUE"),1,0))</f>
        <v/>
      </c>
      <c r="AN2234">
        <f>IF($D2234="","",IF($X2234="Yes",1,0))</f>
        <v/>
      </c>
      <c r="AO2234">
        <f>IF($AK2234=1,IFERROR(IF(VALUE($D2234)&lt;100000000,VALUE($D2234),1000000000),IFERROR(IF(VALUE(MID($D2234,2,20))&lt;100000000,VALUE(MID($D2234,2,20)),1000000000),1000000000))+ROW()/100000,"")</f>
        <v/>
      </c>
    </row>
    <row r="2235">
      <c r="F2235" s="11" t="n"/>
      <c r="N2235" s="7">
        <f>IF($D2235="","",M2235*V2235/100)</f>
        <v/>
      </c>
      <c r="O2235" s="7" t="n"/>
      <c r="U2235" s="7" t="n"/>
      <c r="V2235" s="7" t="n"/>
      <c r="Y2235">
        <f>IF($D2235="","",IF($AN2235=1,0,IF($AM2235=1,Settings!$C$6,Settings!$C$7))*100)</f>
        <v/>
      </c>
      <c r="Z2235" s="7">
        <f>IF($D2235="","",V2235*Y2235/100)</f>
        <v/>
      </c>
      <c r="AA2235" s="7">
        <f>IF($D2235="","",V2235-Z2235)</f>
        <v/>
      </c>
      <c r="AB2235" s="7">
        <f>IF($D2235="","",AA2235-N2235)</f>
        <v/>
      </c>
      <c r="AF2235" s="7" t="n"/>
      <c r="AI2235" s="11" t="n"/>
      <c r="AK2235">
        <f>IF($D2235="","",IF(COUNTIF($D$2:$D2235,$D2235)=1,1,0))</f>
        <v/>
      </c>
      <c r="AL2235">
        <f>IF($AK2235=1,SUMPRODUCT(--($AO$2:$AO$3001&lt;$AO2235))+1,"")</f>
        <v/>
      </c>
      <c r="AM2235">
        <f>IF($D2235="","",IF(OR($R2235=TRUE(),$R2235="TRUE"),1,0))</f>
        <v/>
      </c>
      <c r="AN2235">
        <f>IF($D2235="","",IF($X2235="Yes",1,0))</f>
        <v/>
      </c>
      <c r="AO2235">
        <f>IF($AK2235=1,IFERROR(IF(VALUE($D2235)&lt;100000000,VALUE($D2235),1000000000),IFERROR(IF(VALUE(MID($D2235,2,20))&lt;100000000,VALUE(MID($D2235,2,20)),1000000000),1000000000))+ROW()/100000,"")</f>
        <v/>
      </c>
    </row>
    <row r="2236">
      <c r="F2236" s="11" t="n"/>
      <c r="N2236" s="7">
        <f>IF($D2236="","",M2236*V2236/100)</f>
        <v/>
      </c>
      <c r="O2236" s="7" t="n"/>
      <c r="U2236" s="7" t="n"/>
      <c r="V2236" s="7" t="n"/>
      <c r="Y2236">
        <f>IF($D2236="","",IF($AN2236=1,0,IF($AM2236=1,Settings!$C$6,Settings!$C$7))*100)</f>
        <v/>
      </c>
      <c r="Z2236" s="7">
        <f>IF($D2236="","",V2236*Y2236/100)</f>
        <v/>
      </c>
      <c r="AA2236" s="7">
        <f>IF($D2236="","",V2236-Z2236)</f>
        <v/>
      </c>
      <c r="AB2236" s="7">
        <f>IF($D2236="","",AA2236-N2236)</f>
        <v/>
      </c>
      <c r="AF2236" s="7" t="n"/>
      <c r="AI2236" s="11" t="n"/>
      <c r="AK2236">
        <f>IF($D2236="","",IF(COUNTIF($D$2:$D2236,$D2236)=1,1,0))</f>
        <v/>
      </c>
      <c r="AL2236">
        <f>IF($AK2236=1,SUMPRODUCT(--($AO$2:$AO$3001&lt;$AO2236))+1,"")</f>
        <v/>
      </c>
      <c r="AM2236">
        <f>IF($D2236="","",IF(OR($R2236=TRUE(),$R2236="TRUE"),1,0))</f>
        <v/>
      </c>
      <c r="AN2236">
        <f>IF($D2236="","",IF($X2236="Yes",1,0))</f>
        <v/>
      </c>
      <c r="AO2236">
        <f>IF($AK2236=1,IFERROR(IF(VALUE($D2236)&lt;100000000,VALUE($D2236),1000000000),IFERROR(IF(VALUE(MID($D2236,2,20))&lt;100000000,VALUE(MID($D2236,2,20)),1000000000),1000000000))+ROW()/100000,"")</f>
        <v/>
      </c>
    </row>
    <row r="2237">
      <c r="F2237" s="11" t="n"/>
      <c r="N2237" s="7">
        <f>IF($D2237="","",M2237*V2237/100)</f>
        <v/>
      </c>
      <c r="O2237" s="7" t="n"/>
      <c r="U2237" s="7" t="n"/>
      <c r="V2237" s="7" t="n"/>
      <c r="Y2237">
        <f>IF($D2237="","",IF($AN2237=1,0,IF($AM2237=1,Settings!$C$6,Settings!$C$7))*100)</f>
        <v/>
      </c>
      <c r="Z2237" s="7">
        <f>IF($D2237="","",V2237*Y2237/100)</f>
        <v/>
      </c>
      <c r="AA2237" s="7">
        <f>IF($D2237="","",V2237-Z2237)</f>
        <v/>
      </c>
      <c r="AB2237" s="7">
        <f>IF($D2237="","",AA2237-N2237)</f>
        <v/>
      </c>
      <c r="AF2237" s="7" t="n"/>
      <c r="AI2237" s="11" t="n"/>
      <c r="AK2237">
        <f>IF($D2237="","",IF(COUNTIF($D$2:$D2237,$D2237)=1,1,0))</f>
        <v/>
      </c>
      <c r="AL2237">
        <f>IF($AK2237=1,SUMPRODUCT(--($AO$2:$AO$3001&lt;$AO2237))+1,"")</f>
        <v/>
      </c>
      <c r="AM2237">
        <f>IF($D2237="","",IF(OR($R2237=TRUE(),$R2237="TRUE"),1,0))</f>
        <v/>
      </c>
      <c r="AN2237">
        <f>IF($D2237="","",IF($X2237="Yes",1,0))</f>
        <v/>
      </c>
      <c r="AO2237">
        <f>IF($AK2237=1,IFERROR(IF(VALUE($D2237)&lt;100000000,VALUE($D2237),1000000000),IFERROR(IF(VALUE(MID($D2237,2,20))&lt;100000000,VALUE(MID($D2237,2,20)),1000000000),1000000000))+ROW()/100000,"")</f>
        <v/>
      </c>
    </row>
    <row r="2238">
      <c r="F2238" s="11" t="n"/>
      <c r="N2238" s="7">
        <f>IF($D2238="","",M2238*V2238/100)</f>
        <v/>
      </c>
      <c r="O2238" s="7" t="n"/>
      <c r="U2238" s="7" t="n"/>
      <c r="V2238" s="7" t="n"/>
      <c r="Y2238">
        <f>IF($D2238="","",IF($AN2238=1,0,IF($AM2238=1,Settings!$C$6,Settings!$C$7))*100)</f>
        <v/>
      </c>
      <c r="Z2238" s="7">
        <f>IF($D2238="","",V2238*Y2238/100)</f>
        <v/>
      </c>
      <c r="AA2238" s="7">
        <f>IF($D2238="","",V2238-Z2238)</f>
        <v/>
      </c>
      <c r="AB2238" s="7">
        <f>IF($D2238="","",AA2238-N2238)</f>
        <v/>
      </c>
      <c r="AF2238" s="7" t="n"/>
      <c r="AI2238" s="11" t="n"/>
      <c r="AK2238">
        <f>IF($D2238="","",IF(COUNTIF($D$2:$D2238,$D2238)=1,1,0))</f>
        <v/>
      </c>
      <c r="AL2238">
        <f>IF($AK2238=1,SUMPRODUCT(--($AO$2:$AO$3001&lt;$AO2238))+1,"")</f>
        <v/>
      </c>
      <c r="AM2238">
        <f>IF($D2238="","",IF(OR($R2238=TRUE(),$R2238="TRUE"),1,0))</f>
        <v/>
      </c>
      <c r="AN2238">
        <f>IF($D2238="","",IF($X2238="Yes",1,0))</f>
        <v/>
      </c>
      <c r="AO2238">
        <f>IF($AK2238=1,IFERROR(IF(VALUE($D2238)&lt;100000000,VALUE($D2238),1000000000),IFERROR(IF(VALUE(MID($D2238,2,20))&lt;100000000,VALUE(MID($D2238,2,20)),1000000000),1000000000))+ROW()/100000,"")</f>
        <v/>
      </c>
    </row>
    <row r="2239">
      <c r="F2239" s="11" t="n"/>
      <c r="N2239" s="7">
        <f>IF($D2239="","",M2239*V2239/100)</f>
        <v/>
      </c>
      <c r="O2239" s="7" t="n"/>
      <c r="U2239" s="7" t="n"/>
      <c r="V2239" s="7" t="n"/>
      <c r="Y2239">
        <f>IF($D2239="","",IF($AN2239=1,0,IF($AM2239=1,Settings!$C$6,Settings!$C$7))*100)</f>
        <v/>
      </c>
      <c r="Z2239" s="7">
        <f>IF($D2239="","",V2239*Y2239/100)</f>
        <v/>
      </c>
      <c r="AA2239" s="7">
        <f>IF($D2239="","",V2239-Z2239)</f>
        <v/>
      </c>
      <c r="AB2239" s="7">
        <f>IF($D2239="","",AA2239-N2239)</f>
        <v/>
      </c>
      <c r="AF2239" s="7" t="n"/>
      <c r="AI2239" s="11" t="n"/>
      <c r="AK2239">
        <f>IF($D2239="","",IF(COUNTIF($D$2:$D2239,$D2239)=1,1,0))</f>
        <v/>
      </c>
      <c r="AL2239">
        <f>IF($AK2239=1,SUMPRODUCT(--($AO$2:$AO$3001&lt;$AO2239))+1,"")</f>
        <v/>
      </c>
      <c r="AM2239">
        <f>IF($D2239="","",IF(OR($R2239=TRUE(),$R2239="TRUE"),1,0))</f>
        <v/>
      </c>
      <c r="AN2239">
        <f>IF($D2239="","",IF($X2239="Yes",1,0))</f>
        <v/>
      </c>
      <c r="AO2239">
        <f>IF($AK2239=1,IFERROR(IF(VALUE($D2239)&lt;100000000,VALUE($D2239),1000000000),IFERROR(IF(VALUE(MID($D2239,2,20))&lt;100000000,VALUE(MID($D2239,2,20)),1000000000),1000000000))+ROW()/100000,"")</f>
        <v/>
      </c>
    </row>
    <row r="2240">
      <c r="F2240" s="11" t="n"/>
      <c r="N2240" s="7">
        <f>IF($D2240="","",M2240*V2240/100)</f>
        <v/>
      </c>
      <c r="O2240" s="7" t="n"/>
      <c r="U2240" s="7" t="n"/>
      <c r="V2240" s="7" t="n"/>
      <c r="Y2240">
        <f>IF($D2240="","",IF($AN2240=1,0,IF($AM2240=1,Settings!$C$6,Settings!$C$7))*100)</f>
        <v/>
      </c>
      <c r="Z2240" s="7">
        <f>IF($D2240="","",V2240*Y2240/100)</f>
        <v/>
      </c>
      <c r="AA2240" s="7">
        <f>IF($D2240="","",V2240-Z2240)</f>
        <v/>
      </c>
      <c r="AB2240" s="7">
        <f>IF($D2240="","",AA2240-N2240)</f>
        <v/>
      </c>
      <c r="AF2240" s="7" t="n"/>
      <c r="AI2240" s="11" t="n"/>
      <c r="AK2240">
        <f>IF($D2240="","",IF(COUNTIF($D$2:$D2240,$D2240)=1,1,0))</f>
        <v/>
      </c>
      <c r="AL2240">
        <f>IF($AK2240=1,SUMPRODUCT(--($AO$2:$AO$3001&lt;$AO2240))+1,"")</f>
        <v/>
      </c>
      <c r="AM2240">
        <f>IF($D2240="","",IF(OR($R2240=TRUE(),$R2240="TRUE"),1,0))</f>
        <v/>
      </c>
      <c r="AN2240">
        <f>IF($D2240="","",IF($X2240="Yes",1,0))</f>
        <v/>
      </c>
      <c r="AO2240">
        <f>IF($AK2240=1,IFERROR(IF(VALUE($D2240)&lt;100000000,VALUE($D2240),1000000000),IFERROR(IF(VALUE(MID($D2240,2,20))&lt;100000000,VALUE(MID($D2240,2,20)),1000000000),1000000000))+ROW()/100000,"")</f>
        <v/>
      </c>
    </row>
    <row r="2241">
      <c r="F2241" s="11" t="n"/>
      <c r="N2241" s="7">
        <f>IF($D2241="","",M2241*V2241/100)</f>
        <v/>
      </c>
      <c r="O2241" s="7" t="n"/>
      <c r="U2241" s="7" t="n"/>
      <c r="V2241" s="7" t="n"/>
      <c r="Y2241">
        <f>IF($D2241="","",IF($AN2241=1,0,IF($AM2241=1,Settings!$C$6,Settings!$C$7))*100)</f>
        <v/>
      </c>
      <c r="Z2241" s="7">
        <f>IF($D2241="","",V2241*Y2241/100)</f>
        <v/>
      </c>
      <c r="AA2241" s="7">
        <f>IF($D2241="","",V2241-Z2241)</f>
        <v/>
      </c>
      <c r="AB2241" s="7">
        <f>IF($D2241="","",AA2241-N2241)</f>
        <v/>
      </c>
      <c r="AF2241" s="7" t="n"/>
      <c r="AI2241" s="11" t="n"/>
      <c r="AK2241">
        <f>IF($D2241="","",IF(COUNTIF($D$2:$D2241,$D2241)=1,1,0))</f>
        <v/>
      </c>
      <c r="AL2241">
        <f>IF($AK2241=1,SUMPRODUCT(--($AO$2:$AO$3001&lt;$AO2241))+1,"")</f>
        <v/>
      </c>
      <c r="AM2241">
        <f>IF($D2241="","",IF(OR($R2241=TRUE(),$R2241="TRUE"),1,0))</f>
        <v/>
      </c>
      <c r="AN2241">
        <f>IF($D2241="","",IF($X2241="Yes",1,0))</f>
        <v/>
      </c>
      <c r="AO2241">
        <f>IF($AK2241=1,IFERROR(IF(VALUE($D2241)&lt;100000000,VALUE($D2241),1000000000),IFERROR(IF(VALUE(MID($D2241,2,20))&lt;100000000,VALUE(MID($D2241,2,20)),1000000000),1000000000))+ROW()/100000,"")</f>
        <v/>
      </c>
    </row>
    <row r="2242">
      <c r="F2242" s="11" t="n"/>
      <c r="N2242" s="7">
        <f>IF($D2242="","",M2242*V2242/100)</f>
        <v/>
      </c>
      <c r="O2242" s="7" t="n"/>
      <c r="U2242" s="7" t="n"/>
      <c r="V2242" s="7" t="n"/>
      <c r="Y2242">
        <f>IF($D2242="","",IF($AN2242=1,0,IF($AM2242=1,Settings!$C$6,Settings!$C$7))*100)</f>
        <v/>
      </c>
      <c r="Z2242" s="7">
        <f>IF($D2242="","",V2242*Y2242/100)</f>
        <v/>
      </c>
      <c r="AA2242" s="7">
        <f>IF($D2242="","",V2242-Z2242)</f>
        <v/>
      </c>
      <c r="AB2242" s="7">
        <f>IF($D2242="","",AA2242-N2242)</f>
        <v/>
      </c>
      <c r="AF2242" s="7" t="n"/>
      <c r="AI2242" s="11" t="n"/>
      <c r="AK2242">
        <f>IF($D2242="","",IF(COUNTIF($D$2:$D2242,$D2242)=1,1,0))</f>
        <v/>
      </c>
      <c r="AL2242">
        <f>IF($AK2242=1,SUMPRODUCT(--($AO$2:$AO$3001&lt;$AO2242))+1,"")</f>
        <v/>
      </c>
      <c r="AM2242">
        <f>IF($D2242="","",IF(OR($R2242=TRUE(),$R2242="TRUE"),1,0))</f>
        <v/>
      </c>
      <c r="AN2242">
        <f>IF($D2242="","",IF($X2242="Yes",1,0))</f>
        <v/>
      </c>
      <c r="AO2242">
        <f>IF($AK2242=1,IFERROR(IF(VALUE($D2242)&lt;100000000,VALUE($D2242),1000000000),IFERROR(IF(VALUE(MID($D2242,2,20))&lt;100000000,VALUE(MID($D2242,2,20)),1000000000),1000000000))+ROW()/100000,"")</f>
        <v/>
      </c>
    </row>
    <row r="2243">
      <c r="F2243" s="11" t="n"/>
      <c r="N2243" s="7">
        <f>IF($D2243="","",M2243*V2243/100)</f>
        <v/>
      </c>
      <c r="O2243" s="7" t="n"/>
      <c r="U2243" s="7" t="n"/>
      <c r="V2243" s="7" t="n"/>
      <c r="Y2243">
        <f>IF($D2243="","",IF($AN2243=1,0,IF($AM2243=1,Settings!$C$6,Settings!$C$7))*100)</f>
        <v/>
      </c>
      <c r="Z2243" s="7">
        <f>IF($D2243="","",V2243*Y2243/100)</f>
        <v/>
      </c>
      <c r="AA2243" s="7">
        <f>IF($D2243="","",V2243-Z2243)</f>
        <v/>
      </c>
      <c r="AB2243" s="7">
        <f>IF($D2243="","",AA2243-N2243)</f>
        <v/>
      </c>
      <c r="AF2243" s="7" t="n"/>
      <c r="AI2243" s="11" t="n"/>
      <c r="AK2243">
        <f>IF($D2243="","",IF(COUNTIF($D$2:$D2243,$D2243)=1,1,0))</f>
        <v/>
      </c>
      <c r="AL2243">
        <f>IF($AK2243=1,SUMPRODUCT(--($AO$2:$AO$3001&lt;$AO2243))+1,"")</f>
        <v/>
      </c>
      <c r="AM2243">
        <f>IF($D2243="","",IF(OR($R2243=TRUE(),$R2243="TRUE"),1,0))</f>
        <v/>
      </c>
      <c r="AN2243">
        <f>IF($D2243="","",IF($X2243="Yes",1,0))</f>
        <v/>
      </c>
      <c r="AO2243">
        <f>IF($AK2243=1,IFERROR(IF(VALUE($D2243)&lt;100000000,VALUE($D2243),1000000000),IFERROR(IF(VALUE(MID($D2243,2,20))&lt;100000000,VALUE(MID($D2243,2,20)),1000000000),1000000000))+ROW()/100000,"")</f>
        <v/>
      </c>
    </row>
    <row r="2244">
      <c r="F2244" s="11" t="n"/>
      <c r="N2244" s="7">
        <f>IF($D2244="","",M2244*V2244/100)</f>
        <v/>
      </c>
      <c r="O2244" s="7" t="n"/>
      <c r="U2244" s="7" t="n"/>
      <c r="V2244" s="7" t="n"/>
      <c r="Y2244">
        <f>IF($D2244="","",IF($AN2244=1,0,IF($AM2244=1,Settings!$C$6,Settings!$C$7))*100)</f>
        <v/>
      </c>
      <c r="Z2244" s="7">
        <f>IF($D2244="","",V2244*Y2244/100)</f>
        <v/>
      </c>
      <c r="AA2244" s="7">
        <f>IF($D2244="","",V2244-Z2244)</f>
        <v/>
      </c>
      <c r="AB2244" s="7">
        <f>IF($D2244="","",AA2244-N2244)</f>
        <v/>
      </c>
      <c r="AF2244" s="7" t="n"/>
      <c r="AI2244" s="11" t="n"/>
      <c r="AK2244">
        <f>IF($D2244="","",IF(COUNTIF($D$2:$D2244,$D2244)=1,1,0))</f>
        <v/>
      </c>
      <c r="AL2244">
        <f>IF($AK2244=1,SUMPRODUCT(--($AO$2:$AO$3001&lt;$AO2244))+1,"")</f>
        <v/>
      </c>
      <c r="AM2244">
        <f>IF($D2244="","",IF(OR($R2244=TRUE(),$R2244="TRUE"),1,0))</f>
        <v/>
      </c>
      <c r="AN2244">
        <f>IF($D2244="","",IF($X2244="Yes",1,0))</f>
        <v/>
      </c>
      <c r="AO2244">
        <f>IF($AK2244=1,IFERROR(IF(VALUE($D2244)&lt;100000000,VALUE($D2244),1000000000),IFERROR(IF(VALUE(MID($D2244,2,20))&lt;100000000,VALUE(MID($D2244,2,20)),1000000000),1000000000))+ROW()/100000,"")</f>
        <v/>
      </c>
    </row>
    <row r="2245">
      <c r="F2245" s="11" t="n"/>
      <c r="N2245" s="7">
        <f>IF($D2245="","",M2245*V2245/100)</f>
        <v/>
      </c>
      <c r="O2245" s="7" t="n"/>
      <c r="U2245" s="7" t="n"/>
      <c r="V2245" s="7" t="n"/>
      <c r="Y2245">
        <f>IF($D2245="","",IF($AN2245=1,0,IF($AM2245=1,Settings!$C$6,Settings!$C$7))*100)</f>
        <v/>
      </c>
      <c r="Z2245" s="7">
        <f>IF($D2245="","",V2245*Y2245/100)</f>
        <v/>
      </c>
      <c r="AA2245" s="7">
        <f>IF($D2245="","",V2245-Z2245)</f>
        <v/>
      </c>
      <c r="AB2245" s="7">
        <f>IF($D2245="","",AA2245-N2245)</f>
        <v/>
      </c>
      <c r="AF2245" s="7" t="n"/>
      <c r="AI2245" s="11" t="n"/>
      <c r="AK2245">
        <f>IF($D2245="","",IF(COUNTIF($D$2:$D2245,$D2245)=1,1,0))</f>
        <v/>
      </c>
      <c r="AL2245">
        <f>IF($AK2245=1,SUMPRODUCT(--($AO$2:$AO$3001&lt;$AO2245))+1,"")</f>
        <v/>
      </c>
      <c r="AM2245">
        <f>IF($D2245="","",IF(OR($R2245=TRUE(),$R2245="TRUE"),1,0))</f>
        <v/>
      </c>
      <c r="AN2245">
        <f>IF($D2245="","",IF($X2245="Yes",1,0))</f>
        <v/>
      </c>
      <c r="AO2245">
        <f>IF($AK2245=1,IFERROR(IF(VALUE($D2245)&lt;100000000,VALUE($D2245),1000000000),IFERROR(IF(VALUE(MID($D2245,2,20))&lt;100000000,VALUE(MID($D2245,2,20)),1000000000),1000000000))+ROW()/100000,"")</f>
        <v/>
      </c>
    </row>
    <row r="2246">
      <c r="F2246" s="11" t="n"/>
      <c r="N2246" s="7">
        <f>IF($D2246="","",M2246*V2246/100)</f>
        <v/>
      </c>
      <c r="O2246" s="7" t="n"/>
      <c r="U2246" s="7" t="n"/>
      <c r="V2246" s="7" t="n"/>
      <c r="Y2246">
        <f>IF($D2246="","",IF($AN2246=1,0,IF($AM2246=1,Settings!$C$6,Settings!$C$7))*100)</f>
        <v/>
      </c>
      <c r="Z2246" s="7">
        <f>IF($D2246="","",V2246*Y2246/100)</f>
        <v/>
      </c>
      <c r="AA2246" s="7">
        <f>IF($D2246="","",V2246-Z2246)</f>
        <v/>
      </c>
      <c r="AB2246" s="7">
        <f>IF($D2246="","",AA2246-N2246)</f>
        <v/>
      </c>
      <c r="AF2246" s="7" t="n"/>
      <c r="AI2246" s="11" t="n"/>
      <c r="AK2246">
        <f>IF($D2246="","",IF(COUNTIF($D$2:$D2246,$D2246)=1,1,0))</f>
        <v/>
      </c>
      <c r="AL2246">
        <f>IF($AK2246=1,SUMPRODUCT(--($AO$2:$AO$3001&lt;$AO2246))+1,"")</f>
        <v/>
      </c>
      <c r="AM2246">
        <f>IF($D2246="","",IF(OR($R2246=TRUE(),$R2246="TRUE"),1,0))</f>
        <v/>
      </c>
      <c r="AN2246">
        <f>IF($D2246="","",IF($X2246="Yes",1,0))</f>
        <v/>
      </c>
      <c r="AO2246">
        <f>IF($AK2246=1,IFERROR(IF(VALUE($D2246)&lt;100000000,VALUE($D2246),1000000000),IFERROR(IF(VALUE(MID($D2246,2,20))&lt;100000000,VALUE(MID($D2246,2,20)),1000000000),1000000000))+ROW()/100000,"")</f>
        <v/>
      </c>
    </row>
    <row r="2247">
      <c r="F2247" s="11" t="n"/>
      <c r="N2247" s="7">
        <f>IF($D2247="","",M2247*V2247/100)</f>
        <v/>
      </c>
      <c r="O2247" s="7" t="n"/>
      <c r="U2247" s="7" t="n"/>
      <c r="V2247" s="7" t="n"/>
      <c r="Y2247">
        <f>IF($D2247="","",IF($AN2247=1,0,IF($AM2247=1,Settings!$C$6,Settings!$C$7))*100)</f>
        <v/>
      </c>
      <c r="Z2247" s="7">
        <f>IF($D2247="","",V2247*Y2247/100)</f>
        <v/>
      </c>
      <c r="AA2247" s="7">
        <f>IF($D2247="","",V2247-Z2247)</f>
        <v/>
      </c>
      <c r="AB2247" s="7">
        <f>IF($D2247="","",AA2247-N2247)</f>
        <v/>
      </c>
      <c r="AF2247" s="7" t="n"/>
      <c r="AI2247" s="11" t="n"/>
      <c r="AK2247">
        <f>IF($D2247="","",IF(COUNTIF($D$2:$D2247,$D2247)=1,1,0))</f>
        <v/>
      </c>
      <c r="AL2247">
        <f>IF($AK2247=1,SUMPRODUCT(--($AO$2:$AO$3001&lt;$AO2247))+1,"")</f>
        <v/>
      </c>
      <c r="AM2247">
        <f>IF($D2247="","",IF(OR($R2247=TRUE(),$R2247="TRUE"),1,0))</f>
        <v/>
      </c>
      <c r="AN2247">
        <f>IF($D2247="","",IF($X2247="Yes",1,0))</f>
        <v/>
      </c>
      <c r="AO2247">
        <f>IF($AK2247=1,IFERROR(IF(VALUE($D2247)&lt;100000000,VALUE($D2247),1000000000),IFERROR(IF(VALUE(MID($D2247,2,20))&lt;100000000,VALUE(MID($D2247,2,20)),1000000000),1000000000))+ROW()/100000,"")</f>
        <v/>
      </c>
    </row>
    <row r="2248">
      <c r="F2248" s="11" t="n"/>
      <c r="N2248" s="7">
        <f>IF($D2248="","",M2248*V2248/100)</f>
        <v/>
      </c>
      <c r="O2248" s="7" t="n"/>
      <c r="U2248" s="7" t="n"/>
      <c r="V2248" s="7" t="n"/>
      <c r="Y2248">
        <f>IF($D2248="","",IF($AN2248=1,0,IF($AM2248=1,Settings!$C$6,Settings!$C$7))*100)</f>
        <v/>
      </c>
      <c r="Z2248" s="7">
        <f>IF($D2248="","",V2248*Y2248/100)</f>
        <v/>
      </c>
      <c r="AA2248" s="7">
        <f>IF($D2248="","",V2248-Z2248)</f>
        <v/>
      </c>
      <c r="AB2248" s="7">
        <f>IF($D2248="","",AA2248-N2248)</f>
        <v/>
      </c>
      <c r="AF2248" s="7" t="n"/>
      <c r="AI2248" s="11" t="n"/>
      <c r="AK2248">
        <f>IF($D2248="","",IF(COUNTIF($D$2:$D2248,$D2248)=1,1,0))</f>
        <v/>
      </c>
      <c r="AL2248">
        <f>IF($AK2248=1,SUMPRODUCT(--($AO$2:$AO$3001&lt;$AO2248))+1,"")</f>
        <v/>
      </c>
      <c r="AM2248">
        <f>IF($D2248="","",IF(OR($R2248=TRUE(),$R2248="TRUE"),1,0))</f>
        <v/>
      </c>
      <c r="AN2248">
        <f>IF($D2248="","",IF($X2248="Yes",1,0))</f>
        <v/>
      </c>
      <c r="AO2248">
        <f>IF($AK2248=1,IFERROR(IF(VALUE($D2248)&lt;100000000,VALUE($D2248),1000000000),IFERROR(IF(VALUE(MID($D2248,2,20))&lt;100000000,VALUE(MID($D2248,2,20)),1000000000),1000000000))+ROW()/100000,"")</f>
        <v/>
      </c>
    </row>
    <row r="2249">
      <c r="F2249" s="11" t="n"/>
      <c r="N2249" s="7">
        <f>IF($D2249="","",M2249*V2249/100)</f>
        <v/>
      </c>
      <c r="O2249" s="7" t="n"/>
      <c r="U2249" s="7" t="n"/>
      <c r="V2249" s="7" t="n"/>
      <c r="Y2249">
        <f>IF($D2249="","",IF($AN2249=1,0,IF($AM2249=1,Settings!$C$6,Settings!$C$7))*100)</f>
        <v/>
      </c>
      <c r="Z2249" s="7">
        <f>IF($D2249="","",V2249*Y2249/100)</f>
        <v/>
      </c>
      <c r="AA2249" s="7">
        <f>IF($D2249="","",V2249-Z2249)</f>
        <v/>
      </c>
      <c r="AB2249" s="7">
        <f>IF($D2249="","",AA2249-N2249)</f>
        <v/>
      </c>
      <c r="AF2249" s="7" t="n"/>
      <c r="AI2249" s="11" t="n"/>
      <c r="AK2249">
        <f>IF($D2249="","",IF(COUNTIF($D$2:$D2249,$D2249)=1,1,0))</f>
        <v/>
      </c>
      <c r="AL2249">
        <f>IF($AK2249=1,SUMPRODUCT(--($AO$2:$AO$3001&lt;$AO2249))+1,"")</f>
        <v/>
      </c>
      <c r="AM2249">
        <f>IF($D2249="","",IF(OR($R2249=TRUE(),$R2249="TRUE"),1,0))</f>
        <v/>
      </c>
      <c r="AN2249">
        <f>IF($D2249="","",IF($X2249="Yes",1,0))</f>
        <v/>
      </c>
      <c r="AO2249">
        <f>IF($AK2249=1,IFERROR(IF(VALUE($D2249)&lt;100000000,VALUE($D2249),1000000000),IFERROR(IF(VALUE(MID($D2249,2,20))&lt;100000000,VALUE(MID($D2249,2,20)),1000000000),1000000000))+ROW()/100000,"")</f>
        <v/>
      </c>
    </row>
    <row r="2250">
      <c r="F2250" s="11" t="n"/>
      <c r="N2250" s="7">
        <f>IF($D2250="","",M2250*V2250/100)</f>
        <v/>
      </c>
      <c r="O2250" s="7" t="n"/>
      <c r="U2250" s="7" t="n"/>
      <c r="V2250" s="7" t="n"/>
      <c r="Y2250">
        <f>IF($D2250="","",IF($AN2250=1,0,IF($AM2250=1,Settings!$C$6,Settings!$C$7))*100)</f>
        <v/>
      </c>
      <c r="Z2250" s="7">
        <f>IF($D2250="","",V2250*Y2250/100)</f>
        <v/>
      </c>
      <c r="AA2250" s="7">
        <f>IF($D2250="","",V2250-Z2250)</f>
        <v/>
      </c>
      <c r="AB2250" s="7">
        <f>IF($D2250="","",AA2250-N2250)</f>
        <v/>
      </c>
      <c r="AF2250" s="7" t="n"/>
      <c r="AI2250" s="11" t="n"/>
      <c r="AK2250">
        <f>IF($D2250="","",IF(COUNTIF($D$2:$D2250,$D2250)=1,1,0))</f>
        <v/>
      </c>
      <c r="AL2250">
        <f>IF($AK2250=1,SUMPRODUCT(--($AO$2:$AO$3001&lt;$AO2250))+1,"")</f>
        <v/>
      </c>
      <c r="AM2250">
        <f>IF($D2250="","",IF(OR($R2250=TRUE(),$R2250="TRUE"),1,0))</f>
        <v/>
      </c>
      <c r="AN2250">
        <f>IF($D2250="","",IF($X2250="Yes",1,0))</f>
        <v/>
      </c>
      <c r="AO2250">
        <f>IF($AK2250=1,IFERROR(IF(VALUE($D2250)&lt;100000000,VALUE($D2250),1000000000),IFERROR(IF(VALUE(MID($D2250,2,20))&lt;100000000,VALUE(MID($D2250,2,20)),1000000000),1000000000))+ROW()/100000,"")</f>
        <v/>
      </c>
    </row>
    <row r="2251">
      <c r="F2251" s="11" t="n"/>
      <c r="N2251" s="7">
        <f>IF($D2251="","",M2251*V2251/100)</f>
        <v/>
      </c>
      <c r="O2251" s="7" t="n"/>
      <c r="U2251" s="7" t="n"/>
      <c r="V2251" s="7" t="n"/>
      <c r="Y2251">
        <f>IF($D2251="","",IF($AN2251=1,0,IF($AM2251=1,Settings!$C$6,Settings!$C$7))*100)</f>
        <v/>
      </c>
      <c r="Z2251" s="7">
        <f>IF($D2251="","",V2251*Y2251/100)</f>
        <v/>
      </c>
      <c r="AA2251" s="7">
        <f>IF($D2251="","",V2251-Z2251)</f>
        <v/>
      </c>
      <c r="AB2251" s="7">
        <f>IF($D2251="","",AA2251-N2251)</f>
        <v/>
      </c>
      <c r="AF2251" s="7" t="n"/>
      <c r="AI2251" s="11" t="n"/>
      <c r="AK2251">
        <f>IF($D2251="","",IF(COUNTIF($D$2:$D2251,$D2251)=1,1,0))</f>
        <v/>
      </c>
      <c r="AL2251">
        <f>IF($AK2251=1,SUMPRODUCT(--($AO$2:$AO$3001&lt;$AO2251))+1,"")</f>
        <v/>
      </c>
      <c r="AM2251">
        <f>IF($D2251="","",IF(OR($R2251=TRUE(),$R2251="TRUE"),1,0))</f>
        <v/>
      </c>
      <c r="AN2251">
        <f>IF($D2251="","",IF($X2251="Yes",1,0))</f>
        <v/>
      </c>
      <c r="AO2251">
        <f>IF($AK2251=1,IFERROR(IF(VALUE($D2251)&lt;100000000,VALUE($D2251),1000000000),IFERROR(IF(VALUE(MID($D2251,2,20))&lt;100000000,VALUE(MID($D2251,2,20)),1000000000),1000000000))+ROW()/100000,"")</f>
        <v/>
      </c>
    </row>
    <row r="2252">
      <c r="F2252" s="11" t="n"/>
      <c r="N2252" s="7">
        <f>IF($D2252="","",M2252*V2252/100)</f>
        <v/>
      </c>
      <c r="O2252" s="7" t="n"/>
      <c r="U2252" s="7" t="n"/>
      <c r="V2252" s="7" t="n"/>
      <c r="Y2252">
        <f>IF($D2252="","",IF($AN2252=1,0,IF($AM2252=1,Settings!$C$6,Settings!$C$7))*100)</f>
        <v/>
      </c>
      <c r="Z2252" s="7">
        <f>IF($D2252="","",V2252*Y2252/100)</f>
        <v/>
      </c>
      <c r="AA2252" s="7">
        <f>IF($D2252="","",V2252-Z2252)</f>
        <v/>
      </c>
      <c r="AB2252" s="7">
        <f>IF($D2252="","",AA2252-N2252)</f>
        <v/>
      </c>
      <c r="AF2252" s="7" t="n"/>
      <c r="AI2252" s="11" t="n"/>
      <c r="AK2252">
        <f>IF($D2252="","",IF(COUNTIF($D$2:$D2252,$D2252)=1,1,0))</f>
        <v/>
      </c>
      <c r="AL2252">
        <f>IF($AK2252=1,SUMPRODUCT(--($AO$2:$AO$3001&lt;$AO2252))+1,"")</f>
        <v/>
      </c>
      <c r="AM2252">
        <f>IF($D2252="","",IF(OR($R2252=TRUE(),$R2252="TRUE"),1,0))</f>
        <v/>
      </c>
      <c r="AN2252">
        <f>IF($D2252="","",IF($X2252="Yes",1,0))</f>
        <v/>
      </c>
      <c r="AO2252">
        <f>IF($AK2252=1,IFERROR(IF(VALUE($D2252)&lt;100000000,VALUE($D2252),1000000000),IFERROR(IF(VALUE(MID($D2252,2,20))&lt;100000000,VALUE(MID($D2252,2,20)),1000000000),1000000000))+ROW()/100000,"")</f>
        <v/>
      </c>
    </row>
    <row r="2253">
      <c r="F2253" s="11" t="n"/>
      <c r="N2253" s="7">
        <f>IF($D2253="","",M2253*V2253/100)</f>
        <v/>
      </c>
      <c r="O2253" s="7" t="n"/>
      <c r="U2253" s="7" t="n"/>
      <c r="V2253" s="7" t="n"/>
      <c r="Y2253">
        <f>IF($D2253="","",IF($AN2253=1,0,IF($AM2253=1,Settings!$C$6,Settings!$C$7))*100)</f>
        <v/>
      </c>
      <c r="Z2253" s="7">
        <f>IF($D2253="","",V2253*Y2253/100)</f>
        <v/>
      </c>
      <c r="AA2253" s="7">
        <f>IF($D2253="","",V2253-Z2253)</f>
        <v/>
      </c>
      <c r="AB2253" s="7">
        <f>IF($D2253="","",AA2253-N2253)</f>
        <v/>
      </c>
      <c r="AF2253" s="7" t="n"/>
      <c r="AI2253" s="11" t="n"/>
      <c r="AK2253">
        <f>IF($D2253="","",IF(COUNTIF($D$2:$D2253,$D2253)=1,1,0))</f>
        <v/>
      </c>
      <c r="AL2253">
        <f>IF($AK2253=1,SUMPRODUCT(--($AO$2:$AO$3001&lt;$AO2253))+1,"")</f>
        <v/>
      </c>
      <c r="AM2253">
        <f>IF($D2253="","",IF(OR($R2253=TRUE(),$R2253="TRUE"),1,0))</f>
        <v/>
      </c>
      <c r="AN2253">
        <f>IF($D2253="","",IF($X2253="Yes",1,0))</f>
        <v/>
      </c>
      <c r="AO2253">
        <f>IF($AK2253=1,IFERROR(IF(VALUE($D2253)&lt;100000000,VALUE($D2253),1000000000),IFERROR(IF(VALUE(MID($D2253,2,20))&lt;100000000,VALUE(MID($D2253,2,20)),1000000000),1000000000))+ROW()/100000,"")</f>
        <v/>
      </c>
    </row>
    <row r="2254">
      <c r="F2254" s="11" t="n"/>
      <c r="N2254" s="7">
        <f>IF($D2254="","",M2254*V2254/100)</f>
        <v/>
      </c>
      <c r="O2254" s="7" t="n"/>
      <c r="U2254" s="7" t="n"/>
      <c r="V2254" s="7" t="n"/>
      <c r="Y2254">
        <f>IF($D2254="","",IF($AN2254=1,0,IF($AM2254=1,Settings!$C$6,Settings!$C$7))*100)</f>
        <v/>
      </c>
      <c r="Z2254" s="7">
        <f>IF($D2254="","",V2254*Y2254/100)</f>
        <v/>
      </c>
      <c r="AA2254" s="7">
        <f>IF($D2254="","",V2254-Z2254)</f>
        <v/>
      </c>
      <c r="AB2254" s="7">
        <f>IF($D2254="","",AA2254-N2254)</f>
        <v/>
      </c>
      <c r="AF2254" s="7" t="n"/>
      <c r="AI2254" s="11" t="n"/>
      <c r="AK2254">
        <f>IF($D2254="","",IF(COUNTIF($D$2:$D2254,$D2254)=1,1,0))</f>
        <v/>
      </c>
      <c r="AL2254">
        <f>IF($AK2254=1,SUMPRODUCT(--($AO$2:$AO$3001&lt;$AO2254))+1,"")</f>
        <v/>
      </c>
      <c r="AM2254">
        <f>IF($D2254="","",IF(OR($R2254=TRUE(),$R2254="TRUE"),1,0))</f>
        <v/>
      </c>
      <c r="AN2254">
        <f>IF($D2254="","",IF($X2254="Yes",1,0))</f>
        <v/>
      </c>
      <c r="AO2254">
        <f>IF($AK2254=1,IFERROR(IF(VALUE($D2254)&lt;100000000,VALUE($D2254),1000000000),IFERROR(IF(VALUE(MID($D2254,2,20))&lt;100000000,VALUE(MID($D2254,2,20)),1000000000),1000000000))+ROW()/100000,"")</f>
        <v/>
      </c>
    </row>
    <row r="2255">
      <c r="F2255" s="11" t="n"/>
      <c r="N2255" s="7">
        <f>IF($D2255="","",M2255*V2255/100)</f>
        <v/>
      </c>
      <c r="O2255" s="7" t="n"/>
      <c r="U2255" s="7" t="n"/>
      <c r="V2255" s="7" t="n"/>
      <c r="Y2255">
        <f>IF($D2255="","",IF($AN2255=1,0,IF($AM2255=1,Settings!$C$6,Settings!$C$7))*100)</f>
        <v/>
      </c>
      <c r="Z2255" s="7">
        <f>IF($D2255="","",V2255*Y2255/100)</f>
        <v/>
      </c>
      <c r="AA2255" s="7">
        <f>IF($D2255="","",V2255-Z2255)</f>
        <v/>
      </c>
      <c r="AB2255" s="7">
        <f>IF($D2255="","",AA2255-N2255)</f>
        <v/>
      </c>
      <c r="AF2255" s="7" t="n"/>
      <c r="AI2255" s="11" t="n"/>
      <c r="AK2255">
        <f>IF($D2255="","",IF(COUNTIF($D$2:$D2255,$D2255)=1,1,0))</f>
        <v/>
      </c>
      <c r="AL2255">
        <f>IF($AK2255=1,SUMPRODUCT(--($AO$2:$AO$3001&lt;$AO2255))+1,"")</f>
        <v/>
      </c>
      <c r="AM2255">
        <f>IF($D2255="","",IF(OR($R2255=TRUE(),$R2255="TRUE"),1,0))</f>
        <v/>
      </c>
      <c r="AN2255">
        <f>IF($D2255="","",IF($X2255="Yes",1,0))</f>
        <v/>
      </c>
      <c r="AO2255">
        <f>IF($AK2255=1,IFERROR(IF(VALUE($D2255)&lt;100000000,VALUE($D2255),1000000000),IFERROR(IF(VALUE(MID($D2255,2,20))&lt;100000000,VALUE(MID($D2255,2,20)),1000000000),1000000000))+ROW()/100000,"")</f>
        <v/>
      </c>
    </row>
    <row r="2256">
      <c r="F2256" s="11" t="n"/>
      <c r="N2256" s="7">
        <f>IF($D2256="","",M2256*V2256/100)</f>
        <v/>
      </c>
      <c r="O2256" s="7" t="n"/>
      <c r="U2256" s="7" t="n"/>
      <c r="V2256" s="7" t="n"/>
      <c r="Y2256">
        <f>IF($D2256="","",IF($AN2256=1,0,IF($AM2256=1,Settings!$C$6,Settings!$C$7))*100)</f>
        <v/>
      </c>
      <c r="Z2256" s="7">
        <f>IF($D2256="","",V2256*Y2256/100)</f>
        <v/>
      </c>
      <c r="AA2256" s="7">
        <f>IF($D2256="","",V2256-Z2256)</f>
        <v/>
      </c>
      <c r="AB2256" s="7">
        <f>IF($D2256="","",AA2256-N2256)</f>
        <v/>
      </c>
      <c r="AF2256" s="7" t="n"/>
      <c r="AI2256" s="11" t="n"/>
      <c r="AK2256">
        <f>IF($D2256="","",IF(COUNTIF($D$2:$D2256,$D2256)=1,1,0))</f>
        <v/>
      </c>
      <c r="AL2256">
        <f>IF($AK2256=1,SUMPRODUCT(--($AO$2:$AO$3001&lt;$AO2256))+1,"")</f>
        <v/>
      </c>
      <c r="AM2256">
        <f>IF($D2256="","",IF(OR($R2256=TRUE(),$R2256="TRUE"),1,0))</f>
        <v/>
      </c>
      <c r="AN2256">
        <f>IF($D2256="","",IF($X2256="Yes",1,0))</f>
        <v/>
      </c>
      <c r="AO2256">
        <f>IF($AK2256=1,IFERROR(IF(VALUE($D2256)&lt;100000000,VALUE($D2256),1000000000),IFERROR(IF(VALUE(MID($D2256,2,20))&lt;100000000,VALUE(MID($D2256,2,20)),1000000000),1000000000))+ROW()/100000,"")</f>
        <v/>
      </c>
    </row>
    <row r="2257">
      <c r="F2257" s="11" t="n"/>
      <c r="N2257" s="7">
        <f>IF($D2257="","",M2257*V2257/100)</f>
        <v/>
      </c>
      <c r="O2257" s="7" t="n"/>
      <c r="U2257" s="7" t="n"/>
      <c r="V2257" s="7" t="n"/>
      <c r="Y2257">
        <f>IF($D2257="","",IF($AN2257=1,0,IF($AM2257=1,Settings!$C$6,Settings!$C$7))*100)</f>
        <v/>
      </c>
      <c r="Z2257" s="7">
        <f>IF($D2257="","",V2257*Y2257/100)</f>
        <v/>
      </c>
      <c r="AA2257" s="7">
        <f>IF($D2257="","",V2257-Z2257)</f>
        <v/>
      </c>
      <c r="AB2257" s="7">
        <f>IF($D2257="","",AA2257-N2257)</f>
        <v/>
      </c>
      <c r="AF2257" s="7" t="n"/>
      <c r="AI2257" s="11" t="n"/>
      <c r="AK2257">
        <f>IF($D2257="","",IF(COUNTIF($D$2:$D2257,$D2257)=1,1,0))</f>
        <v/>
      </c>
      <c r="AL2257">
        <f>IF($AK2257=1,SUMPRODUCT(--($AO$2:$AO$3001&lt;$AO2257))+1,"")</f>
        <v/>
      </c>
      <c r="AM2257">
        <f>IF($D2257="","",IF(OR($R2257=TRUE(),$R2257="TRUE"),1,0))</f>
        <v/>
      </c>
      <c r="AN2257">
        <f>IF($D2257="","",IF($X2257="Yes",1,0))</f>
        <v/>
      </c>
      <c r="AO2257">
        <f>IF($AK2257=1,IFERROR(IF(VALUE($D2257)&lt;100000000,VALUE($D2257),1000000000),IFERROR(IF(VALUE(MID($D2257,2,20))&lt;100000000,VALUE(MID($D2257,2,20)),1000000000),1000000000))+ROW()/100000,"")</f>
        <v/>
      </c>
    </row>
    <row r="2258">
      <c r="F2258" s="11" t="n"/>
      <c r="N2258" s="7">
        <f>IF($D2258="","",M2258*V2258/100)</f>
        <v/>
      </c>
      <c r="O2258" s="7" t="n"/>
      <c r="U2258" s="7" t="n"/>
      <c r="V2258" s="7" t="n"/>
      <c r="Y2258">
        <f>IF($D2258="","",IF($AN2258=1,0,IF($AM2258=1,Settings!$C$6,Settings!$C$7))*100)</f>
        <v/>
      </c>
      <c r="Z2258" s="7">
        <f>IF($D2258="","",V2258*Y2258/100)</f>
        <v/>
      </c>
      <c r="AA2258" s="7">
        <f>IF($D2258="","",V2258-Z2258)</f>
        <v/>
      </c>
      <c r="AB2258" s="7">
        <f>IF($D2258="","",AA2258-N2258)</f>
        <v/>
      </c>
      <c r="AF2258" s="7" t="n"/>
      <c r="AI2258" s="11" t="n"/>
      <c r="AK2258">
        <f>IF($D2258="","",IF(COUNTIF($D$2:$D2258,$D2258)=1,1,0))</f>
        <v/>
      </c>
      <c r="AL2258">
        <f>IF($AK2258=1,SUMPRODUCT(--($AO$2:$AO$3001&lt;$AO2258))+1,"")</f>
        <v/>
      </c>
      <c r="AM2258">
        <f>IF($D2258="","",IF(OR($R2258=TRUE(),$R2258="TRUE"),1,0))</f>
        <v/>
      </c>
      <c r="AN2258">
        <f>IF($D2258="","",IF($X2258="Yes",1,0))</f>
        <v/>
      </c>
      <c r="AO2258">
        <f>IF($AK2258=1,IFERROR(IF(VALUE($D2258)&lt;100000000,VALUE($D2258),1000000000),IFERROR(IF(VALUE(MID($D2258,2,20))&lt;100000000,VALUE(MID($D2258,2,20)),1000000000),1000000000))+ROW()/100000,"")</f>
        <v/>
      </c>
    </row>
    <row r="2259">
      <c r="F2259" s="11" t="n"/>
      <c r="N2259" s="7">
        <f>IF($D2259="","",M2259*V2259/100)</f>
        <v/>
      </c>
      <c r="O2259" s="7" t="n"/>
      <c r="U2259" s="7" t="n"/>
      <c r="V2259" s="7" t="n"/>
      <c r="Y2259">
        <f>IF($D2259="","",IF($AN2259=1,0,IF($AM2259=1,Settings!$C$6,Settings!$C$7))*100)</f>
        <v/>
      </c>
      <c r="Z2259" s="7">
        <f>IF($D2259="","",V2259*Y2259/100)</f>
        <v/>
      </c>
      <c r="AA2259" s="7">
        <f>IF($D2259="","",V2259-Z2259)</f>
        <v/>
      </c>
      <c r="AB2259" s="7">
        <f>IF($D2259="","",AA2259-N2259)</f>
        <v/>
      </c>
      <c r="AF2259" s="7" t="n"/>
      <c r="AI2259" s="11" t="n"/>
      <c r="AK2259">
        <f>IF($D2259="","",IF(COUNTIF($D$2:$D2259,$D2259)=1,1,0))</f>
        <v/>
      </c>
      <c r="AL2259">
        <f>IF($AK2259=1,SUMPRODUCT(--($AO$2:$AO$3001&lt;$AO2259))+1,"")</f>
        <v/>
      </c>
      <c r="AM2259">
        <f>IF($D2259="","",IF(OR($R2259=TRUE(),$R2259="TRUE"),1,0))</f>
        <v/>
      </c>
      <c r="AN2259">
        <f>IF($D2259="","",IF($X2259="Yes",1,0))</f>
        <v/>
      </c>
      <c r="AO2259">
        <f>IF($AK2259=1,IFERROR(IF(VALUE($D2259)&lt;100000000,VALUE($D2259),1000000000),IFERROR(IF(VALUE(MID($D2259,2,20))&lt;100000000,VALUE(MID($D2259,2,20)),1000000000),1000000000))+ROW()/100000,"")</f>
        <v/>
      </c>
    </row>
    <row r="2260">
      <c r="F2260" s="11" t="n"/>
      <c r="N2260" s="7">
        <f>IF($D2260="","",M2260*V2260/100)</f>
        <v/>
      </c>
      <c r="O2260" s="7" t="n"/>
      <c r="U2260" s="7" t="n"/>
      <c r="V2260" s="7" t="n"/>
      <c r="Y2260">
        <f>IF($D2260="","",IF($AN2260=1,0,IF($AM2260=1,Settings!$C$6,Settings!$C$7))*100)</f>
        <v/>
      </c>
      <c r="Z2260" s="7">
        <f>IF($D2260="","",V2260*Y2260/100)</f>
        <v/>
      </c>
      <c r="AA2260" s="7">
        <f>IF($D2260="","",V2260-Z2260)</f>
        <v/>
      </c>
      <c r="AB2260" s="7">
        <f>IF($D2260="","",AA2260-N2260)</f>
        <v/>
      </c>
      <c r="AF2260" s="7" t="n"/>
      <c r="AI2260" s="11" t="n"/>
      <c r="AK2260">
        <f>IF($D2260="","",IF(COUNTIF($D$2:$D2260,$D2260)=1,1,0))</f>
        <v/>
      </c>
      <c r="AL2260">
        <f>IF($AK2260=1,SUMPRODUCT(--($AO$2:$AO$3001&lt;$AO2260))+1,"")</f>
        <v/>
      </c>
      <c r="AM2260">
        <f>IF($D2260="","",IF(OR($R2260=TRUE(),$R2260="TRUE"),1,0))</f>
        <v/>
      </c>
      <c r="AN2260">
        <f>IF($D2260="","",IF($X2260="Yes",1,0))</f>
        <v/>
      </c>
      <c r="AO2260">
        <f>IF($AK2260=1,IFERROR(IF(VALUE($D2260)&lt;100000000,VALUE($D2260),1000000000),IFERROR(IF(VALUE(MID($D2260,2,20))&lt;100000000,VALUE(MID($D2260,2,20)),1000000000),1000000000))+ROW()/100000,"")</f>
        <v/>
      </c>
    </row>
    <row r="2261">
      <c r="F2261" s="11" t="n"/>
      <c r="N2261" s="7">
        <f>IF($D2261="","",M2261*V2261/100)</f>
        <v/>
      </c>
      <c r="O2261" s="7" t="n"/>
      <c r="U2261" s="7" t="n"/>
      <c r="V2261" s="7" t="n"/>
      <c r="Y2261">
        <f>IF($D2261="","",IF($AN2261=1,0,IF($AM2261=1,Settings!$C$6,Settings!$C$7))*100)</f>
        <v/>
      </c>
      <c r="Z2261" s="7">
        <f>IF($D2261="","",V2261*Y2261/100)</f>
        <v/>
      </c>
      <c r="AA2261" s="7">
        <f>IF($D2261="","",V2261-Z2261)</f>
        <v/>
      </c>
      <c r="AB2261" s="7">
        <f>IF($D2261="","",AA2261-N2261)</f>
        <v/>
      </c>
      <c r="AF2261" s="7" t="n"/>
      <c r="AI2261" s="11" t="n"/>
      <c r="AK2261">
        <f>IF($D2261="","",IF(COUNTIF($D$2:$D2261,$D2261)=1,1,0))</f>
        <v/>
      </c>
      <c r="AL2261">
        <f>IF($AK2261=1,SUMPRODUCT(--($AO$2:$AO$3001&lt;$AO2261))+1,"")</f>
        <v/>
      </c>
      <c r="AM2261">
        <f>IF($D2261="","",IF(OR($R2261=TRUE(),$R2261="TRUE"),1,0))</f>
        <v/>
      </c>
      <c r="AN2261">
        <f>IF($D2261="","",IF($X2261="Yes",1,0))</f>
        <v/>
      </c>
      <c r="AO2261">
        <f>IF($AK2261=1,IFERROR(IF(VALUE($D2261)&lt;100000000,VALUE($D2261),1000000000),IFERROR(IF(VALUE(MID($D2261,2,20))&lt;100000000,VALUE(MID($D2261,2,20)),1000000000),1000000000))+ROW()/100000,"")</f>
        <v/>
      </c>
    </row>
    <row r="2262">
      <c r="F2262" s="11" t="n"/>
      <c r="N2262" s="7">
        <f>IF($D2262="","",M2262*V2262/100)</f>
        <v/>
      </c>
      <c r="O2262" s="7" t="n"/>
      <c r="U2262" s="7" t="n"/>
      <c r="V2262" s="7" t="n"/>
      <c r="Y2262">
        <f>IF($D2262="","",IF($AN2262=1,0,IF($AM2262=1,Settings!$C$6,Settings!$C$7))*100)</f>
        <v/>
      </c>
      <c r="Z2262" s="7">
        <f>IF($D2262="","",V2262*Y2262/100)</f>
        <v/>
      </c>
      <c r="AA2262" s="7">
        <f>IF($D2262="","",V2262-Z2262)</f>
        <v/>
      </c>
      <c r="AB2262" s="7">
        <f>IF($D2262="","",AA2262-N2262)</f>
        <v/>
      </c>
      <c r="AF2262" s="7" t="n"/>
      <c r="AI2262" s="11" t="n"/>
      <c r="AK2262">
        <f>IF($D2262="","",IF(COUNTIF($D$2:$D2262,$D2262)=1,1,0))</f>
        <v/>
      </c>
      <c r="AL2262">
        <f>IF($AK2262=1,SUMPRODUCT(--($AO$2:$AO$3001&lt;$AO2262))+1,"")</f>
        <v/>
      </c>
      <c r="AM2262">
        <f>IF($D2262="","",IF(OR($R2262=TRUE(),$R2262="TRUE"),1,0))</f>
        <v/>
      </c>
      <c r="AN2262">
        <f>IF($D2262="","",IF($X2262="Yes",1,0))</f>
        <v/>
      </c>
      <c r="AO2262">
        <f>IF($AK2262=1,IFERROR(IF(VALUE($D2262)&lt;100000000,VALUE($D2262),1000000000),IFERROR(IF(VALUE(MID($D2262,2,20))&lt;100000000,VALUE(MID($D2262,2,20)),1000000000),1000000000))+ROW()/100000,"")</f>
        <v/>
      </c>
    </row>
    <row r="2263">
      <c r="F2263" s="11" t="n"/>
      <c r="N2263" s="7">
        <f>IF($D2263="","",M2263*V2263/100)</f>
        <v/>
      </c>
      <c r="O2263" s="7" t="n"/>
      <c r="U2263" s="7" t="n"/>
      <c r="V2263" s="7" t="n"/>
      <c r="Y2263">
        <f>IF($D2263="","",IF($AN2263=1,0,IF($AM2263=1,Settings!$C$6,Settings!$C$7))*100)</f>
        <v/>
      </c>
      <c r="Z2263" s="7">
        <f>IF($D2263="","",V2263*Y2263/100)</f>
        <v/>
      </c>
      <c r="AA2263" s="7">
        <f>IF($D2263="","",V2263-Z2263)</f>
        <v/>
      </c>
      <c r="AB2263" s="7">
        <f>IF($D2263="","",AA2263-N2263)</f>
        <v/>
      </c>
      <c r="AF2263" s="7" t="n"/>
      <c r="AI2263" s="11" t="n"/>
      <c r="AK2263">
        <f>IF($D2263="","",IF(COUNTIF($D$2:$D2263,$D2263)=1,1,0))</f>
        <v/>
      </c>
      <c r="AL2263">
        <f>IF($AK2263=1,SUMPRODUCT(--($AO$2:$AO$3001&lt;$AO2263))+1,"")</f>
        <v/>
      </c>
      <c r="AM2263">
        <f>IF($D2263="","",IF(OR($R2263=TRUE(),$R2263="TRUE"),1,0))</f>
        <v/>
      </c>
      <c r="AN2263">
        <f>IF($D2263="","",IF($X2263="Yes",1,0))</f>
        <v/>
      </c>
      <c r="AO2263">
        <f>IF($AK2263=1,IFERROR(IF(VALUE($D2263)&lt;100000000,VALUE($D2263),1000000000),IFERROR(IF(VALUE(MID($D2263,2,20))&lt;100000000,VALUE(MID($D2263,2,20)),1000000000),1000000000))+ROW()/100000,"")</f>
        <v/>
      </c>
    </row>
    <row r="2264">
      <c r="F2264" s="11" t="n"/>
      <c r="N2264" s="7">
        <f>IF($D2264="","",M2264*V2264/100)</f>
        <v/>
      </c>
      <c r="O2264" s="7" t="n"/>
      <c r="U2264" s="7" t="n"/>
      <c r="V2264" s="7" t="n"/>
      <c r="Y2264">
        <f>IF($D2264="","",IF($AN2264=1,0,IF($AM2264=1,Settings!$C$6,Settings!$C$7))*100)</f>
        <v/>
      </c>
      <c r="Z2264" s="7">
        <f>IF($D2264="","",V2264*Y2264/100)</f>
        <v/>
      </c>
      <c r="AA2264" s="7">
        <f>IF($D2264="","",V2264-Z2264)</f>
        <v/>
      </c>
      <c r="AB2264" s="7">
        <f>IF($D2264="","",AA2264-N2264)</f>
        <v/>
      </c>
      <c r="AF2264" s="7" t="n"/>
      <c r="AI2264" s="11" t="n"/>
      <c r="AK2264">
        <f>IF($D2264="","",IF(COUNTIF($D$2:$D2264,$D2264)=1,1,0))</f>
        <v/>
      </c>
      <c r="AL2264">
        <f>IF($AK2264=1,SUMPRODUCT(--($AO$2:$AO$3001&lt;$AO2264))+1,"")</f>
        <v/>
      </c>
      <c r="AM2264">
        <f>IF($D2264="","",IF(OR($R2264=TRUE(),$R2264="TRUE"),1,0))</f>
        <v/>
      </c>
      <c r="AN2264">
        <f>IF($D2264="","",IF($X2264="Yes",1,0))</f>
        <v/>
      </c>
      <c r="AO2264">
        <f>IF($AK2264=1,IFERROR(IF(VALUE($D2264)&lt;100000000,VALUE($D2264),1000000000),IFERROR(IF(VALUE(MID($D2264,2,20))&lt;100000000,VALUE(MID($D2264,2,20)),1000000000),1000000000))+ROW()/100000,"")</f>
        <v/>
      </c>
    </row>
    <row r="2265">
      <c r="F2265" s="11" t="n"/>
      <c r="N2265" s="7">
        <f>IF($D2265="","",M2265*V2265/100)</f>
        <v/>
      </c>
      <c r="O2265" s="7" t="n"/>
      <c r="U2265" s="7" t="n"/>
      <c r="V2265" s="7" t="n"/>
      <c r="Y2265">
        <f>IF($D2265="","",IF($AN2265=1,0,IF($AM2265=1,Settings!$C$6,Settings!$C$7))*100)</f>
        <v/>
      </c>
      <c r="Z2265" s="7">
        <f>IF($D2265="","",V2265*Y2265/100)</f>
        <v/>
      </c>
      <c r="AA2265" s="7">
        <f>IF($D2265="","",V2265-Z2265)</f>
        <v/>
      </c>
      <c r="AB2265" s="7">
        <f>IF($D2265="","",AA2265-N2265)</f>
        <v/>
      </c>
      <c r="AF2265" s="7" t="n"/>
      <c r="AI2265" s="11" t="n"/>
      <c r="AK2265">
        <f>IF($D2265="","",IF(COUNTIF($D$2:$D2265,$D2265)=1,1,0))</f>
        <v/>
      </c>
      <c r="AL2265">
        <f>IF($AK2265=1,SUMPRODUCT(--($AO$2:$AO$3001&lt;$AO2265))+1,"")</f>
        <v/>
      </c>
      <c r="AM2265">
        <f>IF($D2265="","",IF(OR($R2265=TRUE(),$R2265="TRUE"),1,0))</f>
        <v/>
      </c>
      <c r="AN2265">
        <f>IF($D2265="","",IF($X2265="Yes",1,0))</f>
        <v/>
      </c>
      <c r="AO2265">
        <f>IF($AK2265=1,IFERROR(IF(VALUE($D2265)&lt;100000000,VALUE($D2265),1000000000),IFERROR(IF(VALUE(MID($D2265,2,20))&lt;100000000,VALUE(MID($D2265,2,20)),1000000000),1000000000))+ROW()/100000,"")</f>
        <v/>
      </c>
    </row>
    <row r="2266">
      <c r="F2266" s="11" t="n"/>
      <c r="N2266" s="7">
        <f>IF($D2266="","",M2266*V2266/100)</f>
        <v/>
      </c>
      <c r="O2266" s="7" t="n"/>
      <c r="U2266" s="7" t="n"/>
      <c r="V2266" s="7" t="n"/>
      <c r="Y2266">
        <f>IF($D2266="","",IF($AN2266=1,0,IF($AM2266=1,Settings!$C$6,Settings!$C$7))*100)</f>
        <v/>
      </c>
      <c r="Z2266" s="7">
        <f>IF($D2266="","",V2266*Y2266/100)</f>
        <v/>
      </c>
      <c r="AA2266" s="7">
        <f>IF($D2266="","",V2266-Z2266)</f>
        <v/>
      </c>
      <c r="AB2266" s="7">
        <f>IF($D2266="","",AA2266-N2266)</f>
        <v/>
      </c>
      <c r="AF2266" s="7" t="n"/>
      <c r="AI2266" s="11" t="n"/>
      <c r="AK2266">
        <f>IF($D2266="","",IF(COUNTIF($D$2:$D2266,$D2266)=1,1,0))</f>
        <v/>
      </c>
      <c r="AL2266">
        <f>IF($AK2266=1,SUMPRODUCT(--($AO$2:$AO$3001&lt;$AO2266))+1,"")</f>
        <v/>
      </c>
      <c r="AM2266">
        <f>IF($D2266="","",IF(OR($R2266=TRUE(),$R2266="TRUE"),1,0))</f>
        <v/>
      </c>
      <c r="AN2266">
        <f>IF($D2266="","",IF($X2266="Yes",1,0))</f>
        <v/>
      </c>
      <c r="AO2266">
        <f>IF($AK2266=1,IFERROR(IF(VALUE($D2266)&lt;100000000,VALUE($D2266),1000000000),IFERROR(IF(VALUE(MID($D2266,2,20))&lt;100000000,VALUE(MID($D2266,2,20)),1000000000),1000000000))+ROW()/100000,"")</f>
        <v/>
      </c>
    </row>
    <row r="2267">
      <c r="F2267" s="11" t="n"/>
      <c r="N2267" s="7">
        <f>IF($D2267="","",M2267*V2267/100)</f>
        <v/>
      </c>
      <c r="O2267" s="7" t="n"/>
      <c r="U2267" s="7" t="n"/>
      <c r="V2267" s="7" t="n"/>
      <c r="Y2267">
        <f>IF($D2267="","",IF($AN2267=1,0,IF($AM2267=1,Settings!$C$6,Settings!$C$7))*100)</f>
        <v/>
      </c>
      <c r="Z2267" s="7">
        <f>IF($D2267="","",V2267*Y2267/100)</f>
        <v/>
      </c>
      <c r="AA2267" s="7">
        <f>IF($D2267="","",V2267-Z2267)</f>
        <v/>
      </c>
      <c r="AB2267" s="7">
        <f>IF($D2267="","",AA2267-N2267)</f>
        <v/>
      </c>
      <c r="AF2267" s="7" t="n"/>
      <c r="AI2267" s="11" t="n"/>
      <c r="AK2267">
        <f>IF($D2267="","",IF(COUNTIF($D$2:$D2267,$D2267)=1,1,0))</f>
        <v/>
      </c>
      <c r="AL2267">
        <f>IF($AK2267=1,SUMPRODUCT(--($AO$2:$AO$3001&lt;$AO2267))+1,"")</f>
        <v/>
      </c>
      <c r="AM2267">
        <f>IF($D2267="","",IF(OR($R2267=TRUE(),$R2267="TRUE"),1,0))</f>
        <v/>
      </c>
      <c r="AN2267">
        <f>IF($D2267="","",IF($X2267="Yes",1,0))</f>
        <v/>
      </c>
      <c r="AO2267">
        <f>IF($AK2267=1,IFERROR(IF(VALUE($D2267)&lt;100000000,VALUE($D2267),1000000000),IFERROR(IF(VALUE(MID($D2267,2,20))&lt;100000000,VALUE(MID($D2267,2,20)),1000000000),1000000000))+ROW()/100000,"")</f>
        <v/>
      </c>
    </row>
    <row r="2268">
      <c r="F2268" s="11" t="n"/>
      <c r="N2268" s="7">
        <f>IF($D2268="","",M2268*V2268/100)</f>
        <v/>
      </c>
      <c r="O2268" s="7" t="n"/>
      <c r="U2268" s="7" t="n"/>
      <c r="V2268" s="7" t="n"/>
      <c r="Y2268">
        <f>IF($D2268="","",IF($AN2268=1,0,IF($AM2268=1,Settings!$C$6,Settings!$C$7))*100)</f>
        <v/>
      </c>
      <c r="Z2268" s="7">
        <f>IF($D2268="","",V2268*Y2268/100)</f>
        <v/>
      </c>
      <c r="AA2268" s="7">
        <f>IF($D2268="","",V2268-Z2268)</f>
        <v/>
      </c>
      <c r="AB2268" s="7">
        <f>IF($D2268="","",AA2268-N2268)</f>
        <v/>
      </c>
      <c r="AF2268" s="7" t="n"/>
      <c r="AI2268" s="11" t="n"/>
      <c r="AK2268">
        <f>IF($D2268="","",IF(COUNTIF($D$2:$D2268,$D2268)=1,1,0))</f>
        <v/>
      </c>
      <c r="AL2268">
        <f>IF($AK2268=1,SUMPRODUCT(--($AO$2:$AO$3001&lt;$AO2268))+1,"")</f>
        <v/>
      </c>
      <c r="AM2268">
        <f>IF($D2268="","",IF(OR($R2268=TRUE(),$R2268="TRUE"),1,0))</f>
        <v/>
      </c>
      <c r="AN2268">
        <f>IF($D2268="","",IF($X2268="Yes",1,0))</f>
        <v/>
      </c>
      <c r="AO2268">
        <f>IF($AK2268=1,IFERROR(IF(VALUE($D2268)&lt;100000000,VALUE($D2268),1000000000),IFERROR(IF(VALUE(MID($D2268,2,20))&lt;100000000,VALUE(MID($D2268,2,20)),1000000000),1000000000))+ROW()/100000,"")</f>
        <v/>
      </c>
    </row>
    <row r="2269">
      <c r="F2269" s="11" t="n"/>
      <c r="N2269" s="7">
        <f>IF($D2269="","",M2269*V2269/100)</f>
        <v/>
      </c>
      <c r="O2269" s="7" t="n"/>
      <c r="U2269" s="7" t="n"/>
      <c r="V2269" s="7" t="n"/>
      <c r="Y2269">
        <f>IF($D2269="","",IF($AN2269=1,0,IF($AM2269=1,Settings!$C$6,Settings!$C$7))*100)</f>
        <v/>
      </c>
      <c r="Z2269" s="7">
        <f>IF($D2269="","",V2269*Y2269/100)</f>
        <v/>
      </c>
      <c r="AA2269" s="7">
        <f>IF($D2269="","",V2269-Z2269)</f>
        <v/>
      </c>
      <c r="AB2269" s="7">
        <f>IF($D2269="","",AA2269-N2269)</f>
        <v/>
      </c>
      <c r="AF2269" s="7" t="n"/>
      <c r="AI2269" s="11" t="n"/>
      <c r="AK2269">
        <f>IF($D2269="","",IF(COUNTIF($D$2:$D2269,$D2269)=1,1,0))</f>
        <v/>
      </c>
      <c r="AL2269">
        <f>IF($AK2269=1,SUMPRODUCT(--($AO$2:$AO$3001&lt;$AO2269))+1,"")</f>
        <v/>
      </c>
      <c r="AM2269">
        <f>IF($D2269="","",IF(OR($R2269=TRUE(),$R2269="TRUE"),1,0))</f>
        <v/>
      </c>
      <c r="AN2269">
        <f>IF($D2269="","",IF($X2269="Yes",1,0))</f>
        <v/>
      </c>
      <c r="AO2269">
        <f>IF($AK2269=1,IFERROR(IF(VALUE($D2269)&lt;100000000,VALUE($D2269),1000000000),IFERROR(IF(VALUE(MID($D2269,2,20))&lt;100000000,VALUE(MID($D2269,2,20)),1000000000),1000000000))+ROW()/100000,"")</f>
        <v/>
      </c>
    </row>
    <row r="2270">
      <c r="F2270" s="11" t="n"/>
      <c r="N2270" s="7">
        <f>IF($D2270="","",M2270*V2270/100)</f>
        <v/>
      </c>
      <c r="O2270" s="7" t="n"/>
      <c r="U2270" s="7" t="n"/>
      <c r="V2270" s="7" t="n"/>
      <c r="Y2270">
        <f>IF($D2270="","",IF($AN2270=1,0,IF($AM2270=1,Settings!$C$6,Settings!$C$7))*100)</f>
        <v/>
      </c>
      <c r="Z2270" s="7">
        <f>IF($D2270="","",V2270*Y2270/100)</f>
        <v/>
      </c>
      <c r="AA2270" s="7">
        <f>IF($D2270="","",V2270-Z2270)</f>
        <v/>
      </c>
      <c r="AB2270" s="7">
        <f>IF($D2270="","",AA2270-N2270)</f>
        <v/>
      </c>
      <c r="AF2270" s="7" t="n"/>
      <c r="AI2270" s="11" t="n"/>
      <c r="AK2270">
        <f>IF($D2270="","",IF(COUNTIF($D$2:$D2270,$D2270)=1,1,0))</f>
        <v/>
      </c>
      <c r="AL2270">
        <f>IF($AK2270=1,SUMPRODUCT(--($AO$2:$AO$3001&lt;$AO2270))+1,"")</f>
        <v/>
      </c>
      <c r="AM2270">
        <f>IF($D2270="","",IF(OR($R2270=TRUE(),$R2270="TRUE"),1,0))</f>
        <v/>
      </c>
      <c r="AN2270">
        <f>IF($D2270="","",IF($X2270="Yes",1,0))</f>
        <v/>
      </c>
      <c r="AO2270">
        <f>IF($AK2270=1,IFERROR(IF(VALUE($D2270)&lt;100000000,VALUE($D2270),1000000000),IFERROR(IF(VALUE(MID($D2270,2,20))&lt;100000000,VALUE(MID($D2270,2,20)),1000000000),1000000000))+ROW()/100000,"")</f>
        <v/>
      </c>
    </row>
    <row r="2271">
      <c r="F2271" s="11" t="n"/>
      <c r="N2271" s="7">
        <f>IF($D2271="","",M2271*V2271/100)</f>
        <v/>
      </c>
      <c r="O2271" s="7" t="n"/>
      <c r="U2271" s="7" t="n"/>
      <c r="V2271" s="7" t="n"/>
      <c r="Y2271">
        <f>IF($D2271="","",IF($AN2271=1,0,IF($AM2271=1,Settings!$C$6,Settings!$C$7))*100)</f>
        <v/>
      </c>
      <c r="Z2271" s="7">
        <f>IF($D2271="","",V2271*Y2271/100)</f>
        <v/>
      </c>
      <c r="AA2271" s="7">
        <f>IF($D2271="","",V2271-Z2271)</f>
        <v/>
      </c>
      <c r="AB2271" s="7">
        <f>IF($D2271="","",AA2271-N2271)</f>
        <v/>
      </c>
      <c r="AF2271" s="7" t="n"/>
      <c r="AI2271" s="11" t="n"/>
      <c r="AK2271">
        <f>IF($D2271="","",IF(COUNTIF($D$2:$D2271,$D2271)=1,1,0))</f>
        <v/>
      </c>
      <c r="AL2271">
        <f>IF($AK2271=1,SUMPRODUCT(--($AO$2:$AO$3001&lt;$AO2271))+1,"")</f>
        <v/>
      </c>
      <c r="AM2271">
        <f>IF($D2271="","",IF(OR($R2271=TRUE(),$R2271="TRUE"),1,0))</f>
        <v/>
      </c>
      <c r="AN2271">
        <f>IF($D2271="","",IF($X2271="Yes",1,0))</f>
        <v/>
      </c>
      <c r="AO2271">
        <f>IF($AK2271=1,IFERROR(IF(VALUE($D2271)&lt;100000000,VALUE($D2271),1000000000),IFERROR(IF(VALUE(MID($D2271,2,20))&lt;100000000,VALUE(MID($D2271,2,20)),1000000000),1000000000))+ROW()/100000,"")</f>
        <v/>
      </c>
    </row>
    <row r="2272">
      <c r="F2272" s="11" t="n"/>
      <c r="N2272" s="7">
        <f>IF($D2272="","",M2272*V2272/100)</f>
        <v/>
      </c>
      <c r="O2272" s="7" t="n"/>
      <c r="U2272" s="7" t="n"/>
      <c r="V2272" s="7" t="n"/>
      <c r="Y2272">
        <f>IF($D2272="","",IF($AN2272=1,0,IF($AM2272=1,Settings!$C$6,Settings!$C$7))*100)</f>
        <v/>
      </c>
      <c r="Z2272" s="7">
        <f>IF($D2272="","",V2272*Y2272/100)</f>
        <v/>
      </c>
      <c r="AA2272" s="7">
        <f>IF($D2272="","",V2272-Z2272)</f>
        <v/>
      </c>
      <c r="AB2272" s="7">
        <f>IF($D2272="","",AA2272-N2272)</f>
        <v/>
      </c>
      <c r="AF2272" s="7" t="n"/>
      <c r="AI2272" s="11" t="n"/>
      <c r="AK2272">
        <f>IF($D2272="","",IF(COUNTIF($D$2:$D2272,$D2272)=1,1,0))</f>
        <v/>
      </c>
      <c r="AL2272">
        <f>IF($AK2272=1,SUMPRODUCT(--($AO$2:$AO$3001&lt;$AO2272))+1,"")</f>
        <v/>
      </c>
      <c r="AM2272">
        <f>IF($D2272="","",IF(OR($R2272=TRUE(),$R2272="TRUE"),1,0))</f>
        <v/>
      </c>
      <c r="AN2272">
        <f>IF($D2272="","",IF($X2272="Yes",1,0))</f>
        <v/>
      </c>
      <c r="AO2272">
        <f>IF($AK2272=1,IFERROR(IF(VALUE($D2272)&lt;100000000,VALUE($D2272),1000000000),IFERROR(IF(VALUE(MID($D2272,2,20))&lt;100000000,VALUE(MID($D2272,2,20)),1000000000),1000000000))+ROW()/100000,"")</f>
        <v/>
      </c>
    </row>
    <row r="2273">
      <c r="F2273" s="11" t="n"/>
      <c r="N2273" s="7">
        <f>IF($D2273="","",M2273*V2273/100)</f>
        <v/>
      </c>
      <c r="O2273" s="7" t="n"/>
      <c r="U2273" s="7" t="n"/>
      <c r="V2273" s="7" t="n"/>
      <c r="Y2273">
        <f>IF($D2273="","",IF($AN2273=1,0,IF($AM2273=1,Settings!$C$6,Settings!$C$7))*100)</f>
        <v/>
      </c>
      <c r="Z2273" s="7">
        <f>IF($D2273="","",V2273*Y2273/100)</f>
        <v/>
      </c>
      <c r="AA2273" s="7">
        <f>IF($D2273="","",V2273-Z2273)</f>
        <v/>
      </c>
      <c r="AB2273" s="7">
        <f>IF($D2273="","",AA2273-N2273)</f>
        <v/>
      </c>
      <c r="AF2273" s="7" t="n"/>
      <c r="AI2273" s="11" t="n"/>
      <c r="AK2273">
        <f>IF($D2273="","",IF(COUNTIF($D$2:$D2273,$D2273)=1,1,0))</f>
        <v/>
      </c>
      <c r="AL2273">
        <f>IF($AK2273=1,SUMPRODUCT(--($AO$2:$AO$3001&lt;$AO2273))+1,"")</f>
        <v/>
      </c>
      <c r="AM2273">
        <f>IF($D2273="","",IF(OR($R2273=TRUE(),$R2273="TRUE"),1,0))</f>
        <v/>
      </c>
      <c r="AN2273">
        <f>IF($D2273="","",IF($X2273="Yes",1,0))</f>
        <v/>
      </c>
      <c r="AO2273">
        <f>IF($AK2273=1,IFERROR(IF(VALUE($D2273)&lt;100000000,VALUE($D2273),1000000000),IFERROR(IF(VALUE(MID($D2273,2,20))&lt;100000000,VALUE(MID($D2273,2,20)),1000000000),1000000000))+ROW()/100000,"")</f>
        <v/>
      </c>
    </row>
    <row r="2274">
      <c r="F2274" s="11" t="n"/>
      <c r="N2274" s="7">
        <f>IF($D2274="","",M2274*V2274/100)</f>
        <v/>
      </c>
      <c r="O2274" s="7" t="n"/>
      <c r="U2274" s="7" t="n"/>
      <c r="V2274" s="7" t="n"/>
      <c r="Y2274">
        <f>IF($D2274="","",IF($AN2274=1,0,IF($AM2274=1,Settings!$C$6,Settings!$C$7))*100)</f>
        <v/>
      </c>
      <c r="Z2274" s="7">
        <f>IF($D2274="","",V2274*Y2274/100)</f>
        <v/>
      </c>
      <c r="AA2274" s="7">
        <f>IF($D2274="","",V2274-Z2274)</f>
        <v/>
      </c>
      <c r="AB2274" s="7">
        <f>IF($D2274="","",AA2274-N2274)</f>
        <v/>
      </c>
      <c r="AF2274" s="7" t="n"/>
      <c r="AI2274" s="11" t="n"/>
      <c r="AK2274">
        <f>IF($D2274="","",IF(COUNTIF($D$2:$D2274,$D2274)=1,1,0))</f>
        <v/>
      </c>
      <c r="AL2274">
        <f>IF($AK2274=1,SUMPRODUCT(--($AO$2:$AO$3001&lt;$AO2274))+1,"")</f>
        <v/>
      </c>
      <c r="AM2274">
        <f>IF($D2274="","",IF(OR($R2274=TRUE(),$R2274="TRUE"),1,0))</f>
        <v/>
      </c>
      <c r="AN2274">
        <f>IF($D2274="","",IF($X2274="Yes",1,0))</f>
        <v/>
      </c>
      <c r="AO2274">
        <f>IF($AK2274=1,IFERROR(IF(VALUE($D2274)&lt;100000000,VALUE($D2274),1000000000),IFERROR(IF(VALUE(MID($D2274,2,20))&lt;100000000,VALUE(MID($D2274,2,20)),1000000000),1000000000))+ROW()/100000,"")</f>
        <v/>
      </c>
    </row>
    <row r="2275">
      <c r="F2275" s="11" t="n"/>
      <c r="N2275" s="7">
        <f>IF($D2275="","",M2275*V2275/100)</f>
        <v/>
      </c>
      <c r="O2275" s="7" t="n"/>
      <c r="U2275" s="7" t="n"/>
      <c r="V2275" s="7" t="n"/>
      <c r="Y2275">
        <f>IF($D2275="","",IF($AN2275=1,0,IF($AM2275=1,Settings!$C$6,Settings!$C$7))*100)</f>
        <v/>
      </c>
      <c r="Z2275" s="7">
        <f>IF($D2275="","",V2275*Y2275/100)</f>
        <v/>
      </c>
      <c r="AA2275" s="7">
        <f>IF($D2275="","",V2275-Z2275)</f>
        <v/>
      </c>
      <c r="AB2275" s="7">
        <f>IF($D2275="","",AA2275-N2275)</f>
        <v/>
      </c>
      <c r="AF2275" s="7" t="n"/>
      <c r="AI2275" s="11" t="n"/>
      <c r="AK2275">
        <f>IF($D2275="","",IF(COUNTIF($D$2:$D2275,$D2275)=1,1,0))</f>
        <v/>
      </c>
      <c r="AL2275">
        <f>IF($AK2275=1,SUMPRODUCT(--($AO$2:$AO$3001&lt;$AO2275))+1,"")</f>
        <v/>
      </c>
      <c r="AM2275">
        <f>IF($D2275="","",IF(OR($R2275=TRUE(),$R2275="TRUE"),1,0))</f>
        <v/>
      </c>
      <c r="AN2275">
        <f>IF($D2275="","",IF($X2275="Yes",1,0))</f>
        <v/>
      </c>
      <c r="AO2275">
        <f>IF($AK2275=1,IFERROR(IF(VALUE($D2275)&lt;100000000,VALUE($D2275),1000000000),IFERROR(IF(VALUE(MID($D2275,2,20))&lt;100000000,VALUE(MID($D2275,2,20)),1000000000),1000000000))+ROW()/100000,"")</f>
        <v/>
      </c>
    </row>
    <row r="2276">
      <c r="F2276" s="11" t="n"/>
      <c r="N2276" s="7">
        <f>IF($D2276="","",M2276*V2276/100)</f>
        <v/>
      </c>
      <c r="O2276" s="7" t="n"/>
      <c r="U2276" s="7" t="n"/>
      <c r="V2276" s="7" t="n"/>
      <c r="Y2276">
        <f>IF($D2276="","",IF($AN2276=1,0,IF($AM2276=1,Settings!$C$6,Settings!$C$7))*100)</f>
        <v/>
      </c>
      <c r="Z2276" s="7">
        <f>IF($D2276="","",V2276*Y2276/100)</f>
        <v/>
      </c>
      <c r="AA2276" s="7">
        <f>IF($D2276="","",V2276-Z2276)</f>
        <v/>
      </c>
      <c r="AB2276" s="7">
        <f>IF($D2276="","",AA2276-N2276)</f>
        <v/>
      </c>
      <c r="AF2276" s="7" t="n"/>
      <c r="AI2276" s="11" t="n"/>
      <c r="AK2276">
        <f>IF($D2276="","",IF(COUNTIF($D$2:$D2276,$D2276)=1,1,0))</f>
        <v/>
      </c>
      <c r="AL2276">
        <f>IF($AK2276=1,SUMPRODUCT(--($AO$2:$AO$3001&lt;$AO2276))+1,"")</f>
        <v/>
      </c>
      <c r="AM2276">
        <f>IF($D2276="","",IF(OR($R2276=TRUE(),$R2276="TRUE"),1,0))</f>
        <v/>
      </c>
      <c r="AN2276">
        <f>IF($D2276="","",IF($X2276="Yes",1,0))</f>
        <v/>
      </c>
      <c r="AO2276">
        <f>IF($AK2276=1,IFERROR(IF(VALUE($D2276)&lt;100000000,VALUE($D2276),1000000000),IFERROR(IF(VALUE(MID($D2276,2,20))&lt;100000000,VALUE(MID($D2276,2,20)),1000000000),1000000000))+ROW()/100000,"")</f>
        <v/>
      </c>
    </row>
    <row r="2277">
      <c r="F2277" s="11" t="n"/>
      <c r="N2277" s="7">
        <f>IF($D2277="","",M2277*V2277/100)</f>
        <v/>
      </c>
      <c r="O2277" s="7" t="n"/>
      <c r="U2277" s="7" t="n"/>
      <c r="V2277" s="7" t="n"/>
      <c r="Y2277">
        <f>IF($D2277="","",IF($AN2277=1,0,IF($AM2277=1,Settings!$C$6,Settings!$C$7))*100)</f>
        <v/>
      </c>
      <c r="Z2277" s="7">
        <f>IF($D2277="","",V2277*Y2277/100)</f>
        <v/>
      </c>
      <c r="AA2277" s="7">
        <f>IF($D2277="","",V2277-Z2277)</f>
        <v/>
      </c>
      <c r="AB2277" s="7">
        <f>IF($D2277="","",AA2277-N2277)</f>
        <v/>
      </c>
      <c r="AF2277" s="7" t="n"/>
      <c r="AI2277" s="11" t="n"/>
      <c r="AK2277">
        <f>IF($D2277="","",IF(COUNTIF($D$2:$D2277,$D2277)=1,1,0))</f>
        <v/>
      </c>
      <c r="AL2277">
        <f>IF($AK2277=1,SUMPRODUCT(--($AO$2:$AO$3001&lt;$AO2277))+1,"")</f>
        <v/>
      </c>
      <c r="AM2277">
        <f>IF($D2277="","",IF(OR($R2277=TRUE(),$R2277="TRUE"),1,0))</f>
        <v/>
      </c>
      <c r="AN2277">
        <f>IF($D2277="","",IF($X2277="Yes",1,0))</f>
        <v/>
      </c>
      <c r="AO2277">
        <f>IF($AK2277=1,IFERROR(IF(VALUE($D2277)&lt;100000000,VALUE($D2277),1000000000),IFERROR(IF(VALUE(MID($D2277,2,20))&lt;100000000,VALUE(MID($D2277,2,20)),1000000000),1000000000))+ROW()/100000,"")</f>
        <v/>
      </c>
    </row>
    <row r="2278">
      <c r="F2278" s="11" t="n"/>
      <c r="N2278" s="7">
        <f>IF($D2278="","",M2278*V2278/100)</f>
        <v/>
      </c>
      <c r="O2278" s="7" t="n"/>
      <c r="U2278" s="7" t="n"/>
      <c r="V2278" s="7" t="n"/>
      <c r="Y2278">
        <f>IF($D2278="","",IF($AN2278=1,0,IF($AM2278=1,Settings!$C$6,Settings!$C$7))*100)</f>
        <v/>
      </c>
      <c r="Z2278" s="7">
        <f>IF($D2278="","",V2278*Y2278/100)</f>
        <v/>
      </c>
      <c r="AA2278" s="7">
        <f>IF($D2278="","",V2278-Z2278)</f>
        <v/>
      </c>
      <c r="AB2278" s="7">
        <f>IF($D2278="","",AA2278-N2278)</f>
        <v/>
      </c>
      <c r="AF2278" s="7" t="n"/>
      <c r="AI2278" s="11" t="n"/>
      <c r="AK2278">
        <f>IF($D2278="","",IF(COUNTIF($D$2:$D2278,$D2278)=1,1,0))</f>
        <v/>
      </c>
      <c r="AL2278">
        <f>IF($AK2278=1,SUMPRODUCT(--($AO$2:$AO$3001&lt;$AO2278))+1,"")</f>
        <v/>
      </c>
      <c r="AM2278">
        <f>IF($D2278="","",IF(OR($R2278=TRUE(),$R2278="TRUE"),1,0))</f>
        <v/>
      </c>
      <c r="AN2278">
        <f>IF($D2278="","",IF($X2278="Yes",1,0))</f>
        <v/>
      </c>
      <c r="AO2278">
        <f>IF($AK2278=1,IFERROR(IF(VALUE($D2278)&lt;100000000,VALUE($D2278),1000000000),IFERROR(IF(VALUE(MID($D2278,2,20))&lt;100000000,VALUE(MID($D2278,2,20)),1000000000),1000000000))+ROW()/100000,"")</f>
        <v/>
      </c>
    </row>
    <row r="2279">
      <c r="F2279" s="11" t="n"/>
      <c r="N2279" s="7">
        <f>IF($D2279="","",M2279*V2279/100)</f>
        <v/>
      </c>
      <c r="O2279" s="7" t="n"/>
      <c r="U2279" s="7" t="n"/>
      <c r="V2279" s="7" t="n"/>
      <c r="Y2279">
        <f>IF($D2279="","",IF($AN2279=1,0,IF($AM2279=1,Settings!$C$6,Settings!$C$7))*100)</f>
        <v/>
      </c>
      <c r="Z2279" s="7">
        <f>IF($D2279="","",V2279*Y2279/100)</f>
        <v/>
      </c>
      <c r="AA2279" s="7">
        <f>IF($D2279="","",V2279-Z2279)</f>
        <v/>
      </c>
      <c r="AB2279" s="7">
        <f>IF($D2279="","",AA2279-N2279)</f>
        <v/>
      </c>
      <c r="AF2279" s="7" t="n"/>
      <c r="AI2279" s="11" t="n"/>
      <c r="AK2279">
        <f>IF($D2279="","",IF(COUNTIF($D$2:$D2279,$D2279)=1,1,0))</f>
        <v/>
      </c>
      <c r="AL2279">
        <f>IF($AK2279=1,SUMPRODUCT(--($AO$2:$AO$3001&lt;$AO2279))+1,"")</f>
        <v/>
      </c>
      <c r="AM2279">
        <f>IF($D2279="","",IF(OR($R2279=TRUE(),$R2279="TRUE"),1,0))</f>
        <v/>
      </c>
      <c r="AN2279">
        <f>IF($D2279="","",IF($X2279="Yes",1,0))</f>
        <v/>
      </c>
      <c r="AO2279">
        <f>IF($AK2279=1,IFERROR(IF(VALUE($D2279)&lt;100000000,VALUE($D2279),1000000000),IFERROR(IF(VALUE(MID($D2279,2,20))&lt;100000000,VALUE(MID($D2279,2,20)),1000000000),1000000000))+ROW()/100000,"")</f>
        <v/>
      </c>
    </row>
    <row r="2280">
      <c r="F2280" s="11" t="n"/>
      <c r="N2280" s="7">
        <f>IF($D2280="","",M2280*V2280/100)</f>
        <v/>
      </c>
      <c r="O2280" s="7" t="n"/>
      <c r="U2280" s="7" t="n"/>
      <c r="V2280" s="7" t="n"/>
      <c r="Y2280">
        <f>IF($D2280="","",IF($AN2280=1,0,IF($AM2280=1,Settings!$C$6,Settings!$C$7))*100)</f>
        <v/>
      </c>
      <c r="Z2280" s="7">
        <f>IF($D2280="","",V2280*Y2280/100)</f>
        <v/>
      </c>
      <c r="AA2280" s="7">
        <f>IF($D2280="","",V2280-Z2280)</f>
        <v/>
      </c>
      <c r="AB2280" s="7">
        <f>IF($D2280="","",AA2280-N2280)</f>
        <v/>
      </c>
      <c r="AF2280" s="7" t="n"/>
      <c r="AI2280" s="11" t="n"/>
      <c r="AK2280">
        <f>IF($D2280="","",IF(COUNTIF($D$2:$D2280,$D2280)=1,1,0))</f>
        <v/>
      </c>
      <c r="AL2280">
        <f>IF($AK2280=1,SUMPRODUCT(--($AO$2:$AO$3001&lt;$AO2280))+1,"")</f>
        <v/>
      </c>
      <c r="AM2280">
        <f>IF($D2280="","",IF(OR($R2280=TRUE(),$R2280="TRUE"),1,0))</f>
        <v/>
      </c>
      <c r="AN2280">
        <f>IF($D2280="","",IF($X2280="Yes",1,0))</f>
        <v/>
      </c>
      <c r="AO2280">
        <f>IF($AK2280=1,IFERROR(IF(VALUE($D2280)&lt;100000000,VALUE($D2280),1000000000),IFERROR(IF(VALUE(MID($D2280,2,20))&lt;100000000,VALUE(MID($D2280,2,20)),1000000000),1000000000))+ROW()/100000,"")</f>
        <v/>
      </c>
    </row>
    <row r="2281">
      <c r="F2281" s="11" t="n"/>
      <c r="N2281" s="7">
        <f>IF($D2281="","",M2281*V2281/100)</f>
        <v/>
      </c>
      <c r="O2281" s="7" t="n"/>
      <c r="U2281" s="7" t="n"/>
      <c r="V2281" s="7" t="n"/>
      <c r="Y2281">
        <f>IF($D2281="","",IF($AN2281=1,0,IF($AM2281=1,Settings!$C$6,Settings!$C$7))*100)</f>
        <v/>
      </c>
      <c r="Z2281" s="7">
        <f>IF($D2281="","",V2281*Y2281/100)</f>
        <v/>
      </c>
      <c r="AA2281" s="7">
        <f>IF($D2281="","",V2281-Z2281)</f>
        <v/>
      </c>
      <c r="AB2281" s="7">
        <f>IF($D2281="","",AA2281-N2281)</f>
        <v/>
      </c>
      <c r="AF2281" s="7" t="n"/>
      <c r="AI2281" s="11" t="n"/>
      <c r="AK2281">
        <f>IF($D2281="","",IF(COUNTIF($D$2:$D2281,$D2281)=1,1,0))</f>
        <v/>
      </c>
      <c r="AL2281">
        <f>IF($AK2281=1,SUMPRODUCT(--($AO$2:$AO$3001&lt;$AO2281))+1,"")</f>
        <v/>
      </c>
      <c r="AM2281">
        <f>IF($D2281="","",IF(OR($R2281=TRUE(),$R2281="TRUE"),1,0))</f>
        <v/>
      </c>
      <c r="AN2281">
        <f>IF($D2281="","",IF($X2281="Yes",1,0))</f>
        <v/>
      </c>
      <c r="AO2281">
        <f>IF($AK2281=1,IFERROR(IF(VALUE($D2281)&lt;100000000,VALUE($D2281),1000000000),IFERROR(IF(VALUE(MID($D2281,2,20))&lt;100000000,VALUE(MID($D2281,2,20)),1000000000),1000000000))+ROW()/100000,"")</f>
        <v/>
      </c>
    </row>
    <row r="2282">
      <c r="F2282" s="11" t="n"/>
      <c r="N2282" s="7">
        <f>IF($D2282="","",M2282*V2282/100)</f>
        <v/>
      </c>
      <c r="O2282" s="7" t="n"/>
      <c r="U2282" s="7" t="n"/>
      <c r="V2282" s="7" t="n"/>
      <c r="Y2282">
        <f>IF($D2282="","",IF($AN2282=1,0,IF($AM2282=1,Settings!$C$6,Settings!$C$7))*100)</f>
        <v/>
      </c>
      <c r="Z2282" s="7">
        <f>IF($D2282="","",V2282*Y2282/100)</f>
        <v/>
      </c>
      <c r="AA2282" s="7">
        <f>IF($D2282="","",V2282-Z2282)</f>
        <v/>
      </c>
      <c r="AB2282" s="7">
        <f>IF($D2282="","",AA2282-N2282)</f>
        <v/>
      </c>
      <c r="AF2282" s="7" t="n"/>
      <c r="AI2282" s="11" t="n"/>
      <c r="AK2282">
        <f>IF($D2282="","",IF(COUNTIF($D$2:$D2282,$D2282)=1,1,0))</f>
        <v/>
      </c>
      <c r="AL2282">
        <f>IF($AK2282=1,SUMPRODUCT(--($AO$2:$AO$3001&lt;$AO2282))+1,"")</f>
        <v/>
      </c>
      <c r="AM2282">
        <f>IF($D2282="","",IF(OR($R2282=TRUE(),$R2282="TRUE"),1,0))</f>
        <v/>
      </c>
      <c r="AN2282">
        <f>IF($D2282="","",IF($X2282="Yes",1,0))</f>
        <v/>
      </c>
      <c r="AO2282">
        <f>IF($AK2282=1,IFERROR(IF(VALUE($D2282)&lt;100000000,VALUE($D2282),1000000000),IFERROR(IF(VALUE(MID($D2282,2,20))&lt;100000000,VALUE(MID($D2282,2,20)),1000000000),1000000000))+ROW()/100000,"")</f>
        <v/>
      </c>
    </row>
    <row r="2283">
      <c r="F2283" s="11" t="n"/>
      <c r="N2283" s="7">
        <f>IF($D2283="","",M2283*V2283/100)</f>
        <v/>
      </c>
      <c r="O2283" s="7" t="n"/>
      <c r="U2283" s="7" t="n"/>
      <c r="V2283" s="7" t="n"/>
      <c r="Y2283">
        <f>IF($D2283="","",IF($AN2283=1,0,IF($AM2283=1,Settings!$C$6,Settings!$C$7))*100)</f>
        <v/>
      </c>
      <c r="Z2283" s="7">
        <f>IF($D2283="","",V2283*Y2283/100)</f>
        <v/>
      </c>
      <c r="AA2283" s="7">
        <f>IF($D2283="","",V2283-Z2283)</f>
        <v/>
      </c>
      <c r="AB2283" s="7">
        <f>IF($D2283="","",AA2283-N2283)</f>
        <v/>
      </c>
      <c r="AF2283" s="7" t="n"/>
      <c r="AI2283" s="11" t="n"/>
      <c r="AK2283">
        <f>IF($D2283="","",IF(COUNTIF($D$2:$D2283,$D2283)=1,1,0))</f>
        <v/>
      </c>
      <c r="AL2283">
        <f>IF($AK2283=1,SUMPRODUCT(--($AO$2:$AO$3001&lt;$AO2283))+1,"")</f>
        <v/>
      </c>
      <c r="AM2283">
        <f>IF($D2283="","",IF(OR($R2283=TRUE(),$R2283="TRUE"),1,0))</f>
        <v/>
      </c>
      <c r="AN2283">
        <f>IF($D2283="","",IF($X2283="Yes",1,0))</f>
        <v/>
      </c>
      <c r="AO2283">
        <f>IF($AK2283=1,IFERROR(IF(VALUE($D2283)&lt;100000000,VALUE($D2283),1000000000),IFERROR(IF(VALUE(MID($D2283,2,20))&lt;100000000,VALUE(MID($D2283,2,20)),1000000000),1000000000))+ROW()/100000,"")</f>
        <v/>
      </c>
    </row>
    <row r="2284">
      <c r="F2284" s="11" t="n"/>
      <c r="N2284" s="7">
        <f>IF($D2284="","",M2284*V2284/100)</f>
        <v/>
      </c>
      <c r="O2284" s="7" t="n"/>
      <c r="U2284" s="7" t="n"/>
      <c r="V2284" s="7" t="n"/>
      <c r="Y2284">
        <f>IF($D2284="","",IF($AN2284=1,0,IF($AM2284=1,Settings!$C$6,Settings!$C$7))*100)</f>
        <v/>
      </c>
      <c r="Z2284" s="7">
        <f>IF($D2284="","",V2284*Y2284/100)</f>
        <v/>
      </c>
      <c r="AA2284" s="7">
        <f>IF($D2284="","",V2284-Z2284)</f>
        <v/>
      </c>
      <c r="AB2284" s="7">
        <f>IF($D2284="","",AA2284-N2284)</f>
        <v/>
      </c>
      <c r="AF2284" s="7" t="n"/>
      <c r="AI2284" s="11" t="n"/>
      <c r="AK2284">
        <f>IF($D2284="","",IF(COUNTIF($D$2:$D2284,$D2284)=1,1,0))</f>
        <v/>
      </c>
      <c r="AL2284">
        <f>IF($AK2284=1,SUMPRODUCT(--($AO$2:$AO$3001&lt;$AO2284))+1,"")</f>
        <v/>
      </c>
      <c r="AM2284">
        <f>IF($D2284="","",IF(OR($R2284=TRUE(),$R2284="TRUE"),1,0))</f>
        <v/>
      </c>
      <c r="AN2284">
        <f>IF($D2284="","",IF($X2284="Yes",1,0))</f>
        <v/>
      </c>
      <c r="AO2284">
        <f>IF($AK2284=1,IFERROR(IF(VALUE($D2284)&lt;100000000,VALUE($D2284),1000000000),IFERROR(IF(VALUE(MID($D2284,2,20))&lt;100000000,VALUE(MID($D2284,2,20)),1000000000),1000000000))+ROW()/100000,"")</f>
        <v/>
      </c>
    </row>
    <row r="2285">
      <c r="F2285" s="11" t="n"/>
      <c r="N2285" s="7">
        <f>IF($D2285="","",M2285*V2285/100)</f>
        <v/>
      </c>
      <c r="O2285" s="7" t="n"/>
      <c r="U2285" s="7" t="n"/>
      <c r="V2285" s="7" t="n"/>
      <c r="Y2285">
        <f>IF($D2285="","",IF($AN2285=1,0,IF($AM2285=1,Settings!$C$6,Settings!$C$7))*100)</f>
        <v/>
      </c>
      <c r="Z2285" s="7">
        <f>IF($D2285="","",V2285*Y2285/100)</f>
        <v/>
      </c>
      <c r="AA2285" s="7">
        <f>IF($D2285="","",V2285-Z2285)</f>
        <v/>
      </c>
      <c r="AB2285" s="7">
        <f>IF($D2285="","",AA2285-N2285)</f>
        <v/>
      </c>
      <c r="AF2285" s="7" t="n"/>
      <c r="AI2285" s="11" t="n"/>
      <c r="AK2285">
        <f>IF($D2285="","",IF(COUNTIF($D$2:$D2285,$D2285)=1,1,0))</f>
        <v/>
      </c>
      <c r="AL2285">
        <f>IF($AK2285=1,SUMPRODUCT(--($AO$2:$AO$3001&lt;$AO2285))+1,"")</f>
        <v/>
      </c>
      <c r="AM2285">
        <f>IF($D2285="","",IF(OR($R2285=TRUE(),$R2285="TRUE"),1,0))</f>
        <v/>
      </c>
      <c r="AN2285">
        <f>IF($D2285="","",IF($X2285="Yes",1,0))</f>
        <v/>
      </c>
      <c r="AO2285">
        <f>IF($AK2285=1,IFERROR(IF(VALUE($D2285)&lt;100000000,VALUE($D2285),1000000000),IFERROR(IF(VALUE(MID($D2285,2,20))&lt;100000000,VALUE(MID($D2285,2,20)),1000000000),1000000000))+ROW()/100000,"")</f>
        <v/>
      </c>
    </row>
    <row r="2286">
      <c r="F2286" s="11" t="n"/>
      <c r="N2286" s="7">
        <f>IF($D2286="","",M2286*V2286/100)</f>
        <v/>
      </c>
      <c r="O2286" s="7" t="n"/>
      <c r="U2286" s="7" t="n"/>
      <c r="V2286" s="7" t="n"/>
      <c r="Y2286">
        <f>IF($D2286="","",IF($AN2286=1,0,IF($AM2286=1,Settings!$C$6,Settings!$C$7))*100)</f>
        <v/>
      </c>
      <c r="Z2286" s="7">
        <f>IF($D2286="","",V2286*Y2286/100)</f>
        <v/>
      </c>
      <c r="AA2286" s="7">
        <f>IF($D2286="","",V2286-Z2286)</f>
        <v/>
      </c>
      <c r="AB2286" s="7">
        <f>IF($D2286="","",AA2286-N2286)</f>
        <v/>
      </c>
      <c r="AF2286" s="7" t="n"/>
      <c r="AI2286" s="11" t="n"/>
      <c r="AK2286">
        <f>IF($D2286="","",IF(COUNTIF($D$2:$D2286,$D2286)=1,1,0))</f>
        <v/>
      </c>
      <c r="AL2286">
        <f>IF($AK2286=1,SUMPRODUCT(--($AO$2:$AO$3001&lt;$AO2286))+1,"")</f>
        <v/>
      </c>
      <c r="AM2286">
        <f>IF($D2286="","",IF(OR($R2286=TRUE(),$R2286="TRUE"),1,0))</f>
        <v/>
      </c>
      <c r="AN2286">
        <f>IF($D2286="","",IF($X2286="Yes",1,0))</f>
        <v/>
      </c>
      <c r="AO2286">
        <f>IF($AK2286=1,IFERROR(IF(VALUE($D2286)&lt;100000000,VALUE($D2286),1000000000),IFERROR(IF(VALUE(MID($D2286,2,20))&lt;100000000,VALUE(MID($D2286,2,20)),1000000000),1000000000))+ROW()/100000,"")</f>
        <v/>
      </c>
    </row>
    <row r="2287">
      <c r="F2287" s="11" t="n"/>
      <c r="N2287" s="7">
        <f>IF($D2287="","",M2287*V2287/100)</f>
        <v/>
      </c>
      <c r="O2287" s="7" t="n"/>
      <c r="U2287" s="7" t="n"/>
      <c r="V2287" s="7" t="n"/>
      <c r="Y2287">
        <f>IF($D2287="","",IF($AN2287=1,0,IF($AM2287=1,Settings!$C$6,Settings!$C$7))*100)</f>
        <v/>
      </c>
      <c r="Z2287" s="7">
        <f>IF($D2287="","",V2287*Y2287/100)</f>
        <v/>
      </c>
      <c r="AA2287" s="7">
        <f>IF($D2287="","",V2287-Z2287)</f>
        <v/>
      </c>
      <c r="AB2287" s="7">
        <f>IF($D2287="","",AA2287-N2287)</f>
        <v/>
      </c>
      <c r="AF2287" s="7" t="n"/>
      <c r="AI2287" s="11" t="n"/>
      <c r="AK2287">
        <f>IF($D2287="","",IF(COUNTIF($D$2:$D2287,$D2287)=1,1,0))</f>
        <v/>
      </c>
      <c r="AL2287">
        <f>IF($AK2287=1,SUMPRODUCT(--($AO$2:$AO$3001&lt;$AO2287))+1,"")</f>
        <v/>
      </c>
      <c r="AM2287">
        <f>IF($D2287="","",IF(OR($R2287=TRUE(),$R2287="TRUE"),1,0))</f>
        <v/>
      </c>
      <c r="AN2287">
        <f>IF($D2287="","",IF($X2287="Yes",1,0))</f>
        <v/>
      </c>
      <c r="AO2287">
        <f>IF($AK2287=1,IFERROR(IF(VALUE($D2287)&lt;100000000,VALUE($D2287),1000000000),IFERROR(IF(VALUE(MID($D2287,2,20))&lt;100000000,VALUE(MID($D2287,2,20)),1000000000),1000000000))+ROW()/100000,"")</f>
        <v/>
      </c>
    </row>
    <row r="2288">
      <c r="F2288" s="11" t="n"/>
      <c r="N2288" s="7">
        <f>IF($D2288="","",M2288*V2288/100)</f>
        <v/>
      </c>
      <c r="O2288" s="7" t="n"/>
      <c r="U2288" s="7" t="n"/>
      <c r="V2288" s="7" t="n"/>
      <c r="Y2288">
        <f>IF($D2288="","",IF($AN2288=1,0,IF($AM2288=1,Settings!$C$6,Settings!$C$7))*100)</f>
        <v/>
      </c>
      <c r="Z2288" s="7">
        <f>IF($D2288="","",V2288*Y2288/100)</f>
        <v/>
      </c>
      <c r="AA2288" s="7">
        <f>IF($D2288="","",V2288-Z2288)</f>
        <v/>
      </c>
      <c r="AB2288" s="7">
        <f>IF($D2288="","",AA2288-N2288)</f>
        <v/>
      </c>
      <c r="AF2288" s="7" t="n"/>
      <c r="AI2288" s="11" t="n"/>
      <c r="AK2288">
        <f>IF($D2288="","",IF(COUNTIF($D$2:$D2288,$D2288)=1,1,0))</f>
        <v/>
      </c>
      <c r="AL2288">
        <f>IF($AK2288=1,SUMPRODUCT(--($AO$2:$AO$3001&lt;$AO2288))+1,"")</f>
        <v/>
      </c>
      <c r="AM2288">
        <f>IF($D2288="","",IF(OR($R2288=TRUE(),$R2288="TRUE"),1,0))</f>
        <v/>
      </c>
      <c r="AN2288">
        <f>IF($D2288="","",IF($X2288="Yes",1,0))</f>
        <v/>
      </c>
      <c r="AO2288">
        <f>IF($AK2288=1,IFERROR(IF(VALUE($D2288)&lt;100000000,VALUE($D2288),1000000000),IFERROR(IF(VALUE(MID($D2288,2,20))&lt;100000000,VALUE(MID($D2288,2,20)),1000000000),1000000000))+ROW()/100000,"")</f>
        <v/>
      </c>
    </row>
    <row r="2289">
      <c r="F2289" s="11" t="n"/>
      <c r="N2289" s="7">
        <f>IF($D2289="","",M2289*V2289/100)</f>
        <v/>
      </c>
      <c r="O2289" s="7" t="n"/>
      <c r="U2289" s="7" t="n"/>
      <c r="V2289" s="7" t="n"/>
      <c r="Y2289">
        <f>IF($D2289="","",IF($AN2289=1,0,IF($AM2289=1,Settings!$C$6,Settings!$C$7))*100)</f>
        <v/>
      </c>
      <c r="Z2289" s="7">
        <f>IF($D2289="","",V2289*Y2289/100)</f>
        <v/>
      </c>
      <c r="AA2289" s="7">
        <f>IF($D2289="","",V2289-Z2289)</f>
        <v/>
      </c>
      <c r="AB2289" s="7">
        <f>IF($D2289="","",AA2289-N2289)</f>
        <v/>
      </c>
      <c r="AF2289" s="7" t="n"/>
      <c r="AI2289" s="11" t="n"/>
      <c r="AK2289">
        <f>IF($D2289="","",IF(COUNTIF($D$2:$D2289,$D2289)=1,1,0))</f>
        <v/>
      </c>
      <c r="AL2289">
        <f>IF($AK2289=1,SUMPRODUCT(--($AO$2:$AO$3001&lt;$AO2289))+1,"")</f>
        <v/>
      </c>
      <c r="AM2289">
        <f>IF($D2289="","",IF(OR($R2289=TRUE(),$R2289="TRUE"),1,0))</f>
        <v/>
      </c>
      <c r="AN2289">
        <f>IF($D2289="","",IF($X2289="Yes",1,0))</f>
        <v/>
      </c>
      <c r="AO2289">
        <f>IF($AK2289=1,IFERROR(IF(VALUE($D2289)&lt;100000000,VALUE($D2289),1000000000),IFERROR(IF(VALUE(MID($D2289,2,20))&lt;100000000,VALUE(MID($D2289,2,20)),1000000000),1000000000))+ROW()/100000,"")</f>
        <v/>
      </c>
    </row>
    <row r="2290">
      <c r="F2290" s="11" t="n"/>
      <c r="N2290" s="7">
        <f>IF($D2290="","",M2290*V2290/100)</f>
        <v/>
      </c>
      <c r="O2290" s="7" t="n"/>
      <c r="U2290" s="7" t="n"/>
      <c r="V2290" s="7" t="n"/>
      <c r="Y2290">
        <f>IF($D2290="","",IF($AN2290=1,0,IF($AM2290=1,Settings!$C$6,Settings!$C$7))*100)</f>
        <v/>
      </c>
      <c r="Z2290" s="7">
        <f>IF($D2290="","",V2290*Y2290/100)</f>
        <v/>
      </c>
      <c r="AA2290" s="7">
        <f>IF($D2290="","",V2290-Z2290)</f>
        <v/>
      </c>
      <c r="AB2290" s="7">
        <f>IF($D2290="","",AA2290-N2290)</f>
        <v/>
      </c>
      <c r="AF2290" s="7" t="n"/>
      <c r="AI2290" s="11" t="n"/>
      <c r="AK2290">
        <f>IF($D2290="","",IF(COUNTIF($D$2:$D2290,$D2290)=1,1,0))</f>
        <v/>
      </c>
      <c r="AL2290">
        <f>IF($AK2290=1,SUMPRODUCT(--($AO$2:$AO$3001&lt;$AO2290))+1,"")</f>
        <v/>
      </c>
      <c r="AM2290">
        <f>IF($D2290="","",IF(OR($R2290=TRUE(),$R2290="TRUE"),1,0))</f>
        <v/>
      </c>
      <c r="AN2290">
        <f>IF($D2290="","",IF($X2290="Yes",1,0))</f>
        <v/>
      </c>
      <c r="AO2290">
        <f>IF($AK2290=1,IFERROR(IF(VALUE($D2290)&lt;100000000,VALUE($D2290),1000000000),IFERROR(IF(VALUE(MID($D2290,2,20))&lt;100000000,VALUE(MID($D2290,2,20)),1000000000),1000000000))+ROW()/100000,"")</f>
        <v/>
      </c>
    </row>
    <row r="2291">
      <c r="F2291" s="11" t="n"/>
      <c r="N2291" s="7">
        <f>IF($D2291="","",M2291*V2291/100)</f>
        <v/>
      </c>
      <c r="O2291" s="7" t="n"/>
      <c r="U2291" s="7" t="n"/>
      <c r="V2291" s="7" t="n"/>
      <c r="Y2291">
        <f>IF($D2291="","",IF($AN2291=1,0,IF($AM2291=1,Settings!$C$6,Settings!$C$7))*100)</f>
        <v/>
      </c>
      <c r="Z2291" s="7">
        <f>IF($D2291="","",V2291*Y2291/100)</f>
        <v/>
      </c>
      <c r="AA2291" s="7">
        <f>IF($D2291="","",V2291-Z2291)</f>
        <v/>
      </c>
      <c r="AB2291" s="7">
        <f>IF($D2291="","",AA2291-N2291)</f>
        <v/>
      </c>
      <c r="AF2291" s="7" t="n"/>
      <c r="AI2291" s="11" t="n"/>
      <c r="AK2291">
        <f>IF($D2291="","",IF(COUNTIF($D$2:$D2291,$D2291)=1,1,0))</f>
        <v/>
      </c>
      <c r="AL2291">
        <f>IF($AK2291=1,SUMPRODUCT(--($AO$2:$AO$3001&lt;$AO2291))+1,"")</f>
        <v/>
      </c>
      <c r="AM2291">
        <f>IF($D2291="","",IF(OR($R2291=TRUE(),$R2291="TRUE"),1,0))</f>
        <v/>
      </c>
      <c r="AN2291">
        <f>IF($D2291="","",IF($X2291="Yes",1,0))</f>
        <v/>
      </c>
      <c r="AO2291">
        <f>IF($AK2291=1,IFERROR(IF(VALUE($D2291)&lt;100000000,VALUE($D2291),1000000000),IFERROR(IF(VALUE(MID($D2291,2,20))&lt;100000000,VALUE(MID($D2291,2,20)),1000000000),1000000000))+ROW()/100000,"")</f>
        <v/>
      </c>
    </row>
    <row r="2292">
      <c r="F2292" s="11" t="n"/>
      <c r="N2292" s="7">
        <f>IF($D2292="","",M2292*V2292/100)</f>
        <v/>
      </c>
      <c r="O2292" s="7" t="n"/>
      <c r="U2292" s="7" t="n"/>
      <c r="V2292" s="7" t="n"/>
      <c r="Y2292">
        <f>IF($D2292="","",IF($AN2292=1,0,IF($AM2292=1,Settings!$C$6,Settings!$C$7))*100)</f>
        <v/>
      </c>
      <c r="Z2292" s="7">
        <f>IF($D2292="","",V2292*Y2292/100)</f>
        <v/>
      </c>
      <c r="AA2292" s="7">
        <f>IF($D2292="","",V2292-Z2292)</f>
        <v/>
      </c>
      <c r="AB2292" s="7">
        <f>IF($D2292="","",AA2292-N2292)</f>
        <v/>
      </c>
      <c r="AF2292" s="7" t="n"/>
      <c r="AI2292" s="11" t="n"/>
      <c r="AK2292">
        <f>IF($D2292="","",IF(COUNTIF($D$2:$D2292,$D2292)=1,1,0))</f>
        <v/>
      </c>
      <c r="AL2292">
        <f>IF($AK2292=1,SUMPRODUCT(--($AO$2:$AO$3001&lt;$AO2292))+1,"")</f>
        <v/>
      </c>
      <c r="AM2292">
        <f>IF($D2292="","",IF(OR($R2292=TRUE(),$R2292="TRUE"),1,0))</f>
        <v/>
      </c>
      <c r="AN2292">
        <f>IF($D2292="","",IF($X2292="Yes",1,0))</f>
        <v/>
      </c>
      <c r="AO2292">
        <f>IF($AK2292=1,IFERROR(IF(VALUE($D2292)&lt;100000000,VALUE($D2292),1000000000),IFERROR(IF(VALUE(MID($D2292,2,20))&lt;100000000,VALUE(MID($D2292,2,20)),1000000000),1000000000))+ROW()/100000,"")</f>
        <v/>
      </c>
    </row>
    <row r="2293">
      <c r="F2293" s="11" t="n"/>
      <c r="N2293" s="7">
        <f>IF($D2293="","",M2293*V2293/100)</f>
        <v/>
      </c>
      <c r="O2293" s="7" t="n"/>
      <c r="U2293" s="7" t="n"/>
      <c r="V2293" s="7" t="n"/>
      <c r="Y2293">
        <f>IF($D2293="","",IF($AN2293=1,0,IF($AM2293=1,Settings!$C$6,Settings!$C$7))*100)</f>
        <v/>
      </c>
      <c r="Z2293" s="7">
        <f>IF($D2293="","",V2293*Y2293/100)</f>
        <v/>
      </c>
      <c r="AA2293" s="7">
        <f>IF($D2293="","",V2293-Z2293)</f>
        <v/>
      </c>
      <c r="AB2293" s="7">
        <f>IF($D2293="","",AA2293-N2293)</f>
        <v/>
      </c>
      <c r="AF2293" s="7" t="n"/>
      <c r="AI2293" s="11" t="n"/>
      <c r="AK2293">
        <f>IF($D2293="","",IF(COUNTIF($D$2:$D2293,$D2293)=1,1,0))</f>
        <v/>
      </c>
      <c r="AL2293">
        <f>IF($AK2293=1,SUMPRODUCT(--($AO$2:$AO$3001&lt;$AO2293))+1,"")</f>
        <v/>
      </c>
      <c r="AM2293">
        <f>IF($D2293="","",IF(OR($R2293=TRUE(),$R2293="TRUE"),1,0))</f>
        <v/>
      </c>
      <c r="AN2293">
        <f>IF($D2293="","",IF($X2293="Yes",1,0))</f>
        <v/>
      </c>
      <c r="AO2293">
        <f>IF($AK2293=1,IFERROR(IF(VALUE($D2293)&lt;100000000,VALUE($D2293),1000000000),IFERROR(IF(VALUE(MID($D2293,2,20))&lt;100000000,VALUE(MID($D2293,2,20)),1000000000),1000000000))+ROW()/100000,"")</f>
        <v/>
      </c>
    </row>
    <row r="2294">
      <c r="F2294" s="11" t="n"/>
      <c r="N2294" s="7">
        <f>IF($D2294="","",M2294*V2294/100)</f>
        <v/>
      </c>
      <c r="O2294" s="7" t="n"/>
      <c r="U2294" s="7" t="n"/>
      <c r="V2294" s="7" t="n"/>
      <c r="Y2294">
        <f>IF($D2294="","",IF($AN2294=1,0,IF($AM2294=1,Settings!$C$6,Settings!$C$7))*100)</f>
        <v/>
      </c>
      <c r="Z2294" s="7">
        <f>IF($D2294="","",V2294*Y2294/100)</f>
        <v/>
      </c>
      <c r="AA2294" s="7">
        <f>IF($D2294="","",V2294-Z2294)</f>
        <v/>
      </c>
      <c r="AB2294" s="7">
        <f>IF($D2294="","",AA2294-N2294)</f>
        <v/>
      </c>
      <c r="AF2294" s="7" t="n"/>
      <c r="AI2294" s="11" t="n"/>
      <c r="AK2294">
        <f>IF($D2294="","",IF(COUNTIF($D$2:$D2294,$D2294)=1,1,0))</f>
        <v/>
      </c>
      <c r="AL2294">
        <f>IF($AK2294=1,SUMPRODUCT(--($AO$2:$AO$3001&lt;$AO2294))+1,"")</f>
        <v/>
      </c>
      <c r="AM2294">
        <f>IF($D2294="","",IF(OR($R2294=TRUE(),$R2294="TRUE"),1,0))</f>
        <v/>
      </c>
      <c r="AN2294">
        <f>IF($D2294="","",IF($X2294="Yes",1,0))</f>
        <v/>
      </c>
      <c r="AO2294">
        <f>IF($AK2294=1,IFERROR(IF(VALUE($D2294)&lt;100000000,VALUE($D2294),1000000000),IFERROR(IF(VALUE(MID($D2294,2,20))&lt;100000000,VALUE(MID($D2294,2,20)),1000000000),1000000000))+ROW()/100000,"")</f>
        <v/>
      </c>
    </row>
    <row r="2295">
      <c r="F2295" s="11" t="n"/>
      <c r="N2295" s="7">
        <f>IF($D2295="","",M2295*V2295/100)</f>
        <v/>
      </c>
      <c r="O2295" s="7" t="n"/>
      <c r="U2295" s="7" t="n"/>
      <c r="V2295" s="7" t="n"/>
      <c r="Y2295">
        <f>IF($D2295="","",IF($AN2295=1,0,IF($AM2295=1,Settings!$C$6,Settings!$C$7))*100)</f>
        <v/>
      </c>
      <c r="Z2295" s="7">
        <f>IF($D2295="","",V2295*Y2295/100)</f>
        <v/>
      </c>
      <c r="AA2295" s="7">
        <f>IF($D2295="","",V2295-Z2295)</f>
        <v/>
      </c>
      <c r="AB2295" s="7">
        <f>IF($D2295="","",AA2295-N2295)</f>
        <v/>
      </c>
      <c r="AF2295" s="7" t="n"/>
      <c r="AI2295" s="11" t="n"/>
      <c r="AK2295">
        <f>IF($D2295="","",IF(COUNTIF($D$2:$D2295,$D2295)=1,1,0))</f>
        <v/>
      </c>
      <c r="AL2295">
        <f>IF($AK2295=1,SUMPRODUCT(--($AO$2:$AO$3001&lt;$AO2295))+1,"")</f>
        <v/>
      </c>
      <c r="AM2295">
        <f>IF($D2295="","",IF(OR($R2295=TRUE(),$R2295="TRUE"),1,0))</f>
        <v/>
      </c>
      <c r="AN2295">
        <f>IF($D2295="","",IF($X2295="Yes",1,0))</f>
        <v/>
      </c>
      <c r="AO2295">
        <f>IF($AK2295=1,IFERROR(IF(VALUE($D2295)&lt;100000000,VALUE($D2295),1000000000),IFERROR(IF(VALUE(MID($D2295,2,20))&lt;100000000,VALUE(MID($D2295,2,20)),1000000000),1000000000))+ROW()/100000,"")</f>
        <v/>
      </c>
    </row>
    <row r="2296">
      <c r="F2296" s="11" t="n"/>
      <c r="N2296" s="7">
        <f>IF($D2296="","",M2296*V2296/100)</f>
        <v/>
      </c>
      <c r="O2296" s="7" t="n"/>
      <c r="U2296" s="7" t="n"/>
      <c r="V2296" s="7" t="n"/>
      <c r="Y2296">
        <f>IF($D2296="","",IF($AN2296=1,0,IF($AM2296=1,Settings!$C$6,Settings!$C$7))*100)</f>
        <v/>
      </c>
      <c r="Z2296" s="7">
        <f>IF($D2296="","",V2296*Y2296/100)</f>
        <v/>
      </c>
      <c r="AA2296" s="7">
        <f>IF($D2296="","",V2296-Z2296)</f>
        <v/>
      </c>
      <c r="AB2296" s="7">
        <f>IF($D2296="","",AA2296-N2296)</f>
        <v/>
      </c>
      <c r="AF2296" s="7" t="n"/>
      <c r="AI2296" s="11" t="n"/>
      <c r="AK2296">
        <f>IF($D2296="","",IF(COUNTIF($D$2:$D2296,$D2296)=1,1,0))</f>
        <v/>
      </c>
      <c r="AL2296">
        <f>IF($AK2296=1,SUMPRODUCT(--($AO$2:$AO$3001&lt;$AO2296))+1,"")</f>
        <v/>
      </c>
      <c r="AM2296">
        <f>IF($D2296="","",IF(OR($R2296=TRUE(),$R2296="TRUE"),1,0))</f>
        <v/>
      </c>
      <c r="AN2296">
        <f>IF($D2296="","",IF($X2296="Yes",1,0))</f>
        <v/>
      </c>
      <c r="AO2296">
        <f>IF($AK2296=1,IFERROR(IF(VALUE($D2296)&lt;100000000,VALUE($D2296),1000000000),IFERROR(IF(VALUE(MID($D2296,2,20))&lt;100000000,VALUE(MID($D2296,2,20)),1000000000),1000000000))+ROW()/100000,"")</f>
        <v/>
      </c>
    </row>
    <row r="2297">
      <c r="F2297" s="11" t="n"/>
      <c r="N2297" s="7">
        <f>IF($D2297="","",M2297*V2297/100)</f>
        <v/>
      </c>
      <c r="O2297" s="7" t="n"/>
      <c r="U2297" s="7" t="n"/>
      <c r="V2297" s="7" t="n"/>
      <c r="Y2297">
        <f>IF($D2297="","",IF($AN2297=1,0,IF($AM2297=1,Settings!$C$6,Settings!$C$7))*100)</f>
        <v/>
      </c>
      <c r="Z2297" s="7">
        <f>IF($D2297="","",V2297*Y2297/100)</f>
        <v/>
      </c>
      <c r="AA2297" s="7">
        <f>IF($D2297="","",V2297-Z2297)</f>
        <v/>
      </c>
      <c r="AB2297" s="7">
        <f>IF($D2297="","",AA2297-N2297)</f>
        <v/>
      </c>
      <c r="AF2297" s="7" t="n"/>
      <c r="AI2297" s="11" t="n"/>
      <c r="AK2297">
        <f>IF($D2297="","",IF(COUNTIF($D$2:$D2297,$D2297)=1,1,0))</f>
        <v/>
      </c>
      <c r="AL2297">
        <f>IF($AK2297=1,SUMPRODUCT(--($AO$2:$AO$3001&lt;$AO2297))+1,"")</f>
        <v/>
      </c>
      <c r="AM2297">
        <f>IF($D2297="","",IF(OR($R2297=TRUE(),$R2297="TRUE"),1,0))</f>
        <v/>
      </c>
      <c r="AN2297">
        <f>IF($D2297="","",IF($X2297="Yes",1,0))</f>
        <v/>
      </c>
      <c r="AO2297">
        <f>IF($AK2297=1,IFERROR(IF(VALUE($D2297)&lt;100000000,VALUE($D2297),1000000000),IFERROR(IF(VALUE(MID($D2297,2,20))&lt;100000000,VALUE(MID($D2297,2,20)),1000000000),1000000000))+ROW()/100000,"")</f>
        <v/>
      </c>
    </row>
    <row r="2298">
      <c r="F2298" s="11" t="n"/>
      <c r="N2298" s="7">
        <f>IF($D2298="","",M2298*V2298/100)</f>
        <v/>
      </c>
      <c r="O2298" s="7" t="n"/>
      <c r="U2298" s="7" t="n"/>
      <c r="V2298" s="7" t="n"/>
      <c r="Y2298">
        <f>IF($D2298="","",IF($AN2298=1,0,IF($AM2298=1,Settings!$C$6,Settings!$C$7))*100)</f>
        <v/>
      </c>
      <c r="Z2298" s="7">
        <f>IF($D2298="","",V2298*Y2298/100)</f>
        <v/>
      </c>
      <c r="AA2298" s="7">
        <f>IF($D2298="","",V2298-Z2298)</f>
        <v/>
      </c>
      <c r="AB2298" s="7">
        <f>IF($D2298="","",AA2298-N2298)</f>
        <v/>
      </c>
      <c r="AF2298" s="7" t="n"/>
      <c r="AI2298" s="11" t="n"/>
      <c r="AK2298">
        <f>IF($D2298="","",IF(COUNTIF($D$2:$D2298,$D2298)=1,1,0))</f>
        <v/>
      </c>
      <c r="AL2298">
        <f>IF($AK2298=1,SUMPRODUCT(--($AO$2:$AO$3001&lt;$AO2298))+1,"")</f>
        <v/>
      </c>
      <c r="AM2298">
        <f>IF($D2298="","",IF(OR($R2298=TRUE(),$R2298="TRUE"),1,0))</f>
        <v/>
      </c>
      <c r="AN2298">
        <f>IF($D2298="","",IF($X2298="Yes",1,0))</f>
        <v/>
      </c>
      <c r="AO2298">
        <f>IF($AK2298=1,IFERROR(IF(VALUE($D2298)&lt;100000000,VALUE($D2298),1000000000),IFERROR(IF(VALUE(MID($D2298,2,20))&lt;100000000,VALUE(MID($D2298,2,20)),1000000000),1000000000))+ROW()/100000,"")</f>
        <v/>
      </c>
    </row>
    <row r="2299">
      <c r="F2299" s="11" t="n"/>
      <c r="N2299" s="7">
        <f>IF($D2299="","",M2299*V2299/100)</f>
        <v/>
      </c>
      <c r="O2299" s="7" t="n"/>
      <c r="U2299" s="7" t="n"/>
      <c r="V2299" s="7" t="n"/>
      <c r="Y2299">
        <f>IF($D2299="","",IF($AN2299=1,0,IF($AM2299=1,Settings!$C$6,Settings!$C$7))*100)</f>
        <v/>
      </c>
      <c r="Z2299" s="7">
        <f>IF($D2299="","",V2299*Y2299/100)</f>
        <v/>
      </c>
      <c r="AA2299" s="7">
        <f>IF($D2299="","",V2299-Z2299)</f>
        <v/>
      </c>
      <c r="AB2299" s="7">
        <f>IF($D2299="","",AA2299-N2299)</f>
        <v/>
      </c>
      <c r="AF2299" s="7" t="n"/>
      <c r="AI2299" s="11" t="n"/>
      <c r="AK2299">
        <f>IF($D2299="","",IF(COUNTIF($D$2:$D2299,$D2299)=1,1,0))</f>
        <v/>
      </c>
      <c r="AL2299">
        <f>IF($AK2299=1,SUMPRODUCT(--($AO$2:$AO$3001&lt;$AO2299))+1,"")</f>
        <v/>
      </c>
      <c r="AM2299">
        <f>IF($D2299="","",IF(OR($R2299=TRUE(),$R2299="TRUE"),1,0))</f>
        <v/>
      </c>
      <c r="AN2299">
        <f>IF($D2299="","",IF($X2299="Yes",1,0))</f>
        <v/>
      </c>
      <c r="AO2299">
        <f>IF($AK2299=1,IFERROR(IF(VALUE($D2299)&lt;100000000,VALUE($D2299),1000000000),IFERROR(IF(VALUE(MID($D2299,2,20))&lt;100000000,VALUE(MID($D2299,2,20)),1000000000),1000000000))+ROW()/100000,"")</f>
        <v/>
      </c>
    </row>
    <row r="2300">
      <c r="F2300" s="11" t="n"/>
      <c r="N2300" s="7">
        <f>IF($D2300="","",M2300*V2300/100)</f>
        <v/>
      </c>
      <c r="O2300" s="7" t="n"/>
      <c r="U2300" s="7" t="n"/>
      <c r="V2300" s="7" t="n"/>
      <c r="Y2300">
        <f>IF($D2300="","",IF($AN2300=1,0,IF($AM2300=1,Settings!$C$6,Settings!$C$7))*100)</f>
        <v/>
      </c>
      <c r="Z2300" s="7">
        <f>IF($D2300="","",V2300*Y2300/100)</f>
        <v/>
      </c>
      <c r="AA2300" s="7">
        <f>IF($D2300="","",V2300-Z2300)</f>
        <v/>
      </c>
      <c r="AB2300" s="7">
        <f>IF($D2300="","",AA2300-N2300)</f>
        <v/>
      </c>
      <c r="AF2300" s="7" t="n"/>
      <c r="AI2300" s="11" t="n"/>
      <c r="AK2300">
        <f>IF($D2300="","",IF(COUNTIF($D$2:$D2300,$D2300)=1,1,0))</f>
        <v/>
      </c>
      <c r="AL2300">
        <f>IF($AK2300=1,SUMPRODUCT(--($AO$2:$AO$3001&lt;$AO2300))+1,"")</f>
        <v/>
      </c>
      <c r="AM2300">
        <f>IF($D2300="","",IF(OR($R2300=TRUE(),$R2300="TRUE"),1,0))</f>
        <v/>
      </c>
      <c r="AN2300">
        <f>IF($D2300="","",IF($X2300="Yes",1,0))</f>
        <v/>
      </c>
      <c r="AO2300">
        <f>IF($AK2300=1,IFERROR(IF(VALUE($D2300)&lt;100000000,VALUE($D2300),1000000000),IFERROR(IF(VALUE(MID($D2300,2,20))&lt;100000000,VALUE(MID($D2300,2,20)),1000000000),1000000000))+ROW()/100000,"")</f>
        <v/>
      </c>
    </row>
    <row r="2301">
      <c r="F2301" s="11" t="n"/>
      <c r="N2301" s="7">
        <f>IF($D2301="","",M2301*V2301/100)</f>
        <v/>
      </c>
      <c r="O2301" s="7" t="n"/>
      <c r="U2301" s="7" t="n"/>
      <c r="V2301" s="7" t="n"/>
      <c r="Y2301">
        <f>IF($D2301="","",IF($AN2301=1,0,IF($AM2301=1,Settings!$C$6,Settings!$C$7))*100)</f>
        <v/>
      </c>
      <c r="Z2301" s="7">
        <f>IF($D2301="","",V2301*Y2301/100)</f>
        <v/>
      </c>
      <c r="AA2301" s="7">
        <f>IF($D2301="","",V2301-Z2301)</f>
        <v/>
      </c>
      <c r="AB2301" s="7">
        <f>IF($D2301="","",AA2301-N2301)</f>
        <v/>
      </c>
      <c r="AF2301" s="7" t="n"/>
      <c r="AI2301" s="11" t="n"/>
      <c r="AK2301">
        <f>IF($D2301="","",IF(COUNTIF($D$2:$D2301,$D2301)=1,1,0))</f>
        <v/>
      </c>
      <c r="AL2301">
        <f>IF($AK2301=1,SUMPRODUCT(--($AO$2:$AO$3001&lt;$AO2301))+1,"")</f>
        <v/>
      </c>
      <c r="AM2301">
        <f>IF($D2301="","",IF(OR($R2301=TRUE(),$R2301="TRUE"),1,0))</f>
        <v/>
      </c>
      <c r="AN2301">
        <f>IF($D2301="","",IF($X2301="Yes",1,0))</f>
        <v/>
      </c>
      <c r="AO2301">
        <f>IF($AK2301=1,IFERROR(IF(VALUE($D2301)&lt;100000000,VALUE($D2301),1000000000),IFERROR(IF(VALUE(MID($D2301,2,20))&lt;100000000,VALUE(MID($D2301,2,20)),1000000000),1000000000))+ROW()/100000,"")</f>
        <v/>
      </c>
    </row>
    <row r="2302">
      <c r="F2302" s="11" t="n"/>
      <c r="N2302" s="7">
        <f>IF($D2302="","",M2302*V2302/100)</f>
        <v/>
      </c>
      <c r="O2302" s="7" t="n"/>
      <c r="U2302" s="7" t="n"/>
      <c r="V2302" s="7" t="n"/>
      <c r="Y2302">
        <f>IF($D2302="","",IF($AN2302=1,0,IF($AM2302=1,Settings!$C$6,Settings!$C$7))*100)</f>
        <v/>
      </c>
      <c r="Z2302" s="7">
        <f>IF($D2302="","",V2302*Y2302/100)</f>
        <v/>
      </c>
      <c r="AA2302" s="7">
        <f>IF($D2302="","",V2302-Z2302)</f>
        <v/>
      </c>
      <c r="AB2302" s="7">
        <f>IF($D2302="","",AA2302-N2302)</f>
        <v/>
      </c>
      <c r="AF2302" s="7" t="n"/>
      <c r="AI2302" s="11" t="n"/>
      <c r="AK2302">
        <f>IF($D2302="","",IF(COUNTIF($D$2:$D2302,$D2302)=1,1,0))</f>
        <v/>
      </c>
      <c r="AL2302">
        <f>IF($AK2302=1,SUMPRODUCT(--($AO$2:$AO$3001&lt;$AO2302))+1,"")</f>
        <v/>
      </c>
      <c r="AM2302">
        <f>IF($D2302="","",IF(OR($R2302=TRUE(),$R2302="TRUE"),1,0))</f>
        <v/>
      </c>
      <c r="AN2302">
        <f>IF($D2302="","",IF($X2302="Yes",1,0))</f>
        <v/>
      </c>
      <c r="AO2302">
        <f>IF($AK2302=1,IFERROR(IF(VALUE($D2302)&lt;100000000,VALUE($D2302),1000000000),IFERROR(IF(VALUE(MID($D2302,2,20))&lt;100000000,VALUE(MID($D2302,2,20)),1000000000),1000000000))+ROW()/100000,"")</f>
        <v/>
      </c>
    </row>
    <row r="2303">
      <c r="F2303" s="11" t="n"/>
      <c r="N2303" s="7">
        <f>IF($D2303="","",M2303*V2303/100)</f>
        <v/>
      </c>
      <c r="O2303" s="7" t="n"/>
      <c r="U2303" s="7" t="n"/>
      <c r="V2303" s="7" t="n"/>
      <c r="Y2303">
        <f>IF($D2303="","",IF($AN2303=1,0,IF($AM2303=1,Settings!$C$6,Settings!$C$7))*100)</f>
        <v/>
      </c>
      <c r="Z2303" s="7">
        <f>IF($D2303="","",V2303*Y2303/100)</f>
        <v/>
      </c>
      <c r="AA2303" s="7">
        <f>IF($D2303="","",V2303-Z2303)</f>
        <v/>
      </c>
      <c r="AB2303" s="7">
        <f>IF($D2303="","",AA2303-N2303)</f>
        <v/>
      </c>
      <c r="AF2303" s="7" t="n"/>
      <c r="AI2303" s="11" t="n"/>
      <c r="AK2303">
        <f>IF($D2303="","",IF(COUNTIF($D$2:$D2303,$D2303)=1,1,0))</f>
        <v/>
      </c>
      <c r="AL2303">
        <f>IF($AK2303=1,SUMPRODUCT(--($AO$2:$AO$3001&lt;$AO2303))+1,"")</f>
        <v/>
      </c>
      <c r="AM2303">
        <f>IF($D2303="","",IF(OR($R2303=TRUE(),$R2303="TRUE"),1,0))</f>
        <v/>
      </c>
      <c r="AN2303">
        <f>IF($D2303="","",IF($X2303="Yes",1,0))</f>
        <v/>
      </c>
      <c r="AO2303">
        <f>IF($AK2303=1,IFERROR(IF(VALUE($D2303)&lt;100000000,VALUE($D2303),1000000000),IFERROR(IF(VALUE(MID($D2303,2,20))&lt;100000000,VALUE(MID($D2303,2,20)),1000000000),1000000000))+ROW()/100000,"")</f>
        <v/>
      </c>
    </row>
    <row r="2304">
      <c r="F2304" s="11" t="n"/>
      <c r="N2304" s="7">
        <f>IF($D2304="","",M2304*V2304/100)</f>
        <v/>
      </c>
      <c r="O2304" s="7" t="n"/>
      <c r="U2304" s="7" t="n"/>
      <c r="V2304" s="7" t="n"/>
      <c r="Y2304">
        <f>IF($D2304="","",IF($AN2304=1,0,IF($AM2304=1,Settings!$C$6,Settings!$C$7))*100)</f>
        <v/>
      </c>
      <c r="Z2304" s="7">
        <f>IF($D2304="","",V2304*Y2304/100)</f>
        <v/>
      </c>
      <c r="AA2304" s="7">
        <f>IF($D2304="","",V2304-Z2304)</f>
        <v/>
      </c>
      <c r="AB2304" s="7">
        <f>IF($D2304="","",AA2304-N2304)</f>
        <v/>
      </c>
      <c r="AF2304" s="7" t="n"/>
      <c r="AI2304" s="11" t="n"/>
      <c r="AK2304">
        <f>IF($D2304="","",IF(COUNTIF($D$2:$D2304,$D2304)=1,1,0))</f>
        <v/>
      </c>
      <c r="AL2304">
        <f>IF($AK2304=1,SUMPRODUCT(--($AO$2:$AO$3001&lt;$AO2304))+1,"")</f>
        <v/>
      </c>
      <c r="AM2304">
        <f>IF($D2304="","",IF(OR($R2304=TRUE(),$R2304="TRUE"),1,0))</f>
        <v/>
      </c>
      <c r="AN2304">
        <f>IF($D2304="","",IF($X2304="Yes",1,0))</f>
        <v/>
      </c>
      <c r="AO2304">
        <f>IF($AK2304=1,IFERROR(IF(VALUE($D2304)&lt;100000000,VALUE($D2304),1000000000),IFERROR(IF(VALUE(MID($D2304,2,20))&lt;100000000,VALUE(MID($D2304,2,20)),1000000000),1000000000))+ROW()/100000,"")</f>
        <v/>
      </c>
    </row>
    <row r="2305">
      <c r="F2305" s="11" t="n"/>
      <c r="N2305" s="7">
        <f>IF($D2305="","",M2305*V2305/100)</f>
        <v/>
      </c>
      <c r="O2305" s="7" t="n"/>
      <c r="U2305" s="7" t="n"/>
      <c r="V2305" s="7" t="n"/>
      <c r="Y2305">
        <f>IF($D2305="","",IF($AN2305=1,0,IF($AM2305=1,Settings!$C$6,Settings!$C$7))*100)</f>
        <v/>
      </c>
      <c r="Z2305" s="7">
        <f>IF($D2305="","",V2305*Y2305/100)</f>
        <v/>
      </c>
      <c r="AA2305" s="7">
        <f>IF($D2305="","",V2305-Z2305)</f>
        <v/>
      </c>
      <c r="AB2305" s="7">
        <f>IF($D2305="","",AA2305-N2305)</f>
        <v/>
      </c>
      <c r="AF2305" s="7" t="n"/>
      <c r="AI2305" s="11" t="n"/>
      <c r="AK2305">
        <f>IF($D2305="","",IF(COUNTIF($D$2:$D2305,$D2305)=1,1,0))</f>
        <v/>
      </c>
      <c r="AL2305">
        <f>IF($AK2305=1,SUMPRODUCT(--($AO$2:$AO$3001&lt;$AO2305))+1,"")</f>
        <v/>
      </c>
      <c r="AM2305">
        <f>IF($D2305="","",IF(OR($R2305=TRUE(),$R2305="TRUE"),1,0))</f>
        <v/>
      </c>
      <c r="AN2305">
        <f>IF($D2305="","",IF($X2305="Yes",1,0))</f>
        <v/>
      </c>
      <c r="AO2305">
        <f>IF($AK2305=1,IFERROR(IF(VALUE($D2305)&lt;100000000,VALUE($D2305),1000000000),IFERROR(IF(VALUE(MID($D2305,2,20))&lt;100000000,VALUE(MID($D2305,2,20)),1000000000),1000000000))+ROW()/100000,"")</f>
        <v/>
      </c>
    </row>
    <row r="2306">
      <c r="F2306" s="11" t="n"/>
      <c r="N2306" s="7">
        <f>IF($D2306="","",M2306*V2306/100)</f>
        <v/>
      </c>
      <c r="O2306" s="7" t="n"/>
      <c r="U2306" s="7" t="n"/>
      <c r="V2306" s="7" t="n"/>
      <c r="Y2306">
        <f>IF($D2306="","",IF($AN2306=1,0,IF($AM2306=1,Settings!$C$6,Settings!$C$7))*100)</f>
        <v/>
      </c>
      <c r="Z2306" s="7">
        <f>IF($D2306="","",V2306*Y2306/100)</f>
        <v/>
      </c>
      <c r="AA2306" s="7">
        <f>IF($D2306="","",V2306-Z2306)</f>
        <v/>
      </c>
      <c r="AB2306" s="7">
        <f>IF($D2306="","",AA2306-N2306)</f>
        <v/>
      </c>
      <c r="AF2306" s="7" t="n"/>
      <c r="AI2306" s="11" t="n"/>
      <c r="AK2306">
        <f>IF($D2306="","",IF(COUNTIF($D$2:$D2306,$D2306)=1,1,0))</f>
        <v/>
      </c>
      <c r="AL2306">
        <f>IF($AK2306=1,SUMPRODUCT(--($AO$2:$AO$3001&lt;$AO2306))+1,"")</f>
        <v/>
      </c>
      <c r="AM2306">
        <f>IF($D2306="","",IF(OR($R2306=TRUE(),$R2306="TRUE"),1,0))</f>
        <v/>
      </c>
      <c r="AN2306">
        <f>IF($D2306="","",IF($X2306="Yes",1,0))</f>
        <v/>
      </c>
      <c r="AO2306">
        <f>IF($AK2306=1,IFERROR(IF(VALUE($D2306)&lt;100000000,VALUE($D2306),1000000000),IFERROR(IF(VALUE(MID($D2306,2,20))&lt;100000000,VALUE(MID($D2306,2,20)),1000000000),1000000000))+ROW()/100000,"")</f>
        <v/>
      </c>
    </row>
    <row r="2307">
      <c r="F2307" s="11" t="n"/>
      <c r="N2307" s="7">
        <f>IF($D2307="","",M2307*V2307/100)</f>
        <v/>
      </c>
      <c r="O2307" s="7" t="n"/>
      <c r="U2307" s="7" t="n"/>
      <c r="V2307" s="7" t="n"/>
      <c r="Y2307">
        <f>IF($D2307="","",IF($AN2307=1,0,IF($AM2307=1,Settings!$C$6,Settings!$C$7))*100)</f>
        <v/>
      </c>
      <c r="Z2307" s="7">
        <f>IF($D2307="","",V2307*Y2307/100)</f>
        <v/>
      </c>
      <c r="AA2307" s="7">
        <f>IF($D2307="","",V2307-Z2307)</f>
        <v/>
      </c>
      <c r="AB2307" s="7">
        <f>IF($D2307="","",AA2307-N2307)</f>
        <v/>
      </c>
      <c r="AF2307" s="7" t="n"/>
      <c r="AI2307" s="11" t="n"/>
      <c r="AK2307">
        <f>IF($D2307="","",IF(COUNTIF($D$2:$D2307,$D2307)=1,1,0))</f>
        <v/>
      </c>
      <c r="AL2307">
        <f>IF($AK2307=1,SUMPRODUCT(--($AO$2:$AO$3001&lt;$AO2307))+1,"")</f>
        <v/>
      </c>
      <c r="AM2307">
        <f>IF($D2307="","",IF(OR($R2307=TRUE(),$R2307="TRUE"),1,0))</f>
        <v/>
      </c>
      <c r="AN2307">
        <f>IF($D2307="","",IF($X2307="Yes",1,0))</f>
        <v/>
      </c>
      <c r="AO2307">
        <f>IF($AK2307=1,IFERROR(IF(VALUE($D2307)&lt;100000000,VALUE($D2307),1000000000),IFERROR(IF(VALUE(MID($D2307,2,20))&lt;100000000,VALUE(MID($D2307,2,20)),1000000000),1000000000))+ROW()/100000,"")</f>
        <v/>
      </c>
    </row>
    <row r="2308">
      <c r="F2308" s="11" t="n"/>
      <c r="N2308" s="7">
        <f>IF($D2308="","",M2308*V2308/100)</f>
        <v/>
      </c>
      <c r="O2308" s="7" t="n"/>
      <c r="U2308" s="7" t="n"/>
      <c r="V2308" s="7" t="n"/>
      <c r="Y2308">
        <f>IF($D2308="","",IF($AN2308=1,0,IF($AM2308=1,Settings!$C$6,Settings!$C$7))*100)</f>
        <v/>
      </c>
      <c r="Z2308" s="7">
        <f>IF($D2308="","",V2308*Y2308/100)</f>
        <v/>
      </c>
      <c r="AA2308" s="7">
        <f>IF($D2308="","",V2308-Z2308)</f>
        <v/>
      </c>
      <c r="AB2308" s="7">
        <f>IF($D2308="","",AA2308-N2308)</f>
        <v/>
      </c>
      <c r="AF2308" s="7" t="n"/>
      <c r="AI2308" s="11" t="n"/>
      <c r="AK2308">
        <f>IF($D2308="","",IF(COUNTIF($D$2:$D2308,$D2308)=1,1,0))</f>
        <v/>
      </c>
      <c r="AL2308">
        <f>IF($AK2308=1,SUMPRODUCT(--($AO$2:$AO$3001&lt;$AO2308))+1,"")</f>
        <v/>
      </c>
      <c r="AM2308">
        <f>IF($D2308="","",IF(OR($R2308=TRUE(),$R2308="TRUE"),1,0))</f>
        <v/>
      </c>
      <c r="AN2308">
        <f>IF($D2308="","",IF($X2308="Yes",1,0))</f>
        <v/>
      </c>
      <c r="AO2308">
        <f>IF($AK2308=1,IFERROR(IF(VALUE($D2308)&lt;100000000,VALUE($D2308),1000000000),IFERROR(IF(VALUE(MID($D2308,2,20))&lt;100000000,VALUE(MID($D2308,2,20)),1000000000),1000000000))+ROW()/100000,"")</f>
        <v/>
      </c>
    </row>
    <row r="2309">
      <c r="F2309" s="11" t="n"/>
      <c r="N2309" s="7">
        <f>IF($D2309="","",M2309*V2309/100)</f>
        <v/>
      </c>
      <c r="O2309" s="7" t="n"/>
      <c r="U2309" s="7" t="n"/>
      <c r="V2309" s="7" t="n"/>
      <c r="Y2309">
        <f>IF($D2309="","",IF($AN2309=1,0,IF($AM2309=1,Settings!$C$6,Settings!$C$7))*100)</f>
        <v/>
      </c>
      <c r="Z2309" s="7">
        <f>IF($D2309="","",V2309*Y2309/100)</f>
        <v/>
      </c>
      <c r="AA2309" s="7">
        <f>IF($D2309="","",V2309-Z2309)</f>
        <v/>
      </c>
      <c r="AB2309" s="7">
        <f>IF($D2309="","",AA2309-N2309)</f>
        <v/>
      </c>
      <c r="AF2309" s="7" t="n"/>
      <c r="AI2309" s="11" t="n"/>
      <c r="AK2309">
        <f>IF($D2309="","",IF(COUNTIF($D$2:$D2309,$D2309)=1,1,0))</f>
        <v/>
      </c>
      <c r="AL2309">
        <f>IF($AK2309=1,SUMPRODUCT(--($AO$2:$AO$3001&lt;$AO2309))+1,"")</f>
        <v/>
      </c>
      <c r="AM2309">
        <f>IF($D2309="","",IF(OR($R2309=TRUE(),$R2309="TRUE"),1,0))</f>
        <v/>
      </c>
      <c r="AN2309">
        <f>IF($D2309="","",IF($X2309="Yes",1,0))</f>
        <v/>
      </c>
      <c r="AO2309">
        <f>IF($AK2309=1,IFERROR(IF(VALUE($D2309)&lt;100000000,VALUE($D2309),1000000000),IFERROR(IF(VALUE(MID($D2309,2,20))&lt;100000000,VALUE(MID($D2309,2,20)),1000000000),1000000000))+ROW()/100000,"")</f>
        <v/>
      </c>
    </row>
    <row r="2310">
      <c r="F2310" s="11" t="n"/>
      <c r="N2310" s="7">
        <f>IF($D2310="","",M2310*V2310/100)</f>
        <v/>
      </c>
      <c r="O2310" s="7" t="n"/>
      <c r="U2310" s="7" t="n"/>
      <c r="V2310" s="7" t="n"/>
      <c r="Y2310">
        <f>IF($D2310="","",IF($AN2310=1,0,IF($AM2310=1,Settings!$C$6,Settings!$C$7))*100)</f>
        <v/>
      </c>
      <c r="Z2310" s="7">
        <f>IF($D2310="","",V2310*Y2310/100)</f>
        <v/>
      </c>
      <c r="AA2310" s="7">
        <f>IF($D2310="","",V2310-Z2310)</f>
        <v/>
      </c>
      <c r="AB2310" s="7">
        <f>IF($D2310="","",AA2310-N2310)</f>
        <v/>
      </c>
      <c r="AF2310" s="7" t="n"/>
      <c r="AI2310" s="11" t="n"/>
      <c r="AK2310">
        <f>IF($D2310="","",IF(COUNTIF($D$2:$D2310,$D2310)=1,1,0))</f>
        <v/>
      </c>
      <c r="AL2310">
        <f>IF($AK2310=1,SUMPRODUCT(--($AO$2:$AO$3001&lt;$AO2310))+1,"")</f>
        <v/>
      </c>
      <c r="AM2310">
        <f>IF($D2310="","",IF(OR($R2310=TRUE(),$R2310="TRUE"),1,0))</f>
        <v/>
      </c>
      <c r="AN2310">
        <f>IF($D2310="","",IF($X2310="Yes",1,0))</f>
        <v/>
      </c>
      <c r="AO2310">
        <f>IF($AK2310=1,IFERROR(IF(VALUE($D2310)&lt;100000000,VALUE($D2310),1000000000),IFERROR(IF(VALUE(MID($D2310,2,20))&lt;100000000,VALUE(MID($D2310,2,20)),1000000000),1000000000))+ROW()/100000,"")</f>
        <v/>
      </c>
    </row>
    <row r="2311">
      <c r="F2311" s="11" t="n"/>
      <c r="N2311" s="7">
        <f>IF($D2311="","",M2311*V2311/100)</f>
        <v/>
      </c>
      <c r="O2311" s="7" t="n"/>
      <c r="U2311" s="7" t="n"/>
      <c r="V2311" s="7" t="n"/>
      <c r="Y2311">
        <f>IF($D2311="","",IF($AN2311=1,0,IF($AM2311=1,Settings!$C$6,Settings!$C$7))*100)</f>
        <v/>
      </c>
      <c r="Z2311" s="7">
        <f>IF($D2311="","",V2311*Y2311/100)</f>
        <v/>
      </c>
      <c r="AA2311" s="7">
        <f>IF($D2311="","",V2311-Z2311)</f>
        <v/>
      </c>
      <c r="AB2311" s="7">
        <f>IF($D2311="","",AA2311-N2311)</f>
        <v/>
      </c>
      <c r="AF2311" s="7" t="n"/>
      <c r="AI2311" s="11" t="n"/>
      <c r="AK2311">
        <f>IF($D2311="","",IF(COUNTIF($D$2:$D2311,$D2311)=1,1,0))</f>
        <v/>
      </c>
      <c r="AL2311">
        <f>IF($AK2311=1,SUMPRODUCT(--($AO$2:$AO$3001&lt;$AO2311))+1,"")</f>
        <v/>
      </c>
      <c r="AM2311">
        <f>IF($D2311="","",IF(OR($R2311=TRUE(),$R2311="TRUE"),1,0))</f>
        <v/>
      </c>
      <c r="AN2311">
        <f>IF($D2311="","",IF($X2311="Yes",1,0))</f>
        <v/>
      </c>
      <c r="AO2311">
        <f>IF($AK2311=1,IFERROR(IF(VALUE($D2311)&lt;100000000,VALUE($D2311),1000000000),IFERROR(IF(VALUE(MID($D2311,2,20))&lt;100000000,VALUE(MID($D2311,2,20)),1000000000),1000000000))+ROW()/100000,"")</f>
        <v/>
      </c>
    </row>
    <row r="2312">
      <c r="F2312" s="11" t="n"/>
      <c r="N2312" s="7">
        <f>IF($D2312="","",M2312*V2312/100)</f>
        <v/>
      </c>
      <c r="O2312" s="7" t="n"/>
      <c r="U2312" s="7" t="n"/>
      <c r="V2312" s="7" t="n"/>
      <c r="Y2312">
        <f>IF($D2312="","",IF($AN2312=1,0,IF($AM2312=1,Settings!$C$6,Settings!$C$7))*100)</f>
        <v/>
      </c>
      <c r="Z2312" s="7">
        <f>IF($D2312="","",V2312*Y2312/100)</f>
        <v/>
      </c>
      <c r="AA2312" s="7">
        <f>IF($D2312="","",V2312-Z2312)</f>
        <v/>
      </c>
      <c r="AB2312" s="7">
        <f>IF($D2312="","",AA2312-N2312)</f>
        <v/>
      </c>
      <c r="AF2312" s="7" t="n"/>
      <c r="AI2312" s="11" t="n"/>
      <c r="AK2312">
        <f>IF($D2312="","",IF(COUNTIF($D$2:$D2312,$D2312)=1,1,0))</f>
        <v/>
      </c>
      <c r="AL2312">
        <f>IF($AK2312=1,SUMPRODUCT(--($AO$2:$AO$3001&lt;$AO2312))+1,"")</f>
        <v/>
      </c>
      <c r="AM2312">
        <f>IF($D2312="","",IF(OR($R2312=TRUE(),$R2312="TRUE"),1,0))</f>
        <v/>
      </c>
      <c r="AN2312">
        <f>IF($D2312="","",IF($X2312="Yes",1,0))</f>
        <v/>
      </c>
      <c r="AO2312">
        <f>IF($AK2312=1,IFERROR(IF(VALUE($D2312)&lt;100000000,VALUE($D2312),1000000000),IFERROR(IF(VALUE(MID($D2312,2,20))&lt;100000000,VALUE(MID($D2312,2,20)),1000000000),1000000000))+ROW()/100000,"")</f>
        <v/>
      </c>
    </row>
    <row r="2313">
      <c r="F2313" s="11" t="n"/>
      <c r="N2313" s="7">
        <f>IF($D2313="","",M2313*V2313/100)</f>
        <v/>
      </c>
      <c r="O2313" s="7" t="n"/>
      <c r="U2313" s="7" t="n"/>
      <c r="V2313" s="7" t="n"/>
      <c r="Y2313">
        <f>IF($D2313="","",IF($AN2313=1,0,IF($AM2313=1,Settings!$C$6,Settings!$C$7))*100)</f>
        <v/>
      </c>
      <c r="Z2313" s="7">
        <f>IF($D2313="","",V2313*Y2313/100)</f>
        <v/>
      </c>
      <c r="AA2313" s="7">
        <f>IF($D2313="","",V2313-Z2313)</f>
        <v/>
      </c>
      <c r="AB2313" s="7">
        <f>IF($D2313="","",AA2313-N2313)</f>
        <v/>
      </c>
      <c r="AF2313" s="7" t="n"/>
      <c r="AI2313" s="11" t="n"/>
      <c r="AK2313">
        <f>IF($D2313="","",IF(COUNTIF($D$2:$D2313,$D2313)=1,1,0))</f>
        <v/>
      </c>
      <c r="AL2313">
        <f>IF($AK2313=1,SUMPRODUCT(--($AO$2:$AO$3001&lt;$AO2313))+1,"")</f>
        <v/>
      </c>
      <c r="AM2313">
        <f>IF($D2313="","",IF(OR($R2313=TRUE(),$R2313="TRUE"),1,0))</f>
        <v/>
      </c>
      <c r="AN2313">
        <f>IF($D2313="","",IF($X2313="Yes",1,0))</f>
        <v/>
      </c>
      <c r="AO2313">
        <f>IF($AK2313=1,IFERROR(IF(VALUE($D2313)&lt;100000000,VALUE($D2313),1000000000),IFERROR(IF(VALUE(MID($D2313,2,20))&lt;100000000,VALUE(MID($D2313,2,20)),1000000000),1000000000))+ROW()/100000,"")</f>
        <v/>
      </c>
    </row>
    <row r="2314">
      <c r="F2314" s="11" t="n"/>
      <c r="N2314" s="7">
        <f>IF($D2314="","",M2314*V2314/100)</f>
        <v/>
      </c>
      <c r="O2314" s="7" t="n"/>
      <c r="U2314" s="7" t="n"/>
      <c r="V2314" s="7" t="n"/>
      <c r="Y2314">
        <f>IF($D2314="","",IF($AN2314=1,0,IF($AM2314=1,Settings!$C$6,Settings!$C$7))*100)</f>
        <v/>
      </c>
      <c r="Z2314" s="7">
        <f>IF($D2314="","",V2314*Y2314/100)</f>
        <v/>
      </c>
      <c r="AA2314" s="7">
        <f>IF($D2314="","",V2314-Z2314)</f>
        <v/>
      </c>
      <c r="AB2314" s="7">
        <f>IF($D2314="","",AA2314-N2314)</f>
        <v/>
      </c>
      <c r="AF2314" s="7" t="n"/>
      <c r="AI2314" s="11" t="n"/>
      <c r="AK2314">
        <f>IF($D2314="","",IF(COUNTIF($D$2:$D2314,$D2314)=1,1,0))</f>
        <v/>
      </c>
      <c r="AL2314">
        <f>IF($AK2314=1,SUMPRODUCT(--($AO$2:$AO$3001&lt;$AO2314))+1,"")</f>
        <v/>
      </c>
      <c r="AM2314">
        <f>IF($D2314="","",IF(OR($R2314=TRUE(),$R2314="TRUE"),1,0))</f>
        <v/>
      </c>
      <c r="AN2314">
        <f>IF($D2314="","",IF($X2314="Yes",1,0))</f>
        <v/>
      </c>
      <c r="AO2314">
        <f>IF($AK2314=1,IFERROR(IF(VALUE($D2314)&lt;100000000,VALUE($D2314),1000000000),IFERROR(IF(VALUE(MID($D2314,2,20))&lt;100000000,VALUE(MID($D2314,2,20)),1000000000),1000000000))+ROW()/100000,"")</f>
        <v/>
      </c>
    </row>
    <row r="2315">
      <c r="F2315" s="11" t="n"/>
      <c r="N2315" s="7">
        <f>IF($D2315="","",M2315*V2315/100)</f>
        <v/>
      </c>
      <c r="O2315" s="7" t="n"/>
      <c r="U2315" s="7" t="n"/>
      <c r="V2315" s="7" t="n"/>
      <c r="Y2315">
        <f>IF($D2315="","",IF($AN2315=1,0,IF($AM2315=1,Settings!$C$6,Settings!$C$7))*100)</f>
        <v/>
      </c>
      <c r="Z2315" s="7">
        <f>IF($D2315="","",V2315*Y2315/100)</f>
        <v/>
      </c>
      <c r="AA2315" s="7">
        <f>IF($D2315="","",V2315-Z2315)</f>
        <v/>
      </c>
      <c r="AB2315" s="7">
        <f>IF($D2315="","",AA2315-N2315)</f>
        <v/>
      </c>
      <c r="AF2315" s="7" t="n"/>
      <c r="AI2315" s="11" t="n"/>
      <c r="AK2315">
        <f>IF($D2315="","",IF(COUNTIF($D$2:$D2315,$D2315)=1,1,0))</f>
        <v/>
      </c>
      <c r="AL2315">
        <f>IF($AK2315=1,SUMPRODUCT(--($AO$2:$AO$3001&lt;$AO2315))+1,"")</f>
        <v/>
      </c>
      <c r="AM2315">
        <f>IF($D2315="","",IF(OR($R2315=TRUE(),$R2315="TRUE"),1,0))</f>
        <v/>
      </c>
      <c r="AN2315">
        <f>IF($D2315="","",IF($X2315="Yes",1,0))</f>
        <v/>
      </c>
      <c r="AO2315">
        <f>IF($AK2315=1,IFERROR(IF(VALUE($D2315)&lt;100000000,VALUE($D2315),1000000000),IFERROR(IF(VALUE(MID($D2315,2,20))&lt;100000000,VALUE(MID($D2315,2,20)),1000000000),1000000000))+ROW()/100000,"")</f>
        <v/>
      </c>
    </row>
    <row r="2316">
      <c r="F2316" s="11" t="n"/>
      <c r="N2316" s="7">
        <f>IF($D2316="","",M2316*V2316/100)</f>
        <v/>
      </c>
      <c r="O2316" s="7" t="n"/>
      <c r="U2316" s="7" t="n"/>
      <c r="V2316" s="7" t="n"/>
      <c r="Y2316">
        <f>IF($D2316="","",IF($AN2316=1,0,IF($AM2316=1,Settings!$C$6,Settings!$C$7))*100)</f>
        <v/>
      </c>
      <c r="Z2316" s="7">
        <f>IF($D2316="","",V2316*Y2316/100)</f>
        <v/>
      </c>
      <c r="AA2316" s="7">
        <f>IF($D2316="","",V2316-Z2316)</f>
        <v/>
      </c>
      <c r="AB2316" s="7">
        <f>IF($D2316="","",AA2316-N2316)</f>
        <v/>
      </c>
      <c r="AF2316" s="7" t="n"/>
      <c r="AI2316" s="11" t="n"/>
      <c r="AK2316">
        <f>IF($D2316="","",IF(COUNTIF($D$2:$D2316,$D2316)=1,1,0))</f>
        <v/>
      </c>
      <c r="AL2316">
        <f>IF($AK2316=1,SUMPRODUCT(--($AO$2:$AO$3001&lt;$AO2316))+1,"")</f>
        <v/>
      </c>
      <c r="AM2316">
        <f>IF($D2316="","",IF(OR($R2316=TRUE(),$R2316="TRUE"),1,0))</f>
        <v/>
      </c>
      <c r="AN2316">
        <f>IF($D2316="","",IF($X2316="Yes",1,0))</f>
        <v/>
      </c>
      <c r="AO2316">
        <f>IF($AK2316=1,IFERROR(IF(VALUE($D2316)&lt;100000000,VALUE($D2316),1000000000),IFERROR(IF(VALUE(MID($D2316,2,20))&lt;100000000,VALUE(MID($D2316,2,20)),1000000000),1000000000))+ROW()/100000,"")</f>
        <v/>
      </c>
    </row>
    <row r="2317">
      <c r="F2317" s="11" t="n"/>
      <c r="N2317" s="7">
        <f>IF($D2317="","",M2317*V2317/100)</f>
        <v/>
      </c>
      <c r="O2317" s="7" t="n"/>
      <c r="U2317" s="7" t="n"/>
      <c r="V2317" s="7" t="n"/>
      <c r="Y2317">
        <f>IF($D2317="","",IF($AN2317=1,0,IF($AM2317=1,Settings!$C$6,Settings!$C$7))*100)</f>
        <v/>
      </c>
      <c r="Z2317" s="7">
        <f>IF($D2317="","",V2317*Y2317/100)</f>
        <v/>
      </c>
      <c r="AA2317" s="7">
        <f>IF($D2317="","",V2317-Z2317)</f>
        <v/>
      </c>
      <c r="AB2317" s="7">
        <f>IF($D2317="","",AA2317-N2317)</f>
        <v/>
      </c>
      <c r="AF2317" s="7" t="n"/>
      <c r="AI2317" s="11" t="n"/>
      <c r="AK2317">
        <f>IF($D2317="","",IF(COUNTIF($D$2:$D2317,$D2317)=1,1,0))</f>
        <v/>
      </c>
      <c r="AL2317">
        <f>IF($AK2317=1,SUMPRODUCT(--($AO$2:$AO$3001&lt;$AO2317))+1,"")</f>
        <v/>
      </c>
      <c r="AM2317">
        <f>IF($D2317="","",IF(OR($R2317=TRUE(),$R2317="TRUE"),1,0))</f>
        <v/>
      </c>
      <c r="AN2317">
        <f>IF($D2317="","",IF($X2317="Yes",1,0))</f>
        <v/>
      </c>
      <c r="AO2317">
        <f>IF($AK2317=1,IFERROR(IF(VALUE($D2317)&lt;100000000,VALUE($D2317),1000000000),IFERROR(IF(VALUE(MID($D2317,2,20))&lt;100000000,VALUE(MID($D2317,2,20)),1000000000),1000000000))+ROW()/100000,"")</f>
        <v/>
      </c>
    </row>
    <row r="2318">
      <c r="F2318" s="11" t="n"/>
      <c r="N2318" s="7">
        <f>IF($D2318="","",M2318*V2318/100)</f>
        <v/>
      </c>
      <c r="O2318" s="7" t="n"/>
      <c r="U2318" s="7" t="n"/>
      <c r="V2318" s="7" t="n"/>
      <c r="Y2318">
        <f>IF($D2318="","",IF($AN2318=1,0,IF($AM2318=1,Settings!$C$6,Settings!$C$7))*100)</f>
        <v/>
      </c>
      <c r="Z2318" s="7">
        <f>IF($D2318="","",V2318*Y2318/100)</f>
        <v/>
      </c>
      <c r="AA2318" s="7">
        <f>IF($D2318="","",V2318-Z2318)</f>
        <v/>
      </c>
      <c r="AB2318" s="7">
        <f>IF($D2318="","",AA2318-N2318)</f>
        <v/>
      </c>
      <c r="AF2318" s="7" t="n"/>
      <c r="AI2318" s="11" t="n"/>
      <c r="AK2318">
        <f>IF($D2318="","",IF(COUNTIF($D$2:$D2318,$D2318)=1,1,0))</f>
        <v/>
      </c>
      <c r="AL2318">
        <f>IF($AK2318=1,SUMPRODUCT(--($AO$2:$AO$3001&lt;$AO2318))+1,"")</f>
        <v/>
      </c>
      <c r="AM2318">
        <f>IF($D2318="","",IF(OR($R2318=TRUE(),$R2318="TRUE"),1,0))</f>
        <v/>
      </c>
      <c r="AN2318">
        <f>IF($D2318="","",IF($X2318="Yes",1,0))</f>
        <v/>
      </c>
      <c r="AO2318">
        <f>IF($AK2318=1,IFERROR(IF(VALUE($D2318)&lt;100000000,VALUE($D2318),1000000000),IFERROR(IF(VALUE(MID($D2318,2,20))&lt;100000000,VALUE(MID($D2318,2,20)),1000000000),1000000000))+ROW()/100000,"")</f>
        <v/>
      </c>
    </row>
    <row r="2319">
      <c r="F2319" s="11" t="n"/>
      <c r="N2319" s="7">
        <f>IF($D2319="","",M2319*V2319/100)</f>
        <v/>
      </c>
      <c r="O2319" s="7" t="n"/>
      <c r="U2319" s="7" t="n"/>
      <c r="V2319" s="7" t="n"/>
      <c r="Y2319">
        <f>IF($D2319="","",IF($AN2319=1,0,IF($AM2319=1,Settings!$C$6,Settings!$C$7))*100)</f>
        <v/>
      </c>
      <c r="Z2319" s="7">
        <f>IF($D2319="","",V2319*Y2319/100)</f>
        <v/>
      </c>
      <c r="AA2319" s="7">
        <f>IF($D2319="","",V2319-Z2319)</f>
        <v/>
      </c>
      <c r="AB2319" s="7">
        <f>IF($D2319="","",AA2319-N2319)</f>
        <v/>
      </c>
      <c r="AF2319" s="7" t="n"/>
      <c r="AI2319" s="11" t="n"/>
      <c r="AK2319">
        <f>IF($D2319="","",IF(COUNTIF($D$2:$D2319,$D2319)=1,1,0))</f>
        <v/>
      </c>
      <c r="AL2319">
        <f>IF($AK2319=1,SUMPRODUCT(--($AO$2:$AO$3001&lt;$AO2319))+1,"")</f>
        <v/>
      </c>
      <c r="AM2319">
        <f>IF($D2319="","",IF(OR($R2319=TRUE(),$R2319="TRUE"),1,0))</f>
        <v/>
      </c>
      <c r="AN2319">
        <f>IF($D2319="","",IF($X2319="Yes",1,0))</f>
        <v/>
      </c>
      <c r="AO2319">
        <f>IF($AK2319=1,IFERROR(IF(VALUE($D2319)&lt;100000000,VALUE($D2319),1000000000),IFERROR(IF(VALUE(MID($D2319,2,20))&lt;100000000,VALUE(MID($D2319,2,20)),1000000000),1000000000))+ROW()/100000,"")</f>
        <v/>
      </c>
    </row>
    <row r="2320">
      <c r="F2320" s="11" t="n"/>
      <c r="N2320" s="7">
        <f>IF($D2320="","",M2320*V2320/100)</f>
        <v/>
      </c>
      <c r="O2320" s="7" t="n"/>
      <c r="U2320" s="7" t="n"/>
      <c r="V2320" s="7" t="n"/>
      <c r="Y2320">
        <f>IF($D2320="","",IF($AN2320=1,0,IF($AM2320=1,Settings!$C$6,Settings!$C$7))*100)</f>
        <v/>
      </c>
      <c r="Z2320" s="7">
        <f>IF($D2320="","",V2320*Y2320/100)</f>
        <v/>
      </c>
      <c r="AA2320" s="7">
        <f>IF($D2320="","",V2320-Z2320)</f>
        <v/>
      </c>
      <c r="AB2320" s="7">
        <f>IF($D2320="","",AA2320-N2320)</f>
        <v/>
      </c>
      <c r="AF2320" s="7" t="n"/>
      <c r="AI2320" s="11" t="n"/>
      <c r="AK2320">
        <f>IF($D2320="","",IF(COUNTIF($D$2:$D2320,$D2320)=1,1,0))</f>
        <v/>
      </c>
      <c r="AL2320">
        <f>IF($AK2320=1,SUMPRODUCT(--($AO$2:$AO$3001&lt;$AO2320))+1,"")</f>
        <v/>
      </c>
      <c r="AM2320">
        <f>IF($D2320="","",IF(OR($R2320=TRUE(),$R2320="TRUE"),1,0))</f>
        <v/>
      </c>
      <c r="AN2320">
        <f>IF($D2320="","",IF($X2320="Yes",1,0))</f>
        <v/>
      </c>
      <c r="AO2320">
        <f>IF($AK2320=1,IFERROR(IF(VALUE($D2320)&lt;100000000,VALUE($D2320),1000000000),IFERROR(IF(VALUE(MID($D2320,2,20))&lt;100000000,VALUE(MID($D2320,2,20)),1000000000),1000000000))+ROW()/100000,"")</f>
        <v/>
      </c>
    </row>
    <row r="2321">
      <c r="F2321" s="11" t="n"/>
      <c r="N2321" s="7">
        <f>IF($D2321="","",M2321*V2321/100)</f>
        <v/>
      </c>
      <c r="O2321" s="7" t="n"/>
      <c r="U2321" s="7" t="n"/>
      <c r="V2321" s="7" t="n"/>
      <c r="Y2321">
        <f>IF($D2321="","",IF($AN2321=1,0,IF($AM2321=1,Settings!$C$6,Settings!$C$7))*100)</f>
        <v/>
      </c>
      <c r="Z2321" s="7">
        <f>IF($D2321="","",V2321*Y2321/100)</f>
        <v/>
      </c>
      <c r="AA2321" s="7">
        <f>IF($D2321="","",V2321-Z2321)</f>
        <v/>
      </c>
      <c r="AB2321" s="7">
        <f>IF($D2321="","",AA2321-N2321)</f>
        <v/>
      </c>
      <c r="AF2321" s="7" t="n"/>
      <c r="AI2321" s="11" t="n"/>
      <c r="AK2321">
        <f>IF($D2321="","",IF(COUNTIF($D$2:$D2321,$D2321)=1,1,0))</f>
        <v/>
      </c>
      <c r="AL2321">
        <f>IF($AK2321=1,SUMPRODUCT(--($AO$2:$AO$3001&lt;$AO2321))+1,"")</f>
        <v/>
      </c>
      <c r="AM2321">
        <f>IF($D2321="","",IF(OR($R2321=TRUE(),$R2321="TRUE"),1,0))</f>
        <v/>
      </c>
      <c r="AN2321">
        <f>IF($D2321="","",IF($X2321="Yes",1,0))</f>
        <v/>
      </c>
      <c r="AO2321">
        <f>IF($AK2321=1,IFERROR(IF(VALUE($D2321)&lt;100000000,VALUE($D2321),1000000000),IFERROR(IF(VALUE(MID($D2321,2,20))&lt;100000000,VALUE(MID($D2321,2,20)),1000000000),1000000000))+ROW()/100000,"")</f>
        <v/>
      </c>
    </row>
    <row r="2322">
      <c r="F2322" s="11" t="n"/>
      <c r="N2322" s="7">
        <f>IF($D2322="","",M2322*V2322/100)</f>
        <v/>
      </c>
      <c r="O2322" s="7" t="n"/>
      <c r="U2322" s="7" t="n"/>
      <c r="V2322" s="7" t="n"/>
      <c r="Y2322">
        <f>IF($D2322="","",IF($AN2322=1,0,IF($AM2322=1,Settings!$C$6,Settings!$C$7))*100)</f>
        <v/>
      </c>
      <c r="Z2322" s="7">
        <f>IF($D2322="","",V2322*Y2322/100)</f>
        <v/>
      </c>
      <c r="AA2322" s="7">
        <f>IF($D2322="","",V2322-Z2322)</f>
        <v/>
      </c>
      <c r="AB2322" s="7">
        <f>IF($D2322="","",AA2322-N2322)</f>
        <v/>
      </c>
      <c r="AF2322" s="7" t="n"/>
      <c r="AI2322" s="11" t="n"/>
      <c r="AK2322">
        <f>IF($D2322="","",IF(COUNTIF($D$2:$D2322,$D2322)=1,1,0))</f>
        <v/>
      </c>
      <c r="AL2322">
        <f>IF($AK2322=1,SUMPRODUCT(--($AO$2:$AO$3001&lt;$AO2322))+1,"")</f>
        <v/>
      </c>
      <c r="AM2322">
        <f>IF($D2322="","",IF(OR($R2322=TRUE(),$R2322="TRUE"),1,0))</f>
        <v/>
      </c>
      <c r="AN2322">
        <f>IF($D2322="","",IF($X2322="Yes",1,0))</f>
        <v/>
      </c>
      <c r="AO2322">
        <f>IF($AK2322=1,IFERROR(IF(VALUE($D2322)&lt;100000000,VALUE($D2322),1000000000),IFERROR(IF(VALUE(MID($D2322,2,20))&lt;100000000,VALUE(MID($D2322,2,20)),1000000000),1000000000))+ROW()/100000,"")</f>
        <v/>
      </c>
    </row>
    <row r="2323">
      <c r="F2323" s="11" t="n"/>
      <c r="N2323" s="7">
        <f>IF($D2323="","",M2323*V2323/100)</f>
        <v/>
      </c>
      <c r="O2323" s="7" t="n"/>
      <c r="U2323" s="7" t="n"/>
      <c r="V2323" s="7" t="n"/>
      <c r="Y2323">
        <f>IF($D2323="","",IF($AN2323=1,0,IF($AM2323=1,Settings!$C$6,Settings!$C$7))*100)</f>
        <v/>
      </c>
      <c r="Z2323" s="7">
        <f>IF($D2323="","",V2323*Y2323/100)</f>
        <v/>
      </c>
      <c r="AA2323" s="7">
        <f>IF($D2323="","",V2323-Z2323)</f>
        <v/>
      </c>
      <c r="AB2323" s="7">
        <f>IF($D2323="","",AA2323-N2323)</f>
        <v/>
      </c>
      <c r="AF2323" s="7" t="n"/>
      <c r="AI2323" s="11" t="n"/>
      <c r="AK2323">
        <f>IF($D2323="","",IF(COUNTIF($D$2:$D2323,$D2323)=1,1,0))</f>
        <v/>
      </c>
      <c r="AL2323">
        <f>IF($AK2323=1,SUMPRODUCT(--($AO$2:$AO$3001&lt;$AO2323))+1,"")</f>
        <v/>
      </c>
      <c r="AM2323">
        <f>IF($D2323="","",IF(OR($R2323=TRUE(),$R2323="TRUE"),1,0))</f>
        <v/>
      </c>
      <c r="AN2323">
        <f>IF($D2323="","",IF($X2323="Yes",1,0))</f>
        <v/>
      </c>
      <c r="AO2323">
        <f>IF($AK2323=1,IFERROR(IF(VALUE($D2323)&lt;100000000,VALUE($D2323),1000000000),IFERROR(IF(VALUE(MID($D2323,2,20))&lt;100000000,VALUE(MID($D2323,2,20)),1000000000),1000000000))+ROW()/100000,"")</f>
        <v/>
      </c>
    </row>
    <row r="2324">
      <c r="F2324" s="11" t="n"/>
      <c r="N2324" s="7">
        <f>IF($D2324="","",M2324*V2324/100)</f>
        <v/>
      </c>
      <c r="O2324" s="7" t="n"/>
      <c r="U2324" s="7" t="n"/>
      <c r="V2324" s="7" t="n"/>
      <c r="Y2324">
        <f>IF($D2324="","",IF($AN2324=1,0,IF($AM2324=1,Settings!$C$6,Settings!$C$7))*100)</f>
        <v/>
      </c>
      <c r="Z2324" s="7">
        <f>IF($D2324="","",V2324*Y2324/100)</f>
        <v/>
      </c>
      <c r="AA2324" s="7">
        <f>IF($D2324="","",V2324-Z2324)</f>
        <v/>
      </c>
      <c r="AB2324" s="7">
        <f>IF($D2324="","",AA2324-N2324)</f>
        <v/>
      </c>
      <c r="AF2324" s="7" t="n"/>
      <c r="AI2324" s="11" t="n"/>
      <c r="AK2324">
        <f>IF($D2324="","",IF(COUNTIF($D$2:$D2324,$D2324)=1,1,0))</f>
        <v/>
      </c>
      <c r="AL2324">
        <f>IF($AK2324=1,SUMPRODUCT(--($AO$2:$AO$3001&lt;$AO2324))+1,"")</f>
        <v/>
      </c>
      <c r="AM2324">
        <f>IF($D2324="","",IF(OR($R2324=TRUE(),$R2324="TRUE"),1,0))</f>
        <v/>
      </c>
      <c r="AN2324">
        <f>IF($D2324="","",IF($X2324="Yes",1,0))</f>
        <v/>
      </c>
      <c r="AO2324">
        <f>IF($AK2324=1,IFERROR(IF(VALUE($D2324)&lt;100000000,VALUE($D2324),1000000000),IFERROR(IF(VALUE(MID($D2324,2,20))&lt;100000000,VALUE(MID($D2324,2,20)),1000000000),1000000000))+ROW()/100000,"")</f>
        <v/>
      </c>
    </row>
    <row r="2325">
      <c r="F2325" s="11" t="n"/>
      <c r="N2325" s="7">
        <f>IF($D2325="","",M2325*V2325/100)</f>
        <v/>
      </c>
      <c r="O2325" s="7" t="n"/>
      <c r="U2325" s="7" t="n"/>
      <c r="V2325" s="7" t="n"/>
      <c r="Y2325">
        <f>IF($D2325="","",IF($AN2325=1,0,IF($AM2325=1,Settings!$C$6,Settings!$C$7))*100)</f>
        <v/>
      </c>
      <c r="Z2325" s="7">
        <f>IF($D2325="","",V2325*Y2325/100)</f>
        <v/>
      </c>
      <c r="AA2325" s="7">
        <f>IF($D2325="","",V2325-Z2325)</f>
        <v/>
      </c>
      <c r="AB2325" s="7">
        <f>IF($D2325="","",AA2325-N2325)</f>
        <v/>
      </c>
      <c r="AF2325" s="7" t="n"/>
      <c r="AI2325" s="11" t="n"/>
      <c r="AK2325">
        <f>IF($D2325="","",IF(COUNTIF($D$2:$D2325,$D2325)=1,1,0))</f>
        <v/>
      </c>
      <c r="AL2325">
        <f>IF($AK2325=1,SUMPRODUCT(--($AO$2:$AO$3001&lt;$AO2325))+1,"")</f>
        <v/>
      </c>
      <c r="AM2325">
        <f>IF($D2325="","",IF(OR($R2325=TRUE(),$R2325="TRUE"),1,0))</f>
        <v/>
      </c>
      <c r="AN2325">
        <f>IF($D2325="","",IF($X2325="Yes",1,0))</f>
        <v/>
      </c>
      <c r="AO2325">
        <f>IF($AK2325=1,IFERROR(IF(VALUE($D2325)&lt;100000000,VALUE($D2325),1000000000),IFERROR(IF(VALUE(MID($D2325,2,20))&lt;100000000,VALUE(MID($D2325,2,20)),1000000000),1000000000))+ROW()/100000,"")</f>
        <v/>
      </c>
    </row>
    <row r="2326">
      <c r="F2326" s="11" t="n"/>
      <c r="N2326" s="7">
        <f>IF($D2326="","",M2326*V2326/100)</f>
        <v/>
      </c>
      <c r="O2326" s="7" t="n"/>
      <c r="U2326" s="7" t="n"/>
      <c r="V2326" s="7" t="n"/>
      <c r="Y2326">
        <f>IF($D2326="","",IF($AN2326=1,0,IF($AM2326=1,Settings!$C$6,Settings!$C$7))*100)</f>
        <v/>
      </c>
      <c r="Z2326" s="7">
        <f>IF($D2326="","",V2326*Y2326/100)</f>
        <v/>
      </c>
      <c r="AA2326" s="7">
        <f>IF($D2326="","",V2326-Z2326)</f>
        <v/>
      </c>
      <c r="AB2326" s="7">
        <f>IF($D2326="","",AA2326-N2326)</f>
        <v/>
      </c>
      <c r="AF2326" s="7" t="n"/>
      <c r="AI2326" s="11" t="n"/>
      <c r="AK2326">
        <f>IF($D2326="","",IF(COUNTIF($D$2:$D2326,$D2326)=1,1,0))</f>
        <v/>
      </c>
      <c r="AL2326">
        <f>IF($AK2326=1,SUMPRODUCT(--($AO$2:$AO$3001&lt;$AO2326))+1,"")</f>
        <v/>
      </c>
      <c r="AM2326">
        <f>IF($D2326="","",IF(OR($R2326=TRUE(),$R2326="TRUE"),1,0))</f>
        <v/>
      </c>
      <c r="AN2326">
        <f>IF($D2326="","",IF($X2326="Yes",1,0))</f>
        <v/>
      </c>
      <c r="AO2326">
        <f>IF($AK2326=1,IFERROR(IF(VALUE($D2326)&lt;100000000,VALUE($D2326),1000000000),IFERROR(IF(VALUE(MID($D2326,2,20))&lt;100000000,VALUE(MID($D2326,2,20)),1000000000),1000000000))+ROW()/100000,"")</f>
        <v/>
      </c>
    </row>
    <row r="2327">
      <c r="F2327" s="11" t="n"/>
      <c r="N2327" s="7">
        <f>IF($D2327="","",M2327*V2327/100)</f>
        <v/>
      </c>
      <c r="O2327" s="7" t="n"/>
      <c r="U2327" s="7" t="n"/>
      <c r="V2327" s="7" t="n"/>
      <c r="Y2327">
        <f>IF($D2327="","",IF($AN2327=1,0,IF($AM2327=1,Settings!$C$6,Settings!$C$7))*100)</f>
        <v/>
      </c>
      <c r="Z2327" s="7">
        <f>IF($D2327="","",V2327*Y2327/100)</f>
        <v/>
      </c>
      <c r="AA2327" s="7">
        <f>IF($D2327="","",V2327-Z2327)</f>
        <v/>
      </c>
      <c r="AB2327" s="7">
        <f>IF($D2327="","",AA2327-N2327)</f>
        <v/>
      </c>
      <c r="AF2327" s="7" t="n"/>
      <c r="AI2327" s="11" t="n"/>
      <c r="AK2327">
        <f>IF($D2327="","",IF(COUNTIF($D$2:$D2327,$D2327)=1,1,0))</f>
        <v/>
      </c>
      <c r="AL2327">
        <f>IF($AK2327=1,SUMPRODUCT(--($AO$2:$AO$3001&lt;$AO2327))+1,"")</f>
        <v/>
      </c>
      <c r="AM2327">
        <f>IF($D2327="","",IF(OR($R2327=TRUE(),$R2327="TRUE"),1,0))</f>
        <v/>
      </c>
      <c r="AN2327">
        <f>IF($D2327="","",IF($X2327="Yes",1,0))</f>
        <v/>
      </c>
      <c r="AO2327">
        <f>IF($AK2327=1,IFERROR(IF(VALUE($D2327)&lt;100000000,VALUE($D2327),1000000000),IFERROR(IF(VALUE(MID($D2327,2,20))&lt;100000000,VALUE(MID($D2327,2,20)),1000000000),1000000000))+ROW()/100000,"")</f>
        <v/>
      </c>
    </row>
    <row r="2328">
      <c r="F2328" s="11" t="n"/>
      <c r="N2328" s="7">
        <f>IF($D2328="","",M2328*V2328/100)</f>
        <v/>
      </c>
      <c r="O2328" s="7" t="n"/>
      <c r="U2328" s="7" t="n"/>
      <c r="V2328" s="7" t="n"/>
      <c r="Y2328">
        <f>IF($D2328="","",IF($AN2328=1,0,IF($AM2328=1,Settings!$C$6,Settings!$C$7))*100)</f>
        <v/>
      </c>
      <c r="Z2328" s="7">
        <f>IF($D2328="","",V2328*Y2328/100)</f>
        <v/>
      </c>
      <c r="AA2328" s="7">
        <f>IF($D2328="","",V2328-Z2328)</f>
        <v/>
      </c>
      <c r="AB2328" s="7">
        <f>IF($D2328="","",AA2328-N2328)</f>
        <v/>
      </c>
      <c r="AF2328" s="7" t="n"/>
      <c r="AI2328" s="11" t="n"/>
      <c r="AK2328">
        <f>IF($D2328="","",IF(COUNTIF($D$2:$D2328,$D2328)=1,1,0))</f>
        <v/>
      </c>
      <c r="AL2328">
        <f>IF($AK2328=1,SUMPRODUCT(--($AO$2:$AO$3001&lt;$AO2328))+1,"")</f>
        <v/>
      </c>
      <c r="AM2328">
        <f>IF($D2328="","",IF(OR($R2328=TRUE(),$R2328="TRUE"),1,0))</f>
        <v/>
      </c>
      <c r="AN2328">
        <f>IF($D2328="","",IF($X2328="Yes",1,0))</f>
        <v/>
      </c>
      <c r="AO2328">
        <f>IF($AK2328=1,IFERROR(IF(VALUE($D2328)&lt;100000000,VALUE($D2328),1000000000),IFERROR(IF(VALUE(MID($D2328,2,20))&lt;100000000,VALUE(MID($D2328,2,20)),1000000000),1000000000))+ROW()/100000,"")</f>
        <v/>
      </c>
    </row>
    <row r="2329">
      <c r="F2329" s="11" t="n"/>
      <c r="N2329" s="7">
        <f>IF($D2329="","",M2329*V2329/100)</f>
        <v/>
      </c>
      <c r="O2329" s="7" t="n"/>
      <c r="U2329" s="7" t="n"/>
      <c r="V2329" s="7" t="n"/>
      <c r="Y2329">
        <f>IF($D2329="","",IF($AN2329=1,0,IF($AM2329=1,Settings!$C$6,Settings!$C$7))*100)</f>
        <v/>
      </c>
      <c r="Z2329" s="7">
        <f>IF($D2329="","",V2329*Y2329/100)</f>
        <v/>
      </c>
      <c r="AA2329" s="7">
        <f>IF($D2329="","",V2329-Z2329)</f>
        <v/>
      </c>
      <c r="AB2329" s="7">
        <f>IF($D2329="","",AA2329-N2329)</f>
        <v/>
      </c>
      <c r="AF2329" s="7" t="n"/>
      <c r="AI2329" s="11" t="n"/>
      <c r="AK2329">
        <f>IF($D2329="","",IF(COUNTIF($D$2:$D2329,$D2329)=1,1,0))</f>
        <v/>
      </c>
      <c r="AL2329">
        <f>IF($AK2329=1,SUMPRODUCT(--($AO$2:$AO$3001&lt;$AO2329))+1,"")</f>
        <v/>
      </c>
      <c r="AM2329">
        <f>IF($D2329="","",IF(OR($R2329=TRUE(),$R2329="TRUE"),1,0))</f>
        <v/>
      </c>
      <c r="AN2329">
        <f>IF($D2329="","",IF($X2329="Yes",1,0))</f>
        <v/>
      </c>
      <c r="AO2329">
        <f>IF($AK2329=1,IFERROR(IF(VALUE($D2329)&lt;100000000,VALUE($D2329),1000000000),IFERROR(IF(VALUE(MID($D2329,2,20))&lt;100000000,VALUE(MID($D2329,2,20)),1000000000),1000000000))+ROW()/100000,"")</f>
        <v/>
      </c>
    </row>
    <row r="2330">
      <c r="F2330" s="11" t="n"/>
      <c r="N2330" s="7">
        <f>IF($D2330="","",M2330*V2330/100)</f>
        <v/>
      </c>
      <c r="O2330" s="7" t="n"/>
      <c r="U2330" s="7" t="n"/>
      <c r="V2330" s="7" t="n"/>
      <c r="Y2330">
        <f>IF($D2330="","",IF($AN2330=1,0,IF($AM2330=1,Settings!$C$6,Settings!$C$7))*100)</f>
        <v/>
      </c>
      <c r="Z2330" s="7">
        <f>IF($D2330="","",V2330*Y2330/100)</f>
        <v/>
      </c>
      <c r="AA2330" s="7">
        <f>IF($D2330="","",V2330-Z2330)</f>
        <v/>
      </c>
      <c r="AB2330" s="7">
        <f>IF($D2330="","",AA2330-N2330)</f>
        <v/>
      </c>
      <c r="AF2330" s="7" t="n"/>
      <c r="AI2330" s="11" t="n"/>
      <c r="AK2330">
        <f>IF($D2330="","",IF(COUNTIF($D$2:$D2330,$D2330)=1,1,0))</f>
        <v/>
      </c>
      <c r="AL2330">
        <f>IF($AK2330=1,SUMPRODUCT(--($AO$2:$AO$3001&lt;$AO2330))+1,"")</f>
        <v/>
      </c>
      <c r="AM2330">
        <f>IF($D2330="","",IF(OR($R2330=TRUE(),$R2330="TRUE"),1,0))</f>
        <v/>
      </c>
      <c r="AN2330">
        <f>IF($D2330="","",IF($X2330="Yes",1,0))</f>
        <v/>
      </c>
      <c r="AO2330">
        <f>IF($AK2330=1,IFERROR(IF(VALUE($D2330)&lt;100000000,VALUE($D2330),1000000000),IFERROR(IF(VALUE(MID($D2330,2,20))&lt;100000000,VALUE(MID($D2330,2,20)),1000000000),1000000000))+ROW()/100000,"")</f>
        <v/>
      </c>
    </row>
    <row r="2331">
      <c r="F2331" s="11" t="n"/>
      <c r="N2331" s="7">
        <f>IF($D2331="","",M2331*V2331/100)</f>
        <v/>
      </c>
      <c r="O2331" s="7" t="n"/>
      <c r="U2331" s="7" t="n"/>
      <c r="V2331" s="7" t="n"/>
      <c r="Y2331">
        <f>IF($D2331="","",IF($AN2331=1,0,IF($AM2331=1,Settings!$C$6,Settings!$C$7))*100)</f>
        <v/>
      </c>
      <c r="Z2331" s="7">
        <f>IF($D2331="","",V2331*Y2331/100)</f>
        <v/>
      </c>
      <c r="AA2331" s="7">
        <f>IF($D2331="","",V2331-Z2331)</f>
        <v/>
      </c>
      <c r="AB2331" s="7">
        <f>IF($D2331="","",AA2331-N2331)</f>
        <v/>
      </c>
      <c r="AF2331" s="7" t="n"/>
      <c r="AI2331" s="11" t="n"/>
      <c r="AK2331">
        <f>IF($D2331="","",IF(COUNTIF($D$2:$D2331,$D2331)=1,1,0))</f>
        <v/>
      </c>
      <c r="AL2331">
        <f>IF($AK2331=1,SUMPRODUCT(--($AO$2:$AO$3001&lt;$AO2331))+1,"")</f>
        <v/>
      </c>
      <c r="AM2331">
        <f>IF($D2331="","",IF(OR($R2331=TRUE(),$R2331="TRUE"),1,0))</f>
        <v/>
      </c>
      <c r="AN2331">
        <f>IF($D2331="","",IF($X2331="Yes",1,0))</f>
        <v/>
      </c>
      <c r="AO2331">
        <f>IF($AK2331=1,IFERROR(IF(VALUE($D2331)&lt;100000000,VALUE($D2331),1000000000),IFERROR(IF(VALUE(MID($D2331,2,20))&lt;100000000,VALUE(MID($D2331,2,20)),1000000000),1000000000))+ROW()/100000,"")</f>
        <v/>
      </c>
    </row>
    <row r="2332">
      <c r="F2332" s="11" t="n"/>
      <c r="N2332" s="7">
        <f>IF($D2332="","",M2332*V2332/100)</f>
        <v/>
      </c>
      <c r="O2332" s="7" t="n"/>
      <c r="U2332" s="7" t="n"/>
      <c r="V2332" s="7" t="n"/>
      <c r="Y2332">
        <f>IF($D2332="","",IF($AN2332=1,0,IF($AM2332=1,Settings!$C$6,Settings!$C$7))*100)</f>
        <v/>
      </c>
      <c r="Z2332" s="7">
        <f>IF($D2332="","",V2332*Y2332/100)</f>
        <v/>
      </c>
      <c r="AA2332" s="7">
        <f>IF($D2332="","",V2332-Z2332)</f>
        <v/>
      </c>
      <c r="AB2332" s="7">
        <f>IF($D2332="","",AA2332-N2332)</f>
        <v/>
      </c>
      <c r="AF2332" s="7" t="n"/>
      <c r="AI2332" s="11" t="n"/>
      <c r="AK2332">
        <f>IF($D2332="","",IF(COUNTIF($D$2:$D2332,$D2332)=1,1,0))</f>
        <v/>
      </c>
      <c r="AL2332">
        <f>IF($AK2332=1,SUMPRODUCT(--($AO$2:$AO$3001&lt;$AO2332))+1,"")</f>
        <v/>
      </c>
      <c r="AM2332">
        <f>IF($D2332="","",IF(OR($R2332=TRUE(),$R2332="TRUE"),1,0))</f>
        <v/>
      </c>
      <c r="AN2332">
        <f>IF($D2332="","",IF($X2332="Yes",1,0))</f>
        <v/>
      </c>
      <c r="AO2332">
        <f>IF($AK2332=1,IFERROR(IF(VALUE($D2332)&lt;100000000,VALUE($D2332),1000000000),IFERROR(IF(VALUE(MID($D2332,2,20))&lt;100000000,VALUE(MID($D2332,2,20)),1000000000),1000000000))+ROW()/100000,"")</f>
        <v/>
      </c>
    </row>
    <row r="2333">
      <c r="F2333" s="11" t="n"/>
      <c r="N2333" s="7">
        <f>IF($D2333="","",M2333*V2333/100)</f>
        <v/>
      </c>
      <c r="O2333" s="7" t="n"/>
      <c r="U2333" s="7" t="n"/>
      <c r="V2333" s="7" t="n"/>
      <c r="Y2333">
        <f>IF($D2333="","",IF($AN2333=1,0,IF($AM2333=1,Settings!$C$6,Settings!$C$7))*100)</f>
        <v/>
      </c>
      <c r="Z2333" s="7">
        <f>IF($D2333="","",V2333*Y2333/100)</f>
        <v/>
      </c>
      <c r="AA2333" s="7">
        <f>IF($D2333="","",V2333-Z2333)</f>
        <v/>
      </c>
      <c r="AB2333" s="7">
        <f>IF($D2333="","",AA2333-N2333)</f>
        <v/>
      </c>
      <c r="AF2333" s="7" t="n"/>
      <c r="AI2333" s="11" t="n"/>
      <c r="AK2333">
        <f>IF($D2333="","",IF(COUNTIF($D$2:$D2333,$D2333)=1,1,0))</f>
        <v/>
      </c>
      <c r="AL2333">
        <f>IF($AK2333=1,SUMPRODUCT(--($AO$2:$AO$3001&lt;$AO2333))+1,"")</f>
        <v/>
      </c>
      <c r="AM2333">
        <f>IF($D2333="","",IF(OR($R2333=TRUE(),$R2333="TRUE"),1,0))</f>
        <v/>
      </c>
      <c r="AN2333">
        <f>IF($D2333="","",IF($X2333="Yes",1,0))</f>
        <v/>
      </c>
      <c r="AO2333">
        <f>IF($AK2333=1,IFERROR(IF(VALUE($D2333)&lt;100000000,VALUE($D2333),1000000000),IFERROR(IF(VALUE(MID($D2333,2,20))&lt;100000000,VALUE(MID($D2333,2,20)),1000000000),1000000000))+ROW()/100000,"")</f>
        <v/>
      </c>
    </row>
    <row r="2334">
      <c r="F2334" s="11" t="n"/>
      <c r="N2334" s="7">
        <f>IF($D2334="","",M2334*V2334/100)</f>
        <v/>
      </c>
      <c r="O2334" s="7" t="n"/>
      <c r="U2334" s="7" t="n"/>
      <c r="V2334" s="7" t="n"/>
      <c r="Y2334">
        <f>IF($D2334="","",IF($AN2334=1,0,IF($AM2334=1,Settings!$C$6,Settings!$C$7))*100)</f>
        <v/>
      </c>
      <c r="Z2334" s="7">
        <f>IF($D2334="","",V2334*Y2334/100)</f>
        <v/>
      </c>
      <c r="AA2334" s="7">
        <f>IF($D2334="","",V2334-Z2334)</f>
        <v/>
      </c>
      <c r="AB2334" s="7">
        <f>IF($D2334="","",AA2334-N2334)</f>
        <v/>
      </c>
      <c r="AF2334" s="7" t="n"/>
      <c r="AI2334" s="11" t="n"/>
      <c r="AK2334">
        <f>IF($D2334="","",IF(COUNTIF($D$2:$D2334,$D2334)=1,1,0))</f>
        <v/>
      </c>
      <c r="AL2334">
        <f>IF($AK2334=1,SUMPRODUCT(--($AO$2:$AO$3001&lt;$AO2334))+1,"")</f>
        <v/>
      </c>
      <c r="AM2334">
        <f>IF($D2334="","",IF(OR($R2334=TRUE(),$R2334="TRUE"),1,0))</f>
        <v/>
      </c>
      <c r="AN2334">
        <f>IF($D2334="","",IF($X2334="Yes",1,0))</f>
        <v/>
      </c>
      <c r="AO2334">
        <f>IF($AK2334=1,IFERROR(IF(VALUE($D2334)&lt;100000000,VALUE($D2334),1000000000),IFERROR(IF(VALUE(MID($D2334,2,20))&lt;100000000,VALUE(MID($D2334,2,20)),1000000000),1000000000))+ROW()/100000,"")</f>
        <v/>
      </c>
    </row>
    <row r="2335">
      <c r="F2335" s="11" t="n"/>
      <c r="N2335" s="7">
        <f>IF($D2335="","",M2335*V2335/100)</f>
        <v/>
      </c>
      <c r="O2335" s="7" t="n"/>
      <c r="U2335" s="7" t="n"/>
      <c r="V2335" s="7" t="n"/>
      <c r="Y2335">
        <f>IF($D2335="","",IF($AN2335=1,0,IF($AM2335=1,Settings!$C$6,Settings!$C$7))*100)</f>
        <v/>
      </c>
      <c r="Z2335" s="7">
        <f>IF($D2335="","",V2335*Y2335/100)</f>
        <v/>
      </c>
      <c r="AA2335" s="7">
        <f>IF($D2335="","",V2335-Z2335)</f>
        <v/>
      </c>
      <c r="AB2335" s="7">
        <f>IF($D2335="","",AA2335-N2335)</f>
        <v/>
      </c>
      <c r="AF2335" s="7" t="n"/>
      <c r="AI2335" s="11" t="n"/>
      <c r="AK2335">
        <f>IF($D2335="","",IF(COUNTIF($D$2:$D2335,$D2335)=1,1,0))</f>
        <v/>
      </c>
      <c r="AL2335">
        <f>IF($AK2335=1,SUMPRODUCT(--($AO$2:$AO$3001&lt;$AO2335))+1,"")</f>
        <v/>
      </c>
      <c r="AM2335">
        <f>IF($D2335="","",IF(OR($R2335=TRUE(),$R2335="TRUE"),1,0))</f>
        <v/>
      </c>
      <c r="AN2335">
        <f>IF($D2335="","",IF($X2335="Yes",1,0))</f>
        <v/>
      </c>
      <c r="AO2335">
        <f>IF($AK2335=1,IFERROR(IF(VALUE($D2335)&lt;100000000,VALUE($D2335),1000000000),IFERROR(IF(VALUE(MID($D2335,2,20))&lt;100000000,VALUE(MID($D2335,2,20)),1000000000),1000000000))+ROW()/100000,"")</f>
        <v/>
      </c>
    </row>
    <row r="2336">
      <c r="F2336" s="11" t="n"/>
      <c r="N2336" s="7">
        <f>IF($D2336="","",M2336*V2336/100)</f>
        <v/>
      </c>
      <c r="O2336" s="7" t="n"/>
      <c r="U2336" s="7" t="n"/>
      <c r="V2336" s="7" t="n"/>
      <c r="Y2336">
        <f>IF($D2336="","",IF($AN2336=1,0,IF($AM2336=1,Settings!$C$6,Settings!$C$7))*100)</f>
        <v/>
      </c>
      <c r="Z2336" s="7">
        <f>IF($D2336="","",V2336*Y2336/100)</f>
        <v/>
      </c>
      <c r="AA2336" s="7">
        <f>IF($D2336="","",V2336-Z2336)</f>
        <v/>
      </c>
      <c r="AB2336" s="7">
        <f>IF($D2336="","",AA2336-N2336)</f>
        <v/>
      </c>
      <c r="AF2336" s="7" t="n"/>
      <c r="AI2336" s="11" t="n"/>
      <c r="AK2336">
        <f>IF($D2336="","",IF(COUNTIF($D$2:$D2336,$D2336)=1,1,0))</f>
        <v/>
      </c>
      <c r="AL2336">
        <f>IF($AK2336=1,SUMPRODUCT(--($AO$2:$AO$3001&lt;$AO2336))+1,"")</f>
        <v/>
      </c>
      <c r="AM2336">
        <f>IF($D2336="","",IF(OR($R2336=TRUE(),$R2336="TRUE"),1,0))</f>
        <v/>
      </c>
      <c r="AN2336">
        <f>IF($D2336="","",IF($X2336="Yes",1,0))</f>
        <v/>
      </c>
      <c r="AO2336">
        <f>IF($AK2336=1,IFERROR(IF(VALUE($D2336)&lt;100000000,VALUE($D2336),1000000000),IFERROR(IF(VALUE(MID($D2336,2,20))&lt;100000000,VALUE(MID($D2336,2,20)),1000000000),1000000000))+ROW()/100000,"")</f>
        <v/>
      </c>
    </row>
    <row r="2337">
      <c r="F2337" s="11" t="n"/>
      <c r="N2337" s="7">
        <f>IF($D2337="","",M2337*V2337/100)</f>
        <v/>
      </c>
      <c r="O2337" s="7" t="n"/>
      <c r="U2337" s="7" t="n"/>
      <c r="V2337" s="7" t="n"/>
      <c r="Y2337">
        <f>IF($D2337="","",IF($AN2337=1,0,IF($AM2337=1,Settings!$C$6,Settings!$C$7))*100)</f>
        <v/>
      </c>
      <c r="Z2337" s="7">
        <f>IF($D2337="","",V2337*Y2337/100)</f>
        <v/>
      </c>
      <c r="AA2337" s="7">
        <f>IF($D2337="","",V2337-Z2337)</f>
        <v/>
      </c>
      <c r="AB2337" s="7">
        <f>IF($D2337="","",AA2337-N2337)</f>
        <v/>
      </c>
      <c r="AF2337" s="7" t="n"/>
      <c r="AI2337" s="11" t="n"/>
      <c r="AK2337">
        <f>IF($D2337="","",IF(COUNTIF($D$2:$D2337,$D2337)=1,1,0))</f>
        <v/>
      </c>
      <c r="AL2337">
        <f>IF($AK2337=1,SUMPRODUCT(--($AO$2:$AO$3001&lt;$AO2337))+1,"")</f>
        <v/>
      </c>
      <c r="AM2337">
        <f>IF($D2337="","",IF(OR($R2337=TRUE(),$R2337="TRUE"),1,0))</f>
        <v/>
      </c>
      <c r="AN2337">
        <f>IF($D2337="","",IF($X2337="Yes",1,0))</f>
        <v/>
      </c>
      <c r="AO2337">
        <f>IF($AK2337=1,IFERROR(IF(VALUE($D2337)&lt;100000000,VALUE($D2337),1000000000),IFERROR(IF(VALUE(MID($D2337,2,20))&lt;100000000,VALUE(MID($D2337,2,20)),1000000000),1000000000))+ROW()/100000,"")</f>
        <v/>
      </c>
    </row>
    <row r="2338">
      <c r="F2338" s="11" t="n"/>
      <c r="N2338" s="7">
        <f>IF($D2338="","",M2338*V2338/100)</f>
        <v/>
      </c>
      <c r="O2338" s="7" t="n"/>
      <c r="U2338" s="7" t="n"/>
      <c r="V2338" s="7" t="n"/>
      <c r="Y2338">
        <f>IF($D2338="","",IF($AN2338=1,0,IF($AM2338=1,Settings!$C$6,Settings!$C$7))*100)</f>
        <v/>
      </c>
      <c r="Z2338" s="7">
        <f>IF($D2338="","",V2338*Y2338/100)</f>
        <v/>
      </c>
      <c r="AA2338" s="7">
        <f>IF($D2338="","",V2338-Z2338)</f>
        <v/>
      </c>
      <c r="AB2338" s="7">
        <f>IF($D2338="","",AA2338-N2338)</f>
        <v/>
      </c>
      <c r="AF2338" s="7" t="n"/>
      <c r="AI2338" s="11" t="n"/>
      <c r="AK2338">
        <f>IF($D2338="","",IF(COUNTIF($D$2:$D2338,$D2338)=1,1,0))</f>
        <v/>
      </c>
      <c r="AL2338">
        <f>IF($AK2338=1,SUMPRODUCT(--($AO$2:$AO$3001&lt;$AO2338))+1,"")</f>
        <v/>
      </c>
      <c r="AM2338">
        <f>IF($D2338="","",IF(OR($R2338=TRUE(),$R2338="TRUE"),1,0))</f>
        <v/>
      </c>
      <c r="AN2338">
        <f>IF($D2338="","",IF($X2338="Yes",1,0))</f>
        <v/>
      </c>
      <c r="AO2338">
        <f>IF($AK2338=1,IFERROR(IF(VALUE($D2338)&lt;100000000,VALUE($D2338),1000000000),IFERROR(IF(VALUE(MID($D2338,2,20))&lt;100000000,VALUE(MID($D2338,2,20)),1000000000),1000000000))+ROW()/100000,"")</f>
        <v/>
      </c>
    </row>
    <row r="2339">
      <c r="F2339" s="11" t="n"/>
      <c r="N2339" s="7">
        <f>IF($D2339="","",M2339*V2339/100)</f>
        <v/>
      </c>
      <c r="O2339" s="7" t="n"/>
      <c r="U2339" s="7" t="n"/>
      <c r="V2339" s="7" t="n"/>
      <c r="Y2339">
        <f>IF($D2339="","",IF($AN2339=1,0,IF($AM2339=1,Settings!$C$6,Settings!$C$7))*100)</f>
        <v/>
      </c>
      <c r="Z2339" s="7">
        <f>IF($D2339="","",V2339*Y2339/100)</f>
        <v/>
      </c>
      <c r="AA2339" s="7">
        <f>IF($D2339="","",V2339-Z2339)</f>
        <v/>
      </c>
      <c r="AB2339" s="7">
        <f>IF($D2339="","",AA2339-N2339)</f>
        <v/>
      </c>
      <c r="AF2339" s="7" t="n"/>
      <c r="AI2339" s="11" t="n"/>
      <c r="AK2339">
        <f>IF($D2339="","",IF(COUNTIF($D$2:$D2339,$D2339)=1,1,0))</f>
        <v/>
      </c>
      <c r="AL2339">
        <f>IF($AK2339=1,SUMPRODUCT(--($AO$2:$AO$3001&lt;$AO2339))+1,"")</f>
        <v/>
      </c>
      <c r="AM2339">
        <f>IF($D2339="","",IF(OR($R2339=TRUE(),$R2339="TRUE"),1,0))</f>
        <v/>
      </c>
      <c r="AN2339">
        <f>IF($D2339="","",IF($X2339="Yes",1,0))</f>
        <v/>
      </c>
      <c r="AO2339">
        <f>IF($AK2339=1,IFERROR(IF(VALUE($D2339)&lt;100000000,VALUE($D2339),1000000000),IFERROR(IF(VALUE(MID($D2339,2,20))&lt;100000000,VALUE(MID($D2339,2,20)),1000000000),1000000000))+ROW()/100000,"")</f>
        <v/>
      </c>
    </row>
    <row r="2340">
      <c r="F2340" s="11" t="n"/>
      <c r="N2340" s="7">
        <f>IF($D2340="","",M2340*V2340/100)</f>
        <v/>
      </c>
      <c r="O2340" s="7" t="n"/>
      <c r="U2340" s="7" t="n"/>
      <c r="V2340" s="7" t="n"/>
      <c r="Y2340">
        <f>IF($D2340="","",IF($AN2340=1,0,IF($AM2340=1,Settings!$C$6,Settings!$C$7))*100)</f>
        <v/>
      </c>
      <c r="Z2340" s="7">
        <f>IF($D2340="","",V2340*Y2340/100)</f>
        <v/>
      </c>
      <c r="AA2340" s="7">
        <f>IF($D2340="","",V2340-Z2340)</f>
        <v/>
      </c>
      <c r="AB2340" s="7">
        <f>IF($D2340="","",AA2340-N2340)</f>
        <v/>
      </c>
      <c r="AF2340" s="7" t="n"/>
      <c r="AI2340" s="11" t="n"/>
      <c r="AK2340">
        <f>IF($D2340="","",IF(COUNTIF($D$2:$D2340,$D2340)=1,1,0))</f>
        <v/>
      </c>
      <c r="AL2340">
        <f>IF($AK2340=1,SUMPRODUCT(--($AO$2:$AO$3001&lt;$AO2340))+1,"")</f>
        <v/>
      </c>
      <c r="AM2340">
        <f>IF($D2340="","",IF(OR($R2340=TRUE(),$R2340="TRUE"),1,0))</f>
        <v/>
      </c>
      <c r="AN2340">
        <f>IF($D2340="","",IF($X2340="Yes",1,0))</f>
        <v/>
      </c>
      <c r="AO2340">
        <f>IF($AK2340=1,IFERROR(IF(VALUE($D2340)&lt;100000000,VALUE($D2340),1000000000),IFERROR(IF(VALUE(MID($D2340,2,20))&lt;100000000,VALUE(MID($D2340,2,20)),1000000000),1000000000))+ROW()/100000,"")</f>
        <v/>
      </c>
    </row>
    <row r="2341">
      <c r="F2341" s="11" t="n"/>
      <c r="N2341" s="7">
        <f>IF($D2341="","",M2341*V2341/100)</f>
        <v/>
      </c>
      <c r="O2341" s="7" t="n"/>
      <c r="U2341" s="7" t="n"/>
      <c r="V2341" s="7" t="n"/>
      <c r="Y2341">
        <f>IF($D2341="","",IF($AN2341=1,0,IF($AM2341=1,Settings!$C$6,Settings!$C$7))*100)</f>
        <v/>
      </c>
      <c r="Z2341" s="7">
        <f>IF($D2341="","",V2341*Y2341/100)</f>
        <v/>
      </c>
      <c r="AA2341" s="7">
        <f>IF($D2341="","",V2341-Z2341)</f>
        <v/>
      </c>
      <c r="AB2341" s="7">
        <f>IF($D2341="","",AA2341-N2341)</f>
        <v/>
      </c>
      <c r="AF2341" s="7" t="n"/>
      <c r="AI2341" s="11" t="n"/>
      <c r="AK2341">
        <f>IF($D2341="","",IF(COUNTIF($D$2:$D2341,$D2341)=1,1,0))</f>
        <v/>
      </c>
      <c r="AL2341">
        <f>IF($AK2341=1,SUMPRODUCT(--($AO$2:$AO$3001&lt;$AO2341))+1,"")</f>
        <v/>
      </c>
      <c r="AM2341">
        <f>IF($D2341="","",IF(OR($R2341=TRUE(),$R2341="TRUE"),1,0))</f>
        <v/>
      </c>
      <c r="AN2341">
        <f>IF($D2341="","",IF($X2341="Yes",1,0))</f>
        <v/>
      </c>
      <c r="AO2341">
        <f>IF($AK2341=1,IFERROR(IF(VALUE($D2341)&lt;100000000,VALUE($D2341),1000000000),IFERROR(IF(VALUE(MID($D2341,2,20))&lt;100000000,VALUE(MID($D2341,2,20)),1000000000),1000000000))+ROW()/100000,"")</f>
        <v/>
      </c>
    </row>
    <row r="2342">
      <c r="F2342" s="11" t="n"/>
      <c r="N2342" s="7">
        <f>IF($D2342="","",M2342*V2342/100)</f>
        <v/>
      </c>
      <c r="O2342" s="7" t="n"/>
      <c r="U2342" s="7" t="n"/>
      <c r="V2342" s="7" t="n"/>
      <c r="Y2342">
        <f>IF($D2342="","",IF($AN2342=1,0,IF($AM2342=1,Settings!$C$6,Settings!$C$7))*100)</f>
        <v/>
      </c>
      <c r="Z2342" s="7">
        <f>IF($D2342="","",V2342*Y2342/100)</f>
        <v/>
      </c>
      <c r="AA2342" s="7">
        <f>IF($D2342="","",V2342-Z2342)</f>
        <v/>
      </c>
      <c r="AB2342" s="7">
        <f>IF($D2342="","",AA2342-N2342)</f>
        <v/>
      </c>
      <c r="AF2342" s="7" t="n"/>
      <c r="AI2342" s="11" t="n"/>
      <c r="AK2342">
        <f>IF($D2342="","",IF(COUNTIF($D$2:$D2342,$D2342)=1,1,0))</f>
        <v/>
      </c>
      <c r="AL2342">
        <f>IF($AK2342=1,SUMPRODUCT(--($AO$2:$AO$3001&lt;$AO2342))+1,"")</f>
        <v/>
      </c>
      <c r="AM2342">
        <f>IF($D2342="","",IF(OR($R2342=TRUE(),$R2342="TRUE"),1,0))</f>
        <v/>
      </c>
      <c r="AN2342">
        <f>IF($D2342="","",IF($X2342="Yes",1,0))</f>
        <v/>
      </c>
      <c r="AO2342">
        <f>IF($AK2342=1,IFERROR(IF(VALUE($D2342)&lt;100000000,VALUE($D2342),1000000000),IFERROR(IF(VALUE(MID($D2342,2,20))&lt;100000000,VALUE(MID($D2342,2,20)),1000000000),1000000000))+ROW()/100000,"")</f>
        <v/>
      </c>
    </row>
    <row r="2343">
      <c r="F2343" s="11" t="n"/>
      <c r="N2343" s="7">
        <f>IF($D2343="","",M2343*V2343/100)</f>
        <v/>
      </c>
      <c r="O2343" s="7" t="n"/>
      <c r="U2343" s="7" t="n"/>
      <c r="V2343" s="7" t="n"/>
      <c r="Y2343">
        <f>IF($D2343="","",IF($AN2343=1,0,IF($AM2343=1,Settings!$C$6,Settings!$C$7))*100)</f>
        <v/>
      </c>
      <c r="Z2343" s="7">
        <f>IF($D2343="","",V2343*Y2343/100)</f>
        <v/>
      </c>
      <c r="AA2343" s="7">
        <f>IF($D2343="","",V2343-Z2343)</f>
        <v/>
      </c>
      <c r="AB2343" s="7">
        <f>IF($D2343="","",AA2343-N2343)</f>
        <v/>
      </c>
      <c r="AF2343" s="7" t="n"/>
      <c r="AI2343" s="11" t="n"/>
      <c r="AK2343">
        <f>IF($D2343="","",IF(COUNTIF($D$2:$D2343,$D2343)=1,1,0))</f>
        <v/>
      </c>
      <c r="AL2343">
        <f>IF($AK2343=1,SUMPRODUCT(--($AO$2:$AO$3001&lt;$AO2343))+1,"")</f>
        <v/>
      </c>
      <c r="AM2343">
        <f>IF($D2343="","",IF(OR($R2343=TRUE(),$R2343="TRUE"),1,0))</f>
        <v/>
      </c>
      <c r="AN2343">
        <f>IF($D2343="","",IF($X2343="Yes",1,0))</f>
        <v/>
      </c>
      <c r="AO2343">
        <f>IF($AK2343=1,IFERROR(IF(VALUE($D2343)&lt;100000000,VALUE($D2343),1000000000),IFERROR(IF(VALUE(MID($D2343,2,20))&lt;100000000,VALUE(MID($D2343,2,20)),1000000000),1000000000))+ROW()/100000,"")</f>
        <v/>
      </c>
    </row>
    <row r="2344">
      <c r="F2344" s="11" t="n"/>
      <c r="N2344" s="7">
        <f>IF($D2344="","",M2344*V2344/100)</f>
        <v/>
      </c>
      <c r="O2344" s="7" t="n"/>
      <c r="U2344" s="7" t="n"/>
      <c r="V2344" s="7" t="n"/>
      <c r="Y2344">
        <f>IF($D2344="","",IF($AN2344=1,0,IF($AM2344=1,Settings!$C$6,Settings!$C$7))*100)</f>
        <v/>
      </c>
      <c r="Z2344" s="7">
        <f>IF($D2344="","",V2344*Y2344/100)</f>
        <v/>
      </c>
      <c r="AA2344" s="7">
        <f>IF($D2344="","",V2344-Z2344)</f>
        <v/>
      </c>
      <c r="AB2344" s="7">
        <f>IF($D2344="","",AA2344-N2344)</f>
        <v/>
      </c>
      <c r="AF2344" s="7" t="n"/>
      <c r="AI2344" s="11" t="n"/>
      <c r="AK2344">
        <f>IF($D2344="","",IF(COUNTIF($D$2:$D2344,$D2344)=1,1,0))</f>
        <v/>
      </c>
      <c r="AL2344">
        <f>IF($AK2344=1,SUMPRODUCT(--($AO$2:$AO$3001&lt;$AO2344))+1,"")</f>
        <v/>
      </c>
      <c r="AM2344">
        <f>IF($D2344="","",IF(OR($R2344=TRUE(),$R2344="TRUE"),1,0))</f>
        <v/>
      </c>
      <c r="AN2344">
        <f>IF($D2344="","",IF($X2344="Yes",1,0))</f>
        <v/>
      </c>
      <c r="AO2344">
        <f>IF($AK2344=1,IFERROR(IF(VALUE($D2344)&lt;100000000,VALUE($D2344),1000000000),IFERROR(IF(VALUE(MID($D2344,2,20))&lt;100000000,VALUE(MID($D2344,2,20)),1000000000),1000000000))+ROW()/100000,"")</f>
        <v/>
      </c>
    </row>
    <row r="2345">
      <c r="F2345" s="11" t="n"/>
      <c r="N2345" s="7">
        <f>IF($D2345="","",M2345*V2345/100)</f>
        <v/>
      </c>
      <c r="O2345" s="7" t="n"/>
      <c r="U2345" s="7" t="n"/>
      <c r="V2345" s="7" t="n"/>
      <c r="Y2345">
        <f>IF($D2345="","",IF($AN2345=1,0,IF($AM2345=1,Settings!$C$6,Settings!$C$7))*100)</f>
        <v/>
      </c>
      <c r="Z2345" s="7">
        <f>IF($D2345="","",V2345*Y2345/100)</f>
        <v/>
      </c>
      <c r="AA2345" s="7">
        <f>IF($D2345="","",V2345-Z2345)</f>
        <v/>
      </c>
      <c r="AB2345" s="7">
        <f>IF($D2345="","",AA2345-N2345)</f>
        <v/>
      </c>
      <c r="AF2345" s="7" t="n"/>
      <c r="AI2345" s="11" t="n"/>
      <c r="AK2345">
        <f>IF($D2345="","",IF(COUNTIF($D$2:$D2345,$D2345)=1,1,0))</f>
        <v/>
      </c>
      <c r="AL2345">
        <f>IF($AK2345=1,SUMPRODUCT(--($AO$2:$AO$3001&lt;$AO2345))+1,"")</f>
        <v/>
      </c>
      <c r="AM2345">
        <f>IF($D2345="","",IF(OR($R2345=TRUE(),$R2345="TRUE"),1,0))</f>
        <v/>
      </c>
      <c r="AN2345">
        <f>IF($D2345="","",IF($X2345="Yes",1,0))</f>
        <v/>
      </c>
      <c r="AO2345">
        <f>IF($AK2345=1,IFERROR(IF(VALUE($D2345)&lt;100000000,VALUE($D2345),1000000000),IFERROR(IF(VALUE(MID($D2345,2,20))&lt;100000000,VALUE(MID($D2345,2,20)),1000000000),1000000000))+ROW()/100000,"")</f>
        <v/>
      </c>
    </row>
    <row r="2346">
      <c r="F2346" s="11" t="n"/>
      <c r="N2346" s="7">
        <f>IF($D2346="","",M2346*V2346/100)</f>
        <v/>
      </c>
      <c r="O2346" s="7" t="n"/>
      <c r="U2346" s="7" t="n"/>
      <c r="V2346" s="7" t="n"/>
      <c r="Y2346">
        <f>IF($D2346="","",IF($AN2346=1,0,IF($AM2346=1,Settings!$C$6,Settings!$C$7))*100)</f>
        <v/>
      </c>
      <c r="Z2346" s="7">
        <f>IF($D2346="","",V2346*Y2346/100)</f>
        <v/>
      </c>
      <c r="AA2346" s="7">
        <f>IF($D2346="","",V2346-Z2346)</f>
        <v/>
      </c>
      <c r="AB2346" s="7">
        <f>IF($D2346="","",AA2346-N2346)</f>
        <v/>
      </c>
      <c r="AF2346" s="7" t="n"/>
      <c r="AI2346" s="11" t="n"/>
      <c r="AK2346">
        <f>IF($D2346="","",IF(COUNTIF($D$2:$D2346,$D2346)=1,1,0))</f>
        <v/>
      </c>
      <c r="AL2346">
        <f>IF($AK2346=1,SUMPRODUCT(--($AO$2:$AO$3001&lt;$AO2346))+1,"")</f>
        <v/>
      </c>
      <c r="AM2346">
        <f>IF($D2346="","",IF(OR($R2346=TRUE(),$R2346="TRUE"),1,0))</f>
        <v/>
      </c>
      <c r="AN2346">
        <f>IF($D2346="","",IF($X2346="Yes",1,0))</f>
        <v/>
      </c>
      <c r="AO2346">
        <f>IF($AK2346=1,IFERROR(IF(VALUE($D2346)&lt;100000000,VALUE($D2346),1000000000),IFERROR(IF(VALUE(MID($D2346,2,20))&lt;100000000,VALUE(MID($D2346,2,20)),1000000000),1000000000))+ROW()/100000,"")</f>
        <v/>
      </c>
    </row>
    <row r="2347">
      <c r="F2347" s="11" t="n"/>
      <c r="N2347" s="7">
        <f>IF($D2347="","",M2347*V2347/100)</f>
        <v/>
      </c>
      <c r="O2347" s="7" t="n"/>
      <c r="U2347" s="7" t="n"/>
      <c r="V2347" s="7" t="n"/>
      <c r="Y2347">
        <f>IF($D2347="","",IF($AN2347=1,0,IF($AM2347=1,Settings!$C$6,Settings!$C$7))*100)</f>
        <v/>
      </c>
      <c r="Z2347" s="7">
        <f>IF($D2347="","",V2347*Y2347/100)</f>
        <v/>
      </c>
      <c r="AA2347" s="7">
        <f>IF($D2347="","",V2347-Z2347)</f>
        <v/>
      </c>
      <c r="AB2347" s="7">
        <f>IF($D2347="","",AA2347-N2347)</f>
        <v/>
      </c>
      <c r="AF2347" s="7" t="n"/>
      <c r="AI2347" s="11" t="n"/>
      <c r="AK2347">
        <f>IF($D2347="","",IF(COUNTIF($D$2:$D2347,$D2347)=1,1,0))</f>
        <v/>
      </c>
      <c r="AL2347">
        <f>IF($AK2347=1,SUMPRODUCT(--($AO$2:$AO$3001&lt;$AO2347))+1,"")</f>
        <v/>
      </c>
      <c r="AM2347">
        <f>IF($D2347="","",IF(OR($R2347=TRUE(),$R2347="TRUE"),1,0))</f>
        <v/>
      </c>
      <c r="AN2347">
        <f>IF($D2347="","",IF($X2347="Yes",1,0))</f>
        <v/>
      </c>
      <c r="AO2347">
        <f>IF($AK2347=1,IFERROR(IF(VALUE($D2347)&lt;100000000,VALUE($D2347),1000000000),IFERROR(IF(VALUE(MID($D2347,2,20))&lt;100000000,VALUE(MID($D2347,2,20)),1000000000),1000000000))+ROW()/100000,"")</f>
        <v/>
      </c>
    </row>
    <row r="2348">
      <c r="F2348" s="11" t="n"/>
      <c r="N2348" s="7">
        <f>IF($D2348="","",M2348*V2348/100)</f>
        <v/>
      </c>
      <c r="O2348" s="7" t="n"/>
      <c r="U2348" s="7" t="n"/>
      <c r="V2348" s="7" t="n"/>
      <c r="Y2348">
        <f>IF($D2348="","",IF($AN2348=1,0,IF($AM2348=1,Settings!$C$6,Settings!$C$7))*100)</f>
        <v/>
      </c>
      <c r="Z2348" s="7">
        <f>IF($D2348="","",V2348*Y2348/100)</f>
        <v/>
      </c>
      <c r="AA2348" s="7">
        <f>IF($D2348="","",V2348-Z2348)</f>
        <v/>
      </c>
      <c r="AB2348" s="7">
        <f>IF($D2348="","",AA2348-N2348)</f>
        <v/>
      </c>
      <c r="AF2348" s="7" t="n"/>
      <c r="AI2348" s="11" t="n"/>
      <c r="AK2348">
        <f>IF($D2348="","",IF(COUNTIF($D$2:$D2348,$D2348)=1,1,0))</f>
        <v/>
      </c>
      <c r="AL2348">
        <f>IF($AK2348=1,SUMPRODUCT(--($AO$2:$AO$3001&lt;$AO2348))+1,"")</f>
        <v/>
      </c>
      <c r="AM2348">
        <f>IF($D2348="","",IF(OR($R2348=TRUE(),$R2348="TRUE"),1,0))</f>
        <v/>
      </c>
      <c r="AN2348">
        <f>IF($D2348="","",IF($X2348="Yes",1,0))</f>
        <v/>
      </c>
      <c r="AO2348">
        <f>IF($AK2348=1,IFERROR(IF(VALUE($D2348)&lt;100000000,VALUE($D2348),1000000000),IFERROR(IF(VALUE(MID($D2348,2,20))&lt;100000000,VALUE(MID($D2348,2,20)),1000000000),1000000000))+ROW()/100000,"")</f>
        <v/>
      </c>
    </row>
    <row r="2349">
      <c r="F2349" s="11" t="n"/>
      <c r="N2349" s="7">
        <f>IF($D2349="","",M2349*V2349/100)</f>
        <v/>
      </c>
      <c r="O2349" s="7" t="n"/>
      <c r="U2349" s="7" t="n"/>
      <c r="V2349" s="7" t="n"/>
      <c r="Y2349">
        <f>IF($D2349="","",IF($AN2349=1,0,IF($AM2349=1,Settings!$C$6,Settings!$C$7))*100)</f>
        <v/>
      </c>
      <c r="Z2349" s="7">
        <f>IF($D2349="","",V2349*Y2349/100)</f>
        <v/>
      </c>
      <c r="AA2349" s="7">
        <f>IF($D2349="","",V2349-Z2349)</f>
        <v/>
      </c>
      <c r="AB2349" s="7">
        <f>IF($D2349="","",AA2349-N2349)</f>
        <v/>
      </c>
      <c r="AF2349" s="7" t="n"/>
      <c r="AI2349" s="11" t="n"/>
      <c r="AK2349">
        <f>IF($D2349="","",IF(COUNTIF($D$2:$D2349,$D2349)=1,1,0))</f>
        <v/>
      </c>
      <c r="AL2349">
        <f>IF($AK2349=1,SUMPRODUCT(--($AO$2:$AO$3001&lt;$AO2349))+1,"")</f>
        <v/>
      </c>
      <c r="AM2349">
        <f>IF($D2349="","",IF(OR($R2349=TRUE(),$R2349="TRUE"),1,0))</f>
        <v/>
      </c>
      <c r="AN2349">
        <f>IF($D2349="","",IF($X2349="Yes",1,0))</f>
        <v/>
      </c>
      <c r="AO2349">
        <f>IF($AK2349=1,IFERROR(IF(VALUE($D2349)&lt;100000000,VALUE($D2349),1000000000),IFERROR(IF(VALUE(MID($D2349,2,20))&lt;100000000,VALUE(MID($D2349,2,20)),1000000000),1000000000))+ROW()/100000,"")</f>
        <v/>
      </c>
    </row>
    <row r="2350">
      <c r="F2350" s="11" t="n"/>
      <c r="N2350" s="7">
        <f>IF($D2350="","",M2350*V2350/100)</f>
        <v/>
      </c>
      <c r="O2350" s="7" t="n"/>
      <c r="U2350" s="7" t="n"/>
      <c r="V2350" s="7" t="n"/>
      <c r="Y2350">
        <f>IF($D2350="","",IF($AN2350=1,0,IF($AM2350=1,Settings!$C$6,Settings!$C$7))*100)</f>
        <v/>
      </c>
      <c r="Z2350" s="7">
        <f>IF($D2350="","",V2350*Y2350/100)</f>
        <v/>
      </c>
      <c r="AA2350" s="7">
        <f>IF($D2350="","",V2350-Z2350)</f>
        <v/>
      </c>
      <c r="AB2350" s="7">
        <f>IF($D2350="","",AA2350-N2350)</f>
        <v/>
      </c>
      <c r="AF2350" s="7" t="n"/>
      <c r="AI2350" s="11" t="n"/>
      <c r="AK2350">
        <f>IF($D2350="","",IF(COUNTIF($D$2:$D2350,$D2350)=1,1,0))</f>
        <v/>
      </c>
      <c r="AL2350">
        <f>IF($AK2350=1,SUMPRODUCT(--($AO$2:$AO$3001&lt;$AO2350))+1,"")</f>
        <v/>
      </c>
      <c r="AM2350">
        <f>IF($D2350="","",IF(OR($R2350=TRUE(),$R2350="TRUE"),1,0))</f>
        <v/>
      </c>
      <c r="AN2350">
        <f>IF($D2350="","",IF($X2350="Yes",1,0))</f>
        <v/>
      </c>
      <c r="AO2350">
        <f>IF($AK2350=1,IFERROR(IF(VALUE($D2350)&lt;100000000,VALUE($D2350),1000000000),IFERROR(IF(VALUE(MID($D2350,2,20))&lt;100000000,VALUE(MID($D2350,2,20)),1000000000),1000000000))+ROW()/100000,"")</f>
        <v/>
      </c>
    </row>
    <row r="2351">
      <c r="F2351" s="11" t="n"/>
      <c r="N2351" s="7">
        <f>IF($D2351="","",M2351*V2351/100)</f>
        <v/>
      </c>
      <c r="O2351" s="7" t="n"/>
      <c r="U2351" s="7" t="n"/>
      <c r="V2351" s="7" t="n"/>
      <c r="Y2351">
        <f>IF($D2351="","",IF($AN2351=1,0,IF($AM2351=1,Settings!$C$6,Settings!$C$7))*100)</f>
        <v/>
      </c>
      <c r="Z2351" s="7">
        <f>IF($D2351="","",V2351*Y2351/100)</f>
        <v/>
      </c>
      <c r="AA2351" s="7">
        <f>IF($D2351="","",V2351-Z2351)</f>
        <v/>
      </c>
      <c r="AB2351" s="7">
        <f>IF($D2351="","",AA2351-N2351)</f>
        <v/>
      </c>
      <c r="AF2351" s="7" t="n"/>
      <c r="AI2351" s="11" t="n"/>
      <c r="AK2351">
        <f>IF($D2351="","",IF(COUNTIF($D$2:$D2351,$D2351)=1,1,0))</f>
        <v/>
      </c>
      <c r="AL2351">
        <f>IF($AK2351=1,SUMPRODUCT(--($AO$2:$AO$3001&lt;$AO2351))+1,"")</f>
        <v/>
      </c>
      <c r="AM2351">
        <f>IF($D2351="","",IF(OR($R2351=TRUE(),$R2351="TRUE"),1,0))</f>
        <v/>
      </c>
      <c r="AN2351">
        <f>IF($D2351="","",IF($X2351="Yes",1,0))</f>
        <v/>
      </c>
      <c r="AO2351">
        <f>IF($AK2351=1,IFERROR(IF(VALUE($D2351)&lt;100000000,VALUE($D2351),1000000000),IFERROR(IF(VALUE(MID($D2351,2,20))&lt;100000000,VALUE(MID($D2351,2,20)),1000000000),1000000000))+ROW()/100000,"")</f>
        <v/>
      </c>
    </row>
    <row r="2352">
      <c r="F2352" s="11" t="n"/>
      <c r="N2352" s="7">
        <f>IF($D2352="","",M2352*V2352/100)</f>
        <v/>
      </c>
      <c r="O2352" s="7" t="n"/>
      <c r="U2352" s="7" t="n"/>
      <c r="V2352" s="7" t="n"/>
      <c r="Y2352">
        <f>IF($D2352="","",IF($AN2352=1,0,IF($AM2352=1,Settings!$C$6,Settings!$C$7))*100)</f>
        <v/>
      </c>
      <c r="Z2352" s="7">
        <f>IF($D2352="","",V2352*Y2352/100)</f>
        <v/>
      </c>
      <c r="AA2352" s="7">
        <f>IF($D2352="","",V2352-Z2352)</f>
        <v/>
      </c>
      <c r="AB2352" s="7">
        <f>IF($D2352="","",AA2352-N2352)</f>
        <v/>
      </c>
      <c r="AF2352" s="7" t="n"/>
      <c r="AI2352" s="11" t="n"/>
      <c r="AK2352">
        <f>IF($D2352="","",IF(COUNTIF($D$2:$D2352,$D2352)=1,1,0))</f>
        <v/>
      </c>
      <c r="AL2352">
        <f>IF($AK2352=1,SUMPRODUCT(--($AO$2:$AO$3001&lt;$AO2352))+1,"")</f>
        <v/>
      </c>
      <c r="AM2352">
        <f>IF($D2352="","",IF(OR($R2352=TRUE(),$R2352="TRUE"),1,0))</f>
        <v/>
      </c>
      <c r="AN2352">
        <f>IF($D2352="","",IF($X2352="Yes",1,0))</f>
        <v/>
      </c>
      <c r="AO2352">
        <f>IF($AK2352=1,IFERROR(IF(VALUE($D2352)&lt;100000000,VALUE($D2352),1000000000),IFERROR(IF(VALUE(MID($D2352,2,20))&lt;100000000,VALUE(MID($D2352,2,20)),1000000000),1000000000))+ROW()/100000,"")</f>
        <v/>
      </c>
    </row>
    <row r="2353">
      <c r="F2353" s="11" t="n"/>
      <c r="N2353" s="7">
        <f>IF($D2353="","",M2353*V2353/100)</f>
        <v/>
      </c>
      <c r="O2353" s="7" t="n"/>
      <c r="U2353" s="7" t="n"/>
      <c r="V2353" s="7" t="n"/>
      <c r="Y2353">
        <f>IF($D2353="","",IF($AN2353=1,0,IF($AM2353=1,Settings!$C$6,Settings!$C$7))*100)</f>
        <v/>
      </c>
      <c r="Z2353" s="7">
        <f>IF($D2353="","",V2353*Y2353/100)</f>
        <v/>
      </c>
      <c r="AA2353" s="7">
        <f>IF($D2353="","",V2353-Z2353)</f>
        <v/>
      </c>
      <c r="AB2353" s="7">
        <f>IF($D2353="","",AA2353-N2353)</f>
        <v/>
      </c>
      <c r="AF2353" s="7" t="n"/>
      <c r="AI2353" s="11" t="n"/>
      <c r="AK2353">
        <f>IF($D2353="","",IF(COUNTIF($D$2:$D2353,$D2353)=1,1,0))</f>
        <v/>
      </c>
      <c r="AL2353">
        <f>IF($AK2353=1,SUMPRODUCT(--($AO$2:$AO$3001&lt;$AO2353))+1,"")</f>
        <v/>
      </c>
      <c r="AM2353">
        <f>IF($D2353="","",IF(OR($R2353=TRUE(),$R2353="TRUE"),1,0))</f>
        <v/>
      </c>
      <c r="AN2353">
        <f>IF($D2353="","",IF($X2353="Yes",1,0))</f>
        <v/>
      </c>
      <c r="AO2353">
        <f>IF($AK2353=1,IFERROR(IF(VALUE($D2353)&lt;100000000,VALUE($D2353),1000000000),IFERROR(IF(VALUE(MID($D2353,2,20))&lt;100000000,VALUE(MID($D2353,2,20)),1000000000),1000000000))+ROW()/100000,"")</f>
        <v/>
      </c>
    </row>
    <row r="2354">
      <c r="F2354" s="11" t="n"/>
      <c r="N2354" s="7">
        <f>IF($D2354="","",M2354*V2354/100)</f>
        <v/>
      </c>
      <c r="O2354" s="7" t="n"/>
      <c r="U2354" s="7" t="n"/>
      <c r="V2354" s="7" t="n"/>
      <c r="Y2354">
        <f>IF($D2354="","",IF($AN2354=1,0,IF($AM2354=1,Settings!$C$6,Settings!$C$7))*100)</f>
        <v/>
      </c>
      <c r="Z2354" s="7">
        <f>IF($D2354="","",V2354*Y2354/100)</f>
        <v/>
      </c>
      <c r="AA2354" s="7">
        <f>IF($D2354="","",V2354-Z2354)</f>
        <v/>
      </c>
      <c r="AB2354" s="7">
        <f>IF($D2354="","",AA2354-N2354)</f>
        <v/>
      </c>
      <c r="AF2354" s="7" t="n"/>
      <c r="AI2354" s="11" t="n"/>
      <c r="AK2354">
        <f>IF($D2354="","",IF(COUNTIF($D$2:$D2354,$D2354)=1,1,0))</f>
        <v/>
      </c>
      <c r="AL2354">
        <f>IF($AK2354=1,SUMPRODUCT(--($AO$2:$AO$3001&lt;$AO2354))+1,"")</f>
        <v/>
      </c>
      <c r="AM2354">
        <f>IF($D2354="","",IF(OR($R2354=TRUE(),$R2354="TRUE"),1,0))</f>
        <v/>
      </c>
      <c r="AN2354">
        <f>IF($D2354="","",IF($X2354="Yes",1,0))</f>
        <v/>
      </c>
      <c r="AO2354">
        <f>IF($AK2354=1,IFERROR(IF(VALUE($D2354)&lt;100000000,VALUE($D2354),1000000000),IFERROR(IF(VALUE(MID($D2354,2,20))&lt;100000000,VALUE(MID($D2354,2,20)),1000000000),1000000000))+ROW()/100000,"")</f>
        <v/>
      </c>
    </row>
    <row r="2355">
      <c r="F2355" s="11" t="n"/>
      <c r="N2355" s="7">
        <f>IF($D2355="","",M2355*V2355/100)</f>
        <v/>
      </c>
      <c r="O2355" s="7" t="n"/>
      <c r="U2355" s="7" t="n"/>
      <c r="V2355" s="7" t="n"/>
      <c r="Y2355">
        <f>IF($D2355="","",IF($AN2355=1,0,IF($AM2355=1,Settings!$C$6,Settings!$C$7))*100)</f>
        <v/>
      </c>
      <c r="Z2355" s="7">
        <f>IF($D2355="","",V2355*Y2355/100)</f>
        <v/>
      </c>
      <c r="AA2355" s="7">
        <f>IF($D2355="","",V2355-Z2355)</f>
        <v/>
      </c>
      <c r="AB2355" s="7">
        <f>IF($D2355="","",AA2355-N2355)</f>
        <v/>
      </c>
      <c r="AF2355" s="7" t="n"/>
      <c r="AI2355" s="11" t="n"/>
      <c r="AK2355">
        <f>IF($D2355="","",IF(COUNTIF($D$2:$D2355,$D2355)=1,1,0))</f>
        <v/>
      </c>
      <c r="AL2355">
        <f>IF($AK2355=1,SUMPRODUCT(--($AO$2:$AO$3001&lt;$AO2355))+1,"")</f>
        <v/>
      </c>
      <c r="AM2355">
        <f>IF($D2355="","",IF(OR($R2355=TRUE(),$R2355="TRUE"),1,0))</f>
        <v/>
      </c>
      <c r="AN2355">
        <f>IF($D2355="","",IF($X2355="Yes",1,0))</f>
        <v/>
      </c>
      <c r="AO2355">
        <f>IF($AK2355=1,IFERROR(IF(VALUE($D2355)&lt;100000000,VALUE($D2355),1000000000),IFERROR(IF(VALUE(MID($D2355,2,20))&lt;100000000,VALUE(MID($D2355,2,20)),1000000000),1000000000))+ROW()/100000,"")</f>
        <v/>
      </c>
    </row>
    <row r="2356">
      <c r="F2356" s="11" t="n"/>
      <c r="N2356" s="7">
        <f>IF($D2356="","",M2356*V2356/100)</f>
        <v/>
      </c>
      <c r="O2356" s="7" t="n"/>
      <c r="U2356" s="7" t="n"/>
      <c r="V2356" s="7" t="n"/>
      <c r="Y2356">
        <f>IF($D2356="","",IF($AN2356=1,0,IF($AM2356=1,Settings!$C$6,Settings!$C$7))*100)</f>
        <v/>
      </c>
      <c r="Z2356" s="7">
        <f>IF($D2356="","",V2356*Y2356/100)</f>
        <v/>
      </c>
      <c r="AA2356" s="7">
        <f>IF($D2356="","",V2356-Z2356)</f>
        <v/>
      </c>
      <c r="AB2356" s="7">
        <f>IF($D2356="","",AA2356-N2356)</f>
        <v/>
      </c>
      <c r="AF2356" s="7" t="n"/>
      <c r="AI2356" s="11" t="n"/>
      <c r="AK2356">
        <f>IF($D2356="","",IF(COUNTIF($D$2:$D2356,$D2356)=1,1,0))</f>
        <v/>
      </c>
      <c r="AL2356">
        <f>IF($AK2356=1,SUMPRODUCT(--($AO$2:$AO$3001&lt;$AO2356))+1,"")</f>
        <v/>
      </c>
      <c r="AM2356">
        <f>IF($D2356="","",IF(OR($R2356=TRUE(),$R2356="TRUE"),1,0))</f>
        <v/>
      </c>
      <c r="AN2356">
        <f>IF($D2356="","",IF($X2356="Yes",1,0))</f>
        <v/>
      </c>
      <c r="AO2356">
        <f>IF($AK2356=1,IFERROR(IF(VALUE($D2356)&lt;100000000,VALUE($D2356),1000000000),IFERROR(IF(VALUE(MID($D2356,2,20))&lt;100000000,VALUE(MID($D2356,2,20)),1000000000),1000000000))+ROW()/100000,"")</f>
        <v/>
      </c>
    </row>
    <row r="2357">
      <c r="F2357" s="11" t="n"/>
      <c r="N2357" s="7">
        <f>IF($D2357="","",M2357*V2357/100)</f>
        <v/>
      </c>
      <c r="O2357" s="7" t="n"/>
      <c r="U2357" s="7" t="n"/>
      <c r="V2357" s="7" t="n"/>
      <c r="Y2357">
        <f>IF($D2357="","",IF($AN2357=1,0,IF($AM2357=1,Settings!$C$6,Settings!$C$7))*100)</f>
        <v/>
      </c>
      <c r="Z2357" s="7">
        <f>IF($D2357="","",V2357*Y2357/100)</f>
        <v/>
      </c>
      <c r="AA2357" s="7">
        <f>IF($D2357="","",V2357-Z2357)</f>
        <v/>
      </c>
      <c r="AB2357" s="7">
        <f>IF($D2357="","",AA2357-N2357)</f>
        <v/>
      </c>
      <c r="AF2357" s="7" t="n"/>
      <c r="AI2357" s="11" t="n"/>
      <c r="AK2357">
        <f>IF($D2357="","",IF(COUNTIF($D$2:$D2357,$D2357)=1,1,0))</f>
        <v/>
      </c>
      <c r="AL2357">
        <f>IF($AK2357=1,SUMPRODUCT(--($AO$2:$AO$3001&lt;$AO2357))+1,"")</f>
        <v/>
      </c>
      <c r="AM2357">
        <f>IF($D2357="","",IF(OR($R2357=TRUE(),$R2357="TRUE"),1,0))</f>
        <v/>
      </c>
      <c r="AN2357">
        <f>IF($D2357="","",IF($X2357="Yes",1,0))</f>
        <v/>
      </c>
      <c r="AO2357">
        <f>IF($AK2357=1,IFERROR(IF(VALUE($D2357)&lt;100000000,VALUE($D2357),1000000000),IFERROR(IF(VALUE(MID($D2357,2,20))&lt;100000000,VALUE(MID($D2357,2,20)),1000000000),1000000000))+ROW()/100000,"")</f>
        <v/>
      </c>
    </row>
    <row r="2358">
      <c r="F2358" s="11" t="n"/>
      <c r="N2358" s="7">
        <f>IF($D2358="","",M2358*V2358/100)</f>
        <v/>
      </c>
      <c r="O2358" s="7" t="n"/>
      <c r="U2358" s="7" t="n"/>
      <c r="V2358" s="7" t="n"/>
      <c r="Y2358">
        <f>IF($D2358="","",IF($AN2358=1,0,IF($AM2358=1,Settings!$C$6,Settings!$C$7))*100)</f>
        <v/>
      </c>
      <c r="Z2358" s="7">
        <f>IF($D2358="","",V2358*Y2358/100)</f>
        <v/>
      </c>
      <c r="AA2358" s="7">
        <f>IF($D2358="","",V2358-Z2358)</f>
        <v/>
      </c>
      <c r="AB2358" s="7">
        <f>IF($D2358="","",AA2358-N2358)</f>
        <v/>
      </c>
      <c r="AF2358" s="7" t="n"/>
      <c r="AI2358" s="11" t="n"/>
      <c r="AK2358">
        <f>IF($D2358="","",IF(COUNTIF($D$2:$D2358,$D2358)=1,1,0))</f>
        <v/>
      </c>
      <c r="AL2358">
        <f>IF($AK2358=1,SUMPRODUCT(--($AO$2:$AO$3001&lt;$AO2358))+1,"")</f>
        <v/>
      </c>
      <c r="AM2358">
        <f>IF($D2358="","",IF(OR($R2358=TRUE(),$R2358="TRUE"),1,0))</f>
        <v/>
      </c>
      <c r="AN2358">
        <f>IF($D2358="","",IF($X2358="Yes",1,0))</f>
        <v/>
      </c>
      <c r="AO2358">
        <f>IF($AK2358=1,IFERROR(IF(VALUE($D2358)&lt;100000000,VALUE($D2358),1000000000),IFERROR(IF(VALUE(MID($D2358,2,20))&lt;100000000,VALUE(MID($D2358,2,20)),1000000000),1000000000))+ROW()/100000,"")</f>
        <v/>
      </c>
    </row>
    <row r="2359">
      <c r="F2359" s="11" t="n"/>
      <c r="N2359" s="7">
        <f>IF($D2359="","",M2359*V2359/100)</f>
        <v/>
      </c>
      <c r="O2359" s="7" t="n"/>
      <c r="U2359" s="7" t="n"/>
      <c r="V2359" s="7" t="n"/>
      <c r="Y2359">
        <f>IF($D2359="","",IF($AN2359=1,0,IF($AM2359=1,Settings!$C$6,Settings!$C$7))*100)</f>
        <v/>
      </c>
      <c r="Z2359" s="7">
        <f>IF($D2359="","",V2359*Y2359/100)</f>
        <v/>
      </c>
      <c r="AA2359" s="7">
        <f>IF($D2359="","",V2359-Z2359)</f>
        <v/>
      </c>
      <c r="AB2359" s="7">
        <f>IF($D2359="","",AA2359-N2359)</f>
        <v/>
      </c>
      <c r="AF2359" s="7" t="n"/>
      <c r="AI2359" s="11" t="n"/>
      <c r="AK2359">
        <f>IF($D2359="","",IF(COUNTIF($D$2:$D2359,$D2359)=1,1,0))</f>
        <v/>
      </c>
      <c r="AL2359">
        <f>IF($AK2359=1,SUMPRODUCT(--($AO$2:$AO$3001&lt;$AO2359))+1,"")</f>
        <v/>
      </c>
      <c r="AM2359">
        <f>IF($D2359="","",IF(OR($R2359=TRUE(),$R2359="TRUE"),1,0))</f>
        <v/>
      </c>
      <c r="AN2359">
        <f>IF($D2359="","",IF($X2359="Yes",1,0))</f>
        <v/>
      </c>
      <c r="AO2359">
        <f>IF($AK2359=1,IFERROR(IF(VALUE($D2359)&lt;100000000,VALUE($D2359),1000000000),IFERROR(IF(VALUE(MID($D2359,2,20))&lt;100000000,VALUE(MID($D2359,2,20)),1000000000),1000000000))+ROW()/100000,"")</f>
        <v/>
      </c>
    </row>
    <row r="2360">
      <c r="F2360" s="11" t="n"/>
      <c r="N2360" s="7">
        <f>IF($D2360="","",M2360*V2360/100)</f>
        <v/>
      </c>
      <c r="O2360" s="7" t="n"/>
      <c r="U2360" s="7" t="n"/>
      <c r="V2360" s="7" t="n"/>
      <c r="Y2360">
        <f>IF($D2360="","",IF($AN2360=1,0,IF($AM2360=1,Settings!$C$6,Settings!$C$7))*100)</f>
        <v/>
      </c>
      <c r="Z2360" s="7">
        <f>IF($D2360="","",V2360*Y2360/100)</f>
        <v/>
      </c>
      <c r="AA2360" s="7">
        <f>IF($D2360="","",V2360-Z2360)</f>
        <v/>
      </c>
      <c r="AB2360" s="7">
        <f>IF($D2360="","",AA2360-N2360)</f>
        <v/>
      </c>
      <c r="AF2360" s="7" t="n"/>
      <c r="AI2360" s="11" t="n"/>
      <c r="AK2360">
        <f>IF($D2360="","",IF(COUNTIF($D$2:$D2360,$D2360)=1,1,0))</f>
        <v/>
      </c>
      <c r="AL2360">
        <f>IF($AK2360=1,SUMPRODUCT(--($AO$2:$AO$3001&lt;$AO2360))+1,"")</f>
        <v/>
      </c>
      <c r="AM2360">
        <f>IF($D2360="","",IF(OR($R2360=TRUE(),$R2360="TRUE"),1,0))</f>
        <v/>
      </c>
      <c r="AN2360">
        <f>IF($D2360="","",IF($X2360="Yes",1,0))</f>
        <v/>
      </c>
      <c r="AO2360">
        <f>IF($AK2360=1,IFERROR(IF(VALUE($D2360)&lt;100000000,VALUE($D2360),1000000000),IFERROR(IF(VALUE(MID($D2360,2,20))&lt;100000000,VALUE(MID($D2360,2,20)),1000000000),1000000000))+ROW()/100000,"")</f>
        <v/>
      </c>
    </row>
    <row r="2361">
      <c r="F2361" s="11" t="n"/>
      <c r="N2361" s="7">
        <f>IF($D2361="","",M2361*V2361/100)</f>
        <v/>
      </c>
      <c r="O2361" s="7" t="n"/>
      <c r="U2361" s="7" t="n"/>
      <c r="V2361" s="7" t="n"/>
      <c r="Y2361">
        <f>IF($D2361="","",IF($AN2361=1,0,IF($AM2361=1,Settings!$C$6,Settings!$C$7))*100)</f>
        <v/>
      </c>
      <c r="Z2361" s="7">
        <f>IF($D2361="","",V2361*Y2361/100)</f>
        <v/>
      </c>
      <c r="AA2361" s="7">
        <f>IF($D2361="","",V2361-Z2361)</f>
        <v/>
      </c>
      <c r="AB2361" s="7">
        <f>IF($D2361="","",AA2361-N2361)</f>
        <v/>
      </c>
      <c r="AF2361" s="7" t="n"/>
      <c r="AI2361" s="11" t="n"/>
      <c r="AK2361">
        <f>IF($D2361="","",IF(COUNTIF($D$2:$D2361,$D2361)=1,1,0))</f>
        <v/>
      </c>
      <c r="AL2361">
        <f>IF($AK2361=1,SUMPRODUCT(--($AO$2:$AO$3001&lt;$AO2361))+1,"")</f>
        <v/>
      </c>
      <c r="AM2361">
        <f>IF($D2361="","",IF(OR($R2361=TRUE(),$R2361="TRUE"),1,0))</f>
        <v/>
      </c>
      <c r="AN2361">
        <f>IF($D2361="","",IF($X2361="Yes",1,0))</f>
        <v/>
      </c>
      <c r="AO2361">
        <f>IF($AK2361=1,IFERROR(IF(VALUE($D2361)&lt;100000000,VALUE($D2361),1000000000),IFERROR(IF(VALUE(MID($D2361,2,20))&lt;100000000,VALUE(MID($D2361,2,20)),1000000000),1000000000))+ROW()/100000,"")</f>
        <v/>
      </c>
    </row>
    <row r="2362">
      <c r="F2362" s="11" t="n"/>
      <c r="N2362" s="7">
        <f>IF($D2362="","",M2362*V2362/100)</f>
        <v/>
      </c>
      <c r="O2362" s="7" t="n"/>
      <c r="U2362" s="7" t="n"/>
      <c r="V2362" s="7" t="n"/>
      <c r="Y2362">
        <f>IF($D2362="","",IF($AN2362=1,0,IF($AM2362=1,Settings!$C$6,Settings!$C$7))*100)</f>
        <v/>
      </c>
      <c r="Z2362" s="7">
        <f>IF($D2362="","",V2362*Y2362/100)</f>
        <v/>
      </c>
      <c r="AA2362" s="7">
        <f>IF($D2362="","",V2362-Z2362)</f>
        <v/>
      </c>
      <c r="AB2362" s="7">
        <f>IF($D2362="","",AA2362-N2362)</f>
        <v/>
      </c>
      <c r="AF2362" s="7" t="n"/>
      <c r="AI2362" s="11" t="n"/>
      <c r="AK2362">
        <f>IF($D2362="","",IF(COUNTIF($D$2:$D2362,$D2362)=1,1,0))</f>
        <v/>
      </c>
      <c r="AL2362">
        <f>IF($AK2362=1,SUMPRODUCT(--($AO$2:$AO$3001&lt;$AO2362))+1,"")</f>
        <v/>
      </c>
      <c r="AM2362">
        <f>IF($D2362="","",IF(OR($R2362=TRUE(),$R2362="TRUE"),1,0))</f>
        <v/>
      </c>
      <c r="AN2362">
        <f>IF($D2362="","",IF($X2362="Yes",1,0))</f>
        <v/>
      </c>
      <c r="AO2362">
        <f>IF($AK2362=1,IFERROR(IF(VALUE($D2362)&lt;100000000,VALUE($D2362),1000000000),IFERROR(IF(VALUE(MID($D2362,2,20))&lt;100000000,VALUE(MID($D2362,2,20)),1000000000),1000000000))+ROW()/100000,"")</f>
        <v/>
      </c>
    </row>
    <row r="2363">
      <c r="F2363" s="11" t="n"/>
      <c r="N2363" s="7">
        <f>IF($D2363="","",M2363*V2363/100)</f>
        <v/>
      </c>
      <c r="O2363" s="7" t="n"/>
      <c r="U2363" s="7" t="n"/>
      <c r="V2363" s="7" t="n"/>
      <c r="Y2363">
        <f>IF($D2363="","",IF($AN2363=1,0,IF($AM2363=1,Settings!$C$6,Settings!$C$7))*100)</f>
        <v/>
      </c>
      <c r="Z2363" s="7">
        <f>IF($D2363="","",V2363*Y2363/100)</f>
        <v/>
      </c>
      <c r="AA2363" s="7">
        <f>IF($D2363="","",V2363-Z2363)</f>
        <v/>
      </c>
      <c r="AB2363" s="7">
        <f>IF($D2363="","",AA2363-N2363)</f>
        <v/>
      </c>
      <c r="AF2363" s="7" t="n"/>
      <c r="AI2363" s="11" t="n"/>
      <c r="AK2363">
        <f>IF($D2363="","",IF(COUNTIF($D$2:$D2363,$D2363)=1,1,0))</f>
        <v/>
      </c>
      <c r="AL2363">
        <f>IF($AK2363=1,SUMPRODUCT(--($AO$2:$AO$3001&lt;$AO2363))+1,"")</f>
        <v/>
      </c>
      <c r="AM2363">
        <f>IF($D2363="","",IF(OR($R2363=TRUE(),$R2363="TRUE"),1,0))</f>
        <v/>
      </c>
      <c r="AN2363">
        <f>IF($D2363="","",IF($X2363="Yes",1,0))</f>
        <v/>
      </c>
      <c r="AO2363">
        <f>IF($AK2363=1,IFERROR(IF(VALUE($D2363)&lt;100000000,VALUE($D2363),1000000000),IFERROR(IF(VALUE(MID($D2363,2,20))&lt;100000000,VALUE(MID($D2363,2,20)),1000000000),1000000000))+ROW()/100000,"")</f>
        <v/>
      </c>
    </row>
    <row r="2364">
      <c r="F2364" s="11" t="n"/>
      <c r="N2364" s="7">
        <f>IF($D2364="","",M2364*V2364/100)</f>
        <v/>
      </c>
      <c r="O2364" s="7" t="n"/>
      <c r="U2364" s="7" t="n"/>
      <c r="V2364" s="7" t="n"/>
      <c r="Y2364">
        <f>IF($D2364="","",IF($AN2364=1,0,IF($AM2364=1,Settings!$C$6,Settings!$C$7))*100)</f>
        <v/>
      </c>
      <c r="Z2364" s="7">
        <f>IF($D2364="","",V2364*Y2364/100)</f>
        <v/>
      </c>
      <c r="AA2364" s="7">
        <f>IF($D2364="","",V2364-Z2364)</f>
        <v/>
      </c>
      <c r="AB2364" s="7">
        <f>IF($D2364="","",AA2364-N2364)</f>
        <v/>
      </c>
      <c r="AF2364" s="7" t="n"/>
      <c r="AI2364" s="11" t="n"/>
      <c r="AK2364">
        <f>IF($D2364="","",IF(COUNTIF($D$2:$D2364,$D2364)=1,1,0))</f>
        <v/>
      </c>
      <c r="AL2364">
        <f>IF($AK2364=1,SUMPRODUCT(--($AO$2:$AO$3001&lt;$AO2364))+1,"")</f>
        <v/>
      </c>
      <c r="AM2364">
        <f>IF($D2364="","",IF(OR($R2364=TRUE(),$R2364="TRUE"),1,0))</f>
        <v/>
      </c>
      <c r="AN2364">
        <f>IF($D2364="","",IF($X2364="Yes",1,0))</f>
        <v/>
      </c>
      <c r="AO2364">
        <f>IF($AK2364=1,IFERROR(IF(VALUE($D2364)&lt;100000000,VALUE($D2364),1000000000),IFERROR(IF(VALUE(MID($D2364,2,20))&lt;100000000,VALUE(MID($D2364,2,20)),1000000000),1000000000))+ROW()/100000,"")</f>
        <v/>
      </c>
    </row>
    <row r="2365">
      <c r="F2365" s="11" t="n"/>
      <c r="N2365" s="7">
        <f>IF($D2365="","",M2365*V2365/100)</f>
        <v/>
      </c>
      <c r="O2365" s="7" t="n"/>
      <c r="U2365" s="7" t="n"/>
      <c r="V2365" s="7" t="n"/>
      <c r="Y2365">
        <f>IF($D2365="","",IF($AN2365=1,0,IF($AM2365=1,Settings!$C$6,Settings!$C$7))*100)</f>
        <v/>
      </c>
      <c r="Z2365" s="7">
        <f>IF($D2365="","",V2365*Y2365/100)</f>
        <v/>
      </c>
      <c r="AA2365" s="7">
        <f>IF($D2365="","",V2365-Z2365)</f>
        <v/>
      </c>
      <c r="AB2365" s="7">
        <f>IF($D2365="","",AA2365-N2365)</f>
        <v/>
      </c>
      <c r="AF2365" s="7" t="n"/>
      <c r="AI2365" s="11" t="n"/>
      <c r="AK2365">
        <f>IF($D2365="","",IF(COUNTIF($D$2:$D2365,$D2365)=1,1,0))</f>
        <v/>
      </c>
      <c r="AL2365">
        <f>IF($AK2365=1,SUMPRODUCT(--($AO$2:$AO$3001&lt;$AO2365))+1,"")</f>
        <v/>
      </c>
      <c r="AM2365">
        <f>IF($D2365="","",IF(OR($R2365=TRUE(),$R2365="TRUE"),1,0))</f>
        <v/>
      </c>
      <c r="AN2365">
        <f>IF($D2365="","",IF($X2365="Yes",1,0))</f>
        <v/>
      </c>
      <c r="AO2365">
        <f>IF($AK2365=1,IFERROR(IF(VALUE($D2365)&lt;100000000,VALUE($D2365),1000000000),IFERROR(IF(VALUE(MID($D2365,2,20))&lt;100000000,VALUE(MID($D2365,2,20)),1000000000),1000000000))+ROW()/100000,"")</f>
        <v/>
      </c>
    </row>
    <row r="2366">
      <c r="F2366" s="11" t="n"/>
      <c r="N2366" s="7">
        <f>IF($D2366="","",M2366*V2366/100)</f>
        <v/>
      </c>
      <c r="O2366" s="7" t="n"/>
      <c r="U2366" s="7" t="n"/>
      <c r="V2366" s="7" t="n"/>
      <c r="Y2366">
        <f>IF($D2366="","",IF($AN2366=1,0,IF($AM2366=1,Settings!$C$6,Settings!$C$7))*100)</f>
        <v/>
      </c>
      <c r="Z2366" s="7">
        <f>IF($D2366="","",V2366*Y2366/100)</f>
        <v/>
      </c>
      <c r="AA2366" s="7">
        <f>IF($D2366="","",V2366-Z2366)</f>
        <v/>
      </c>
      <c r="AB2366" s="7">
        <f>IF($D2366="","",AA2366-N2366)</f>
        <v/>
      </c>
      <c r="AF2366" s="7" t="n"/>
      <c r="AI2366" s="11" t="n"/>
      <c r="AK2366">
        <f>IF($D2366="","",IF(COUNTIF($D$2:$D2366,$D2366)=1,1,0))</f>
        <v/>
      </c>
      <c r="AL2366">
        <f>IF($AK2366=1,SUMPRODUCT(--($AO$2:$AO$3001&lt;$AO2366))+1,"")</f>
        <v/>
      </c>
      <c r="AM2366">
        <f>IF($D2366="","",IF(OR($R2366=TRUE(),$R2366="TRUE"),1,0))</f>
        <v/>
      </c>
      <c r="AN2366">
        <f>IF($D2366="","",IF($X2366="Yes",1,0))</f>
        <v/>
      </c>
      <c r="AO2366">
        <f>IF($AK2366=1,IFERROR(IF(VALUE($D2366)&lt;100000000,VALUE($D2366),1000000000),IFERROR(IF(VALUE(MID($D2366,2,20))&lt;100000000,VALUE(MID($D2366,2,20)),1000000000),1000000000))+ROW()/100000,"")</f>
        <v/>
      </c>
    </row>
    <row r="2367">
      <c r="F2367" s="11" t="n"/>
      <c r="N2367" s="7">
        <f>IF($D2367="","",M2367*V2367/100)</f>
        <v/>
      </c>
      <c r="O2367" s="7" t="n"/>
      <c r="U2367" s="7" t="n"/>
      <c r="V2367" s="7" t="n"/>
      <c r="Y2367">
        <f>IF($D2367="","",IF($AN2367=1,0,IF($AM2367=1,Settings!$C$6,Settings!$C$7))*100)</f>
        <v/>
      </c>
      <c r="Z2367" s="7">
        <f>IF($D2367="","",V2367*Y2367/100)</f>
        <v/>
      </c>
      <c r="AA2367" s="7">
        <f>IF($D2367="","",V2367-Z2367)</f>
        <v/>
      </c>
      <c r="AB2367" s="7">
        <f>IF($D2367="","",AA2367-N2367)</f>
        <v/>
      </c>
      <c r="AF2367" s="7" t="n"/>
      <c r="AI2367" s="11" t="n"/>
      <c r="AK2367">
        <f>IF($D2367="","",IF(COUNTIF($D$2:$D2367,$D2367)=1,1,0))</f>
        <v/>
      </c>
      <c r="AL2367">
        <f>IF($AK2367=1,SUMPRODUCT(--($AO$2:$AO$3001&lt;$AO2367))+1,"")</f>
        <v/>
      </c>
      <c r="AM2367">
        <f>IF($D2367="","",IF(OR($R2367=TRUE(),$R2367="TRUE"),1,0))</f>
        <v/>
      </c>
      <c r="AN2367">
        <f>IF($D2367="","",IF($X2367="Yes",1,0))</f>
        <v/>
      </c>
      <c r="AO2367">
        <f>IF($AK2367=1,IFERROR(IF(VALUE($D2367)&lt;100000000,VALUE($D2367),1000000000),IFERROR(IF(VALUE(MID($D2367,2,20))&lt;100000000,VALUE(MID($D2367,2,20)),1000000000),1000000000))+ROW()/100000,"")</f>
        <v/>
      </c>
    </row>
    <row r="2368">
      <c r="F2368" s="11" t="n"/>
      <c r="N2368" s="7">
        <f>IF($D2368="","",M2368*V2368/100)</f>
        <v/>
      </c>
      <c r="O2368" s="7" t="n"/>
      <c r="U2368" s="7" t="n"/>
      <c r="V2368" s="7" t="n"/>
      <c r="Y2368">
        <f>IF($D2368="","",IF($AN2368=1,0,IF($AM2368=1,Settings!$C$6,Settings!$C$7))*100)</f>
        <v/>
      </c>
      <c r="Z2368" s="7">
        <f>IF($D2368="","",V2368*Y2368/100)</f>
        <v/>
      </c>
      <c r="AA2368" s="7">
        <f>IF($D2368="","",V2368-Z2368)</f>
        <v/>
      </c>
      <c r="AB2368" s="7">
        <f>IF($D2368="","",AA2368-N2368)</f>
        <v/>
      </c>
      <c r="AF2368" s="7" t="n"/>
      <c r="AI2368" s="11" t="n"/>
      <c r="AK2368">
        <f>IF($D2368="","",IF(COUNTIF($D$2:$D2368,$D2368)=1,1,0))</f>
        <v/>
      </c>
      <c r="AL2368">
        <f>IF($AK2368=1,SUMPRODUCT(--($AO$2:$AO$3001&lt;$AO2368))+1,"")</f>
        <v/>
      </c>
      <c r="AM2368">
        <f>IF($D2368="","",IF(OR($R2368=TRUE(),$R2368="TRUE"),1,0))</f>
        <v/>
      </c>
      <c r="AN2368">
        <f>IF($D2368="","",IF($X2368="Yes",1,0))</f>
        <v/>
      </c>
      <c r="AO2368">
        <f>IF($AK2368=1,IFERROR(IF(VALUE($D2368)&lt;100000000,VALUE($D2368),1000000000),IFERROR(IF(VALUE(MID($D2368,2,20))&lt;100000000,VALUE(MID($D2368,2,20)),1000000000),1000000000))+ROW()/100000,"")</f>
        <v/>
      </c>
    </row>
    <row r="2369">
      <c r="F2369" s="11" t="n"/>
      <c r="N2369" s="7">
        <f>IF($D2369="","",M2369*V2369/100)</f>
        <v/>
      </c>
      <c r="O2369" s="7" t="n"/>
      <c r="U2369" s="7" t="n"/>
      <c r="V2369" s="7" t="n"/>
      <c r="Y2369">
        <f>IF($D2369="","",IF($AN2369=1,0,IF($AM2369=1,Settings!$C$6,Settings!$C$7))*100)</f>
        <v/>
      </c>
      <c r="Z2369" s="7">
        <f>IF($D2369="","",V2369*Y2369/100)</f>
        <v/>
      </c>
      <c r="AA2369" s="7">
        <f>IF($D2369="","",V2369-Z2369)</f>
        <v/>
      </c>
      <c r="AB2369" s="7">
        <f>IF($D2369="","",AA2369-N2369)</f>
        <v/>
      </c>
      <c r="AF2369" s="7" t="n"/>
      <c r="AI2369" s="11" t="n"/>
      <c r="AK2369">
        <f>IF($D2369="","",IF(COUNTIF($D$2:$D2369,$D2369)=1,1,0))</f>
        <v/>
      </c>
      <c r="AL2369">
        <f>IF($AK2369=1,SUMPRODUCT(--($AO$2:$AO$3001&lt;$AO2369))+1,"")</f>
        <v/>
      </c>
      <c r="AM2369">
        <f>IF($D2369="","",IF(OR($R2369=TRUE(),$R2369="TRUE"),1,0))</f>
        <v/>
      </c>
      <c r="AN2369">
        <f>IF($D2369="","",IF($X2369="Yes",1,0))</f>
        <v/>
      </c>
      <c r="AO2369">
        <f>IF($AK2369=1,IFERROR(IF(VALUE($D2369)&lt;100000000,VALUE($D2369),1000000000),IFERROR(IF(VALUE(MID($D2369,2,20))&lt;100000000,VALUE(MID($D2369,2,20)),1000000000),1000000000))+ROW()/100000,"")</f>
        <v/>
      </c>
    </row>
    <row r="2370">
      <c r="F2370" s="11" t="n"/>
      <c r="N2370" s="7">
        <f>IF($D2370="","",M2370*V2370/100)</f>
        <v/>
      </c>
      <c r="O2370" s="7" t="n"/>
      <c r="U2370" s="7" t="n"/>
      <c r="V2370" s="7" t="n"/>
      <c r="Y2370">
        <f>IF($D2370="","",IF($AN2370=1,0,IF($AM2370=1,Settings!$C$6,Settings!$C$7))*100)</f>
        <v/>
      </c>
      <c r="Z2370" s="7">
        <f>IF($D2370="","",V2370*Y2370/100)</f>
        <v/>
      </c>
      <c r="AA2370" s="7">
        <f>IF($D2370="","",V2370-Z2370)</f>
        <v/>
      </c>
      <c r="AB2370" s="7">
        <f>IF($D2370="","",AA2370-N2370)</f>
        <v/>
      </c>
      <c r="AF2370" s="7" t="n"/>
      <c r="AI2370" s="11" t="n"/>
      <c r="AK2370">
        <f>IF($D2370="","",IF(COUNTIF($D$2:$D2370,$D2370)=1,1,0))</f>
        <v/>
      </c>
      <c r="AL2370">
        <f>IF($AK2370=1,SUMPRODUCT(--($AO$2:$AO$3001&lt;$AO2370))+1,"")</f>
        <v/>
      </c>
      <c r="AM2370">
        <f>IF($D2370="","",IF(OR($R2370=TRUE(),$R2370="TRUE"),1,0))</f>
        <v/>
      </c>
      <c r="AN2370">
        <f>IF($D2370="","",IF($X2370="Yes",1,0))</f>
        <v/>
      </c>
      <c r="AO2370">
        <f>IF($AK2370=1,IFERROR(IF(VALUE($D2370)&lt;100000000,VALUE($D2370),1000000000),IFERROR(IF(VALUE(MID($D2370,2,20))&lt;100000000,VALUE(MID($D2370,2,20)),1000000000),1000000000))+ROW()/100000,"")</f>
        <v/>
      </c>
    </row>
    <row r="2371">
      <c r="F2371" s="11" t="n"/>
      <c r="N2371" s="7">
        <f>IF($D2371="","",M2371*V2371/100)</f>
        <v/>
      </c>
      <c r="O2371" s="7" t="n"/>
      <c r="U2371" s="7" t="n"/>
      <c r="V2371" s="7" t="n"/>
      <c r="Y2371">
        <f>IF($D2371="","",IF($AN2371=1,0,IF($AM2371=1,Settings!$C$6,Settings!$C$7))*100)</f>
        <v/>
      </c>
      <c r="Z2371" s="7">
        <f>IF($D2371="","",V2371*Y2371/100)</f>
        <v/>
      </c>
      <c r="AA2371" s="7">
        <f>IF($D2371="","",V2371-Z2371)</f>
        <v/>
      </c>
      <c r="AB2371" s="7">
        <f>IF($D2371="","",AA2371-N2371)</f>
        <v/>
      </c>
      <c r="AF2371" s="7" t="n"/>
      <c r="AI2371" s="11" t="n"/>
      <c r="AK2371">
        <f>IF($D2371="","",IF(COUNTIF($D$2:$D2371,$D2371)=1,1,0))</f>
        <v/>
      </c>
      <c r="AL2371">
        <f>IF($AK2371=1,SUMPRODUCT(--($AO$2:$AO$3001&lt;$AO2371))+1,"")</f>
        <v/>
      </c>
      <c r="AM2371">
        <f>IF($D2371="","",IF(OR($R2371=TRUE(),$R2371="TRUE"),1,0))</f>
        <v/>
      </c>
      <c r="AN2371">
        <f>IF($D2371="","",IF($X2371="Yes",1,0))</f>
        <v/>
      </c>
      <c r="AO2371">
        <f>IF($AK2371=1,IFERROR(IF(VALUE($D2371)&lt;100000000,VALUE($D2371),1000000000),IFERROR(IF(VALUE(MID($D2371,2,20))&lt;100000000,VALUE(MID($D2371,2,20)),1000000000),1000000000))+ROW()/100000,"")</f>
        <v/>
      </c>
    </row>
    <row r="2372">
      <c r="F2372" s="11" t="n"/>
      <c r="N2372" s="7">
        <f>IF($D2372="","",M2372*V2372/100)</f>
        <v/>
      </c>
      <c r="O2372" s="7" t="n"/>
      <c r="U2372" s="7" t="n"/>
      <c r="V2372" s="7" t="n"/>
      <c r="Y2372">
        <f>IF($D2372="","",IF($AN2372=1,0,IF($AM2372=1,Settings!$C$6,Settings!$C$7))*100)</f>
        <v/>
      </c>
      <c r="Z2372" s="7">
        <f>IF($D2372="","",V2372*Y2372/100)</f>
        <v/>
      </c>
      <c r="AA2372" s="7">
        <f>IF($D2372="","",V2372-Z2372)</f>
        <v/>
      </c>
      <c r="AB2372" s="7">
        <f>IF($D2372="","",AA2372-N2372)</f>
        <v/>
      </c>
      <c r="AF2372" s="7" t="n"/>
      <c r="AI2372" s="11" t="n"/>
      <c r="AK2372">
        <f>IF($D2372="","",IF(COUNTIF($D$2:$D2372,$D2372)=1,1,0))</f>
        <v/>
      </c>
      <c r="AL2372">
        <f>IF($AK2372=1,SUMPRODUCT(--($AO$2:$AO$3001&lt;$AO2372))+1,"")</f>
        <v/>
      </c>
      <c r="AM2372">
        <f>IF($D2372="","",IF(OR($R2372=TRUE(),$R2372="TRUE"),1,0))</f>
        <v/>
      </c>
      <c r="AN2372">
        <f>IF($D2372="","",IF($X2372="Yes",1,0))</f>
        <v/>
      </c>
      <c r="AO2372">
        <f>IF($AK2372=1,IFERROR(IF(VALUE($D2372)&lt;100000000,VALUE($D2372),1000000000),IFERROR(IF(VALUE(MID($D2372,2,20))&lt;100000000,VALUE(MID($D2372,2,20)),1000000000),1000000000))+ROW()/100000,"")</f>
        <v/>
      </c>
    </row>
    <row r="2373">
      <c r="F2373" s="11" t="n"/>
      <c r="N2373" s="7">
        <f>IF($D2373="","",M2373*V2373/100)</f>
        <v/>
      </c>
      <c r="O2373" s="7" t="n"/>
      <c r="U2373" s="7" t="n"/>
      <c r="V2373" s="7" t="n"/>
      <c r="Y2373">
        <f>IF($D2373="","",IF($AN2373=1,0,IF($AM2373=1,Settings!$C$6,Settings!$C$7))*100)</f>
        <v/>
      </c>
      <c r="Z2373" s="7">
        <f>IF($D2373="","",V2373*Y2373/100)</f>
        <v/>
      </c>
      <c r="AA2373" s="7">
        <f>IF($D2373="","",V2373-Z2373)</f>
        <v/>
      </c>
      <c r="AB2373" s="7">
        <f>IF($D2373="","",AA2373-N2373)</f>
        <v/>
      </c>
      <c r="AF2373" s="7" t="n"/>
      <c r="AI2373" s="11" t="n"/>
      <c r="AK2373">
        <f>IF($D2373="","",IF(COUNTIF($D$2:$D2373,$D2373)=1,1,0))</f>
        <v/>
      </c>
      <c r="AL2373">
        <f>IF($AK2373=1,SUMPRODUCT(--($AO$2:$AO$3001&lt;$AO2373))+1,"")</f>
        <v/>
      </c>
      <c r="AM2373">
        <f>IF($D2373="","",IF(OR($R2373=TRUE(),$R2373="TRUE"),1,0))</f>
        <v/>
      </c>
      <c r="AN2373">
        <f>IF($D2373="","",IF($X2373="Yes",1,0))</f>
        <v/>
      </c>
      <c r="AO2373">
        <f>IF($AK2373=1,IFERROR(IF(VALUE($D2373)&lt;100000000,VALUE($D2373),1000000000),IFERROR(IF(VALUE(MID($D2373,2,20))&lt;100000000,VALUE(MID($D2373,2,20)),1000000000),1000000000))+ROW()/100000,"")</f>
        <v/>
      </c>
    </row>
    <row r="2374">
      <c r="F2374" s="11" t="n"/>
      <c r="N2374" s="7">
        <f>IF($D2374="","",M2374*V2374/100)</f>
        <v/>
      </c>
      <c r="O2374" s="7" t="n"/>
      <c r="U2374" s="7" t="n"/>
      <c r="V2374" s="7" t="n"/>
      <c r="Y2374">
        <f>IF($D2374="","",IF($AN2374=1,0,IF($AM2374=1,Settings!$C$6,Settings!$C$7))*100)</f>
        <v/>
      </c>
      <c r="Z2374" s="7">
        <f>IF($D2374="","",V2374*Y2374/100)</f>
        <v/>
      </c>
      <c r="AA2374" s="7">
        <f>IF($D2374="","",V2374-Z2374)</f>
        <v/>
      </c>
      <c r="AB2374" s="7">
        <f>IF($D2374="","",AA2374-N2374)</f>
        <v/>
      </c>
      <c r="AF2374" s="7" t="n"/>
      <c r="AI2374" s="11" t="n"/>
      <c r="AK2374">
        <f>IF($D2374="","",IF(COUNTIF($D$2:$D2374,$D2374)=1,1,0))</f>
        <v/>
      </c>
      <c r="AL2374">
        <f>IF($AK2374=1,SUMPRODUCT(--($AO$2:$AO$3001&lt;$AO2374))+1,"")</f>
        <v/>
      </c>
      <c r="AM2374">
        <f>IF($D2374="","",IF(OR($R2374=TRUE(),$R2374="TRUE"),1,0))</f>
        <v/>
      </c>
      <c r="AN2374">
        <f>IF($D2374="","",IF($X2374="Yes",1,0))</f>
        <v/>
      </c>
      <c r="AO2374">
        <f>IF($AK2374=1,IFERROR(IF(VALUE($D2374)&lt;100000000,VALUE($D2374),1000000000),IFERROR(IF(VALUE(MID($D2374,2,20))&lt;100000000,VALUE(MID($D2374,2,20)),1000000000),1000000000))+ROW()/100000,"")</f>
        <v/>
      </c>
    </row>
    <row r="2375">
      <c r="F2375" s="11" t="n"/>
      <c r="N2375" s="7">
        <f>IF($D2375="","",M2375*V2375/100)</f>
        <v/>
      </c>
      <c r="O2375" s="7" t="n"/>
      <c r="U2375" s="7" t="n"/>
      <c r="V2375" s="7" t="n"/>
      <c r="Y2375">
        <f>IF($D2375="","",IF($AN2375=1,0,IF($AM2375=1,Settings!$C$6,Settings!$C$7))*100)</f>
        <v/>
      </c>
      <c r="Z2375" s="7">
        <f>IF($D2375="","",V2375*Y2375/100)</f>
        <v/>
      </c>
      <c r="AA2375" s="7">
        <f>IF($D2375="","",V2375-Z2375)</f>
        <v/>
      </c>
      <c r="AB2375" s="7">
        <f>IF($D2375="","",AA2375-N2375)</f>
        <v/>
      </c>
      <c r="AF2375" s="7" t="n"/>
      <c r="AI2375" s="11" t="n"/>
      <c r="AK2375">
        <f>IF($D2375="","",IF(COUNTIF($D$2:$D2375,$D2375)=1,1,0))</f>
        <v/>
      </c>
      <c r="AL2375">
        <f>IF($AK2375=1,SUMPRODUCT(--($AO$2:$AO$3001&lt;$AO2375))+1,"")</f>
        <v/>
      </c>
      <c r="AM2375">
        <f>IF($D2375="","",IF(OR($R2375=TRUE(),$R2375="TRUE"),1,0))</f>
        <v/>
      </c>
      <c r="AN2375">
        <f>IF($D2375="","",IF($X2375="Yes",1,0))</f>
        <v/>
      </c>
      <c r="AO2375">
        <f>IF($AK2375=1,IFERROR(IF(VALUE($D2375)&lt;100000000,VALUE($D2375),1000000000),IFERROR(IF(VALUE(MID($D2375,2,20))&lt;100000000,VALUE(MID($D2375,2,20)),1000000000),1000000000))+ROW()/100000,"")</f>
        <v/>
      </c>
    </row>
    <row r="2376">
      <c r="F2376" s="11" t="n"/>
      <c r="N2376" s="7">
        <f>IF($D2376="","",M2376*V2376/100)</f>
        <v/>
      </c>
      <c r="O2376" s="7" t="n"/>
      <c r="U2376" s="7" t="n"/>
      <c r="V2376" s="7" t="n"/>
      <c r="Y2376">
        <f>IF($D2376="","",IF($AN2376=1,0,IF($AM2376=1,Settings!$C$6,Settings!$C$7))*100)</f>
        <v/>
      </c>
      <c r="Z2376" s="7">
        <f>IF($D2376="","",V2376*Y2376/100)</f>
        <v/>
      </c>
      <c r="AA2376" s="7">
        <f>IF($D2376="","",V2376-Z2376)</f>
        <v/>
      </c>
      <c r="AB2376" s="7">
        <f>IF($D2376="","",AA2376-N2376)</f>
        <v/>
      </c>
      <c r="AF2376" s="7" t="n"/>
      <c r="AI2376" s="11" t="n"/>
      <c r="AK2376">
        <f>IF($D2376="","",IF(COUNTIF($D$2:$D2376,$D2376)=1,1,0))</f>
        <v/>
      </c>
      <c r="AL2376">
        <f>IF($AK2376=1,SUMPRODUCT(--($AO$2:$AO$3001&lt;$AO2376))+1,"")</f>
        <v/>
      </c>
      <c r="AM2376">
        <f>IF($D2376="","",IF(OR($R2376=TRUE(),$R2376="TRUE"),1,0))</f>
        <v/>
      </c>
      <c r="AN2376">
        <f>IF($D2376="","",IF($X2376="Yes",1,0))</f>
        <v/>
      </c>
      <c r="AO2376">
        <f>IF($AK2376=1,IFERROR(IF(VALUE($D2376)&lt;100000000,VALUE($D2376),1000000000),IFERROR(IF(VALUE(MID($D2376,2,20))&lt;100000000,VALUE(MID($D2376,2,20)),1000000000),1000000000))+ROW()/100000,"")</f>
        <v/>
      </c>
    </row>
    <row r="2377">
      <c r="F2377" s="11" t="n"/>
      <c r="N2377" s="7">
        <f>IF($D2377="","",M2377*V2377/100)</f>
        <v/>
      </c>
      <c r="O2377" s="7" t="n"/>
      <c r="U2377" s="7" t="n"/>
      <c r="V2377" s="7" t="n"/>
      <c r="Y2377">
        <f>IF($D2377="","",IF($AN2377=1,0,IF($AM2377=1,Settings!$C$6,Settings!$C$7))*100)</f>
        <v/>
      </c>
      <c r="Z2377" s="7">
        <f>IF($D2377="","",V2377*Y2377/100)</f>
        <v/>
      </c>
      <c r="AA2377" s="7">
        <f>IF($D2377="","",V2377-Z2377)</f>
        <v/>
      </c>
      <c r="AB2377" s="7">
        <f>IF($D2377="","",AA2377-N2377)</f>
        <v/>
      </c>
      <c r="AF2377" s="7" t="n"/>
      <c r="AI2377" s="11" t="n"/>
      <c r="AK2377">
        <f>IF($D2377="","",IF(COUNTIF($D$2:$D2377,$D2377)=1,1,0))</f>
        <v/>
      </c>
      <c r="AL2377">
        <f>IF($AK2377=1,SUMPRODUCT(--($AO$2:$AO$3001&lt;$AO2377))+1,"")</f>
        <v/>
      </c>
      <c r="AM2377">
        <f>IF($D2377="","",IF(OR($R2377=TRUE(),$R2377="TRUE"),1,0))</f>
        <v/>
      </c>
      <c r="AN2377">
        <f>IF($D2377="","",IF($X2377="Yes",1,0))</f>
        <v/>
      </c>
      <c r="AO2377">
        <f>IF($AK2377=1,IFERROR(IF(VALUE($D2377)&lt;100000000,VALUE($D2377),1000000000),IFERROR(IF(VALUE(MID($D2377,2,20))&lt;100000000,VALUE(MID($D2377,2,20)),1000000000),1000000000))+ROW()/100000,"")</f>
        <v/>
      </c>
    </row>
    <row r="2378">
      <c r="F2378" s="11" t="n"/>
      <c r="N2378" s="7">
        <f>IF($D2378="","",M2378*V2378/100)</f>
        <v/>
      </c>
      <c r="O2378" s="7" t="n"/>
      <c r="U2378" s="7" t="n"/>
      <c r="V2378" s="7" t="n"/>
      <c r="Y2378">
        <f>IF($D2378="","",IF($AN2378=1,0,IF($AM2378=1,Settings!$C$6,Settings!$C$7))*100)</f>
        <v/>
      </c>
      <c r="Z2378" s="7">
        <f>IF($D2378="","",V2378*Y2378/100)</f>
        <v/>
      </c>
      <c r="AA2378" s="7">
        <f>IF($D2378="","",V2378-Z2378)</f>
        <v/>
      </c>
      <c r="AB2378" s="7">
        <f>IF($D2378="","",AA2378-N2378)</f>
        <v/>
      </c>
      <c r="AF2378" s="7" t="n"/>
      <c r="AI2378" s="11" t="n"/>
      <c r="AK2378">
        <f>IF($D2378="","",IF(COUNTIF($D$2:$D2378,$D2378)=1,1,0))</f>
        <v/>
      </c>
      <c r="AL2378">
        <f>IF($AK2378=1,SUMPRODUCT(--($AO$2:$AO$3001&lt;$AO2378))+1,"")</f>
        <v/>
      </c>
      <c r="AM2378">
        <f>IF($D2378="","",IF(OR($R2378=TRUE(),$R2378="TRUE"),1,0))</f>
        <v/>
      </c>
      <c r="AN2378">
        <f>IF($D2378="","",IF($X2378="Yes",1,0))</f>
        <v/>
      </c>
      <c r="AO2378">
        <f>IF($AK2378=1,IFERROR(IF(VALUE($D2378)&lt;100000000,VALUE($D2378),1000000000),IFERROR(IF(VALUE(MID($D2378,2,20))&lt;100000000,VALUE(MID($D2378,2,20)),1000000000),1000000000))+ROW()/100000,"")</f>
        <v/>
      </c>
    </row>
    <row r="2379">
      <c r="F2379" s="11" t="n"/>
      <c r="N2379" s="7">
        <f>IF($D2379="","",M2379*V2379/100)</f>
        <v/>
      </c>
      <c r="O2379" s="7" t="n"/>
      <c r="U2379" s="7" t="n"/>
      <c r="V2379" s="7" t="n"/>
      <c r="Y2379">
        <f>IF($D2379="","",IF($AN2379=1,0,IF($AM2379=1,Settings!$C$6,Settings!$C$7))*100)</f>
        <v/>
      </c>
      <c r="Z2379" s="7">
        <f>IF($D2379="","",V2379*Y2379/100)</f>
        <v/>
      </c>
      <c r="AA2379" s="7">
        <f>IF($D2379="","",V2379-Z2379)</f>
        <v/>
      </c>
      <c r="AB2379" s="7">
        <f>IF($D2379="","",AA2379-N2379)</f>
        <v/>
      </c>
      <c r="AF2379" s="7" t="n"/>
      <c r="AI2379" s="11" t="n"/>
      <c r="AK2379">
        <f>IF($D2379="","",IF(COUNTIF($D$2:$D2379,$D2379)=1,1,0))</f>
        <v/>
      </c>
      <c r="AL2379">
        <f>IF($AK2379=1,SUMPRODUCT(--($AO$2:$AO$3001&lt;$AO2379))+1,"")</f>
        <v/>
      </c>
      <c r="AM2379">
        <f>IF($D2379="","",IF(OR($R2379=TRUE(),$R2379="TRUE"),1,0))</f>
        <v/>
      </c>
      <c r="AN2379">
        <f>IF($D2379="","",IF($X2379="Yes",1,0))</f>
        <v/>
      </c>
      <c r="AO2379">
        <f>IF($AK2379=1,IFERROR(IF(VALUE($D2379)&lt;100000000,VALUE($D2379),1000000000),IFERROR(IF(VALUE(MID($D2379,2,20))&lt;100000000,VALUE(MID($D2379,2,20)),1000000000),1000000000))+ROW()/100000,"")</f>
        <v/>
      </c>
    </row>
    <row r="2380">
      <c r="F2380" s="11" t="n"/>
      <c r="N2380" s="7">
        <f>IF($D2380="","",M2380*V2380/100)</f>
        <v/>
      </c>
      <c r="O2380" s="7" t="n"/>
      <c r="U2380" s="7" t="n"/>
      <c r="V2380" s="7" t="n"/>
      <c r="Y2380">
        <f>IF($D2380="","",IF($AN2380=1,0,IF($AM2380=1,Settings!$C$6,Settings!$C$7))*100)</f>
        <v/>
      </c>
      <c r="Z2380" s="7">
        <f>IF($D2380="","",V2380*Y2380/100)</f>
        <v/>
      </c>
      <c r="AA2380" s="7">
        <f>IF($D2380="","",V2380-Z2380)</f>
        <v/>
      </c>
      <c r="AB2380" s="7">
        <f>IF($D2380="","",AA2380-N2380)</f>
        <v/>
      </c>
      <c r="AF2380" s="7" t="n"/>
      <c r="AI2380" s="11" t="n"/>
      <c r="AK2380">
        <f>IF($D2380="","",IF(COUNTIF($D$2:$D2380,$D2380)=1,1,0))</f>
        <v/>
      </c>
      <c r="AL2380">
        <f>IF($AK2380=1,SUMPRODUCT(--($AO$2:$AO$3001&lt;$AO2380))+1,"")</f>
        <v/>
      </c>
      <c r="AM2380">
        <f>IF($D2380="","",IF(OR($R2380=TRUE(),$R2380="TRUE"),1,0))</f>
        <v/>
      </c>
      <c r="AN2380">
        <f>IF($D2380="","",IF($X2380="Yes",1,0))</f>
        <v/>
      </c>
      <c r="AO2380">
        <f>IF($AK2380=1,IFERROR(IF(VALUE($D2380)&lt;100000000,VALUE($D2380),1000000000),IFERROR(IF(VALUE(MID($D2380,2,20))&lt;100000000,VALUE(MID($D2380,2,20)),1000000000),1000000000))+ROW()/100000,"")</f>
        <v/>
      </c>
    </row>
    <row r="2381">
      <c r="F2381" s="11" t="n"/>
      <c r="N2381" s="7">
        <f>IF($D2381="","",M2381*V2381/100)</f>
        <v/>
      </c>
      <c r="O2381" s="7" t="n"/>
      <c r="U2381" s="7" t="n"/>
      <c r="V2381" s="7" t="n"/>
      <c r="Y2381">
        <f>IF($D2381="","",IF($AN2381=1,0,IF($AM2381=1,Settings!$C$6,Settings!$C$7))*100)</f>
        <v/>
      </c>
      <c r="Z2381" s="7">
        <f>IF($D2381="","",V2381*Y2381/100)</f>
        <v/>
      </c>
      <c r="AA2381" s="7">
        <f>IF($D2381="","",V2381-Z2381)</f>
        <v/>
      </c>
      <c r="AB2381" s="7">
        <f>IF($D2381="","",AA2381-N2381)</f>
        <v/>
      </c>
      <c r="AF2381" s="7" t="n"/>
      <c r="AI2381" s="11" t="n"/>
      <c r="AK2381">
        <f>IF($D2381="","",IF(COUNTIF($D$2:$D2381,$D2381)=1,1,0))</f>
        <v/>
      </c>
      <c r="AL2381">
        <f>IF($AK2381=1,SUMPRODUCT(--($AO$2:$AO$3001&lt;$AO2381))+1,"")</f>
        <v/>
      </c>
      <c r="AM2381">
        <f>IF($D2381="","",IF(OR($R2381=TRUE(),$R2381="TRUE"),1,0))</f>
        <v/>
      </c>
      <c r="AN2381">
        <f>IF($D2381="","",IF($X2381="Yes",1,0))</f>
        <v/>
      </c>
      <c r="AO2381">
        <f>IF($AK2381=1,IFERROR(IF(VALUE($D2381)&lt;100000000,VALUE($D2381),1000000000),IFERROR(IF(VALUE(MID($D2381,2,20))&lt;100000000,VALUE(MID($D2381,2,20)),1000000000),1000000000))+ROW()/100000,"")</f>
        <v/>
      </c>
    </row>
    <row r="2382">
      <c r="F2382" s="11" t="n"/>
      <c r="N2382" s="7">
        <f>IF($D2382="","",M2382*V2382/100)</f>
        <v/>
      </c>
      <c r="O2382" s="7" t="n"/>
      <c r="U2382" s="7" t="n"/>
      <c r="V2382" s="7" t="n"/>
      <c r="Y2382">
        <f>IF($D2382="","",IF($AN2382=1,0,IF($AM2382=1,Settings!$C$6,Settings!$C$7))*100)</f>
        <v/>
      </c>
      <c r="Z2382" s="7">
        <f>IF($D2382="","",V2382*Y2382/100)</f>
        <v/>
      </c>
      <c r="AA2382" s="7">
        <f>IF($D2382="","",V2382-Z2382)</f>
        <v/>
      </c>
      <c r="AB2382" s="7">
        <f>IF($D2382="","",AA2382-N2382)</f>
        <v/>
      </c>
      <c r="AF2382" s="7" t="n"/>
      <c r="AI2382" s="11" t="n"/>
      <c r="AK2382">
        <f>IF($D2382="","",IF(COUNTIF($D$2:$D2382,$D2382)=1,1,0))</f>
        <v/>
      </c>
      <c r="AL2382">
        <f>IF($AK2382=1,SUMPRODUCT(--($AO$2:$AO$3001&lt;$AO2382))+1,"")</f>
        <v/>
      </c>
      <c r="AM2382">
        <f>IF($D2382="","",IF(OR($R2382=TRUE(),$R2382="TRUE"),1,0))</f>
        <v/>
      </c>
      <c r="AN2382">
        <f>IF($D2382="","",IF($X2382="Yes",1,0))</f>
        <v/>
      </c>
      <c r="AO2382">
        <f>IF($AK2382=1,IFERROR(IF(VALUE($D2382)&lt;100000000,VALUE($D2382),1000000000),IFERROR(IF(VALUE(MID($D2382,2,20))&lt;100000000,VALUE(MID($D2382,2,20)),1000000000),1000000000))+ROW()/100000,"")</f>
        <v/>
      </c>
    </row>
    <row r="2383">
      <c r="F2383" s="11" t="n"/>
      <c r="N2383" s="7">
        <f>IF($D2383="","",M2383*V2383/100)</f>
        <v/>
      </c>
      <c r="O2383" s="7" t="n"/>
      <c r="U2383" s="7" t="n"/>
      <c r="V2383" s="7" t="n"/>
      <c r="Y2383">
        <f>IF($D2383="","",IF($AN2383=1,0,IF($AM2383=1,Settings!$C$6,Settings!$C$7))*100)</f>
        <v/>
      </c>
      <c r="Z2383" s="7">
        <f>IF($D2383="","",V2383*Y2383/100)</f>
        <v/>
      </c>
      <c r="AA2383" s="7">
        <f>IF($D2383="","",V2383-Z2383)</f>
        <v/>
      </c>
      <c r="AB2383" s="7">
        <f>IF($D2383="","",AA2383-N2383)</f>
        <v/>
      </c>
      <c r="AF2383" s="7" t="n"/>
      <c r="AI2383" s="11" t="n"/>
      <c r="AK2383">
        <f>IF($D2383="","",IF(COUNTIF($D$2:$D2383,$D2383)=1,1,0))</f>
        <v/>
      </c>
      <c r="AL2383">
        <f>IF($AK2383=1,SUMPRODUCT(--($AO$2:$AO$3001&lt;$AO2383))+1,"")</f>
        <v/>
      </c>
      <c r="AM2383">
        <f>IF($D2383="","",IF(OR($R2383=TRUE(),$R2383="TRUE"),1,0))</f>
        <v/>
      </c>
      <c r="AN2383">
        <f>IF($D2383="","",IF($X2383="Yes",1,0))</f>
        <v/>
      </c>
      <c r="AO2383">
        <f>IF($AK2383=1,IFERROR(IF(VALUE($D2383)&lt;100000000,VALUE($D2383),1000000000),IFERROR(IF(VALUE(MID($D2383,2,20))&lt;100000000,VALUE(MID($D2383,2,20)),1000000000),1000000000))+ROW()/100000,"")</f>
        <v/>
      </c>
    </row>
    <row r="2384">
      <c r="F2384" s="11" t="n"/>
      <c r="N2384" s="7">
        <f>IF($D2384="","",M2384*V2384/100)</f>
        <v/>
      </c>
      <c r="O2384" s="7" t="n"/>
      <c r="U2384" s="7" t="n"/>
      <c r="V2384" s="7" t="n"/>
      <c r="Y2384">
        <f>IF($D2384="","",IF($AN2384=1,0,IF($AM2384=1,Settings!$C$6,Settings!$C$7))*100)</f>
        <v/>
      </c>
      <c r="Z2384" s="7">
        <f>IF($D2384="","",V2384*Y2384/100)</f>
        <v/>
      </c>
      <c r="AA2384" s="7">
        <f>IF($D2384="","",V2384-Z2384)</f>
        <v/>
      </c>
      <c r="AB2384" s="7">
        <f>IF($D2384="","",AA2384-N2384)</f>
        <v/>
      </c>
      <c r="AF2384" s="7" t="n"/>
      <c r="AI2384" s="11" t="n"/>
      <c r="AK2384">
        <f>IF($D2384="","",IF(COUNTIF($D$2:$D2384,$D2384)=1,1,0))</f>
        <v/>
      </c>
      <c r="AL2384">
        <f>IF($AK2384=1,SUMPRODUCT(--($AO$2:$AO$3001&lt;$AO2384))+1,"")</f>
        <v/>
      </c>
      <c r="AM2384">
        <f>IF($D2384="","",IF(OR($R2384=TRUE(),$R2384="TRUE"),1,0))</f>
        <v/>
      </c>
      <c r="AN2384">
        <f>IF($D2384="","",IF($X2384="Yes",1,0))</f>
        <v/>
      </c>
      <c r="AO2384">
        <f>IF($AK2384=1,IFERROR(IF(VALUE($D2384)&lt;100000000,VALUE($D2384),1000000000),IFERROR(IF(VALUE(MID($D2384,2,20))&lt;100000000,VALUE(MID($D2384,2,20)),1000000000),1000000000))+ROW()/100000,"")</f>
        <v/>
      </c>
    </row>
    <row r="2385">
      <c r="F2385" s="11" t="n"/>
      <c r="N2385" s="7">
        <f>IF($D2385="","",M2385*V2385/100)</f>
        <v/>
      </c>
      <c r="O2385" s="7" t="n"/>
      <c r="U2385" s="7" t="n"/>
      <c r="V2385" s="7" t="n"/>
      <c r="Y2385">
        <f>IF($D2385="","",IF($AN2385=1,0,IF($AM2385=1,Settings!$C$6,Settings!$C$7))*100)</f>
        <v/>
      </c>
      <c r="Z2385" s="7">
        <f>IF($D2385="","",V2385*Y2385/100)</f>
        <v/>
      </c>
      <c r="AA2385" s="7">
        <f>IF($D2385="","",V2385-Z2385)</f>
        <v/>
      </c>
      <c r="AB2385" s="7">
        <f>IF($D2385="","",AA2385-N2385)</f>
        <v/>
      </c>
      <c r="AF2385" s="7" t="n"/>
      <c r="AI2385" s="11" t="n"/>
      <c r="AK2385">
        <f>IF($D2385="","",IF(COUNTIF($D$2:$D2385,$D2385)=1,1,0))</f>
        <v/>
      </c>
      <c r="AL2385">
        <f>IF($AK2385=1,SUMPRODUCT(--($AO$2:$AO$3001&lt;$AO2385))+1,"")</f>
        <v/>
      </c>
      <c r="AM2385">
        <f>IF($D2385="","",IF(OR($R2385=TRUE(),$R2385="TRUE"),1,0))</f>
        <v/>
      </c>
      <c r="AN2385">
        <f>IF($D2385="","",IF($X2385="Yes",1,0))</f>
        <v/>
      </c>
      <c r="AO2385">
        <f>IF($AK2385=1,IFERROR(IF(VALUE($D2385)&lt;100000000,VALUE($D2385),1000000000),IFERROR(IF(VALUE(MID($D2385,2,20))&lt;100000000,VALUE(MID($D2385,2,20)),1000000000),1000000000))+ROW()/100000,"")</f>
        <v/>
      </c>
    </row>
    <row r="2386">
      <c r="F2386" s="11" t="n"/>
      <c r="N2386" s="7">
        <f>IF($D2386="","",M2386*V2386/100)</f>
        <v/>
      </c>
      <c r="O2386" s="7" t="n"/>
      <c r="U2386" s="7" t="n"/>
      <c r="V2386" s="7" t="n"/>
      <c r="Y2386">
        <f>IF($D2386="","",IF($AN2386=1,0,IF($AM2386=1,Settings!$C$6,Settings!$C$7))*100)</f>
        <v/>
      </c>
      <c r="Z2386" s="7">
        <f>IF($D2386="","",V2386*Y2386/100)</f>
        <v/>
      </c>
      <c r="AA2386" s="7">
        <f>IF($D2386="","",V2386-Z2386)</f>
        <v/>
      </c>
      <c r="AB2386" s="7">
        <f>IF($D2386="","",AA2386-N2386)</f>
        <v/>
      </c>
      <c r="AF2386" s="7" t="n"/>
      <c r="AI2386" s="11" t="n"/>
      <c r="AK2386">
        <f>IF($D2386="","",IF(COUNTIF($D$2:$D2386,$D2386)=1,1,0))</f>
        <v/>
      </c>
      <c r="AL2386">
        <f>IF($AK2386=1,SUMPRODUCT(--($AO$2:$AO$3001&lt;$AO2386))+1,"")</f>
        <v/>
      </c>
      <c r="AM2386">
        <f>IF($D2386="","",IF(OR($R2386=TRUE(),$R2386="TRUE"),1,0))</f>
        <v/>
      </c>
      <c r="AN2386">
        <f>IF($D2386="","",IF($X2386="Yes",1,0))</f>
        <v/>
      </c>
      <c r="AO2386">
        <f>IF($AK2386=1,IFERROR(IF(VALUE($D2386)&lt;100000000,VALUE($D2386),1000000000),IFERROR(IF(VALUE(MID($D2386,2,20))&lt;100000000,VALUE(MID($D2386,2,20)),1000000000),1000000000))+ROW()/100000,"")</f>
        <v/>
      </c>
    </row>
    <row r="2387">
      <c r="F2387" s="11" t="n"/>
      <c r="N2387" s="7">
        <f>IF($D2387="","",M2387*V2387/100)</f>
        <v/>
      </c>
      <c r="O2387" s="7" t="n"/>
      <c r="U2387" s="7" t="n"/>
      <c r="V2387" s="7" t="n"/>
      <c r="Y2387">
        <f>IF($D2387="","",IF($AN2387=1,0,IF($AM2387=1,Settings!$C$6,Settings!$C$7))*100)</f>
        <v/>
      </c>
      <c r="Z2387" s="7">
        <f>IF($D2387="","",V2387*Y2387/100)</f>
        <v/>
      </c>
      <c r="AA2387" s="7">
        <f>IF($D2387="","",V2387-Z2387)</f>
        <v/>
      </c>
      <c r="AB2387" s="7">
        <f>IF($D2387="","",AA2387-N2387)</f>
        <v/>
      </c>
      <c r="AF2387" s="7" t="n"/>
      <c r="AI2387" s="11" t="n"/>
      <c r="AK2387">
        <f>IF($D2387="","",IF(COUNTIF($D$2:$D2387,$D2387)=1,1,0))</f>
        <v/>
      </c>
      <c r="AL2387">
        <f>IF($AK2387=1,SUMPRODUCT(--($AO$2:$AO$3001&lt;$AO2387))+1,"")</f>
        <v/>
      </c>
      <c r="AM2387">
        <f>IF($D2387="","",IF(OR($R2387=TRUE(),$R2387="TRUE"),1,0))</f>
        <v/>
      </c>
      <c r="AN2387">
        <f>IF($D2387="","",IF($X2387="Yes",1,0))</f>
        <v/>
      </c>
      <c r="AO2387">
        <f>IF($AK2387=1,IFERROR(IF(VALUE($D2387)&lt;100000000,VALUE($D2387),1000000000),IFERROR(IF(VALUE(MID($D2387,2,20))&lt;100000000,VALUE(MID($D2387,2,20)),1000000000),1000000000))+ROW()/100000,"")</f>
        <v/>
      </c>
    </row>
    <row r="2388">
      <c r="F2388" s="11" t="n"/>
      <c r="N2388" s="7">
        <f>IF($D2388="","",M2388*V2388/100)</f>
        <v/>
      </c>
      <c r="O2388" s="7" t="n"/>
      <c r="U2388" s="7" t="n"/>
      <c r="V2388" s="7" t="n"/>
      <c r="Y2388">
        <f>IF($D2388="","",IF($AN2388=1,0,IF($AM2388=1,Settings!$C$6,Settings!$C$7))*100)</f>
        <v/>
      </c>
      <c r="Z2388" s="7">
        <f>IF($D2388="","",V2388*Y2388/100)</f>
        <v/>
      </c>
      <c r="AA2388" s="7">
        <f>IF($D2388="","",V2388-Z2388)</f>
        <v/>
      </c>
      <c r="AB2388" s="7">
        <f>IF($D2388="","",AA2388-N2388)</f>
        <v/>
      </c>
      <c r="AF2388" s="7" t="n"/>
      <c r="AI2388" s="11" t="n"/>
      <c r="AK2388">
        <f>IF($D2388="","",IF(COUNTIF($D$2:$D2388,$D2388)=1,1,0))</f>
        <v/>
      </c>
      <c r="AL2388">
        <f>IF($AK2388=1,SUMPRODUCT(--($AO$2:$AO$3001&lt;$AO2388))+1,"")</f>
        <v/>
      </c>
      <c r="AM2388">
        <f>IF($D2388="","",IF(OR($R2388=TRUE(),$R2388="TRUE"),1,0))</f>
        <v/>
      </c>
      <c r="AN2388">
        <f>IF($D2388="","",IF($X2388="Yes",1,0))</f>
        <v/>
      </c>
      <c r="AO2388">
        <f>IF($AK2388=1,IFERROR(IF(VALUE($D2388)&lt;100000000,VALUE($D2388),1000000000),IFERROR(IF(VALUE(MID($D2388,2,20))&lt;100000000,VALUE(MID($D2388,2,20)),1000000000),1000000000))+ROW()/100000,"")</f>
        <v/>
      </c>
    </row>
    <row r="2389">
      <c r="F2389" s="11" t="n"/>
      <c r="N2389" s="7">
        <f>IF($D2389="","",M2389*V2389/100)</f>
        <v/>
      </c>
      <c r="O2389" s="7" t="n"/>
      <c r="U2389" s="7" t="n"/>
      <c r="V2389" s="7" t="n"/>
      <c r="Y2389">
        <f>IF($D2389="","",IF($AN2389=1,0,IF($AM2389=1,Settings!$C$6,Settings!$C$7))*100)</f>
        <v/>
      </c>
      <c r="Z2389" s="7">
        <f>IF($D2389="","",V2389*Y2389/100)</f>
        <v/>
      </c>
      <c r="AA2389" s="7">
        <f>IF($D2389="","",V2389-Z2389)</f>
        <v/>
      </c>
      <c r="AB2389" s="7">
        <f>IF($D2389="","",AA2389-N2389)</f>
        <v/>
      </c>
      <c r="AF2389" s="7" t="n"/>
      <c r="AI2389" s="11" t="n"/>
      <c r="AK2389">
        <f>IF($D2389="","",IF(COUNTIF($D$2:$D2389,$D2389)=1,1,0))</f>
        <v/>
      </c>
      <c r="AL2389">
        <f>IF($AK2389=1,SUMPRODUCT(--($AO$2:$AO$3001&lt;$AO2389))+1,"")</f>
        <v/>
      </c>
      <c r="AM2389">
        <f>IF($D2389="","",IF(OR($R2389=TRUE(),$R2389="TRUE"),1,0))</f>
        <v/>
      </c>
      <c r="AN2389">
        <f>IF($D2389="","",IF($X2389="Yes",1,0))</f>
        <v/>
      </c>
      <c r="AO2389">
        <f>IF($AK2389=1,IFERROR(IF(VALUE($D2389)&lt;100000000,VALUE($D2389),1000000000),IFERROR(IF(VALUE(MID($D2389,2,20))&lt;100000000,VALUE(MID($D2389,2,20)),1000000000),1000000000))+ROW()/100000,"")</f>
        <v/>
      </c>
    </row>
    <row r="2390">
      <c r="F2390" s="11" t="n"/>
      <c r="N2390" s="7">
        <f>IF($D2390="","",M2390*V2390/100)</f>
        <v/>
      </c>
      <c r="O2390" s="7" t="n"/>
      <c r="U2390" s="7" t="n"/>
      <c r="V2390" s="7" t="n"/>
      <c r="Y2390">
        <f>IF($D2390="","",IF($AN2390=1,0,IF($AM2390=1,Settings!$C$6,Settings!$C$7))*100)</f>
        <v/>
      </c>
      <c r="Z2390" s="7">
        <f>IF($D2390="","",V2390*Y2390/100)</f>
        <v/>
      </c>
      <c r="AA2390" s="7">
        <f>IF($D2390="","",V2390-Z2390)</f>
        <v/>
      </c>
      <c r="AB2390" s="7">
        <f>IF($D2390="","",AA2390-N2390)</f>
        <v/>
      </c>
      <c r="AF2390" s="7" t="n"/>
      <c r="AI2390" s="11" t="n"/>
      <c r="AK2390">
        <f>IF($D2390="","",IF(COUNTIF($D$2:$D2390,$D2390)=1,1,0))</f>
        <v/>
      </c>
      <c r="AL2390">
        <f>IF($AK2390=1,SUMPRODUCT(--($AO$2:$AO$3001&lt;$AO2390))+1,"")</f>
        <v/>
      </c>
      <c r="AM2390">
        <f>IF($D2390="","",IF(OR($R2390=TRUE(),$R2390="TRUE"),1,0))</f>
        <v/>
      </c>
      <c r="AN2390">
        <f>IF($D2390="","",IF($X2390="Yes",1,0))</f>
        <v/>
      </c>
      <c r="AO2390">
        <f>IF($AK2390=1,IFERROR(IF(VALUE($D2390)&lt;100000000,VALUE($D2390),1000000000),IFERROR(IF(VALUE(MID($D2390,2,20))&lt;100000000,VALUE(MID($D2390,2,20)),1000000000),1000000000))+ROW()/100000,"")</f>
        <v/>
      </c>
    </row>
    <row r="2391">
      <c r="F2391" s="11" t="n"/>
      <c r="N2391" s="7">
        <f>IF($D2391="","",M2391*V2391/100)</f>
        <v/>
      </c>
      <c r="O2391" s="7" t="n"/>
      <c r="U2391" s="7" t="n"/>
      <c r="V2391" s="7" t="n"/>
      <c r="Y2391">
        <f>IF($D2391="","",IF($AN2391=1,0,IF($AM2391=1,Settings!$C$6,Settings!$C$7))*100)</f>
        <v/>
      </c>
      <c r="Z2391" s="7">
        <f>IF($D2391="","",V2391*Y2391/100)</f>
        <v/>
      </c>
      <c r="AA2391" s="7">
        <f>IF($D2391="","",V2391-Z2391)</f>
        <v/>
      </c>
      <c r="AB2391" s="7">
        <f>IF($D2391="","",AA2391-N2391)</f>
        <v/>
      </c>
      <c r="AF2391" s="7" t="n"/>
      <c r="AI2391" s="11" t="n"/>
      <c r="AK2391">
        <f>IF($D2391="","",IF(COUNTIF($D$2:$D2391,$D2391)=1,1,0))</f>
        <v/>
      </c>
      <c r="AL2391">
        <f>IF($AK2391=1,SUMPRODUCT(--($AO$2:$AO$3001&lt;$AO2391))+1,"")</f>
        <v/>
      </c>
      <c r="AM2391">
        <f>IF($D2391="","",IF(OR($R2391=TRUE(),$R2391="TRUE"),1,0))</f>
        <v/>
      </c>
      <c r="AN2391">
        <f>IF($D2391="","",IF($X2391="Yes",1,0))</f>
        <v/>
      </c>
      <c r="AO2391">
        <f>IF($AK2391=1,IFERROR(IF(VALUE($D2391)&lt;100000000,VALUE($D2391),1000000000),IFERROR(IF(VALUE(MID($D2391,2,20))&lt;100000000,VALUE(MID($D2391,2,20)),1000000000),1000000000))+ROW()/100000,"")</f>
        <v/>
      </c>
    </row>
    <row r="2392">
      <c r="F2392" s="11" t="n"/>
      <c r="N2392" s="7">
        <f>IF($D2392="","",M2392*V2392/100)</f>
        <v/>
      </c>
      <c r="O2392" s="7" t="n"/>
      <c r="U2392" s="7" t="n"/>
      <c r="V2392" s="7" t="n"/>
      <c r="Y2392">
        <f>IF($D2392="","",IF($AN2392=1,0,IF($AM2392=1,Settings!$C$6,Settings!$C$7))*100)</f>
        <v/>
      </c>
      <c r="Z2392" s="7">
        <f>IF($D2392="","",V2392*Y2392/100)</f>
        <v/>
      </c>
      <c r="AA2392" s="7">
        <f>IF($D2392="","",V2392-Z2392)</f>
        <v/>
      </c>
      <c r="AB2392" s="7">
        <f>IF($D2392="","",AA2392-N2392)</f>
        <v/>
      </c>
      <c r="AF2392" s="7" t="n"/>
      <c r="AI2392" s="11" t="n"/>
      <c r="AK2392">
        <f>IF($D2392="","",IF(COUNTIF($D$2:$D2392,$D2392)=1,1,0))</f>
        <v/>
      </c>
      <c r="AL2392">
        <f>IF($AK2392=1,SUMPRODUCT(--($AO$2:$AO$3001&lt;$AO2392))+1,"")</f>
        <v/>
      </c>
      <c r="AM2392">
        <f>IF($D2392="","",IF(OR($R2392=TRUE(),$R2392="TRUE"),1,0))</f>
        <v/>
      </c>
      <c r="AN2392">
        <f>IF($D2392="","",IF($X2392="Yes",1,0))</f>
        <v/>
      </c>
      <c r="AO2392">
        <f>IF($AK2392=1,IFERROR(IF(VALUE($D2392)&lt;100000000,VALUE($D2392),1000000000),IFERROR(IF(VALUE(MID($D2392,2,20))&lt;100000000,VALUE(MID($D2392,2,20)),1000000000),1000000000))+ROW()/100000,"")</f>
        <v/>
      </c>
    </row>
    <row r="2393">
      <c r="F2393" s="11" t="n"/>
      <c r="N2393" s="7">
        <f>IF($D2393="","",M2393*V2393/100)</f>
        <v/>
      </c>
      <c r="O2393" s="7" t="n"/>
      <c r="U2393" s="7" t="n"/>
      <c r="V2393" s="7" t="n"/>
      <c r="Y2393">
        <f>IF($D2393="","",IF($AN2393=1,0,IF($AM2393=1,Settings!$C$6,Settings!$C$7))*100)</f>
        <v/>
      </c>
      <c r="Z2393" s="7">
        <f>IF($D2393="","",V2393*Y2393/100)</f>
        <v/>
      </c>
      <c r="AA2393" s="7">
        <f>IF($D2393="","",V2393-Z2393)</f>
        <v/>
      </c>
      <c r="AB2393" s="7">
        <f>IF($D2393="","",AA2393-N2393)</f>
        <v/>
      </c>
      <c r="AF2393" s="7" t="n"/>
      <c r="AI2393" s="11" t="n"/>
      <c r="AK2393">
        <f>IF($D2393="","",IF(COUNTIF($D$2:$D2393,$D2393)=1,1,0))</f>
        <v/>
      </c>
      <c r="AL2393">
        <f>IF($AK2393=1,SUMPRODUCT(--($AO$2:$AO$3001&lt;$AO2393))+1,"")</f>
        <v/>
      </c>
      <c r="AM2393">
        <f>IF($D2393="","",IF(OR($R2393=TRUE(),$R2393="TRUE"),1,0))</f>
        <v/>
      </c>
      <c r="AN2393">
        <f>IF($D2393="","",IF($X2393="Yes",1,0))</f>
        <v/>
      </c>
      <c r="AO2393">
        <f>IF($AK2393=1,IFERROR(IF(VALUE($D2393)&lt;100000000,VALUE($D2393),1000000000),IFERROR(IF(VALUE(MID($D2393,2,20))&lt;100000000,VALUE(MID($D2393,2,20)),1000000000),1000000000))+ROW()/100000,"")</f>
        <v/>
      </c>
    </row>
    <row r="2394">
      <c r="F2394" s="11" t="n"/>
      <c r="N2394" s="7">
        <f>IF($D2394="","",M2394*V2394/100)</f>
        <v/>
      </c>
      <c r="O2394" s="7" t="n"/>
      <c r="U2394" s="7" t="n"/>
      <c r="V2394" s="7" t="n"/>
      <c r="Y2394">
        <f>IF($D2394="","",IF($AN2394=1,0,IF($AM2394=1,Settings!$C$6,Settings!$C$7))*100)</f>
        <v/>
      </c>
      <c r="Z2394" s="7">
        <f>IF($D2394="","",V2394*Y2394/100)</f>
        <v/>
      </c>
      <c r="AA2394" s="7">
        <f>IF($D2394="","",V2394-Z2394)</f>
        <v/>
      </c>
      <c r="AB2394" s="7">
        <f>IF($D2394="","",AA2394-N2394)</f>
        <v/>
      </c>
      <c r="AF2394" s="7" t="n"/>
      <c r="AI2394" s="11" t="n"/>
      <c r="AK2394">
        <f>IF($D2394="","",IF(COUNTIF($D$2:$D2394,$D2394)=1,1,0))</f>
        <v/>
      </c>
      <c r="AL2394">
        <f>IF($AK2394=1,SUMPRODUCT(--($AO$2:$AO$3001&lt;$AO2394))+1,"")</f>
        <v/>
      </c>
      <c r="AM2394">
        <f>IF($D2394="","",IF(OR($R2394=TRUE(),$R2394="TRUE"),1,0))</f>
        <v/>
      </c>
      <c r="AN2394">
        <f>IF($D2394="","",IF($X2394="Yes",1,0))</f>
        <v/>
      </c>
      <c r="AO2394">
        <f>IF($AK2394=1,IFERROR(IF(VALUE($D2394)&lt;100000000,VALUE($D2394),1000000000),IFERROR(IF(VALUE(MID($D2394,2,20))&lt;100000000,VALUE(MID($D2394,2,20)),1000000000),1000000000))+ROW()/100000,"")</f>
        <v/>
      </c>
    </row>
    <row r="2395">
      <c r="F2395" s="11" t="n"/>
      <c r="N2395" s="7">
        <f>IF($D2395="","",M2395*V2395/100)</f>
        <v/>
      </c>
      <c r="O2395" s="7" t="n"/>
      <c r="U2395" s="7" t="n"/>
      <c r="V2395" s="7" t="n"/>
      <c r="Y2395">
        <f>IF($D2395="","",IF($AN2395=1,0,IF($AM2395=1,Settings!$C$6,Settings!$C$7))*100)</f>
        <v/>
      </c>
      <c r="Z2395" s="7">
        <f>IF($D2395="","",V2395*Y2395/100)</f>
        <v/>
      </c>
      <c r="AA2395" s="7">
        <f>IF($D2395="","",V2395-Z2395)</f>
        <v/>
      </c>
      <c r="AB2395" s="7">
        <f>IF($D2395="","",AA2395-N2395)</f>
        <v/>
      </c>
      <c r="AF2395" s="7" t="n"/>
      <c r="AI2395" s="11" t="n"/>
      <c r="AK2395">
        <f>IF($D2395="","",IF(COUNTIF($D$2:$D2395,$D2395)=1,1,0))</f>
        <v/>
      </c>
      <c r="AL2395">
        <f>IF($AK2395=1,SUMPRODUCT(--($AO$2:$AO$3001&lt;$AO2395))+1,"")</f>
        <v/>
      </c>
      <c r="AM2395">
        <f>IF($D2395="","",IF(OR($R2395=TRUE(),$R2395="TRUE"),1,0))</f>
        <v/>
      </c>
      <c r="AN2395">
        <f>IF($D2395="","",IF($X2395="Yes",1,0))</f>
        <v/>
      </c>
      <c r="AO2395">
        <f>IF($AK2395=1,IFERROR(IF(VALUE($D2395)&lt;100000000,VALUE($D2395),1000000000),IFERROR(IF(VALUE(MID($D2395,2,20))&lt;100000000,VALUE(MID($D2395,2,20)),1000000000),1000000000))+ROW()/100000,"")</f>
        <v/>
      </c>
    </row>
    <row r="2396">
      <c r="F2396" s="11" t="n"/>
      <c r="N2396" s="7">
        <f>IF($D2396="","",M2396*V2396/100)</f>
        <v/>
      </c>
      <c r="O2396" s="7" t="n"/>
      <c r="U2396" s="7" t="n"/>
      <c r="V2396" s="7" t="n"/>
      <c r="Y2396">
        <f>IF($D2396="","",IF($AN2396=1,0,IF($AM2396=1,Settings!$C$6,Settings!$C$7))*100)</f>
        <v/>
      </c>
      <c r="Z2396" s="7">
        <f>IF($D2396="","",V2396*Y2396/100)</f>
        <v/>
      </c>
      <c r="AA2396" s="7">
        <f>IF($D2396="","",V2396-Z2396)</f>
        <v/>
      </c>
      <c r="AB2396" s="7">
        <f>IF($D2396="","",AA2396-N2396)</f>
        <v/>
      </c>
      <c r="AF2396" s="7" t="n"/>
      <c r="AI2396" s="11" t="n"/>
      <c r="AK2396">
        <f>IF($D2396="","",IF(COUNTIF($D$2:$D2396,$D2396)=1,1,0))</f>
        <v/>
      </c>
      <c r="AL2396">
        <f>IF($AK2396=1,SUMPRODUCT(--($AO$2:$AO$3001&lt;$AO2396))+1,"")</f>
        <v/>
      </c>
      <c r="AM2396">
        <f>IF($D2396="","",IF(OR($R2396=TRUE(),$R2396="TRUE"),1,0))</f>
        <v/>
      </c>
      <c r="AN2396">
        <f>IF($D2396="","",IF($X2396="Yes",1,0))</f>
        <v/>
      </c>
      <c r="AO2396">
        <f>IF($AK2396=1,IFERROR(IF(VALUE($D2396)&lt;100000000,VALUE($D2396),1000000000),IFERROR(IF(VALUE(MID($D2396,2,20))&lt;100000000,VALUE(MID($D2396,2,20)),1000000000),1000000000))+ROW()/100000,"")</f>
        <v/>
      </c>
    </row>
    <row r="2397">
      <c r="F2397" s="11" t="n"/>
      <c r="N2397" s="7">
        <f>IF($D2397="","",M2397*V2397/100)</f>
        <v/>
      </c>
      <c r="O2397" s="7" t="n"/>
      <c r="U2397" s="7" t="n"/>
      <c r="V2397" s="7" t="n"/>
      <c r="Y2397">
        <f>IF($D2397="","",IF($AN2397=1,0,IF($AM2397=1,Settings!$C$6,Settings!$C$7))*100)</f>
        <v/>
      </c>
      <c r="Z2397" s="7">
        <f>IF($D2397="","",V2397*Y2397/100)</f>
        <v/>
      </c>
      <c r="AA2397" s="7">
        <f>IF($D2397="","",V2397-Z2397)</f>
        <v/>
      </c>
      <c r="AB2397" s="7">
        <f>IF($D2397="","",AA2397-N2397)</f>
        <v/>
      </c>
      <c r="AF2397" s="7" t="n"/>
      <c r="AI2397" s="11" t="n"/>
      <c r="AK2397">
        <f>IF($D2397="","",IF(COUNTIF($D$2:$D2397,$D2397)=1,1,0))</f>
        <v/>
      </c>
      <c r="AL2397">
        <f>IF($AK2397=1,SUMPRODUCT(--($AO$2:$AO$3001&lt;$AO2397))+1,"")</f>
        <v/>
      </c>
      <c r="AM2397">
        <f>IF($D2397="","",IF(OR($R2397=TRUE(),$R2397="TRUE"),1,0))</f>
        <v/>
      </c>
      <c r="AN2397">
        <f>IF($D2397="","",IF($X2397="Yes",1,0))</f>
        <v/>
      </c>
      <c r="AO2397">
        <f>IF($AK2397=1,IFERROR(IF(VALUE($D2397)&lt;100000000,VALUE($D2397),1000000000),IFERROR(IF(VALUE(MID($D2397,2,20))&lt;100000000,VALUE(MID($D2397,2,20)),1000000000),1000000000))+ROW()/100000,"")</f>
        <v/>
      </c>
    </row>
    <row r="2398">
      <c r="F2398" s="11" t="n"/>
      <c r="N2398" s="7">
        <f>IF($D2398="","",M2398*V2398/100)</f>
        <v/>
      </c>
      <c r="O2398" s="7" t="n"/>
      <c r="U2398" s="7" t="n"/>
      <c r="V2398" s="7" t="n"/>
      <c r="Y2398">
        <f>IF($D2398="","",IF($AN2398=1,0,IF($AM2398=1,Settings!$C$6,Settings!$C$7))*100)</f>
        <v/>
      </c>
      <c r="Z2398" s="7">
        <f>IF($D2398="","",V2398*Y2398/100)</f>
        <v/>
      </c>
      <c r="AA2398" s="7">
        <f>IF($D2398="","",V2398-Z2398)</f>
        <v/>
      </c>
      <c r="AB2398" s="7">
        <f>IF($D2398="","",AA2398-N2398)</f>
        <v/>
      </c>
      <c r="AF2398" s="7" t="n"/>
      <c r="AI2398" s="11" t="n"/>
      <c r="AK2398">
        <f>IF($D2398="","",IF(COUNTIF($D$2:$D2398,$D2398)=1,1,0))</f>
        <v/>
      </c>
      <c r="AL2398">
        <f>IF($AK2398=1,SUMPRODUCT(--($AO$2:$AO$3001&lt;$AO2398))+1,"")</f>
        <v/>
      </c>
      <c r="AM2398">
        <f>IF($D2398="","",IF(OR($R2398=TRUE(),$R2398="TRUE"),1,0))</f>
        <v/>
      </c>
      <c r="AN2398">
        <f>IF($D2398="","",IF($X2398="Yes",1,0))</f>
        <v/>
      </c>
      <c r="AO2398">
        <f>IF($AK2398=1,IFERROR(IF(VALUE($D2398)&lt;100000000,VALUE($D2398),1000000000),IFERROR(IF(VALUE(MID($D2398,2,20))&lt;100000000,VALUE(MID($D2398,2,20)),1000000000),1000000000))+ROW()/100000,"")</f>
        <v/>
      </c>
    </row>
    <row r="2399">
      <c r="F2399" s="11" t="n"/>
      <c r="N2399" s="7">
        <f>IF($D2399="","",M2399*V2399/100)</f>
        <v/>
      </c>
      <c r="O2399" s="7" t="n"/>
      <c r="U2399" s="7" t="n"/>
      <c r="V2399" s="7" t="n"/>
      <c r="Y2399">
        <f>IF($D2399="","",IF($AN2399=1,0,IF($AM2399=1,Settings!$C$6,Settings!$C$7))*100)</f>
        <v/>
      </c>
      <c r="Z2399" s="7">
        <f>IF($D2399="","",V2399*Y2399/100)</f>
        <v/>
      </c>
      <c r="AA2399" s="7">
        <f>IF($D2399="","",V2399-Z2399)</f>
        <v/>
      </c>
      <c r="AB2399" s="7">
        <f>IF($D2399="","",AA2399-N2399)</f>
        <v/>
      </c>
      <c r="AF2399" s="7" t="n"/>
      <c r="AI2399" s="11" t="n"/>
      <c r="AK2399">
        <f>IF($D2399="","",IF(COUNTIF($D$2:$D2399,$D2399)=1,1,0))</f>
        <v/>
      </c>
      <c r="AL2399">
        <f>IF($AK2399=1,SUMPRODUCT(--($AO$2:$AO$3001&lt;$AO2399))+1,"")</f>
        <v/>
      </c>
      <c r="AM2399">
        <f>IF($D2399="","",IF(OR($R2399=TRUE(),$R2399="TRUE"),1,0))</f>
        <v/>
      </c>
      <c r="AN2399">
        <f>IF($D2399="","",IF($X2399="Yes",1,0))</f>
        <v/>
      </c>
      <c r="AO2399">
        <f>IF($AK2399=1,IFERROR(IF(VALUE($D2399)&lt;100000000,VALUE($D2399),1000000000),IFERROR(IF(VALUE(MID($D2399,2,20))&lt;100000000,VALUE(MID($D2399,2,20)),1000000000),1000000000))+ROW()/100000,"")</f>
        <v/>
      </c>
    </row>
    <row r="2400">
      <c r="F2400" s="11" t="n"/>
      <c r="N2400" s="7">
        <f>IF($D2400="","",M2400*V2400/100)</f>
        <v/>
      </c>
      <c r="O2400" s="7" t="n"/>
      <c r="U2400" s="7" t="n"/>
      <c r="V2400" s="7" t="n"/>
      <c r="Y2400">
        <f>IF($D2400="","",IF($AN2400=1,0,IF($AM2400=1,Settings!$C$6,Settings!$C$7))*100)</f>
        <v/>
      </c>
      <c r="Z2400" s="7">
        <f>IF($D2400="","",V2400*Y2400/100)</f>
        <v/>
      </c>
      <c r="AA2400" s="7">
        <f>IF($D2400="","",V2400-Z2400)</f>
        <v/>
      </c>
      <c r="AB2400" s="7">
        <f>IF($D2400="","",AA2400-N2400)</f>
        <v/>
      </c>
      <c r="AF2400" s="7" t="n"/>
      <c r="AI2400" s="11" t="n"/>
      <c r="AK2400">
        <f>IF($D2400="","",IF(COUNTIF($D$2:$D2400,$D2400)=1,1,0))</f>
        <v/>
      </c>
      <c r="AL2400">
        <f>IF($AK2400=1,SUMPRODUCT(--($AO$2:$AO$3001&lt;$AO2400))+1,"")</f>
        <v/>
      </c>
      <c r="AM2400">
        <f>IF($D2400="","",IF(OR($R2400=TRUE(),$R2400="TRUE"),1,0))</f>
        <v/>
      </c>
      <c r="AN2400">
        <f>IF($D2400="","",IF($X2400="Yes",1,0))</f>
        <v/>
      </c>
      <c r="AO2400">
        <f>IF($AK2400=1,IFERROR(IF(VALUE($D2400)&lt;100000000,VALUE($D2400),1000000000),IFERROR(IF(VALUE(MID($D2400,2,20))&lt;100000000,VALUE(MID($D2400,2,20)),1000000000),1000000000))+ROW()/100000,"")</f>
        <v/>
      </c>
    </row>
    <row r="2401">
      <c r="F2401" s="11" t="n"/>
      <c r="N2401" s="7">
        <f>IF($D2401="","",M2401*V2401/100)</f>
        <v/>
      </c>
      <c r="O2401" s="7" t="n"/>
      <c r="U2401" s="7" t="n"/>
      <c r="V2401" s="7" t="n"/>
      <c r="Y2401">
        <f>IF($D2401="","",IF($AN2401=1,0,IF($AM2401=1,Settings!$C$6,Settings!$C$7))*100)</f>
        <v/>
      </c>
      <c r="Z2401" s="7">
        <f>IF($D2401="","",V2401*Y2401/100)</f>
        <v/>
      </c>
      <c r="AA2401" s="7">
        <f>IF($D2401="","",V2401-Z2401)</f>
        <v/>
      </c>
      <c r="AB2401" s="7">
        <f>IF($D2401="","",AA2401-N2401)</f>
        <v/>
      </c>
      <c r="AF2401" s="7" t="n"/>
      <c r="AI2401" s="11" t="n"/>
      <c r="AK2401">
        <f>IF($D2401="","",IF(COUNTIF($D$2:$D2401,$D2401)=1,1,0))</f>
        <v/>
      </c>
      <c r="AL2401">
        <f>IF($AK2401=1,SUMPRODUCT(--($AO$2:$AO$3001&lt;$AO2401))+1,"")</f>
        <v/>
      </c>
      <c r="AM2401">
        <f>IF($D2401="","",IF(OR($R2401=TRUE(),$R2401="TRUE"),1,0))</f>
        <v/>
      </c>
      <c r="AN2401">
        <f>IF($D2401="","",IF($X2401="Yes",1,0))</f>
        <v/>
      </c>
      <c r="AO2401">
        <f>IF($AK2401=1,IFERROR(IF(VALUE($D2401)&lt;100000000,VALUE($D2401),1000000000),IFERROR(IF(VALUE(MID($D2401,2,20))&lt;100000000,VALUE(MID($D2401,2,20)),1000000000),1000000000))+ROW()/100000,"")</f>
        <v/>
      </c>
    </row>
    <row r="2402">
      <c r="F2402" s="11" t="n"/>
      <c r="N2402" s="7">
        <f>IF($D2402="","",M2402*V2402/100)</f>
        <v/>
      </c>
      <c r="O2402" s="7" t="n"/>
      <c r="U2402" s="7" t="n"/>
      <c r="V2402" s="7" t="n"/>
      <c r="Y2402">
        <f>IF($D2402="","",IF($AN2402=1,0,IF($AM2402=1,Settings!$C$6,Settings!$C$7))*100)</f>
        <v/>
      </c>
      <c r="Z2402" s="7">
        <f>IF($D2402="","",V2402*Y2402/100)</f>
        <v/>
      </c>
      <c r="AA2402" s="7">
        <f>IF($D2402="","",V2402-Z2402)</f>
        <v/>
      </c>
      <c r="AB2402" s="7">
        <f>IF($D2402="","",AA2402-N2402)</f>
        <v/>
      </c>
      <c r="AF2402" s="7" t="n"/>
      <c r="AI2402" s="11" t="n"/>
      <c r="AK2402">
        <f>IF($D2402="","",IF(COUNTIF($D$2:$D2402,$D2402)=1,1,0))</f>
        <v/>
      </c>
      <c r="AL2402">
        <f>IF($AK2402=1,SUMPRODUCT(--($AO$2:$AO$3001&lt;$AO2402))+1,"")</f>
        <v/>
      </c>
      <c r="AM2402">
        <f>IF($D2402="","",IF(OR($R2402=TRUE(),$R2402="TRUE"),1,0))</f>
        <v/>
      </c>
      <c r="AN2402">
        <f>IF($D2402="","",IF($X2402="Yes",1,0))</f>
        <v/>
      </c>
      <c r="AO2402">
        <f>IF($AK2402=1,IFERROR(IF(VALUE($D2402)&lt;100000000,VALUE($D2402),1000000000),IFERROR(IF(VALUE(MID($D2402,2,20))&lt;100000000,VALUE(MID($D2402,2,20)),1000000000),1000000000))+ROW()/100000,"")</f>
        <v/>
      </c>
    </row>
    <row r="2403">
      <c r="F2403" s="11" t="n"/>
      <c r="N2403" s="7">
        <f>IF($D2403="","",M2403*V2403/100)</f>
        <v/>
      </c>
      <c r="O2403" s="7" t="n"/>
      <c r="U2403" s="7" t="n"/>
      <c r="V2403" s="7" t="n"/>
      <c r="Y2403">
        <f>IF($D2403="","",IF($AN2403=1,0,IF($AM2403=1,Settings!$C$6,Settings!$C$7))*100)</f>
        <v/>
      </c>
      <c r="Z2403" s="7">
        <f>IF($D2403="","",V2403*Y2403/100)</f>
        <v/>
      </c>
      <c r="AA2403" s="7">
        <f>IF($D2403="","",V2403-Z2403)</f>
        <v/>
      </c>
      <c r="AB2403" s="7">
        <f>IF($D2403="","",AA2403-N2403)</f>
        <v/>
      </c>
      <c r="AF2403" s="7" t="n"/>
      <c r="AI2403" s="11" t="n"/>
      <c r="AK2403">
        <f>IF($D2403="","",IF(COUNTIF($D$2:$D2403,$D2403)=1,1,0))</f>
        <v/>
      </c>
      <c r="AL2403">
        <f>IF($AK2403=1,SUMPRODUCT(--($AO$2:$AO$3001&lt;$AO2403))+1,"")</f>
        <v/>
      </c>
      <c r="AM2403">
        <f>IF($D2403="","",IF(OR($R2403=TRUE(),$R2403="TRUE"),1,0))</f>
        <v/>
      </c>
      <c r="AN2403">
        <f>IF($D2403="","",IF($X2403="Yes",1,0))</f>
        <v/>
      </c>
      <c r="AO2403">
        <f>IF($AK2403=1,IFERROR(IF(VALUE($D2403)&lt;100000000,VALUE($D2403),1000000000),IFERROR(IF(VALUE(MID($D2403,2,20))&lt;100000000,VALUE(MID($D2403,2,20)),1000000000),1000000000))+ROW()/100000,"")</f>
        <v/>
      </c>
    </row>
    <row r="2404">
      <c r="F2404" s="11" t="n"/>
      <c r="N2404" s="7">
        <f>IF($D2404="","",M2404*V2404/100)</f>
        <v/>
      </c>
      <c r="O2404" s="7" t="n"/>
      <c r="U2404" s="7" t="n"/>
      <c r="V2404" s="7" t="n"/>
      <c r="Y2404">
        <f>IF($D2404="","",IF($AN2404=1,0,IF($AM2404=1,Settings!$C$6,Settings!$C$7))*100)</f>
        <v/>
      </c>
      <c r="Z2404" s="7">
        <f>IF($D2404="","",V2404*Y2404/100)</f>
        <v/>
      </c>
      <c r="AA2404" s="7">
        <f>IF($D2404="","",V2404-Z2404)</f>
        <v/>
      </c>
      <c r="AB2404" s="7">
        <f>IF($D2404="","",AA2404-N2404)</f>
        <v/>
      </c>
      <c r="AF2404" s="7" t="n"/>
      <c r="AI2404" s="11" t="n"/>
      <c r="AK2404">
        <f>IF($D2404="","",IF(COUNTIF($D$2:$D2404,$D2404)=1,1,0))</f>
        <v/>
      </c>
      <c r="AL2404">
        <f>IF($AK2404=1,SUMPRODUCT(--($AO$2:$AO$3001&lt;$AO2404))+1,"")</f>
        <v/>
      </c>
      <c r="AM2404">
        <f>IF($D2404="","",IF(OR($R2404=TRUE(),$R2404="TRUE"),1,0))</f>
        <v/>
      </c>
      <c r="AN2404">
        <f>IF($D2404="","",IF($X2404="Yes",1,0))</f>
        <v/>
      </c>
      <c r="AO2404">
        <f>IF($AK2404=1,IFERROR(IF(VALUE($D2404)&lt;100000000,VALUE($D2404),1000000000),IFERROR(IF(VALUE(MID($D2404,2,20))&lt;100000000,VALUE(MID($D2404,2,20)),1000000000),1000000000))+ROW()/100000,"")</f>
        <v/>
      </c>
    </row>
    <row r="2405">
      <c r="F2405" s="11" t="n"/>
      <c r="N2405" s="7">
        <f>IF($D2405="","",M2405*V2405/100)</f>
        <v/>
      </c>
      <c r="O2405" s="7" t="n"/>
      <c r="U2405" s="7" t="n"/>
      <c r="V2405" s="7" t="n"/>
      <c r="Y2405">
        <f>IF($D2405="","",IF($AN2405=1,0,IF($AM2405=1,Settings!$C$6,Settings!$C$7))*100)</f>
        <v/>
      </c>
      <c r="Z2405" s="7">
        <f>IF($D2405="","",V2405*Y2405/100)</f>
        <v/>
      </c>
      <c r="AA2405" s="7">
        <f>IF($D2405="","",V2405-Z2405)</f>
        <v/>
      </c>
      <c r="AB2405" s="7">
        <f>IF($D2405="","",AA2405-N2405)</f>
        <v/>
      </c>
      <c r="AF2405" s="7" t="n"/>
      <c r="AI2405" s="11" t="n"/>
      <c r="AK2405">
        <f>IF($D2405="","",IF(COUNTIF($D$2:$D2405,$D2405)=1,1,0))</f>
        <v/>
      </c>
      <c r="AL2405">
        <f>IF($AK2405=1,SUMPRODUCT(--($AO$2:$AO$3001&lt;$AO2405))+1,"")</f>
        <v/>
      </c>
      <c r="AM2405">
        <f>IF($D2405="","",IF(OR($R2405=TRUE(),$R2405="TRUE"),1,0))</f>
        <v/>
      </c>
      <c r="AN2405">
        <f>IF($D2405="","",IF($X2405="Yes",1,0))</f>
        <v/>
      </c>
      <c r="AO2405">
        <f>IF($AK2405=1,IFERROR(IF(VALUE($D2405)&lt;100000000,VALUE($D2405),1000000000),IFERROR(IF(VALUE(MID($D2405,2,20))&lt;100000000,VALUE(MID($D2405,2,20)),1000000000),1000000000))+ROW()/100000,"")</f>
        <v/>
      </c>
    </row>
    <row r="2406">
      <c r="F2406" s="11" t="n"/>
      <c r="N2406" s="7">
        <f>IF($D2406="","",M2406*V2406/100)</f>
        <v/>
      </c>
      <c r="O2406" s="7" t="n"/>
      <c r="U2406" s="7" t="n"/>
      <c r="V2406" s="7" t="n"/>
      <c r="Y2406">
        <f>IF($D2406="","",IF($AN2406=1,0,IF($AM2406=1,Settings!$C$6,Settings!$C$7))*100)</f>
        <v/>
      </c>
      <c r="Z2406" s="7">
        <f>IF($D2406="","",V2406*Y2406/100)</f>
        <v/>
      </c>
      <c r="AA2406" s="7">
        <f>IF($D2406="","",V2406-Z2406)</f>
        <v/>
      </c>
      <c r="AB2406" s="7">
        <f>IF($D2406="","",AA2406-N2406)</f>
        <v/>
      </c>
      <c r="AF2406" s="7" t="n"/>
      <c r="AI2406" s="11" t="n"/>
      <c r="AK2406">
        <f>IF($D2406="","",IF(COUNTIF($D$2:$D2406,$D2406)=1,1,0))</f>
        <v/>
      </c>
      <c r="AL2406">
        <f>IF($AK2406=1,SUMPRODUCT(--($AO$2:$AO$3001&lt;$AO2406))+1,"")</f>
        <v/>
      </c>
      <c r="AM2406">
        <f>IF($D2406="","",IF(OR($R2406=TRUE(),$R2406="TRUE"),1,0))</f>
        <v/>
      </c>
      <c r="AN2406">
        <f>IF($D2406="","",IF($X2406="Yes",1,0))</f>
        <v/>
      </c>
      <c r="AO2406">
        <f>IF($AK2406=1,IFERROR(IF(VALUE($D2406)&lt;100000000,VALUE($D2406),1000000000),IFERROR(IF(VALUE(MID($D2406,2,20))&lt;100000000,VALUE(MID($D2406,2,20)),1000000000),1000000000))+ROW()/100000,"")</f>
        <v/>
      </c>
    </row>
    <row r="2407">
      <c r="F2407" s="11" t="n"/>
      <c r="N2407" s="7">
        <f>IF($D2407="","",M2407*V2407/100)</f>
        <v/>
      </c>
      <c r="O2407" s="7" t="n"/>
      <c r="U2407" s="7" t="n"/>
      <c r="V2407" s="7" t="n"/>
      <c r="Y2407">
        <f>IF($D2407="","",IF($AN2407=1,0,IF($AM2407=1,Settings!$C$6,Settings!$C$7))*100)</f>
        <v/>
      </c>
      <c r="Z2407" s="7">
        <f>IF($D2407="","",V2407*Y2407/100)</f>
        <v/>
      </c>
      <c r="AA2407" s="7">
        <f>IF($D2407="","",V2407-Z2407)</f>
        <v/>
      </c>
      <c r="AB2407" s="7">
        <f>IF($D2407="","",AA2407-N2407)</f>
        <v/>
      </c>
      <c r="AF2407" s="7" t="n"/>
      <c r="AI2407" s="11" t="n"/>
      <c r="AK2407">
        <f>IF($D2407="","",IF(COUNTIF($D$2:$D2407,$D2407)=1,1,0))</f>
        <v/>
      </c>
      <c r="AL2407">
        <f>IF($AK2407=1,SUMPRODUCT(--($AO$2:$AO$3001&lt;$AO2407))+1,"")</f>
        <v/>
      </c>
      <c r="AM2407">
        <f>IF($D2407="","",IF(OR($R2407=TRUE(),$R2407="TRUE"),1,0))</f>
        <v/>
      </c>
      <c r="AN2407">
        <f>IF($D2407="","",IF($X2407="Yes",1,0))</f>
        <v/>
      </c>
      <c r="AO2407">
        <f>IF($AK2407=1,IFERROR(IF(VALUE($D2407)&lt;100000000,VALUE($D2407),1000000000),IFERROR(IF(VALUE(MID($D2407,2,20))&lt;100000000,VALUE(MID($D2407,2,20)),1000000000),1000000000))+ROW()/100000,"")</f>
        <v/>
      </c>
    </row>
    <row r="2408">
      <c r="F2408" s="11" t="n"/>
      <c r="N2408" s="7">
        <f>IF($D2408="","",M2408*V2408/100)</f>
        <v/>
      </c>
      <c r="O2408" s="7" t="n"/>
      <c r="U2408" s="7" t="n"/>
      <c r="V2408" s="7" t="n"/>
      <c r="Y2408">
        <f>IF($D2408="","",IF($AN2408=1,0,IF($AM2408=1,Settings!$C$6,Settings!$C$7))*100)</f>
        <v/>
      </c>
      <c r="Z2408" s="7">
        <f>IF($D2408="","",V2408*Y2408/100)</f>
        <v/>
      </c>
      <c r="AA2408" s="7">
        <f>IF($D2408="","",V2408-Z2408)</f>
        <v/>
      </c>
      <c r="AB2408" s="7">
        <f>IF($D2408="","",AA2408-N2408)</f>
        <v/>
      </c>
      <c r="AF2408" s="7" t="n"/>
      <c r="AI2408" s="11" t="n"/>
      <c r="AK2408">
        <f>IF($D2408="","",IF(COUNTIF($D$2:$D2408,$D2408)=1,1,0))</f>
        <v/>
      </c>
      <c r="AL2408">
        <f>IF($AK2408=1,SUMPRODUCT(--($AO$2:$AO$3001&lt;$AO2408))+1,"")</f>
        <v/>
      </c>
      <c r="AM2408">
        <f>IF($D2408="","",IF(OR($R2408=TRUE(),$R2408="TRUE"),1,0))</f>
        <v/>
      </c>
      <c r="AN2408">
        <f>IF($D2408="","",IF($X2408="Yes",1,0))</f>
        <v/>
      </c>
      <c r="AO2408">
        <f>IF($AK2408=1,IFERROR(IF(VALUE($D2408)&lt;100000000,VALUE($D2408),1000000000),IFERROR(IF(VALUE(MID($D2408,2,20))&lt;100000000,VALUE(MID($D2408,2,20)),1000000000),1000000000))+ROW()/100000,"")</f>
        <v/>
      </c>
    </row>
    <row r="2409">
      <c r="F2409" s="11" t="n"/>
      <c r="N2409" s="7">
        <f>IF($D2409="","",M2409*V2409/100)</f>
        <v/>
      </c>
      <c r="O2409" s="7" t="n"/>
      <c r="U2409" s="7" t="n"/>
      <c r="V2409" s="7" t="n"/>
      <c r="Y2409">
        <f>IF($D2409="","",IF($AN2409=1,0,IF($AM2409=1,Settings!$C$6,Settings!$C$7))*100)</f>
        <v/>
      </c>
      <c r="Z2409" s="7">
        <f>IF($D2409="","",V2409*Y2409/100)</f>
        <v/>
      </c>
      <c r="AA2409" s="7">
        <f>IF($D2409="","",V2409-Z2409)</f>
        <v/>
      </c>
      <c r="AB2409" s="7">
        <f>IF($D2409="","",AA2409-N2409)</f>
        <v/>
      </c>
      <c r="AF2409" s="7" t="n"/>
      <c r="AI2409" s="11" t="n"/>
      <c r="AK2409">
        <f>IF($D2409="","",IF(COUNTIF($D$2:$D2409,$D2409)=1,1,0))</f>
        <v/>
      </c>
      <c r="AL2409">
        <f>IF($AK2409=1,SUMPRODUCT(--($AO$2:$AO$3001&lt;$AO2409))+1,"")</f>
        <v/>
      </c>
      <c r="AM2409">
        <f>IF($D2409="","",IF(OR($R2409=TRUE(),$R2409="TRUE"),1,0))</f>
        <v/>
      </c>
      <c r="AN2409">
        <f>IF($D2409="","",IF($X2409="Yes",1,0))</f>
        <v/>
      </c>
      <c r="AO2409">
        <f>IF($AK2409=1,IFERROR(IF(VALUE($D2409)&lt;100000000,VALUE($D2409),1000000000),IFERROR(IF(VALUE(MID($D2409,2,20))&lt;100000000,VALUE(MID($D2409,2,20)),1000000000),1000000000))+ROW()/100000,"")</f>
        <v/>
      </c>
    </row>
    <row r="2410">
      <c r="F2410" s="11" t="n"/>
      <c r="N2410" s="7">
        <f>IF($D2410="","",M2410*V2410/100)</f>
        <v/>
      </c>
      <c r="O2410" s="7" t="n"/>
      <c r="U2410" s="7" t="n"/>
      <c r="V2410" s="7" t="n"/>
      <c r="Y2410">
        <f>IF($D2410="","",IF($AN2410=1,0,IF($AM2410=1,Settings!$C$6,Settings!$C$7))*100)</f>
        <v/>
      </c>
      <c r="Z2410" s="7">
        <f>IF($D2410="","",V2410*Y2410/100)</f>
        <v/>
      </c>
      <c r="AA2410" s="7">
        <f>IF($D2410="","",V2410-Z2410)</f>
        <v/>
      </c>
      <c r="AB2410" s="7">
        <f>IF($D2410="","",AA2410-N2410)</f>
        <v/>
      </c>
      <c r="AF2410" s="7" t="n"/>
      <c r="AI2410" s="11" t="n"/>
      <c r="AK2410">
        <f>IF($D2410="","",IF(COUNTIF($D$2:$D2410,$D2410)=1,1,0))</f>
        <v/>
      </c>
      <c r="AL2410">
        <f>IF($AK2410=1,SUMPRODUCT(--($AO$2:$AO$3001&lt;$AO2410))+1,"")</f>
        <v/>
      </c>
      <c r="AM2410">
        <f>IF($D2410="","",IF(OR($R2410=TRUE(),$R2410="TRUE"),1,0))</f>
        <v/>
      </c>
      <c r="AN2410">
        <f>IF($D2410="","",IF($X2410="Yes",1,0))</f>
        <v/>
      </c>
      <c r="AO2410">
        <f>IF($AK2410=1,IFERROR(IF(VALUE($D2410)&lt;100000000,VALUE($D2410),1000000000),IFERROR(IF(VALUE(MID($D2410,2,20))&lt;100000000,VALUE(MID($D2410,2,20)),1000000000),1000000000))+ROW()/100000,"")</f>
        <v/>
      </c>
    </row>
    <row r="2411">
      <c r="F2411" s="11" t="n"/>
      <c r="N2411" s="7">
        <f>IF($D2411="","",M2411*V2411/100)</f>
        <v/>
      </c>
      <c r="O2411" s="7" t="n"/>
      <c r="U2411" s="7" t="n"/>
      <c r="V2411" s="7" t="n"/>
      <c r="Y2411">
        <f>IF($D2411="","",IF($AN2411=1,0,IF($AM2411=1,Settings!$C$6,Settings!$C$7))*100)</f>
        <v/>
      </c>
      <c r="Z2411" s="7">
        <f>IF($D2411="","",V2411*Y2411/100)</f>
        <v/>
      </c>
      <c r="AA2411" s="7">
        <f>IF($D2411="","",V2411-Z2411)</f>
        <v/>
      </c>
      <c r="AB2411" s="7">
        <f>IF($D2411="","",AA2411-N2411)</f>
        <v/>
      </c>
      <c r="AF2411" s="7" t="n"/>
      <c r="AI2411" s="11" t="n"/>
      <c r="AK2411">
        <f>IF($D2411="","",IF(COUNTIF($D$2:$D2411,$D2411)=1,1,0))</f>
        <v/>
      </c>
      <c r="AL2411">
        <f>IF($AK2411=1,SUMPRODUCT(--($AO$2:$AO$3001&lt;$AO2411))+1,"")</f>
        <v/>
      </c>
      <c r="AM2411">
        <f>IF($D2411="","",IF(OR($R2411=TRUE(),$R2411="TRUE"),1,0))</f>
        <v/>
      </c>
      <c r="AN2411">
        <f>IF($D2411="","",IF($X2411="Yes",1,0))</f>
        <v/>
      </c>
      <c r="AO2411">
        <f>IF($AK2411=1,IFERROR(IF(VALUE($D2411)&lt;100000000,VALUE($D2411),1000000000),IFERROR(IF(VALUE(MID($D2411,2,20))&lt;100000000,VALUE(MID($D2411,2,20)),1000000000),1000000000))+ROW()/100000,"")</f>
        <v/>
      </c>
    </row>
    <row r="2412">
      <c r="F2412" s="11" t="n"/>
      <c r="N2412" s="7">
        <f>IF($D2412="","",M2412*V2412/100)</f>
        <v/>
      </c>
      <c r="O2412" s="7" t="n"/>
      <c r="U2412" s="7" t="n"/>
      <c r="V2412" s="7" t="n"/>
      <c r="Y2412">
        <f>IF($D2412="","",IF($AN2412=1,0,IF($AM2412=1,Settings!$C$6,Settings!$C$7))*100)</f>
        <v/>
      </c>
      <c r="Z2412" s="7">
        <f>IF($D2412="","",V2412*Y2412/100)</f>
        <v/>
      </c>
      <c r="AA2412" s="7">
        <f>IF($D2412="","",V2412-Z2412)</f>
        <v/>
      </c>
      <c r="AB2412" s="7">
        <f>IF($D2412="","",AA2412-N2412)</f>
        <v/>
      </c>
      <c r="AF2412" s="7" t="n"/>
      <c r="AI2412" s="11" t="n"/>
      <c r="AK2412">
        <f>IF($D2412="","",IF(COUNTIF($D$2:$D2412,$D2412)=1,1,0))</f>
        <v/>
      </c>
      <c r="AL2412">
        <f>IF($AK2412=1,SUMPRODUCT(--($AO$2:$AO$3001&lt;$AO2412))+1,"")</f>
        <v/>
      </c>
      <c r="AM2412">
        <f>IF($D2412="","",IF(OR($R2412=TRUE(),$R2412="TRUE"),1,0))</f>
        <v/>
      </c>
      <c r="AN2412">
        <f>IF($D2412="","",IF($X2412="Yes",1,0))</f>
        <v/>
      </c>
      <c r="AO2412">
        <f>IF($AK2412=1,IFERROR(IF(VALUE($D2412)&lt;100000000,VALUE($D2412),1000000000),IFERROR(IF(VALUE(MID($D2412,2,20))&lt;100000000,VALUE(MID($D2412,2,20)),1000000000),1000000000))+ROW()/100000,"")</f>
        <v/>
      </c>
    </row>
    <row r="2413">
      <c r="F2413" s="11" t="n"/>
      <c r="N2413" s="7">
        <f>IF($D2413="","",M2413*V2413/100)</f>
        <v/>
      </c>
      <c r="O2413" s="7" t="n"/>
      <c r="U2413" s="7" t="n"/>
      <c r="V2413" s="7" t="n"/>
      <c r="Y2413">
        <f>IF($D2413="","",IF($AN2413=1,0,IF($AM2413=1,Settings!$C$6,Settings!$C$7))*100)</f>
        <v/>
      </c>
      <c r="Z2413" s="7">
        <f>IF($D2413="","",V2413*Y2413/100)</f>
        <v/>
      </c>
      <c r="AA2413" s="7">
        <f>IF($D2413="","",V2413-Z2413)</f>
        <v/>
      </c>
      <c r="AB2413" s="7">
        <f>IF($D2413="","",AA2413-N2413)</f>
        <v/>
      </c>
      <c r="AF2413" s="7" t="n"/>
      <c r="AI2413" s="11" t="n"/>
      <c r="AK2413">
        <f>IF($D2413="","",IF(COUNTIF($D$2:$D2413,$D2413)=1,1,0))</f>
        <v/>
      </c>
      <c r="AL2413">
        <f>IF($AK2413=1,SUMPRODUCT(--($AO$2:$AO$3001&lt;$AO2413))+1,"")</f>
        <v/>
      </c>
      <c r="AM2413">
        <f>IF($D2413="","",IF(OR($R2413=TRUE(),$R2413="TRUE"),1,0))</f>
        <v/>
      </c>
      <c r="AN2413">
        <f>IF($D2413="","",IF($X2413="Yes",1,0))</f>
        <v/>
      </c>
      <c r="AO2413">
        <f>IF($AK2413=1,IFERROR(IF(VALUE($D2413)&lt;100000000,VALUE($D2413),1000000000),IFERROR(IF(VALUE(MID($D2413,2,20))&lt;100000000,VALUE(MID($D2413,2,20)),1000000000),1000000000))+ROW()/100000,"")</f>
        <v/>
      </c>
    </row>
    <row r="2414">
      <c r="F2414" s="11" t="n"/>
      <c r="N2414" s="7">
        <f>IF($D2414="","",M2414*V2414/100)</f>
        <v/>
      </c>
      <c r="O2414" s="7" t="n"/>
      <c r="U2414" s="7" t="n"/>
      <c r="V2414" s="7" t="n"/>
      <c r="Y2414">
        <f>IF($D2414="","",IF($AN2414=1,0,IF($AM2414=1,Settings!$C$6,Settings!$C$7))*100)</f>
        <v/>
      </c>
      <c r="Z2414" s="7">
        <f>IF($D2414="","",V2414*Y2414/100)</f>
        <v/>
      </c>
      <c r="AA2414" s="7">
        <f>IF($D2414="","",V2414-Z2414)</f>
        <v/>
      </c>
      <c r="AB2414" s="7">
        <f>IF($D2414="","",AA2414-N2414)</f>
        <v/>
      </c>
      <c r="AF2414" s="7" t="n"/>
      <c r="AI2414" s="11" t="n"/>
      <c r="AK2414">
        <f>IF($D2414="","",IF(COUNTIF($D$2:$D2414,$D2414)=1,1,0))</f>
        <v/>
      </c>
      <c r="AL2414">
        <f>IF($AK2414=1,SUMPRODUCT(--($AO$2:$AO$3001&lt;$AO2414))+1,"")</f>
        <v/>
      </c>
      <c r="AM2414">
        <f>IF($D2414="","",IF(OR($R2414=TRUE(),$R2414="TRUE"),1,0))</f>
        <v/>
      </c>
      <c r="AN2414">
        <f>IF($D2414="","",IF($X2414="Yes",1,0))</f>
        <v/>
      </c>
      <c r="AO2414">
        <f>IF($AK2414=1,IFERROR(IF(VALUE($D2414)&lt;100000000,VALUE($D2414),1000000000),IFERROR(IF(VALUE(MID($D2414,2,20))&lt;100000000,VALUE(MID($D2414,2,20)),1000000000),1000000000))+ROW()/100000,"")</f>
        <v/>
      </c>
    </row>
    <row r="2415">
      <c r="F2415" s="11" t="n"/>
      <c r="N2415" s="7">
        <f>IF($D2415="","",M2415*V2415/100)</f>
        <v/>
      </c>
      <c r="O2415" s="7" t="n"/>
      <c r="U2415" s="7" t="n"/>
      <c r="V2415" s="7" t="n"/>
      <c r="Y2415">
        <f>IF($D2415="","",IF($AN2415=1,0,IF($AM2415=1,Settings!$C$6,Settings!$C$7))*100)</f>
        <v/>
      </c>
      <c r="Z2415" s="7">
        <f>IF($D2415="","",V2415*Y2415/100)</f>
        <v/>
      </c>
      <c r="AA2415" s="7">
        <f>IF($D2415="","",V2415-Z2415)</f>
        <v/>
      </c>
      <c r="AB2415" s="7">
        <f>IF($D2415="","",AA2415-N2415)</f>
        <v/>
      </c>
      <c r="AF2415" s="7" t="n"/>
      <c r="AI2415" s="11" t="n"/>
      <c r="AK2415">
        <f>IF($D2415="","",IF(COUNTIF($D$2:$D2415,$D2415)=1,1,0))</f>
        <v/>
      </c>
      <c r="AL2415">
        <f>IF($AK2415=1,SUMPRODUCT(--($AO$2:$AO$3001&lt;$AO2415))+1,"")</f>
        <v/>
      </c>
      <c r="AM2415">
        <f>IF($D2415="","",IF(OR($R2415=TRUE(),$R2415="TRUE"),1,0))</f>
        <v/>
      </c>
      <c r="AN2415">
        <f>IF($D2415="","",IF($X2415="Yes",1,0))</f>
        <v/>
      </c>
      <c r="AO2415">
        <f>IF($AK2415=1,IFERROR(IF(VALUE($D2415)&lt;100000000,VALUE($D2415),1000000000),IFERROR(IF(VALUE(MID($D2415,2,20))&lt;100000000,VALUE(MID($D2415,2,20)),1000000000),1000000000))+ROW()/100000,"")</f>
        <v/>
      </c>
    </row>
    <row r="2416">
      <c r="F2416" s="11" t="n"/>
      <c r="N2416" s="7">
        <f>IF($D2416="","",M2416*V2416/100)</f>
        <v/>
      </c>
      <c r="O2416" s="7" t="n"/>
      <c r="U2416" s="7" t="n"/>
      <c r="V2416" s="7" t="n"/>
      <c r="Y2416">
        <f>IF($D2416="","",IF($AN2416=1,0,IF($AM2416=1,Settings!$C$6,Settings!$C$7))*100)</f>
        <v/>
      </c>
      <c r="Z2416" s="7">
        <f>IF($D2416="","",V2416*Y2416/100)</f>
        <v/>
      </c>
      <c r="AA2416" s="7">
        <f>IF($D2416="","",V2416-Z2416)</f>
        <v/>
      </c>
      <c r="AB2416" s="7">
        <f>IF($D2416="","",AA2416-N2416)</f>
        <v/>
      </c>
      <c r="AF2416" s="7" t="n"/>
      <c r="AI2416" s="11" t="n"/>
      <c r="AK2416">
        <f>IF($D2416="","",IF(COUNTIF($D$2:$D2416,$D2416)=1,1,0))</f>
        <v/>
      </c>
      <c r="AL2416">
        <f>IF($AK2416=1,SUMPRODUCT(--($AO$2:$AO$3001&lt;$AO2416))+1,"")</f>
        <v/>
      </c>
      <c r="AM2416">
        <f>IF($D2416="","",IF(OR($R2416=TRUE(),$R2416="TRUE"),1,0))</f>
        <v/>
      </c>
      <c r="AN2416">
        <f>IF($D2416="","",IF($X2416="Yes",1,0))</f>
        <v/>
      </c>
      <c r="AO2416">
        <f>IF($AK2416=1,IFERROR(IF(VALUE($D2416)&lt;100000000,VALUE($D2416),1000000000),IFERROR(IF(VALUE(MID($D2416,2,20))&lt;100000000,VALUE(MID($D2416,2,20)),1000000000),1000000000))+ROW()/100000,"")</f>
        <v/>
      </c>
    </row>
    <row r="2417">
      <c r="F2417" s="11" t="n"/>
      <c r="N2417" s="7">
        <f>IF($D2417="","",M2417*V2417/100)</f>
        <v/>
      </c>
      <c r="O2417" s="7" t="n"/>
      <c r="U2417" s="7" t="n"/>
      <c r="V2417" s="7" t="n"/>
      <c r="Y2417">
        <f>IF($D2417="","",IF($AN2417=1,0,IF($AM2417=1,Settings!$C$6,Settings!$C$7))*100)</f>
        <v/>
      </c>
      <c r="Z2417" s="7">
        <f>IF($D2417="","",V2417*Y2417/100)</f>
        <v/>
      </c>
      <c r="AA2417" s="7">
        <f>IF($D2417="","",V2417-Z2417)</f>
        <v/>
      </c>
      <c r="AB2417" s="7">
        <f>IF($D2417="","",AA2417-N2417)</f>
        <v/>
      </c>
      <c r="AF2417" s="7" t="n"/>
      <c r="AI2417" s="11" t="n"/>
      <c r="AK2417">
        <f>IF($D2417="","",IF(COUNTIF($D$2:$D2417,$D2417)=1,1,0))</f>
        <v/>
      </c>
      <c r="AL2417">
        <f>IF($AK2417=1,SUMPRODUCT(--($AO$2:$AO$3001&lt;$AO2417))+1,"")</f>
        <v/>
      </c>
      <c r="AM2417">
        <f>IF($D2417="","",IF(OR($R2417=TRUE(),$R2417="TRUE"),1,0))</f>
        <v/>
      </c>
      <c r="AN2417">
        <f>IF($D2417="","",IF($X2417="Yes",1,0))</f>
        <v/>
      </c>
      <c r="AO2417">
        <f>IF($AK2417=1,IFERROR(IF(VALUE($D2417)&lt;100000000,VALUE($D2417),1000000000),IFERROR(IF(VALUE(MID($D2417,2,20))&lt;100000000,VALUE(MID($D2417,2,20)),1000000000),1000000000))+ROW()/100000,"")</f>
        <v/>
      </c>
    </row>
    <row r="2418">
      <c r="F2418" s="11" t="n"/>
      <c r="N2418" s="7">
        <f>IF($D2418="","",M2418*V2418/100)</f>
        <v/>
      </c>
      <c r="O2418" s="7" t="n"/>
      <c r="U2418" s="7" t="n"/>
      <c r="V2418" s="7" t="n"/>
      <c r="Y2418">
        <f>IF($D2418="","",IF($AN2418=1,0,IF($AM2418=1,Settings!$C$6,Settings!$C$7))*100)</f>
        <v/>
      </c>
      <c r="Z2418" s="7">
        <f>IF($D2418="","",V2418*Y2418/100)</f>
        <v/>
      </c>
      <c r="AA2418" s="7">
        <f>IF($D2418="","",V2418-Z2418)</f>
        <v/>
      </c>
      <c r="AB2418" s="7">
        <f>IF($D2418="","",AA2418-N2418)</f>
        <v/>
      </c>
      <c r="AF2418" s="7" t="n"/>
      <c r="AI2418" s="11" t="n"/>
      <c r="AK2418">
        <f>IF($D2418="","",IF(COUNTIF($D$2:$D2418,$D2418)=1,1,0))</f>
        <v/>
      </c>
      <c r="AL2418">
        <f>IF($AK2418=1,SUMPRODUCT(--($AO$2:$AO$3001&lt;$AO2418))+1,"")</f>
        <v/>
      </c>
      <c r="AM2418">
        <f>IF($D2418="","",IF(OR($R2418=TRUE(),$R2418="TRUE"),1,0))</f>
        <v/>
      </c>
      <c r="AN2418">
        <f>IF($D2418="","",IF($X2418="Yes",1,0))</f>
        <v/>
      </c>
      <c r="AO2418">
        <f>IF($AK2418=1,IFERROR(IF(VALUE($D2418)&lt;100000000,VALUE($D2418),1000000000),IFERROR(IF(VALUE(MID($D2418,2,20))&lt;100000000,VALUE(MID($D2418,2,20)),1000000000),1000000000))+ROW()/100000,"")</f>
        <v/>
      </c>
    </row>
    <row r="2419">
      <c r="F2419" s="11" t="n"/>
      <c r="N2419" s="7">
        <f>IF($D2419="","",M2419*V2419/100)</f>
        <v/>
      </c>
      <c r="O2419" s="7" t="n"/>
      <c r="U2419" s="7" t="n"/>
      <c r="V2419" s="7" t="n"/>
      <c r="Y2419">
        <f>IF($D2419="","",IF($AN2419=1,0,IF($AM2419=1,Settings!$C$6,Settings!$C$7))*100)</f>
        <v/>
      </c>
      <c r="Z2419" s="7">
        <f>IF($D2419="","",V2419*Y2419/100)</f>
        <v/>
      </c>
      <c r="AA2419" s="7">
        <f>IF($D2419="","",V2419-Z2419)</f>
        <v/>
      </c>
      <c r="AB2419" s="7">
        <f>IF($D2419="","",AA2419-N2419)</f>
        <v/>
      </c>
      <c r="AF2419" s="7" t="n"/>
      <c r="AI2419" s="11" t="n"/>
      <c r="AK2419">
        <f>IF($D2419="","",IF(COUNTIF($D$2:$D2419,$D2419)=1,1,0))</f>
        <v/>
      </c>
      <c r="AL2419">
        <f>IF($AK2419=1,SUMPRODUCT(--($AO$2:$AO$3001&lt;$AO2419))+1,"")</f>
        <v/>
      </c>
      <c r="AM2419">
        <f>IF($D2419="","",IF(OR($R2419=TRUE(),$R2419="TRUE"),1,0))</f>
        <v/>
      </c>
      <c r="AN2419">
        <f>IF($D2419="","",IF($X2419="Yes",1,0))</f>
        <v/>
      </c>
      <c r="AO2419">
        <f>IF($AK2419=1,IFERROR(IF(VALUE($D2419)&lt;100000000,VALUE($D2419),1000000000),IFERROR(IF(VALUE(MID($D2419,2,20))&lt;100000000,VALUE(MID($D2419,2,20)),1000000000),1000000000))+ROW()/100000,"")</f>
        <v/>
      </c>
    </row>
    <row r="2420">
      <c r="F2420" s="11" t="n"/>
      <c r="N2420" s="7">
        <f>IF($D2420="","",M2420*V2420/100)</f>
        <v/>
      </c>
      <c r="O2420" s="7" t="n"/>
      <c r="U2420" s="7" t="n"/>
      <c r="V2420" s="7" t="n"/>
      <c r="Y2420">
        <f>IF($D2420="","",IF($AN2420=1,0,IF($AM2420=1,Settings!$C$6,Settings!$C$7))*100)</f>
        <v/>
      </c>
      <c r="Z2420" s="7">
        <f>IF($D2420="","",V2420*Y2420/100)</f>
        <v/>
      </c>
      <c r="AA2420" s="7">
        <f>IF($D2420="","",V2420-Z2420)</f>
        <v/>
      </c>
      <c r="AB2420" s="7">
        <f>IF($D2420="","",AA2420-N2420)</f>
        <v/>
      </c>
      <c r="AF2420" s="7" t="n"/>
      <c r="AI2420" s="11" t="n"/>
      <c r="AK2420">
        <f>IF($D2420="","",IF(COUNTIF($D$2:$D2420,$D2420)=1,1,0))</f>
        <v/>
      </c>
      <c r="AL2420">
        <f>IF($AK2420=1,SUMPRODUCT(--($AO$2:$AO$3001&lt;$AO2420))+1,"")</f>
        <v/>
      </c>
      <c r="AM2420">
        <f>IF($D2420="","",IF(OR($R2420=TRUE(),$R2420="TRUE"),1,0))</f>
        <v/>
      </c>
      <c r="AN2420">
        <f>IF($D2420="","",IF($X2420="Yes",1,0))</f>
        <v/>
      </c>
      <c r="AO2420">
        <f>IF($AK2420=1,IFERROR(IF(VALUE($D2420)&lt;100000000,VALUE($D2420),1000000000),IFERROR(IF(VALUE(MID($D2420,2,20))&lt;100000000,VALUE(MID($D2420,2,20)),1000000000),1000000000))+ROW()/100000,"")</f>
        <v/>
      </c>
    </row>
    <row r="2421">
      <c r="F2421" s="11" t="n"/>
      <c r="N2421" s="7">
        <f>IF($D2421="","",M2421*V2421/100)</f>
        <v/>
      </c>
      <c r="O2421" s="7" t="n"/>
      <c r="U2421" s="7" t="n"/>
      <c r="V2421" s="7" t="n"/>
      <c r="Y2421">
        <f>IF($D2421="","",IF($AN2421=1,0,IF($AM2421=1,Settings!$C$6,Settings!$C$7))*100)</f>
        <v/>
      </c>
      <c r="Z2421" s="7">
        <f>IF($D2421="","",V2421*Y2421/100)</f>
        <v/>
      </c>
      <c r="AA2421" s="7">
        <f>IF($D2421="","",V2421-Z2421)</f>
        <v/>
      </c>
      <c r="AB2421" s="7">
        <f>IF($D2421="","",AA2421-N2421)</f>
        <v/>
      </c>
      <c r="AF2421" s="7" t="n"/>
      <c r="AI2421" s="11" t="n"/>
      <c r="AK2421">
        <f>IF($D2421="","",IF(COUNTIF($D$2:$D2421,$D2421)=1,1,0))</f>
        <v/>
      </c>
      <c r="AL2421">
        <f>IF($AK2421=1,SUMPRODUCT(--($AO$2:$AO$3001&lt;$AO2421))+1,"")</f>
        <v/>
      </c>
      <c r="AM2421">
        <f>IF($D2421="","",IF(OR($R2421=TRUE(),$R2421="TRUE"),1,0))</f>
        <v/>
      </c>
      <c r="AN2421">
        <f>IF($D2421="","",IF($X2421="Yes",1,0))</f>
        <v/>
      </c>
      <c r="AO2421">
        <f>IF($AK2421=1,IFERROR(IF(VALUE($D2421)&lt;100000000,VALUE($D2421),1000000000),IFERROR(IF(VALUE(MID($D2421,2,20))&lt;100000000,VALUE(MID($D2421,2,20)),1000000000),1000000000))+ROW()/100000,"")</f>
        <v/>
      </c>
    </row>
    <row r="2422">
      <c r="F2422" s="11" t="n"/>
      <c r="N2422" s="7">
        <f>IF($D2422="","",M2422*V2422/100)</f>
        <v/>
      </c>
      <c r="O2422" s="7" t="n"/>
      <c r="U2422" s="7" t="n"/>
      <c r="V2422" s="7" t="n"/>
      <c r="Y2422">
        <f>IF($D2422="","",IF($AN2422=1,0,IF($AM2422=1,Settings!$C$6,Settings!$C$7))*100)</f>
        <v/>
      </c>
      <c r="Z2422" s="7">
        <f>IF($D2422="","",V2422*Y2422/100)</f>
        <v/>
      </c>
      <c r="AA2422" s="7">
        <f>IF($D2422="","",V2422-Z2422)</f>
        <v/>
      </c>
      <c r="AB2422" s="7">
        <f>IF($D2422="","",AA2422-N2422)</f>
        <v/>
      </c>
      <c r="AF2422" s="7" t="n"/>
      <c r="AI2422" s="11" t="n"/>
      <c r="AK2422">
        <f>IF($D2422="","",IF(COUNTIF($D$2:$D2422,$D2422)=1,1,0))</f>
        <v/>
      </c>
      <c r="AL2422">
        <f>IF($AK2422=1,SUMPRODUCT(--($AO$2:$AO$3001&lt;$AO2422))+1,"")</f>
        <v/>
      </c>
      <c r="AM2422">
        <f>IF($D2422="","",IF(OR($R2422=TRUE(),$R2422="TRUE"),1,0))</f>
        <v/>
      </c>
      <c r="AN2422">
        <f>IF($D2422="","",IF($X2422="Yes",1,0))</f>
        <v/>
      </c>
      <c r="AO2422">
        <f>IF($AK2422=1,IFERROR(IF(VALUE($D2422)&lt;100000000,VALUE($D2422),1000000000),IFERROR(IF(VALUE(MID($D2422,2,20))&lt;100000000,VALUE(MID($D2422,2,20)),1000000000),1000000000))+ROW()/100000,"")</f>
        <v/>
      </c>
    </row>
    <row r="2423">
      <c r="F2423" s="11" t="n"/>
      <c r="N2423" s="7">
        <f>IF($D2423="","",M2423*V2423/100)</f>
        <v/>
      </c>
      <c r="O2423" s="7" t="n"/>
      <c r="U2423" s="7" t="n"/>
      <c r="V2423" s="7" t="n"/>
      <c r="Y2423">
        <f>IF($D2423="","",IF($AN2423=1,0,IF($AM2423=1,Settings!$C$6,Settings!$C$7))*100)</f>
        <v/>
      </c>
      <c r="Z2423" s="7">
        <f>IF($D2423="","",V2423*Y2423/100)</f>
        <v/>
      </c>
      <c r="AA2423" s="7">
        <f>IF($D2423="","",V2423-Z2423)</f>
        <v/>
      </c>
      <c r="AB2423" s="7">
        <f>IF($D2423="","",AA2423-N2423)</f>
        <v/>
      </c>
      <c r="AF2423" s="7" t="n"/>
      <c r="AI2423" s="11" t="n"/>
      <c r="AK2423">
        <f>IF($D2423="","",IF(COUNTIF($D$2:$D2423,$D2423)=1,1,0))</f>
        <v/>
      </c>
      <c r="AL2423">
        <f>IF($AK2423=1,SUMPRODUCT(--($AO$2:$AO$3001&lt;$AO2423))+1,"")</f>
        <v/>
      </c>
      <c r="AM2423">
        <f>IF($D2423="","",IF(OR($R2423=TRUE(),$R2423="TRUE"),1,0))</f>
        <v/>
      </c>
      <c r="AN2423">
        <f>IF($D2423="","",IF($X2423="Yes",1,0))</f>
        <v/>
      </c>
      <c r="AO2423">
        <f>IF($AK2423=1,IFERROR(IF(VALUE($D2423)&lt;100000000,VALUE($D2423),1000000000),IFERROR(IF(VALUE(MID($D2423,2,20))&lt;100000000,VALUE(MID($D2423,2,20)),1000000000),1000000000))+ROW()/100000,"")</f>
        <v/>
      </c>
    </row>
    <row r="2424">
      <c r="F2424" s="11" t="n"/>
      <c r="N2424" s="7">
        <f>IF($D2424="","",M2424*V2424/100)</f>
        <v/>
      </c>
      <c r="O2424" s="7" t="n"/>
      <c r="U2424" s="7" t="n"/>
      <c r="V2424" s="7" t="n"/>
      <c r="Y2424">
        <f>IF($D2424="","",IF($AN2424=1,0,IF($AM2424=1,Settings!$C$6,Settings!$C$7))*100)</f>
        <v/>
      </c>
      <c r="Z2424" s="7">
        <f>IF($D2424="","",V2424*Y2424/100)</f>
        <v/>
      </c>
      <c r="AA2424" s="7">
        <f>IF($D2424="","",V2424-Z2424)</f>
        <v/>
      </c>
      <c r="AB2424" s="7">
        <f>IF($D2424="","",AA2424-N2424)</f>
        <v/>
      </c>
      <c r="AF2424" s="7" t="n"/>
      <c r="AI2424" s="11" t="n"/>
      <c r="AK2424">
        <f>IF($D2424="","",IF(COUNTIF($D$2:$D2424,$D2424)=1,1,0))</f>
        <v/>
      </c>
      <c r="AL2424">
        <f>IF($AK2424=1,SUMPRODUCT(--($AO$2:$AO$3001&lt;$AO2424))+1,"")</f>
        <v/>
      </c>
      <c r="AM2424">
        <f>IF($D2424="","",IF(OR($R2424=TRUE(),$R2424="TRUE"),1,0))</f>
        <v/>
      </c>
      <c r="AN2424">
        <f>IF($D2424="","",IF($X2424="Yes",1,0))</f>
        <v/>
      </c>
      <c r="AO2424">
        <f>IF($AK2424=1,IFERROR(IF(VALUE($D2424)&lt;100000000,VALUE($D2424),1000000000),IFERROR(IF(VALUE(MID($D2424,2,20))&lt;100000000,VALUE(MID($D2424,2,20)),1000000000),1000000000))+ROW()/100000,"")</f>
        <v/>
      </c>
    </row>
    <row r="2425">
      <c r="F2425" s="11" t="n"/>
      <c r="N2425" s="7">
        <f>IF($D2425="","",M2425*V2425/100)</f>
        <v/>
      </c>
      <c r="O2425" s="7" t="n"/>
      <c r="U2425" s="7" t="n"/>
      <c r="V2425" s="7" t="n"/>
      <c r="Y2425">
        <f>IF($D2425="","",IF($AN2425=1,0,IF($AM2425=1,Settings!$C$6,Settings!$C$7))*100)</f>
        <v/>
      </c>
      <c r="Z2425" s="7">
        <f>IF($D2425="","",V2425*Y2425/100)</f>
        <v/>
      </c>
      <c r="AA2425" s="7">
        <f>IF($D2425="","",V2425-Z2425)</f>
        <v/>
      </c>
      <c r="AB2425" s="7">
        <f>IF($D2425="","",AA2425-N2425)</f>
        <v/>
      </c>
      <c r="AF2425" s="7" t="n"/>
      <c r="AI2425" s="11" t="n"/>
      <c r="AK2425">
        <f>IF($D2425="","",IF(COUNTIF($D$2:$D2425,$D2425)=1,1,0))</f>
        <v/>
      </c>
      <c r="AL2425">
        <f>IF($AK2425=1,SUMPRODUCT(--($AO$2:$AO$3001&lt;$AO2425))+1,"")</f>
        <v/>
      </c>
      <c r="AM2425">
        <f>IF($D2425="","",IF(OR($R2425=TRUE(),$R2425="TRUE"),1,0))</f>
        <v/>
      </c>
      <c r="AN2425">
        <f>IF($D2425="","",IF($X2425="Yes",1,0))</f>
        <v/>
      </c>
      <c r="AO2425">
        <f>IF($AK2425=1,IFERROR(IF(VALUE($D2425)&lt;100000000,VALUE($D2425),1000000000),IFERROR(IF(VALUE(MID($D2425,2,20))&lt;100000000,VALUE(MID($D2425,2,20)),1000000000),1000000000))+ROW()/100000,"")</f>
        <v/>
      </c>
    </row>
    <row r="2426">
      <c r="F2426" s="11" t="n"/>
      <c r="N2426" s="7">
        <f>IF($D2426="","",M2426*V2426/100)</f>
        <v/>
      </c>
      <c r="O2426" s="7" t="n"/>
      <c r="U2426" s="7" t="n"/>
      <c r="V2426" s="7" t="n"/>
      <c r="Y2426">
        <f>IF($D2426="","",IF($AN2426=1,0,IF($AM2426=1,Settings!$C$6,Settings!$C$7))*100)</f>
        <v/>
      </c>
      <c r="Z2426" s="7">
        <f>IF($D2426="","",V2426*Y2426/100)</f>
        <v/>
      </c>
      <c r="AA2426" s="7">
        <f>IF($D2426="","",V2426-Z2426)</f>
        <v/>
      </c>
      <c r="AB2426" s="7">
        <f>IF($D2426="","",AA2426-N2426)</f>
        <v/>
      </c>
      <c r="AF2426" s="7" t="n"/>
      <c r="AI2426" s="11" t="n"/>
      <c r="AK2426">
        <f>IF($D2426="","",IF(COUNTIF($D$2:$D2426,$D2426)=1,1,0))</f>
        <v/>
      </c>
      <c r="AL2426">
        <f>IF($AK2426=1,SUMPRODUCT(--($AO$2:$AO$3001&lt;$AO2426))+1,"")</f>
        <v/>
      </c>
      <c r="AM2426">
        <f>IF($D2426="","",IF(OR($R2426=TRUE(),$R2426="TRUE"),1,0))</f>
        <v/>
      </c>
      <c r="AN2426">
        <f>IF($D2426="","",IF($X2426="Yes",1,0))</f>
        <v/>
      </c>
      <c r="AO2426">
        <f>IF($AK2426=1,IFERROR(IF(VALUE($D2426)&lt;100000000,VALUE($D2426),1000000000),IFERROR(IF(VALUE(MID($D2426,2,20))&lt;100000000,VALUE(MID($D2426,2,20)),1000000000),1000000000))+ROW()/100000,"")</f>
        <v/>
      </c>
    </row>
    <row r="2427">
      <c r="F2427" s="11" t="n"/>
      <c r="N2427" s="7">
        <f>IF($D2427="","",M2427*V2427/100)</f>
        <v/>
      </c>
      <c r="O2427" s="7" t="n"/>
      <c r="U2427" s="7" t="n"/>
      <c r="V2427" s="7" t="n"/>
      <c r="Y2427">
        <f>IF($D2427="","",IF($AN2427=1,0,IF($AM2427=1,Settings!$C$6,Settings!$C$7))*100)</f>
        <v/>
      </c>
      <c r="Z2427" s="7">
        <f>IF($D2427="","",V2427*Y2427/100)</f>
        <v/>
      </c>
      <c r="AA2427" s="7">
        <f>IF($D2427="","",V2427-Z2427)</f>
        <v/>
      </c>
      <c r="AB2427" s="7">
        <f>IF($D2427="","",AA2427-N2427)</f>
        <v/>
      </c>
      <c r="AF2427" s="7" t="n"/>
      <c r="AI2427" s="11" t="n"/>
      <c r="AK2427">
        <f>IF($D2427="","",IF(COUNTIF($D$2:$D2427,$D2427)=1,1,0))</f>
        <v/>
      </c>
      <c r="AL2427">
        <f>IF($AK2427=1,SUMPRODUCT(--($AO$2:$AO$3001&lt;$AO2427))+1,"")</f>
        <v/>
      </c>
      <c r="AM2427">
        <f>IF($D2427="","",IF(OR($R2427=TRUE(),$R2427="TRUE"),1,0))</f>
        <v/>
      </c>
      <c r="AN2427">
        <f>IF($D2427="","",IF($X2427="Yes",1,0))</f>
        <v/>
      </c>
      <c r="AO2427">
        <f>IF($AK2427=1,IFERROR(IF(VALUE($D2427)&lt;100000000,VALUE($D2427),1000000000),IFERROR(IF(VALUE(MID($D2427,2,20))&lt;100000000,VALUE(MID($D2427,2,20)),1000000000),1000000000))+ROW()/100000,"")</f>
        <v/>
      </c>
    </row>
    <row r="2428">
      <c r="F2428" s="11" t="n"/>
      <c r="N2428" s="7">
        <f>IF($D2428="","",M2428*V2428/100)</f>
        <v/>
      </c>
      <c r="O2428" s="7" t="n"/>
      <c r="U2428" s="7" t="n"/>
      <c r="V2428" s="7" t="n"/>
      <c r="Y2428">
        <f>IF($D2428="","",IF($AN2428=1,0,IF($AM2428=1,Settings!$C$6,Settings!$C$7))*100)</f>
        <v/>
      </c>
      <c r="Z2428" s="7">
        <f>IF($D2428="","",V2428*Y2428/100)</f>
        <v/>
      </c>
      <c r="AA2428" s="7">
        <f>IF($D2428="","",V2428-Z2428)</f>
        <v/>
      </c>
      <c r="AB2428" s="7">
        <f>IF($D2428="","",AA2428-N2428)</f>
        <v/>
      </c>
      <c r="AF2428" s="7" t="n"/>
      <c r="AI2428" s="11" t="n"/>
      <c r="AK2428">
        <f>IF($D2428="","",IF(COUNTIF($D$2:$D2428,$D2428)=1,1,0))</f>
        <v/>
      </c>
      <c r="AL2428">
        <f>IF($AK2428=1,SUMPRODUCT(--($AO$2:$AO$3001&lt;$AO2428))+1,"")</f>
        <v/>
      </c>
      <c r="AM2428">
        <f>IF($D2428="","",IF(OR($R2428=TRUE(),$R2428="TRUE"),1,0))</f>
        <v/>
      </c>
      <c r="AN2428">
        <f>IF($D2428="","",IF($X2428="Yes",1,0))</f>
        <v/>
      </c>
      <c r="AO2428">
        <f>IF($AK2428=1,IFERROR(IF(VALUE($D2428)&lt;100000000,VALUE($D2428),1000000000),IFERROR(IF(VALUE(MID($D2428,2,20))&lt;100000000,VALUE(MID($D2428,2,20)),1000000000),1000000000))+ROW()/100000,"")</f>
        <v/>
      </c>
    </row>
    <row r="2429">
      <c r="F2429" s="11" t="n"/>
      <c r="N2429" s="7">
        <f>IF($D2429="","",M2429*V2429/100)</f>
        <v/>
      </c>
      <c r="O2429" s="7" t="n"/>
      <c r="U2429" s="7" t="n"/>
      <c r="V2429" s="7" t="n"/>
      <c r="Y2429">
        <f>IF($D2429="","",IF($AN2429=1,0,IF($AM2429=1,Settings!$C$6,Settings!$C$7))*100)</f>
        <v/>
      </c>
      <c r="Z2429" s="7">
        <f>IF($D2429="","",V2429*Y2429/100)</f>
        <v/>
      </c>
      <c r="AA2429" s="7">
        <f>IF($D2429="","",V2429-Z2429)</f>
        <v/>
      </c>
      <c r="AB2429" s="7">
        <f>IF($D2429="","",AA2429-N2429)</f>
        <v/>
      </c>
      <c r="AF2429" s="7" t="n"/>
      <c r="AI2429" s="11" t="n"/>
      <c r="AK2429">
        <f>IF($D2429="","",IF(COUNTIF($D$2:$D2429,$D2429)=1,1,0))</f>
        <v/>
      </c>
      <c r="AL2429">
        <f>IF($AK2429=1,SUMPRODUCT(--($AO$2:$AO$3001&lt;$AO2429))+1,"")</f>
        <v/>
      </c>
      <c r="AM2429">
        <f>IF($D2429="","",IF(OR($R2429=TRUE(),$R2429="TRUE"),1,0))</f>
        <v/>
      </c>
      <c r="AN2429">
        <f>IF($D2429="","",IF($X2429="Yes",1,0))</f>
        <v/>
      </c>
      <c r="AO2429">
        <f>IF($AK2429=1,IFERROR(IF(VALUE($D2429)&lt;100000000,VALUE($D2429),1000000000),IFERROR(IF(VALUE(MID($D2429,2,20))&lt;100000000,VALUE(MID($D2429,2,20)),1000000000),1000000000))+ROW()/100000,"")</f>
        <v/>
      </c>
    </row>
    <row r="2430">
      <c r="F2430" s="11" t="n"/>
      <c r="N2430" s="7">
        <f>IF($D2430="","",M2430*V2430/100)</f>
        <v/>
      </c>
      <c r="O2430" s="7" t="n"/>
      <c r="U2430" s="7" t="n"/>
      <c r="V2430" s="7" t="n"/>
      <c r="Y2430">
        <f>IF($D2430="","",IF($AN2430=1,0,IF($AM2430=1,Settings!$C$6,Settings!$C$7))*100)</f>
        <v/>
      </c>
      <c r="Z2430" s="7">
        <f>IF($D2430="","",V2430*Y2430/100)</f>
        <v/>
      </c>
      <c r="AA2430" s="7">
        <f>IF($D2430="","",V2430-Z2430)</f>
        <v/>
      </c>
      <c r="AB2430" s="7">
        <f>IF($D2430="","",AA2430-N2430)</f>
        <v/>
      </c>
      <c r="AF2430" s="7" t="n"/>
      <c r="AI2430" s="11" t="n"/>
      <c r="AK2430">
        <f>IF($D2430="","",IF(COUNTIF($D$2:$D2430,$D2430)=1,1,0))</f>
        <v/>
      </c>
      <c r="AL2430">
        <f>IF($AK2430=1,SUMPRODUCT(--($AO$2:$AO$3001&lt;$AO2430))+1,"")</f>
        <v/>
      </c>
      <c r="AM2430">
        <f>IF($D2430="","",IF(OR($R2430=TRUE(),$R2430="TRUE"),1,0))</f>
        <v/>
      </c>
      <c r="AN2430">
        <f>IF($D2430="","",IF($X2430="Yes",1,0))</f>
        <v/>
      </c>
      <c r="AO2430">
        <f>IF($AK2430=1,IFERROR(IF(VALUE($D2430)&lt;100000000,VALUE($D2430),1000000000),IFERROR(IF(VALUE(MID($D2430,2,20))&lt;100000000,VALUE(MID($D2430,2,20)),1000000000),1000000000))+ROW()/100000,"")</f>
        <v/>
      </c>
    </row>
    <row r="2431">
      <c r="F2431" s="11" t="n"/>
      <c r="N2431" s="7">
        <f>IF($D2431="","",M2431*V2431/100)</f>
        <v/>
      </c>
      <c r="O2431" s="7" t="n"/>
      <c r="U2431" s="7" t="n"/>
      <c r="V2431" s="7" t="n"/>
      <c r="Y2431">
        <f>IF($D2431="","",IF($AN2431=1,0,IF($AM2431=1,Settings!$C$6,Settings!$C$7))*100)</f>
        <v/>
      </c>
      <c r="Z2431" s="7">
        <f>IF($D2431="","",V2431*Y2431/100)</f>
        <v/>
      </c>
      <c r="AA2431" s="7">
        <f>IF($D2431="","",V2431-Z2431)</f>
        <v/>
      </c>
      <c r="AB2431" s="7">
        <f>IF($D2431="","",AA2431-N2431)</f>
        <v/>
      </c>
      <c r="AF2431" s="7" t="n"/>
      <c r="AI2431" s="11" t="n"/>
      <c r="AK2431">
        <f>IF($D2431="","",IF(COUNTIF($D$2:$D2431,$D2431)=1,1,0))</f>
        <v/>
      </c>
      <c r="AL2431">
        <f>IF($AK2431=1,SUMPRODUCT(--($AO$2:$AO$3001&lt;$AO2431))+1,"")</f>
        <v/>
      </c>
      <c r="AM2431">
        <f>IF($D2431="","",IF(OR($R2431=TRUE(),$R2431="TRUE"),1,0))</f>
        <v/>
      </c>
      <c r="AN2431">
        <f>IF($D2431="","",IF($X2431="Yes",1,0))</f>
        <v/>
      </c>
      <c r="AO2431">
        <f>IF($AK2431=1,IFERROR(IF(VALUE($D2431)&lt;100000000,VALUE($D2431),1000000000),IFERROR(IF(VALUE(MID($D2431,2,20))&lt;100000000,VALUE(MID($D2431,2,20)),1000000000),1000000000))+ROW()/100000,"")</f>
        <v/>
      </c>
    </row>
    <row r="2432">
      <c r="F2432" s="11" t="n"/>
      <c r="N2432" s="7">
        <f>IF($D2432="","",M2432*V2432/100)</f>
        <v/>
      </c>
      <c r="O2432" s="7" t="n"/>
      <c r="U2432" s="7" t="n"/>
      <c r="V2432" s="7" t="n"/>
      <c r="Y2432">
        <f>IF($D2432="","",IF($AN2432=1,0,IF($AM2432=1,Settings!$C$6,Settings!$C$7))*100)</f>
        <v/>
      </c>
      <c r="Z2432" s="7">
        <f>IF($D2432="","",V2432*Y2432/100)</f>
        <v/>
      </c>
      <c r="AA2432" s="7">
        <f>IF($D2432="","",V2432-Z2432)</f>
        <v/>
      </c>
      <c r="AB2432" s="7">
        <f>IF($D2432="","",AA2432-N2432)</f>
        <v/>
      </c>
      <c r="AF2432" s="7" t="n"/>
      <c r="AI2432" s="11" t="n"/>
      <c r="AK2432">
        <f>IF($D2432="","",IF(COUNTIF($D$2:$D2432,$D2432)=1,1,0))</f>
        <v/>
      </c>
      <c r="AL2432">
        <f>IF($AK2432=1,SUMPRODUCT(--($AO$2:$AO$3001&lt;$AO2432))+1,"")</f>
        <v/>
      </c>
      <c r="AM2432">
        <f>IF($D2432="","",IF(OR($R2432=TRUE(),$R2432="TRUE"),1,0))</f>
        <v/>
      </c>
      <c r="AN2432">
        <f>IF($D2432="","",IF($X2432="Yes",1,0))</f>
        <v/>
      </c>
      <c r="AO2432">
        <f>IF($AK2432=1,IFERROR(IF(VALUE($D2432)&lt;100000000,VALUE($D2432),1000000000),IFERROR(IF(VALUE(MID($D2432,2,20))&lt;100000000,VALUE(MID($D2432,2,20)),1000000000),1000000000))+ROW()/100000,"")</f>
        <v/>
      </c>
    </row>
    <row r="2433">
      <c r="F2433" s="11" t="n"/>
      <c r="N2433" s="7">
        <f>IF($D2433="","",M2433*V2433/100)</f>
        <v/>
      </c>
      <c r="O2433" s="7" t="n"/>
      <c r="U2433" s="7" t="n"/>
      <c r="V2433" s="7" t="n"/>
      <c r="Y2433">
        <f>IF($D2433="","",IF($AN2433=1,0,IF($AM2433=1,Settings!$C$6,Settings!$C$7))*100)</f>
        <v/>
      </c>
      <c r="Z2433" s="7">
        <f>IF($D2433="","",V2433*Y2433/100)</f>
        <v/>
      </c>
      <c r="AA2433" s="7">
        <f>IF($D2433="","",V2433-Z2433)</f>
        <v/>
      </c>
      <c r="AB2433" s="7">
        <f>IF($D2433="","",AA2433-N2433)</f>
        <v/>
      </c>
      <c r="AF2433" s="7" t="n"/>
      <c r="AI2433" s="11" t="n"/>
      <c r="AK2433">
        <f>IF($D2433="","",IF(COUNTIF($D$2:$D2433,$D2433)=1,1,0))</f>
        <v/>
      </c>
      <c r="AL2433">
        <f>IF($AK2433=1,SUMPRODUCT(--($AO$2:$AO$3001&lt;$AO2433))+1,"")</f>
        <v/>
      </c>
      <c r="AM2433">
        <f>IF($D2433="","",IF(OR($R2433=TRUE(),$R2433="TRUE"),1,0))</f>
        <v/>
      </c>
      <c r="AN2433">
        <f>IF($D2433="","",IF($X2433="Yes",1,0))</f>
        <v/>
      </c>
      <c r="AO2433">
        <f>IF($AK2433=1,IFERROR(IF(VALUE($D2433)&lt;100000000,VALUE($D2433),1000000000),IFERROR(IF(VALUE(MID($D2433,2,20))&lt;100000000,VALUE(MID($D2433,2,20)),1000000000),1000000000))+ROW()/100000,"")</f>
        <v/>
      </c>
    </row>
    <row r="2434">
      <c r="F2434" s="11" t="n"/>
      <c r="N2434" s="7">
        <f>IF($D2434="","",M2434*V2434/100)</f>
        <v/>
      </c>
      <c r="O2434" s="7" t="n"/>
      <c r="U2434" s="7" t="n"/>
      <c r="V2434" s="7" t="n"/>
      <c r="Y2434">
        <f>IF($D2434="","",IF($AN2434=1,0,IF($AM2434=1,Settings!$C$6,Settings!$C$7))*100)</f>
        <v/>
      </c>
      <c r="Z2434" s="7">
        <f>IF($D2434="","",V2434*Y2434/100)</f>
        <v/>
      </c>
      <c r="AA2434" s="7">
        <f>IF($D2434="","",V2434-Z2434)</f>
        <v/>
      </c>
      <c r="AB2434" s="7">
        <f>IF($D2434="","",AA2434-N2434)</f>
        <v/>
      </c>
      <c r="AF2434" s="7" t="n"/>
      <c r="AI2434" s="11" t="n"/>
      <c r="AK2434">
        <f>IF($D2434="","",IF(COUNTIF($D$2:$D2434,$D2434)=1,1,0))</f>
        <v/>
      </c>
      <c r="AL2434">
        <f>IF($AK2434=1,SUMPRODUCT(--($AO$2:$AO$3001&lt;$AO2434))+1,"")</f>
        <v/>
      </c>
      <c r="AM2434">
        <f>IF($D2434="","",IF(OR($R2434=TRUE(),$R2434="TRUE"),1,0))</f>
        <v/>
      </c>
      <c r="AN2434">
        <f>IF($D2434="","",IF($X2434="Yes",1,0))</f>
        <v/>
      </c>
      <c r="AO2434">
        <f>IF($AK2434=1,IFERROR(IF(VALUE($D2434)&lt;100000000,VALUE($D2434),1000000000),IFERROR(IF(VALUE(MID($D2434,2,20))&lt;100000000,VALUE(MID($D2434,2,20)),1000000000),1000000000))+ROW()/100000,"")</f>
        <v/>
      </c>
    </row>
    <row r="2435">
      <c r="F2435" s="11" t="n"/>
      <c r="N2435" s="7">
        <f>IF($D2435="","",M2435*V2435/100)</f>
        <v/>
      </c>
      <c r="O2435" s="7" t="n"/>
      <c r="U2435" s="7" t="n"/>
      <c r="V2435" s="7" t="n"/>
      <c r="Y2435">
        <f>IF($D2435="","",IF($AN2435=1,0,IF($AM2435=1,Settings!$C$6,Settings!$C$7))*100)</f>
        <v/>
      </c>
      <c r="Z2435" s="7">
        <f>IF($D2435="","",V2435*Y2435/100)</f>
        <v/>
      </c>
      <c r="AA2435" s="7">
        <f>IF($D2435="","",V2435-Z2435)</f>
        <v/>
      </c>
      <c r="AB2435" s="7">
        <f>IF($D2435="","",AA2435-N2435)</f>
        <v/>
      </c>
      <c r="AF2435" s="7" t="n"/>
      <c r="AI2435" s="11" t="n"/>
      <c r="AK2435">
        <f>IF($D2435="","",IF(COUNTIF($D$2:$D2435,$D2435)=1,1,0))</f>
        <v/>
      </c>
      <c r="AL2435">
        <f>IF($AK2435=1,SUMPRODUCT(--($AO$2:$AO$3001&lt;$AO2435))+1,"")</f>
        <v/>
      </c>
      <c r="AM2435">
        <f>IF($D2435="","",IF(OR($R2435=TRUE(),$R2435="TRUE"),1,0))</f>
        <v/>
      </c>
      <c r="AN2435">
        <f>IF($D2435="","",IF($X2435="Yes",1,0))</f>
        <v/>
      </c>
      <c r="AO2435">
        <f>IF($AK2435=1,IFERROR(IF(VALUE($D2435)&lt;100000000,VALUE($D2435),1000000000),IFERROR(IF(VALUE(MID($D2435,2,20))&lt;100000000,VALUE(MID($D2435,2,20)),1000000000),1000000000))+ROW()/100000,"")</f>
        <v/>
      </c>
    </row>
    <row r="2436">
      <c r="F2436" s="11" t="n"/>
      <c r="N2436" s="7">
        <f>IF($D2436="","",M2436*V2436/100)</f>
        <v/>
      </c>
      <c r="O2436" s="7" t="n"/>
      <c r="U2436" s="7" t="n"/>
      <c r="V2436" s="7" t="n"/>
      <c r="Y2436">
        <f>IF($D2436="","",IF($AN2436=1,0,IF($AM2436=1,Settings!$C$6,Settings!$C$7))*100)</f>
        <v/>
      </c>
      <c r="Z2436" s="7">
        <f>IF($D2436="","",V2436*Y2436/100)</f>
        <v/>
      </c>
      <c r="AA2436" s="7">
        <f>IF($D2436="","",V2436-Z2436)</f>
        <v/>
      </c>
      <c r="AB2436" s="7">
        <f>IF($D2436="","",AA2436-N2436)</f>
        <v/>
      </c>
      <c r="AF2436" s="7" t="n"/>
      <c r="AI2436" s="11" t="n"/>
      <c r="AK2436">
        <f>IF($D2436="","",IF(COUNTIF($D$2:$D2436,$D2436)=1,1,0))</f>
        <v/>
      </c>
      <c r="AL2436">
        <f>IF($AK2436=1,SUMPRODUCT(--($AO$2:$AO$3001&lt;$AO2436))+1,"")</f>
        <v/>
      </c>
      <c r="AM2436">
        <f>IF($D2436="","",IF(OR($R2436=TRUE(),$R2436="TRUE"),1,0))</f>
        <v/>
      </c>
      <c r="AN2436">
        <f>IF($D2436="","",IF($X2436="Yes",1,0))</f>
        <v/>
      </c>
      <c r="AO2436">
        <f>IF($AK2436=1,IFERROR(IF(VALUE($D2436)&lt;100000000,VALUE($D2436),1000000000),IFERROR(IF(VALUE(MID($D2436,2,20))&lt;100000000,VALUE(MID($D2436,2,20)),1000000000),1000000000))+ROW()/100000,"")</f>
        <v/>
      </c>
    </row>
    <row r="2437">
      <c r="F2437" s="11" t="n"/>
      <c r="N2437" s="7">
        <f>IF($D2437="","",M2437*V2437/100)</f>
        <v/>
      </c>
      <c r="O2437" s="7" t="n"/>
      <c r="U2437" s="7" t="n"/>
      <c r="V2437" s="7" t="n"/>
      <c r="Y2437">
        <f>IF($D2437="","",IF($AN2437=1,0,IF($AM2437=1,Settings!$C$6,Settings!$C$7))*100)</f>
        <v/>
      </c>
      <c r="Z2437" s="7">
        <f>IF($D2437="","",V2437*Y2437/100)</f>
        <v/>
      </c>
      <c r="AA2437" s="7">
        <f>IF($D2437="","",V2437-Z2437)</f>
        <v/>
      </c>
      <c r="AB2437" s="7">
        <f>IF($D2437="","",AA2437-N2437)</f>
        <v/>
      </c>
      <c r="AF2437" s="7" t="n"/>
      <c r="AI2437" s="11" t="n"/>
      <c r="AK2437">
        <f>IF($D2437="","",IF(COUNTIF($D$2:$D2437,$D2437)=1,1,0))</f>
        <v/>
      </c>
      <c r="AL2437">
        <f>IF($AK2437=1,SUMPRODUCT(--($AO$2:$AO$3001&lt;$AO2437))+1,"")</f>
        <v/>
      </c>
      <c r="AM2437">
        <f>IF($D2437="","",IF(OR($R2437=TRUE(),$R2437="TRUE"),1,0))</f>
        <v/>
      </c>
      <c r="AN2437">
        <f>IF($D2437="","",IF($X2437="Yes",1,0))</f>
        <v/>
      </c>
      <c r="AO2437">
        <f>IF($AK2437=1,IFERROR(IF(VALUE($D2437)&lt;100000000,VALUE($D2437),1000000000),IFERROR(IF(VALUE(MID($D2437,2,20))&lt;100000000,VALUE(MID($D2437,2,20)),1000000000),1000000000))+ROW()/100000,"")</f>
        <v/>
      </c>
    </row>
    <row r="2438">
      <c r="F2438" s="11" t="n"/>
      <c r="N2438" s="7">
        <f>IF($D2438="","",M2438*V2438/100)</f>
        <v/>
      </c>
      <c r="O2438" s="7" t="n"/>
      <c r="U2438" s="7" t="n"/>
      <c r="V2438" s="7" t="n"/>
      <c r="Y2438">
        <f>IF($D2438="","",IF($AN2438=1,0,IF($AM2438=1,Settings!$C$6,Settings!$C$7))*100)</f>
        <v/>
      </c>
      <c r="Z2438" s="7">
        <f>IF($D2438="","",V2438*Y2438/100)</f>
        <v/>
      </c>
      <c r="AA2438" s="7">
        <f>IF($D2438="","",V2438-Z2438)</f>
        <v/>
      </c>
      <c r="AB2438" s="7">
        <f>IF($D2438="","",AA2438-N2438)</f>
        <v/>
      </c>
      <c r="AF2438" s="7" t="n"/>
      <c r="AI2438" s="11" t="n"/>
      <c r="AK2438">
        <f>IF($D2438="","",IF(COUNTIF($D$2:$D2438,$D2438)=1,1,0))</f>
        <v/>
      </c>
      <c r="AL2438">
        <f>IF($AK2438=1,SUMPRODUCT(--($AO$2:$AO$3001&lt;$AO2438))+1,"")</f>
        <v/>
      </c>
      <c r="AM2438">
        <f>IF($D2438="","",IF(OR($R2438=TRUE(),$R2438="TRUE"),1,0))</f>
        <v/>
      </c>
      <c r="AN2438">
        <f>IF($D2438="","",IF($X2438="Yes",1,0))</f>
        <v/>
      </c>
      <c r="AO2438">
        <f>IF($AK2438=1,IFERROR(IF(VALUE($D2438)&lt;100000000,VALUE($D2438),1000000000),IFERROR(IF(VALUE(MID($D2438,2,20))&lt;100000000,VALUE(MID($D2438,2,20)),1000000000),1000000000))+ROW()/100000,"")</f>
        <v/>
      </c>
    </row>
    <row r="2439">
      <c r="F2439" s="11" t="n"/>
      <c r="N2439" s="7">
        <f>IF($D2439="","",M2439*V2439/100)</f>
        <v/>
      </c>
      <c r="O2439" s="7" t="n"/>
      <c r="U2439" s="7" t="n"/>
      <c r="V2439" s="7" t="n"/>
      <c r="Y2439">
        <f>IF($D2439="","",IF($AN2439=1,0,IF($AM2439=1,Settings!$C$6,Settings!$C$7))*100)</f>
        <v/>
      </c>
      <c r="Z2439" s="7">
        <f>IF($D2439="","",V2439*Y2439/100)</f>
        <v/>
      </c>
      <c r="AA2439" s="7">
        <f>IF($D2439="","",V2439-Z2439)</f>
        <v/>
      </c>
      <c r="AB2439" s="7">
        <f>IF($D2439="","",AA2439-N2439)</f>
        <v/>
      </c>
      <c r="AF2439" s="7" t="n"/>
      <c r="AI2439" s="11" t="n"/>
      <c r="AK2439">
        <f>IF($D2439="","",IF(COUNTIF($D$2:$D2439,$D2439)=1,1,0))</f>
        <v/>
      </c>
      <c r="AL2439">
        <f>IF($AK2439=1,SUMPRODUCT(--($AO$2:$AO$3001&lt;$AO2439))+1,"")</f>
        <v/>
      </c>
      <c r="AM2439">
        <f>IF($D2439="","",IF(OR($R2439=TRUE(),$R2439="TRUE"),1,0))</f>
        <v/>
      </c>
      <c r="AN2439">
        <f>IF($D2439="","",IF($X2439="Yes",1,0))</f>
        <v/>
      </c>
      <c r="AO2439">
        <f>IF($AK2439=1,IFERROR(IF(VALUE($D2439)&lt;100000000,VALUE($D2439),1000000000),IFERROR(IF(VALUE(MID($D2439,2,20))&lt;100000000,VALUE(MID($D2439,2,20)),1000000000),1000000000))+ROW()/100000,"")</f>
        <v/>
      </c>
    </row>
    <row r="2440">
      <c r="F2440" s="11" t="n"/>
      <c r="N2440" s="7">
        <f>IF($D2440="","",M2440*V2440/100)</f>
        <v/>
      </c>
      <c r="O2440" s="7" t="n"/>
      <c r="U2440" s="7" t="n"/>
      <c r="V2440" s="7" t="n"/>
      <c r="Y2440">
        <f>IF($D2440="","",IF($AN2440=1,0,IF($AM2440=1,Settings!$C$6,Settings!$C$7))*100)</f>
        <v/>
      </c>
      <c r="Z2440" s="7">
        <f>IF($D2440="","",V2440*Y2440/100)</f>
        <v/>
      </c>
      <c r="AA2440" s="7">
        <f>IF($D2440="","",V2440-Z2440)</f>
        <v/>
      </c>
      <c r="AB2440" s="7">
        <f>IF($D2440="","",AA2440-N2440)</f>
        <v/>
      </c>
      <c r="AF2440" s="7" t="n"/>
      <c r="AI2440" s="11" t="n"/>
      <c r="AK2440">
        <f>IF($D2440="","",IF(COUNTIF($D$2:$D2440,$D2440)=1,1,0))</f>
        <v/>
      </c>
      <c r="AL2440">
        <f>IF($AK2440=1,SUMPRODUCT(--($AO$2:$AO$3001&lt;$AO2440))+1,"")</f>
        <v/>
      </c>
      <c r="AM2440">
        <f>IF($D2440="","",IF(OR($R2440=TRUE(),$R2440="TRUE"),1,0))</f>
        <v/>
      </c>
      <c r="AN2440">
        <f>IF($D2440="","",IF($X2440="Yes",1,0))</f>
        <v/>
      </c>
      <c r="AO2440">
        <f>IF($AK2440=1,IFERROR(IF(VALUE($D2440)&lt;100000000,VALUE($D2440),1000000000),IFERROR(IF(VALUE(MID($D2440,2,20))&lt;100000000,VALUE(MID($D2440,2,20)),1000000000),1000000000))+ROW()/100000,"")</f>
        <v/>
      </c>
    </row>
    <row r="2441">
      <c r="F2441" s="11" t="n"/>
      <c r="N2441" s="7">
        <f>IF($D2441="","",M2441*V2441/100)</f>
        <v/>
      </c>
      <c r="O2441" s="7" t="n"/>
      <c r="U2441" s="7" t="n"/>
      <c r="V2441" s="7" t="n"/>
      <c r="Y2441">
        <f>IF($D2441="","",IF($AN2441=1,0,IF($AM2441=1,Settings!$C$6,Settings!$C$7))*100)</f>
        <v/>
      </c>
      <c r="Z2441" s="7">
        <f>IF($D2441="","",V2441*Y2441/100)</f>
        <v/>
      </c>
      <c r="AA2441" s="7">
        <f>IF($D2441="","",V2441-Z2441)</f>
        <v/>
      </c>
      <c r="AB2441" s="7">
        <f>IF($D2441="","",AA2441-N2441)</f>
        <v/>
      </c>
      <c r="AF2441" s="7" t="n"/>
      <c r="AI2441" s="11" t="n"/>
      <c r="AK2441">
        <f>IF($D2441="","",IF(COUNTIF($D$2:$D2441,$D2441)=1,1,0))</f>
        <v/>
      </c>
      <c r="AL2441">
        <f>IF($AK2441=1,SUMPRODUCT(--($AO$2:$AO$3001&lt;$AO2441))+1,"")</f>
        <v/>
      </c>
      <c r="AM2441">
        <f>IF($D2441="","",IF(OR($R2441=TRUE(),$R2441="TRUE"),1,0))</f>
        <v/>
      </c>
      <c r="AN2441">
        <f>IF($D2441="","",IF($X2441="Yes",1,0))</f>
        <v/>
      </c>
      <c r="AO2441">
        <f>IF($AK2441=1,IFERROR(IF(VALUE($D2441)&lt;100000000,VALUE($D2441),1000000000),IFERROR(IF(VALUE(MID($D2441,2,20))&lt;100000000,VALUE(MID($D2441,2,20)),1000000000),1000000000))+ROW()/100000,"")</f>
        <v/>
      </c>
    </row>
    <row r="2442">
      <c r="F2442" s="11" t="n"/>
      <c r="N2442" s="7">
        <f>IF($D2442="","",M2442*V2442/100)</f>
        <v/>
      </c>
      <c r="O2442" s="7" t="n"/>
      <c r="U2442" s="7" t="n"/>
      <c r="V2442" s="7" t="n"/>
      <c r="Y2442">
        <f>IF($D2442="","",IF($AN2442=1,0,IF($AM2442=1,Settings!$C$6,Settings!$C$7))*100)</f>
        <v/>
      </c>
      <c r="Z2442" s="7">
        <f>IF($D2442="","",V2442*Y2442/100)</f>
        <v/>
      </c>
      <c r="AA2442" s="7">
        <f>IF($D2442="","",V2442-Z2442)</f>
        <v/>
      </c>
      <c r="AB2442" s="7">
        <f>IF($D2442="","",AA2442-N2442)</f>
        <v/>
      </c>
      <c r="AF2442" s="7" t="n"/>
      <c r="AI2442" s="11" t="n"/>
      <c r="AK2442">
        <f>IF($D2442="","",IF(COUNTIF($D$2:$D2442,$D2442)=1,1,0))</f>
        <v/>
      </c>
      <c r="AL2442">
        <f>IF($AK2442=1,SUMPRODUCT(--($AO$2:$AO$3001&lt;$AO2442))+1,"")</f>
        <v/>
      </c>
      <c r="AM2442">
        <f>IF($D2442="","",IF(OR($R2442=TRUE(),$R2442="TRUE"),1,0))</f>
        <v/>
      </c>
      <c r="AN2442">
        <f>IF($D2442="","",IF($X2442="Yes",1,0))</f>
        <v/>
      </c>
      <c r="AO2442">
        <f>IF($AK2442=1,IFERROR(IF(VALUE($D2442)&lt;100000000,VALUE($D2442),1000000000),IFERROR(IF(VALUE(MID($D2442,2,20))&lt;100000000,VALUE(MID($D2442,2,20)),1000000000),1000000000))+ROW()/100000,"")</f>
        <v/>
      </c>
    </row>
    <row r="2443">
      <c r="F2443" s="11" t="n"/>
      <c r="N2443" s="7">
        <f>IF($D2443="","",M2443*V2443/100)</f>
        <v/>
      </c>
      <c r="O2443" s="7" t="n"/>
      <c r="U2443" s="7" t="n"/>
      <c r="V2443" s="7" t="n"/>
      <c r="Y2443">
        <f>IF($D2443="","",IF($AN2443=1,0,IF($AM2443=1,Settings!$C$6,Settings!$C$7))*100)</f>
        <v/>
      </c>
      <c r="Z2443" s="7">
        <f>IF($D2443="","",V2443*Y2443/100)</f>
        <v/>
      </c>
      <c r="AA2443" s="7">
        <f>IF($D2443="","",V2443-Z2443)</f>
        <v/>
      </c>
      <c r="AB2443" s="7">
        <f>IF($D2443="","",AA2443-N2443)</f>
        <v/>
      </c>
      <c r="AF2443" s="7" t="n"/>
      <c r="AI2443" s="11" t="n"/>
      <c r="AK2443">
        <f>IF($D2443="","",IF(COUNTIF($D$2:$D2443,$D2443)=1,1,0))</f>
        <v/>
      </c>
      <c r="AL2443">
        <f>IF($AK2443=1,SUMPRODUCT(--($AO$2:$AO$3001&lt;$AO2443))+1,"")</f>
        <v/>
      </c>
      <c r="AM2443">
        <f>IF($D2443="","",IF(OR($R2443=TRUE(),$R2443="TRUE"),1,0))</f>
        <v/>
      </c>
      <c r="AN2443">
        <f>IF($D2443="","",IF($X2443="Yes",1,0))</f>
        <v/>
      </c>
      <c r="AO2443">
        <f>IF($AK2443=1,IFERROR(IF(VALUE($D2443)&lt;100000000,VALUE($D2443),1000000000),IFERROR(IF(VALUE(MID($D2443,2,20))&lt;100000000,VALUE(MID($D2443,2,20)),1000000000),1000000000))+ROW()/100000,"")</f>
        <v/>
      </c>
    </row>
    <row r="2444">
      <c r="F2444" s="11" t="n"/>
      <c r="N2444" s="7">
        <f>IF($D2444="","",M2444*V2444/100)</f>
        <v/>
      </c>
      <c r="O2444" s="7" t="n"/>
      <c r="U2444" s="7" t="n"/>
      <c r="V2444" s="7" t="n"/>
      <c r="Y2444">
        <f>IF($D2444="","",IF($AN2444=1,0,IF($AM2444=1,Settings!$C$6,Settings!$C$7))*100)</f>
        <v/>
      </c>
      <c r="Z2444" s="7">
        <f>IF($D2444="","",V2444*Y2444/100)</f>
        <v/>
      </c>
      <c r="AA2444" s="7">
        <f>IF($D2444="","",V2444-Z2444)</f>
        <v/>
      </c>
      <c r="AB2444" s="7">
        <f>IF($D2444="","",AA2444-N2444)</f>
        <v/>
      </c>
      <c r="AF2444" s="7" t="n"/>
      <c r="AI2444" s="11" t="n"/>
      <c r="AK2444">
        <f>IF($D2444="","",IF(COUNTIF($D$2:$D2444,$D2444)=1,1,0))</f>
        <v/>
      </c>
      <c r="AL2444">
        <f>IF($AK2444=1,SUMPRODUCT(--($AO$2:$AO$3001&lt;$AO2444))+1,"")</f>
        <v/>
      </c>
      <c r="AM2444">
        <f>IF($D2444="","",IF(OR($R2444=TRUE(),$R2444="TRUE"),1,0))</f>
        <v/>
      </c>
      <c r="AN2444">
        <f>IF($D2444="","",IF($X2444="Yes",1,0))</f>
        <v/>
      </c>
      <c r="AO2444">
        <f>IF($AK2444=1,IFERROR(IF(VALUE($D2444)&lt;100000000,VALUE($D2444),1000000000),IFERROR(IF(VALUE(MID($D2444,2,20))&lt;100000000,VALUE(MID($D2444,2,20)),1000000000),1000000000))+ROW()/100000,"")</f>
        <v/>
      </c>
    </row>
    <row r="2445">
      <c r="F2445" s="11" t="n"/>
      <c r="N2445" s="7">
        <f>IF($D2445="","",M2445*V2445/100)</f>
        <v/>
      </c>
      <c r="O2445" s="7" t="n"/>
      <c r="U2445" s="7" t="n"/>
      <c r="V2445" s="7" t="n"/>
      <c r="Y2445">
        <f>IF($D2445="","",IF($AN2445=1,0,IF($AM2445=1,Settings!$C$6,Settings!$C$7))*100)</f>
        <v/>
      </c>
      <c r="Z2445" s="7">
        <f>IF($D2445="","",V2445*Y2445/100)</f>
        <v/>
      </c>
      <c r="AA2445" s="7">
        <f>IF($D2445="","",V2445-Z2445)</f>
        <v/>
      </c>
      <c r="AB2445" s="7">
        <f>IF($D2445="","",AA2445-N2445)</f>
        <v/>
      </c>
      <c r="AF2445" s="7" t="n"/>
      <c r="AI2445" s="11" t="n"/>
      <c r="AK2445">
        <f>IF($D2445="","",IF(COUNTIF($D$2:$D2445,$D2445)=1,1,0))</f>
        <v/>
      </c>
      <c r="AL2445">
        <f>IF($AK2445=1,SUMPRODUCT(--($AO$2:$AO$3001&lt;$AO2445))+1,"")</f>
        <v/>
      </c>
      <c r="AM2445">
        <f>IF($D2445="","",IF(OR($R2445=TRUE(),$R2445="TRUE"),1,0))</f>
        <v/>
      </c>
      <c r="AN2445">
        <f>IF($D2445="","",IF($X2445="Yes",1,0))</f>
        <v/>
      </c>
      <c r="AO2445">
        <f>IF($AK2445=1,IFERROR(IF(VALUE($D2445)&lt;100000000,VALUE($D2445),1000000000),IFERROR(IF(VALUE(MID($D2445,2,20))&lt;100000000,VALUE(MID($D2445,2,20)),1000000000),1000000000))+ROW()/100000,"")</f>
        <v/>
      </c>
    </row>
    <row r="2446">
      <c r="F2446" s="11" t="n"/>
      <c r="N2446" s="7">
        <f>IF($D2446="","",M2446*V2446/100)</f>
        <v/>
      </c>
      <c r="O2446" s="7" t="n"/>
      <c r="U2446" s="7" t="n"/>
      <c r="V2446" s="7" t="n"/>
      <c r="Y2446">
        <f>IF($D2446="","",IF($AN2446=1,0,IF($AM2446=1,Settings!$C$6,Settings!$C$7))*100)</f>
        <v/>
      </c>
      <c r="Z2446" s="7">
        <f>IF($D2446="","",V2446*Y2446/100)</f>
        <v/>
      </c>
      <c r="AA2446" s="7">
        <f>IF($D2446="","",V2446-Z2446)</f>
        <v/>
      </c>
      <c r="AB2446" s="7">
        <f>IF($D2446="","",AA2446-N2446)</f>
        <v/>
      </c>
      <c r="AF2446" s="7" t="n"/>
      <c r="AI2446" s="11" t="n"/>
      <c r="AK2446">
        <f>IF($D2446="","",IF(COUNTIF($D$2:$D2446,$D2446)=1,1,0))</f>
        <v/>
      </c>
      <c r="AL2446">
        <f>IF($AK2446=1,SUMPRODUCT(--($AO$2:$AO$3001&lt;$AO2446))+1,"")</f>
        <v/>
      </c>
      <c r="AM2446">
        <f>IF($D2446="","",IF(OR($R2446=TRUE(),$R2446="TRUE"),1,0))</f>
        <v/>
      </c>
      <c r="AN2446">
        <f>IF($D2446="","",IF($X2446="Yes",1,0))</f>
        <v/>
      </c>
      <c r="AO2446">
        <f>IF($AK2446=1,IFERROR(IF(VALUE($D2446)&lt;100000000,VALUE($D2446),1000000000),IFERROR(IF(VALUE(MID($D2446,2,20))&lt;100000000,VALUE(MID($D2446,2,20)),1000000000),1000000000))+ROW()/100000,"")</f>
        <v/>
      </c>
    </row>
    <row r="2447">
      <c r="F2447" s="11" t="n"/>
      <c r="N2447" s="7">
        <f>IF($D2447="","",M2447*V2447/100)</f>
        <v/>
      </c>
      <c r="O2447" s="7" t="n"/>
      <c r="U2447" s="7" t="n"/>
      <c r="V2447" s="7" t="n"/>
      <c r="Y2447">
        <f>IF($D2447="","",IF($AN2447=1,0,IF($AM2447=1,Settings!$C$6,Settings!$C$7))*100)</f>
        <v/>
      </c>
      <c r="Z2447" s="7">
        <f>IF($D2447="","",V2447*Y2447/100)</f>
        <v/>
      </c>
      <c r="AA2447" s="7">
        <f>IF($D2447="","",V2447-Z2447)</f>
        <v/>
      </c>
      <c r="AB2447" s="7">
        <f>IF($D2447="","",AA2447-N2447)</f>
        <v/>
      </c>
      <c r="AF2447" s="7" t="n"/>
      <c r="AI2447" s="11" t="n"/>
      <c r="AK2447">
        <f>IF($D2447="","",IF(COUNTIF($D$2:$D2447,$D2447)=1,1,0))</f>
        <v/>
      </c>
      <c r="AL2447">
        <f>IF($AK2447=1,SUMPRODUCT(--($AO$2:$AO$3001&lt;$AO2447))+1,"")</f>
        <v/>
      </c>
      <c r="AM2447">
        <f>IF($D2447="","",IF(OR($R2447=TRUE(),$R2447="TRUE"),1,0))</f>
        <v/>
      </c>
      <c r="AN2447">
        <f>IF($D2447="","",IF($X2447="Yes",1,0))</f>
        <v/>
      </c>
      <c r="AO2447">
        <f>IF($AK2447=1,IFERROR(IF(VALUE($D2447)&lt;100000000,VALUE($D2447),1000000000),IFERROR(IF(VALUE(MID($D2447,2,20))&lt;100000000,VALUE(MID($D2447,2,20)),1000000000),1000000000))+ROW()/100000,"")</f>
        <v/>
      </c>
    </row>
    <row r="2448">
      <c r="F2448" s="11" t="n"/>
      <c r="N2448" s="7">
        <f>IF($D2448="","",M2448*V2448/100)</f>
        <v/>
      </c>
      <c r="O2448" s="7" t="n"/>
      <c r="U2448" s="7" t="n"/>
      <c r="V2448" s="7" t="n"/>
      <c r="Y2448">
        <f>IF($D2448="","",IF($AN2448=1,0,IF($AM2448=1,Settings!$C$6,Settings!$C$7))*100)</f>
        <v/>
      </c>
      <c r="Z2448" s="7">
        <f>IF($D2448="","",V2448*Y2448/100)</f>
        <v/>
      </c>
      <c r="AA2448" s="7">
        <f>IF($D2448="","",V2448-Z2448)</f>
        <v/>
      </c>
      <c r="AB2448" s="7">
        <f>IF($D2448="","",AA2448-N2448)</f>
        <v/>
      </c>
      <c r="AF2448" s="7" t="n"/>
      <c r="AI2448" s="11" t="n"/>
      <c r="AK2448">
        <f>IF($D2448="","",IF(COUNTIF($D$2:$D2448,$D2448)=1,1,0))</f>
        <v/>
      </c>
      <c r="AL2448">
        <f>IF($AK2448=1,SUMPRODUCT(--($AO$2:$AO$3001&lt;$AO2448))+1,"")</f>
        <v/>
      </c>
      <c r="AM2448">
        <f>IF($D2448="","",IF(OR($R2448=TRUE(),$R2448="TRUE"),1,0))</f>
        <v/>
      </c>
      <c r="AN2448">
        <f>IF($D2448="","",IF($X2448="Yes",1,0))</f>
        <v/>
      </c>
      <c r="AO2448">
        <f>IF($AK2448=1,IFERROR(IF(VALUE($D2448)&lt;100000000,VALUE($D2448),1000000000),IFERROR(IF(VALUE(MID($D2448,2,20))&lt;100000000,VALUE(MID($D2448,2,20)),1000000000),1000000000))+ROW()/100000,"")</f>
        <v/>
      </c>
    </row>
    <row r="2449">
      <c r="F2449" s="11" t="n"/>
      <c r="N2449" s="7">
        <f>IF($D2449="","",M2449*V2449/100)</f>
        <v/>
      </c>
      <c r="O2449" s="7" t="n"/>
      <c r="U2449" s="7" t="n"/>
      <c r="V2449" s="7" t="n"/>
      <c r="Y2449">
        <f>IF($D2449="","",IF($AN2449=1,0,IF($AM2449=1,Settings!$C$6,Settings!$C$7))*100)</f>
        <v/>
      </c>
      <c r="Z2449" s="7">
        <f>IF($D2449="","",V2449*Y2449/100)</f>
        <v/>
      </c>
      <c r="AA2449" s="7">
        <f>IF($D2449="","",V2449-Z2449)</f>
        <v/>
      </c>
      <c r="AB2449" s="7">
        <f>IF($D2449="","",AA2449-N2449)</f>
        <v/>
      </c>
      <c r="AF2449" s="7" t="n"/>
      <c r="AI2449" s="11" t="n"/>
      <c r="AK2449">
        <f>IF($D2449="","",IF(COUNTIF($D$2:$D2449,$D2449)=1,1,0))</f>
        <v/>
      </c>
      <c r="AL2449">
        <f>IF($AK2449=1,SUMPRODUCT(--($AO$2:$AO$3001&lt;$AO2449))+1,"")</f>
        <v/>
      </c>
      <c r="AM2449">
        <f>IF($D2449="","",IF(OR($R2449=TRUE(),$R2449="TRUE"),1,0))</f>
        <v/>
      </c>
      <c r="AN2449">
        <f>IF($D2449="","",IF($X2449="Yes",1,0))</f>
        <v/>
      </c>
      <c r="AO2449">
        <f>IF($AK2449=1,IFERROR(IF(VALUE($D2449)&lt;100000000,VALUE($D2449),1000000000),IFERROR(IF(VALUE(MID($D2449,2,20))&lt;100000000,VALUE(MID($D2449,2,20)),1000000000),1000000000))+ROW()/100000,"")</f>
        <v/>
      </c>
    </row>
    <row r="2450">
      <c r="F2450" s="11" t="n"/>
      <c r="N2450" s="7">
        <f>IF($D2450="","",M2450*V2450/100)</f>
        <v/>
      </c>
      <c r="O2450" s="7" t="n"/>
      <c r="U2450" s="7" t="n"/>
      <c r="V2450" s="7" t="n"/>
      <c r="Y2450">
        <f>IF($D2450="","",IF($AN2450=1,0,IF($AM2450=1,Settings!$C$6,Settings!$C$7))*100)</f>
        <v/>
      </c>
      <c r="Z2450" s="7">
        <f>IF($D2450="","",V2450*Y2450/100)</f>
        <v/>
      </c>
      <c r="AA2450" s="7">
        <f>IF($D2450="","",V2450-Z2450)</f>
        <v/>
      </c>
      <c r="AB2450" s="7">
        <f>IF($D2450="","",AA2450-N2450)</f>
        <v/>
      </c>
      <c r="AF2450" s="7" t="n"/>
      <c r="AI2450" s="11" t="n"/>
      <c r="AK2450">
        <f>IF($D2450="","",IF(COUNTIF($D$2:$D2450,$D2450)=1,1,0))</f>
        <v/>
      </c>
      <c r="AL2450">
        <f>IF($AK2450=1,SUMPRODUCT(--($AO$2:$AO$3001&lt;$AO2450))+1,"")</f>
        <v/>
      </c>
      <c r="AM2450">
        <f>IF($D2450="","",IF(OR($R2450=TRUE(),$R2450="TRUE"),1,0))</f>
        <v/>
      </c>
      <c r="AN2450">
        <f>IF($D2450="","",IF($X2450="Yes",1,0))</f>
        <v/>
      </c>
      <c r="AO2450">
        <f>IF($AK2450=1,IFERROR(IF(VALUE($D2450)&lt;100000000,VALUE($D2450),1000000000),IFERROR(IF(VALUE(MID($D2450,2,20))&lt;100000000,VALUE(MID($D2450,2,20)),1000000000),1000000000))+ROW()/100000,"")</f>
        <v/>
      </c>
    </row>
    <row r="2451">
      <c r="F2451" s="11" t="n"/>
      <c r="N2451" s="7">
        <f>IF($D2451="","",M2451*V2451/100)</f>
        <v/>
      </c>
      <c r="O2451" s="7" t="n"/>
      <c r="U2451" s="7" t="n"/>
      <c r="V2451" s="7" t="n"/>
      <c r="Y2451">
        <f>IF($D2451="","",IF($AN2451=1,0,IF($AM2451=1,Settings!$C$6,Settings!$C$7))*100)</f>
        <v/>
      </c>
      <c r="Z2451" s="7">
        <f>IF($D2451="","",V2451*Y2451/100)</f>
        <v/>
      </c>
      <c r="AA2451" s="7">
        <f>IF($D2451="","",V2451-Z2451)</f>
        <v/>
      </c>
      <c r="AB2451" s="7">
        <f>IF($D2451="","",AA2451-N2451)</f>
        <v/>
      </c>
      <c r="AF2451" s="7" t="n"/>
      <c r="AI2451" s="11" t="n"/>
      <c r="AK2451">
        <f>IF($D2451="","",IF(COUNTIF($D$2:$D2451,$D2451)=1,1,0))</f>
        <v/>
      </c>
      <c r="AL2451">
        <f>IF($AK2451=1,SUMPRODUCT(--($AO$2:$AO$3001&lt;$AO2451))+1,"")</f>
        <v/>
      </c>
      <c r="AM2451">
        <f>IF($D2451="","",IF(OR($R2451=TRUE(),$R2451="TRUE"),1,0))</f>
        <v/>
      </c>
      <c r="AN2451">
        <f>IF($D2451="","",IF($X2451="Yes",1,0))</f>
        <v/>
      </c>
      <c r="AO2451">
        <f>IF($AK2451=1,IFERROR(IF(VALUE($D2451)&lt;100000000,VALUE($D2451),1000000000),IFERROR(IF(VALUE(MID($D2451,2,20))&lt;100000000,VALUE(MID($D2451,2,20)),1000000000),1000000000))+ROW()/100000,"")</f>
        <v/>
      </c>
    </row>
    <row r="2452">
      <c r="F2452" s="11" t="n"/>
      <c r="N2452" s="7">
        <f>IF($D2452="","",M2452*V2452/100)</f>
        <v/>
      </c>
      <c r="O2452" s="7" t="n"/>
      <c r="U2452" s="7" t="n"/>
      <c r="V2452" s="7" t="n"/>
      <c r="Y2452">
        <f>IF($D2452="","",IF($AN2452=1,0,IF($AM2452=1,Settings!$C$6,Settings!$C$7))*100)</f>
        <v/>
      </c>
      <c r="Z2452" s="7">
        <f>IF($D2452="","",V2452*Y2452/100)</f>
        <v/>
      </c>
      <c r="AA2452" s="7">
        <f>IF($D2452="","",V2452-Z2452)</f>
        <v/>
      </c>
      <c r="AB2452" s="7">
        <f>IF($D2452="","",AA2452-N2452)</f>
        <v/>
      </c>
      <c r="AF2452" s="7" t="n"/>
      <c r="AI2452" s="11" t="n"/>
      <c r="AK2452">
        <f>IF($D2452="","",IF(COUNTIF($D$2:$D2452,$D2452)=1,1,0))</f>
        <v/>
      </c>
      <c r="AL2452">
        <f>IF($AK2452=1,SUMPRODUCT(--($AO$2:$AO$3001&lt;$AO2452))+1,"")</f>
        <v/>
      </c>
      <c r="AM2452">
        <f>IF($D2452="","",IF(OR($R2452=TRUE(),$R2452="TRUE"),1,0))</f>
        <v/>
      </c>
      <c r="AN2452">
        <f>IF($D2452="","",IF($X2452="Yes",1,0))</f>
        <v/>
      </c>
      <c r="AO2452">
        <f>IF($AK2452=1,IFERROR(IF(VALUE($D2452)&lt;100000000,VALUE($D2452),1000000000),IFERROR(IF(VALUE(MID($D2452,2,20))&lt;100000000,VALUE(MID($D2452,2,20)),1000000000),1000000000))+ROW()/100000,"")</f>
        <v/>
      </c>
    </row>
    <row r="2453">
      <c r="F2453" s="11" t="n"/>
      <c r="N2453" s="7">
        <f>IF($D2453="","",M2453*V2453/100)</f>
        <v/>
      </c>
      <c r="O2453" s="7" t="n"/>
      <c r="U2453" s="7" t="n"/>
      <c r="V2453" s="7" t="n"/>
      <c r="Y2453">
        <f>IF($D2453="","",IF($AN2453=1,0,IF($AM2453=1,Settings!$C$6,Settings!$C$7))*100)</f>
        <v/>
      </c>
      <c r="Z2453" s="7">
        <f>IF($D2453="","",V2453*Y2453/100)</f>
        <v/>
      </c>
      <c r="AA2453" s="7">
        <f>IF($D2453="","",V2453-Z2453)</f>
        <v/>
      </c>
      <c r="AB2453" s="7">
        <f>IF($D2453="","",AA2453-N2453)</f>
        <v/>
      </c>
      <c r="AF2453" s="7" t="n"/>
      <c r="AI2453" s="11" t="n"/>
      <c r="AK2453">
        <f>IF($D2453="","",IF(COUNTIF($D$2:$D2453,$D2453)=1,1,0))</f>
        <v/>
      </c>
      <c r="AL2453">
        <f>IF($AK2453=1,SUMPRODUCT(--($AO$2:$AO$3001&lt;$AO2453))+1,"")</f>
        <v/>
      </c>
      <c r="AM2453">
        <f>IF($D2453="","",IF(OR($R2453=TRUE(),$R2453="TRUE"),1,0))</f>
        <v/>
      </c>
      <c r="AN2453">
        <f>IF($D2453="","",IF($X2453="Yes",1,0))</f>
        <v/>
      </c>
      <c r="AO2453">
        <f>IF($AK2453=1,IFERROR(IF(VALUE($D2453)&lt;100000000,VALUE($D2453),1000000000),IFERROR(IF(VALUE(MID($D2453,2,20))&lt;100000000,VALUE(MID($D2453,2,20)),1000000000),1000000000))+ROW()/100000,"")</f>
        <v/>
      </c>
    </row>
    <row r="2454">
      <c r="F2454" s="11" t="n"/>
      <c r="N2454" s="7">
        <f>IF($D2454="","",M2454*V2454/100)</f>
        <v/>
      </c>
      <c r="O2454" s="7" t="n"/>
      <c r="U2454" s="7" t="n"/>
      <c r="V2454" s="7" t="n"/>
      <c r="Y2454">
        <f>IF($D2454="","",IF($AN2454=1,0,IF($AM2454=1,Settings!$C$6,Settings!$C$7))*100)</f>
        <v/>
      </c>
      <c r="Z2454" s="7">
        <f>IF($D2454="","",V2454*Y2454/100)</f>
        <v/>
      </c>
      <c r="AA2454" s="7">
        <f>IF($D2454="","",V2454-Z2454)</f>
        <v/>
      </c>
      <c r="AB2454" s="7">
        <f>IF($D2454="","",AA2454-N2454)</f>
        <v/>
      </c>
      <c r="AF2454" s="7" t="n"/>
      <c r="AI2454" s="11" t="n"/>
      <c r="AK2454">
        <f>IF($D2454="","",IF(COUNTIF($D$2:$D2454,$D2454)=1,1,0))</f>
        <v/>
      </c>
      <c r="AL2454">
        <f>IF($AK2454=1,SUMPRODUCT(--($AO$2:$AO$3001&lt;$AO2454))+1,"")</f>
        <v/>
      </c>
      <c r="AM2454">
        <f>IF($D2454="","",IF(OR($R2454=TRUE(),$R2454="TRUE"),1,0))</f>
        <v/>
      </c>
      <c r="AN2454">
        <f>IF($D2454="","",IF($X2454="Yes",1,0))</f>
        <v/>
      </c>
      <c r="AO2454">
        <f>IF($AK2454=1,IFERROR(IF(VALUE($D2454)&lt;100000000,VALUE($D2454),1000000000),IFERROR(IF(VALUE(MID($D2454,2,20))&lt;100000000,VALUE(MID($D2454,2,20)),1000000000),1000000000))+ROW()/100000,"")</f>
        <v/>
      </c>
    </row>
    <row r="2455">
      <c r="F2455" s="11" t="n"/>
      <c r="N2455" s="7">
        <f>IF($D2455="","",M2455*V2455/100)</f>
        <v/>
      </c>
      <c r="O2455" s="7" t="n"/>
      <c r="U2455" s="7" t="n"/>
      <c r="V2455" s="7" t="n"/>
      <c r="Y2455">
        <f>IF($D2455="","",IF($AN2455=1,0,IF($AM2455=1,Settings!$C$6,Settings!$C$7))*100)</f>
        <v/>
      </c>
      <c r="Z2455" s="7">
        <f>IF($D2455="","",V2455*Y2455/100)</f>
        <v/>
      </c>
      <c r="AA2455" s="7">
        <f>IF($D2455="","",V2455-Z2455)</f>
        <v/>
      </c>
      <c r="AB2455" s="7">
        <f>IF($D2455="","",AA2455-N2455)</f>
        <v/>
      </c>
      <c r="AF2455" s="7" t="n"/>
      <c r="AI2455" s="11" t="n"/>
      <c r="AK2455">
        <f>IF($D2455="","",IF(COUNTIF($D$2:$D2455,$D2455)=1,1,0))</f>
        <v/>
      </c>
      <c r="AL2455">
        <f>IF($AK2455=1,SUMPRODUCT(--($AO$2:$AO$3001&lt;$AO2455))+1,"")</f>
        <v/>
      </c>
      <c r="AM2455">
        <f>IF($D2455="","",IF(OR($R2455=TRUE(),$R2455="TRUE"),1,0))</f>
        <v/>
      </c>
      <c r="AN2455">
        <f>IF($D2455="","",IF($X2455="Yes",1,0))</f>
        <v/>
      </c>
      <c r="AO2455">
        <f>IF($AK2455=1,IFERROR(IF(VALUE($D2455)&lt;100000000,VALUE($D2455),1000000000),IFERROR(IF(VALUE(MID($D2455,2,20))&lt;100000000,VALUE(MID($D2455,2,20)),1000000000),1000000000))+ROW()/100000,"")</f>
        <v/>
      </c>
    </row>
    <row r="2456">
      <c r="F2456" s="11" t="n"/>
      <c r="N2456" s="7">
        <f>IF($D2456="","",M2456*V2456/100)</f>
        <v/>
      </c>
      <c r="O2456" s="7" t="n"/>
      <c r="U2456" s="7" t="n"/>
      <c r="V2456" s="7" t="n"/>
      <c r="Y2456">
        <f>IF($D2456="","",IF($AN2456=1,0,IF($AM2456=1,Settings!$C$6,Settings!$C$7))*100)</f>
        <v/>
      </c>
      <c r="Z2456" s="7">
        <f>IF($D2456="","",V2456*Y2456/100)</f>
        <v/>
      </c>
      <c r="AA2456" s="7">
        <f>IF($D2456="","",V2456-Z2456)</f>
        <v/>
      </c>
      <c r="AB2456" s="7">
        <f>IF($D2456="","",AA2456-N2456)</f>
        <v/>
      </c>
      <c r="AF2456" s="7" t="n"/>
      <c r="AI2456" s="11" t="n"/>
      <c r="AK2456">
        <f>IF($D2456="","",IF(COUNTIF($D$2:$D2456,$D2456)=1,1,0))</f>
        <v/>
      </c>
      <c r="AL2456">
        <f>IF($AK2456=1,SUMPRODUCT(--($AO$2:$AO$3001&lt;$AO2456))+1,"")</f>
        <v/>
      </c>
      <c r="AM2456">
        <f>IF($D2456="","",IF(OR($R2456=TRUE(),$R2456="TRUE"),1,0))</f>
        <v/>
      </c>
      <c r="AN2456">
        <f>IF($D2456="","",IF($X2456="Yes",1,0))</f>
        <v/>
      </c>
      <c r="AO2456">
        <f>IF($AK2456=1,IFERROR(IF(VALUE($D2456)&lt;100000000,VALUE($D2456),1000000000),IFERROR(IF(VALUE(MID($D2456,2,20))&lt;100000000,VALUE(MID($D2456,2,20)),1000000000),1000000000))+ROW()/100000,"")</f>
        <v/>
      </c>
    </row>
    <row r="2457">
      <c r="F2457" s="11" t="n"/>
      <c r="N2457" s="7">
        <f>IF($D2457="","",M2457*V2457/100)</f>
        <v/>
      </c>
      <c r="O2457" s="7" t="n"/>
      <c r="U2457" s="7" t="n"/>
      <c r="V2457" s="7" t="n"/>
      <c r="Y2457">
        <f>IF($D2457="","",IF($AN2457=1,0,IF($AM2457=1,Settings!$C$6,Settings!$C$7))*100)</f>
        <v/>
      </c>
      <c r="Z2457" s="7">
        <f>IF($D2457="","",V2457*Y2457/100)</f>
        <v/>
      </c>
      <c r="AA2457" s="7">
        <f>IF($D2457="","",V2457-Z2457)</f>
        <v/>
      </c>
      <c r="AB2457" s="7">
        <f>IF($D2457="","",AA2457-N2457)</f>
        <v/>
      </c>
      <c r="AF2457" s="7" t="n"/>
      <c r="AI2457" s="11" t="n"/>
      <c r="AK2457">
        <f>IF($D2457="","",IF(COUNTIF($D$2:$D2457,$D2457)=1,1,0))</f>
        <v/>
      </c>
      <c r="AL2457">
        <f>IF($AK2457=1,SUMPRODUCT(--($AO$2:$AO$3001&lt;$AO2457))+1,"")</f>
        <v/>
      </c>
      <c r="AM2457">
        <f>IF($D2457="","",IF(OR($R2457=TRUE(),$R2457="TRUE"),1,0))</f>
        <v/>
      </c>
      <c r="AN2457">
        <f>IF($D2457="","",IF($X2457="Yes",1,0))</f>
        <v/>
      </c>
      <c r="AO2457">
        <f>IF($AK2457=1,IFERROR(IF(VALUE($D2457)&lt;100000000,VALUE($D2457),1000000000),IFERROR(IF(VALUE(MID($D2457,2,20))&lt;100000000,VALUE(MID($D2457,2,20)),1000000000),1000000000))+ROW()/100000,"")</f>
        <v/>
      </c>
    </row>
    <row r="2458">
      <c r="F2458" s="11" t="n"/>
      <c r="N2458" s="7">
        <f>IF($D2458="","",M2458*V2458/100)</f>
        <v/>
      </c>
      <c r="O2458" s="7" t="n"/>
      <c r="U2458" s="7" t="n"/>
      <c r="V2458" s="7" t="n"/>
      <c r="Y2458">
        <f>IF($D2458="","",IF($AN2458=1,0,IF($AM2458=1,Settings!$C$6,Settings!$C$7))*100)</f>
        <v/>
      </c>
      <c r="Z2458" s="7">
        <f>IF($D2458="","",V2458*Y2458/100)</f>
        <v/>
      </c>
      <c r="AA2458" s="7">
        <f>IF($D2458="","",V2458-Z2458)</f>
        <v/>
      </c>
      <c r="AB2458" s="7">
        <f>IF($D2458="","",AA2458-N2458)</f>
        <v/>
      </c>
      <c r="AF2458" s="7" t="n"/>
      <c r="AI2458" s="11" t="n"/>
      <c r="AK2458">
        <f>IF($D2458="","",IF(COUNTIF($D$2:$D2458,$D2458)=1,1,0))</f>
        <v/>
      </c>
      <c r="AL2458">
        <f>IF($AK2458=1,SUMPRODUCT(--($AO$2:$AO$3001&lt;$AO2458))+1,"")</f>
        <v/>
      </c>
      <c r="AM2458">
        <f>IF($D2458="","",IF(OR($R2458=TRUE(),$R2458="TRUE"),1,0))</f>
        <v/>
      </c>
      <c r="AN2458">
        <f>IF($D2458="","",IF($X2458="Yes",1,0))</f>
        <v/>
      </c>
      <c r="AO2458">
        <f>IF($AK2458=1,IFERROR(IF(VALUE($D2458)&lt;100000000,VALUE($D2458),1000000000),IFERROR(IF(VALUE(MID($D2458,2,20))&lt;100000000,VALUE(MID($D2458,2,20)),1000000000),1000000000))+ROW()/100000,"")</f>
        <v/>
      </c>
    </row>
    <row r="2459">
      <c r="F2459" s="11" t="n"/>
      <c r="N2459" s="7">
        <f>IF($D2459="","",M2459*V2459/100)</f>
        <v/>
      </c>
      <c r="O2459" s="7" t="n"/>
      <c r="U2459" s="7" t="n"/>
      <c r="V2459" s="7" t="n"/>
      <c r="Y2459">
        <f>IF($D2459="","",IF($AN2459=1,0,IF($AM2459=1,Settings!$C$6,Settings!$C$7))*100)</f>
        <v/>
      </c>
      <c r="Z2459" s="7">
        <f>IF($D2459="","",V2459*Y2459/100)</f>
        <v/>
      </c>
      <c r="AA2459" s="7">
        <f>IF($D2459="","",V2459-Z2459)</f>
        <v/>
      </c>
      <c r="AB2459" s="7">
        <f>IF($D2459="","",AA2459-N2459)</f>
        <v/>
      </c>
      <c r="AF2459" s="7" t="n"/>
      <c r="AI2459" s="11" t="n"/>
      <c r="AK2459">
        <f>IF($D2459="","",IF(COUNTIF($D$2:$D2459,$D2459)=1,1,0))</f>
        <v/>
      </c>
      <c r="AL2459">
        <f>IF($AK2459=1,SUMPRODUCT(--($AO$2:$AO$3001&lt;$AO2459))+1,"")</f>
        <v/>
      </c>
      <c r="AM2459">
        <f>IF($D2459="","",IF(OR($R2459=TRUE(),$R2459="TRUE"),1,0))</f>
        <v/>
      </c>
      <c r="AN2459">
        <f>IF($D2459="","",IF($X2459="Yes",1,0))</f>
        <v/>
      </c>
      <c r="AO2459">
        <f>IF($AK2459=1,IFERROR(IF(VALUE($D2459)&lt;100000000,VALUE($D2459),1000000000),IFERROR(IF(VALUE(MID($D2459,2,20))&lt;100000000,VALUE(MID($D2459,2,20)),1000000000),1000000000))+ROW()/100000,"")</f>
        <v/>
      </c>
    </row>
    <row r="2460">
      <c r="F2460" s="11" t="n"/>
      <c r="N2460" s="7">
        <f>IF($D2460="","",M2460*V2460/100)</f>
        <v/>
      </c>
      <c r="O2460" s="7" t="n"/>
      <c r="U2460" s="7" t="n"/>
      <c r="V2460" s="7" t="n"/>
      <c r="Y2460">
        <f>IF($D2460="","",IF($AN2460=1,0,IF($AM2460=1,Settings!$C$6,Settings!$C$7))*100)</f>
        <v/>
      </c>
      <c r="Z2460" s="7">
        <f>IF($D2460="","",V2460*Y2460/100)</f>
        <v/>
      </c>
      <c r="AA2460" s="7">
        <f>IF($D2460="","",V2460-Z2460)</f>
        <v/>
      </c>
      <c r="AB2460" s="7">
        <f>IF($D2460="","",AA2460-N2460)</f>
        <v/>
      </c>
      <c r="AF2460" s="7" t="n"/>
      <c r="AI2460" s="11" t="n"/>
      <c r="AK2460">
        <f>IF($D2460="","",IF(COUNTIF($D$2:$D2460,$D2460)=1,1,0))</f>
        <v/>
      </c>
      <c r="AL2460">
        <f>IF($AK2460=1,SUMPRODUCT(--($AO$2:$AO$3001&lt;$AO2460))+1,"")</f>
        <v/>
      </c>
      <c r="AM2460">
        <f>IF($D2460="","",IF(OR($R2460=TRUE(),$R2460="TRUE"),1,0))</f>
        <v/>
      </c>
      <c r="AN2460">
        <f>IF($D2460="","",IF($X2460="Yes",1,0))</f>
        <v/>
      </c>
      <c r="AO2460">
        <f>IF($AK2460=1,IFERROR(IF(VALUE($D2460)&lt;100000000,VALUE($D2460),1000000000),IFERROR(IF(VALUE(MID($D2460,2,20))&lt;100000000,VALUE(MID($D2460,2,20)),1000000000),1000000000))+ROW()/100000,"")</f>
        <v/>
      </c>
    </row>
    <row r="2461">
      <c r="F2461" s="11" t="n"/>
      <c r="N2461" s="7">
        <f>IF($D2461="","",M2461*V2461/100)</f>
        <v/>
      </c>
      <c r="O2461" s="7" t="n"/>
      <c r="U2461" s="7" t="n"/>
      <c r="V2461" s="7" t="n"/>
      <c r="Y2461">
        <f>IF($D2461="","",IF($AN2461=1,0,IF($AM2461=1,Settings!$C$6,Settings!$C$7))*100)</f>
        <v/>
      </c>
      <c r="Z2461" s="7">
        <f>IF($D2461="","",V2461*Y2461/100)</f>
        <v/>
      </c>
      <c r="AA2461" s="7">
        <f>IF($D2461="","",V2461-Z2461)</f>
        <v/>
      </c>
      <c r="AB2461" s="7">
        <f>IF($D2461="","",AA2461-N2461)</f>
        <v/>
      </c>
      <c r="AF2461" s="7" t="n"/>
      <c r="AI2461" s="11" t="n"/>
      <c r="AK2461">
        <f>IF($D2461="","",IF(COUNTIF($D$2:$D2461,$D2461)=1,1,0))</f>
        <v/>
      </c>
      <c r="AL2461">
        <f>IF($AK2461=1,SUMPRODUCT(--($AO$2:$AO$3001&lt;$AO2461))+1,"")</f>
        <v/>
      </c>
      <c r="AM2461">
        <f>IF($D2461="","",IF(OR($R2461=TRUE(),$R2461="TRUE"),1,0))</f>
        <v/>
      </c>
      <c r="AN2461">
        <f>IF($D2461="","",IF($X2461="Yes",1,0))</f>
        <v/>
      </c>
      <c r="AO2461">
        <f>IF($AK2461=1,IFERROR(IF(VALUE($D2461)&lt;100000000,VALUE($D2461),1000000000),IFERROR(IF(VALUE(MID($D2461,2,20))&lt;100000000,VALUE(MID($D2461,2,20)),1000000000),1000000000))+ROW()/100000,"")</f>
        <v/>
      </c>
    </row>
    <row r="2462">
      <c r="F2462" s="11" t="n"/>
      <c r="N2462" s="7">
        <f>IF($D2462="","",M2462*V2462/100)</f>
        <v/>
      </c>
      <c r="O2462" s="7" t="n"/>
      <c r="U2462" s="7" t="n"/>
      <c r="V2462" s="7" t="n"/>
      <c r="Y2462">
        <f>IF($D2462="","",IF($AN2462=1,0,IF($AM2462=1,Settings!$C$6,Settings!$C$7))*100)</f>
        <v/>
      </c>
      <c r="Z2462" s="7">
        <f>IF($D2462="","",V2462*Y2462/100)</f>
        <v/>
      </c>
      <c r="AA2462" s="7">
        <f>IF($D2462="","",V2462-Z2462)</f>
        <v/>
      </c>
      <c r="AB2462" s="7">
        <f>IF($D2462="","",AA2462-N2462)</f>
        <v/>
      </c>
      <c r="AF2462" s="7" t="n"/>
      <c r="AI2462" s="11" t="n"/>
      <c r="AK2462">
        <f>IF($D2462="","",IF(COUNTIF($D$2:$D2462,$D2462)=1,1,0))</f>
        <v/>
      </c>
      <c r="AL2462">
        <f>IF($AK2462=1,SUMPRODUCT(--($AO$2:$AO$3001&lt;$AO2462))+1,"")</f>
        <v/>
      </c>
      <c r="AM2462">
        <f>IF($D2462="","",IF(OR($R2462=TRUE(),$R2462="TRUE"),1,0))</f>
        <v/>
      </c>
      <c r="AN2462">
        <f>IF($D2462="","",IF($X2462="Yes",1,0))</f>
        <v/>
      </c>
      <c r="AO2462">
        <f>IF($AK2462=1,IFERROR(IF(VALUE($D2462)&lt;100000000,VALUE($D2462),1000000000),IFERROR(IF(VALUE(MID($D2462,2,20))&lt;100000000,VALUE(MID($D2462,2,20)),1000000000),1000000000))+ROW()/100000,"")</f>
        <v/>
      </c>
    </row>
    <row r="2463">
      <c r="F2463" s="11" t="n"/>
      <c r="N2463" s="7">
        <f>IF($D2463="","",M2463*V2463/100)</f>
        <v/>
      </c>
      <c r="O2463" s="7" t="n"/>
      <c r="U2463" s="7" t="n"/>
      <c r="V2463" s="7" t="n"/>
      <c r="Y2463">
        <f>IF($D2463="","",IF($AN2463=1,0,IF($AM2463=1,Settings!$C$6,Settings!$C$7))*100)</f>
        <v/>
      </c>
      <c r="Z2463" s="7">
        <f>IF($D2463="","",V2463*Y2463/100)</f>
        <v/>
      </c>
      <c r="AA2463" s="7">
        <f>IF($D2463="","",V2463-Z2463)</f>
        <v/>
      </c>
      <c r="AB2463" s="7">
        <f>IF($D2463="","",AA2463-N2463)</f>
        <v/>
      </c>
      <c r="AF2463" s="7" t="n"/>
      <c r="AI2463" s="11" t="n"/>
      <c r="AK2463">
        <f>IF($D2463="","",IF(COUNTIF($D$2:$D2463,$D2463)=1,1,0))</f>
        <v/>
      </c>
      <c r="AL2463">
        <f>IF($AK2463=1,SUMPRODUCT(--($AO$2:$AO$3001&lt;$AO2463))+1,"")</f>
        <v/>
      </c>
      <c r="AM2463">
        <f>IF($D2463="","",IF(OR($R2463=TRUE(),$R2463="TRUE"),1,0))</f>
        <v/>
      </c>
      <c r="AN2463">
        <f>IF($D2463="","",IF($X2463="Yes",1,0))</f>
        <v/>
      </c>
      <c r="AO2463">
        <f>IF($AK2463=1,IFERROR(IF(VALUE($D2463)&lt;100000000,VALUE($D2463),1000000000),IFERROR(IF(VALUE(MID($D2463,2,20))&lt;100000000,VALUE(MID($D2463,2,20)),1000000000),1000000000))+ROW()/100000,"")</f>
        <v/>
      </c>
    </row>
    <row r="2464">
      <c r="F2464" s="11" t="n"/>
      <c r="N2464" s="7">
        <f>IF($D2464="","",M2464*V2464/100)</f>
        <v/>
      </c>
      <c r="O2464" s="7" t="n"/>
      <c r="U2464" s="7" t="n"/>
      <c r="V2464" s="7" t="n"/>
      <c r="Y2464">
        <f>IF($D2464="","",IF($AN2464=1,0,IF($AM2464=1,Settings!$C$6,Settings!$C$7))*100)</f>
        <v/>
      </c>
      <c r="Z2464" s="7">
        <f>IF($D2464="","",V2464*Y2464/100)</f>
        <v/>
      </c>
      <c r="AA2464" s="7">
        <f>IF($D2464="","",V2464-Z2464)</f>
        <v/>
      </c>
      <c r="AB2464" s="7">
        <f>IF($D2464="","",AA2464-N2464)</f>
        <v/>
      </c>
      <c r="AF2464" s="7" t="n"/>
      <c r="AI2464" s="11" t="n"/>
      <c r="AK2464">
        <f>IF($D2464="","",IF(COUNTIF($D$2:$D2464,$D2464)=1,1,0))</f>
        <v/>
      </c>
      <c r="AL2464">
        <f>IF($AK2464=1,SUMPRODUCT(--($AO$2:$AO$3001&lt;$AO2464))+1,"")</f>
        <v/>
      </c>
      <c r="AM2464">
        <f>IF($D2464="","",IF(OR($R2464=TRUE(),$R2464="TRUE"),1,0))</f>
        <v/>
      </c>
      <c r="AN2464">
        <f>IF($D2464="","",IF($X2464="Yes",1,0))</f>
        <v/>
      </c>
      <c r="AO2464">
        <f>IF($AK2464=1,IFERROR(IF(VALUE($D2464)&lt;100000000,VALUE($D2464),1000000000),IFERROR(IF(VALUE(MID($D2464,2,20))&lt;100000000,VALUE(MID($D2464,2,20)),1000000000),1000000000))+ROW()/100000,"")</f>
        <v/>
      </c>
    </row>
    <row r="2465">
      <c r="F2465" s="11" t="n"/>
      <c r="N2465" s="7">
        <f>IF($D2465="","",M2465*V2465/100)</f>
        <v/>
      </c>
      <c r="O2465" s="7" t="n"/>
      <c r="U2465" s="7" t="n"/>
      <c r="V2465" s="7" t="n"/>
      <c r="Y2465">
        <f>IF($D2465="","",IF($AN2465=1,0,IF($AM2465=1,Settings!$C$6,Settings!$C$7))*100)</f>
        <v/>
      </c>
      <c r="Z2465" s="7">
        <f>IF($D2465="","",V2465*Y2465/100)</f>
        <v/>
      </c>
      <c r="AA2465" s="7">
        <f>IF($D2465="","",V2465-Z2465)</f>
        <v/>
      </c>
      <c r="AB2465" s="7">
        <f>IF($D2465="","",AA2465-N2465)</f>
        <v/>
      </c>
      <c r="AF2465" s="7" t="n"/>
      <c r="AI2465" s="11" t="n"/>
      <c r="AK2465">
        <f>IF($D2465="","",IF(COUNTIF($D$2:$D2465,$D2465)=1,1,0))</f>
        <v/>
      </c>
      <c r="AL2465">
        <f>IF($AK2465=1,SUMPRODUCT(--($AO$2:$AO$3001&lt;$AO2465))+1,"")</f>
        <v/>
      </c>
      <c r="AM2465">
        <f>IF($D2465="","",IF(OR($R2465=TRUE(),$R2465="TRUE"),1,0))</f>
        <v/>
      </c>
      <c r="AN2465">
        <f>IF($D2465="","",IF($X2465="Yes",1,0))</f>
        <v/>
      </c>
      <c r="AO2465">
        <f>IF($AK2465=1,IFERROR(IF(VALUE($D2465)&lt;100000000,VALUE($D2465),1000000000),IFERROR(IF(VALUE(MID($D2465,2,20))&lt;100000000,VALUE(MID($D2465,2,20)),1000000000),1000000000))+ROW()/100000,"")</f>
        <v/>
      </c>
    </row>
    <row r="2466">
      <c r="F2466" s="11" t="n"/>
      <c r="N2466" s="7">
        <f>IF($D2466="","",M2466*V2466/100)</f>
        <v/>
      </c>
      <c r="O2466" s="7" t="n"/>
      <c r="U2466" s="7" t="n"/>
      <c r="V2466" s="7" t="n"/>
      <c r="Y2466">
        <f>IF($D2466="","",IF($AN2466=1,0,IF($AM2466=1,Settings!$C$6,Settings!$C$7))*100)</f>
        <v/>
      </c>
      <c r="Z2466" s="7">
        <f>IF($D2466="","",V2466*Y2466/100)</f>
        <v/>
      </c>
      <c r="AA2466" s="7">
        <f>IF($D2466="","",V2466-Z2466)</f>
        <v/>
      </c>
      <c r="AB2466" s="7">
        <f>IF($D2466="","",AA2466-N2466)</f>
        <v/>
      </c>
      <c r="AF2466" s="7" t="n"/>
      <c r="AI2466" s="11" t="n"/>
      <c r="AK2466">
        <f>IF($D2466="","",IF(COUNTIF($D$2:$D2466,$D2466)=1,1,0))</f>
        <v/>
      </c>
      <c r="AL2466">
        <f>IF($AK2466=1,SUMPRODUCT(--($AO$2:$AO$3001&lt;$AO2466))+1,"")</f>
        <v/>
      </c>
      <c r="AM2466">
        <f>IF($D2466="","",IF(OR($R2466=TRUE(),$R2466="TRUE"),1,0))</f>
        <v/>
      </c>
      <c r="AN2466">
        <f>IF($D2466="","",IF($X2466="Yes",1,0))</f>
        <v/>
      </c>
      <c r="AO2466">
        <f>IF($AK2466=1,IFERROR(IF(VALUE($D2466)&lt;100000000,VALUE($D2466),1000000000),IFERROR(IF(VALUE(MID($D2466,2,20))&lt;100000000,VALUE(MID($D2466,2,20)),1000000000),1000000000))+ROW()/100000,"")</f>
        <v/>
      </c>
    </row>
    <row r="2467">
      <c r="F2467" s="11" t="n"/>
      <c r="N2467" s="7">
        <f>IF($D2467="","",M2467*V2467/100)</f>
        <v/>
      </c>
      <c r="O2467" s="7" t="n"/>
      <c r="U2467" s="7" t="n"/>
      <c r="V2467" s="7" t="n"/>
      <c r="Y2467">
        <f>IF($D2467="","",IF($AN2467=1,0,IF($AM2467=1,Settings!$C$6,Settings!$C$7))*100)</f>
        <v/>
      </c>
      <c r="Z2467" s="7">
        <f>IF($D2467="","",V2467*Y2467/100)</f>
        <v/>
      </c>
      <c r="AA2467" s="7">
        <f>IF($D2467="","",V2467-Z2467)</f>
        <v/>
      </c>
      <c r="AB2467" s="7">
        <f>IF($D2467="","",AA2467-N2467)</f>
        <v/>
      </c>
      <c r="AF2467" s="7" t="n"/>
      <c r="AI2467" s="11" t="n"/>
      <c r="AK2467">
        <f>IF($D2467="","",IF(COUNTIF($D$2:$D2467,$D2467)=1,1,0))</f>
        <v/>
      </c>
      <c r="AL2467">
        <f>IF($AK2467=1,SUMPRODUCT(--($AO$2:$AO$3001&lt;$AO2467))+1,"")</f>
        <v/>
      </c>
      <c r="AM2467">
        <f>IF($D2467="","",IF(OR($R2467=TRUE(),$R2467="TRUE"),1,0))</f>
        <v/>
      </c>
      <c r="AN2467">
        <f>IF($D2467="","",IF($X2467="Yes",1,0))</f>
        <v/>
      </c>
      <c r="AO2467">
        <f>IF($AK2467=1,IFERROR(IF(VALUE($D2467)&lt;100000000,VALUE($D2467),1000000000),IFERROR(IF(VALUE(MID($D2467,2,20))&lt;100000000,VALUE(MID($D2467,2,20)),1000000000),1000000000))+ROW()/100000,"")</f>
        <v/>
      </c>
    </row>
    <row r="2468">
      <c r="F2468" s="11" t="n"/>
      <c r="N2468" s="7">
        <f>IF($D2468="","",M2468*V2468/100)</f>
        <v/>
      </c>
      <c r="O2468" s="7" t="n"/>
      <c r="U2468" s="7" t="n"/>
      <c r="V2468" s="7" t="n"/>
      <c r="Y2468">
        <f>IF($D2468="","",IF($AN2468=1,0,IF($AM2468=1,Settings!$C$6,Settings!$C$7))*100)</f>
        <v/>
      </c>
      <c r="Z2468" s="7">
        <f>IF($D2468="","",V2468*Y2468/100)</f>
        <v/>
      </c>
      <c r="AA2468" s="7">
        <f>IF($D2468="","",V2468-Z2468)</f>
        <v/>
      </c>
      <c r="AB2468" s="7">
        <f>IF($D2468="","",AA2468-N2468)</f>
        <v/>
      </c>
      <c r="AF2468" s="7" t="n"/>
      <c r="AI2468" s="11" t="n"/>
      <c r="AK2468">
        <f>IF($D2468="","",IF(COUNTIF($D$2:$D2468,$D2468)=1,1,0))</f>
        <v/>
      </c>
      <c r="AL2468">
        <f>IF($AK2468=1,SUMPRODUCT(--($AO$2:$AO$3001&lt;$AO2468))+1,"")</f>
        <v/>
      </c>
      <c r="AM2468">
        <f>IF($D2468="","",IF(OR($R2468=TRUE(),$R2468="TRUE"),1,0))</f>
        <v/>
      </c>
      <c r="AN2468">
        <f>IF($D2468="","",IF($X2468="Yes",1,0))</f>
        <v/>
      </c>
      <c r="AO2468">
        <f>IF($AK2468=1,IFERROR(IF(VALUE($D2468)&lt;100000000,VALUE($D2468),1000000000),IFERROR(IF(VALUE(MID($D2468,2,20))&lt;100000000,VALUE(MID($D2468,2,20)),1000000000),1000000000))+ROW()/100000,"")</f>
        <v/>
      </c>
    </row>
    <row r="2469">
      <c r="F2469" s="11" t="n"/>
      <c r="N2469" s="7">
        <f>IF($D2469="","",M2469*V2469/100)</f>
        <v/>
      </c>
      <c r="O2469" s="7" t="n"/>
      <c r="U2469" s="7" t="n"/>
      <c r="V2469" s="7" t="n"/>
      <c r="Y2469">
        <f>IF($D2469="","",IF($AN2469=1,0,IF($AM2469=1,Settings!$C$6,Settings!$C$7))*100)</f>
        <v/>
      </c>
      <c r="Z2469" s="7">
        <f>IF($D2469="","",V2469*Y2469/100)</f>
        <v/>
      </c>
      <c r="AA2469" s="7">
        <f>IF($D2469="","",V2469-Z2469)</f>
        <v/>
      </c>
      <c r="AB2469" s="7">
        <f>IF($D2469="","",AA2469-N2469)</f>
        <v/>
      </c>
      <c r="AF2469" s="7" t="n"/>
      <c r="AI2469" s="11" t="n"/>
      <c r="AK2469">
        <f>IF($D2469="","",IF(COUNTIF($D$2:$D2469,$D2469)=1,1,0))</f>
        <v/>
      </c>
      <c r="AL2469">
        <f>IF($AK2469=1,SUMPRODUCT(--($AO$2:$AO$3001&lt;$AO2469))+1,"")</f>
        <v/>
      </c>
      <c r="AM2469">
        <f>IF($D2469="","",IF(OR($R2469=TRUE(),$R2469="TRUE"),1,0))</f>
        <v/>
      </c>
      <c r="AN2469">
        <f>IF($D2469="","",IF($X2469="Yes",1,0))</f>
        <v/>
      </c>
      <c r="AO2469">
        <f>IF($AK2469=1,IFERROR(IF(VALUE($D2469)&lt;100000000,VALUE($D2469),1000000000),IFERROR(IF(VALUE(MID($D2469,2,20))&lt;100000000,VALUE(MID($D2469,2,20)),1000000000),1000000000))+ROW()/100000,"")</f>
        <v/>
      </c>
    </row>
    <row r="2470">
      <c r="F2470" s="11" t="n"/>
      <c r="N2470" s="7">
        <f>IF($D2470="","",M2470*V2470/100)</f>
        <v/>
      </c>
      <c r="O2470" s="7" t="n"/>
      <c r="U2470" s="7" t="n"/>
      <c r="V2470" s="7" t="n"/>
      <c r="Y2470">
        <f>IF($D2470="","",IF($AN2470=1,0,IF($AM2470=1,Settings!$C$6,Settings!$C$7))*100)</f>
        <v/>
      </c>
      <c r="Z2470" s="7">
        <f>IF($D2470="","",V2470*Y2470/100)</f>
        <v/>
      </c>
      <c r="AA2470" s="7">
        <f>IF($D2470="","",V2470-Z2470)</f>
        <v/>
      </c>
      <c r="AB2470" s="7">
        <f>IF($D2470="","",AA2470-N2470)</f>
        <v/>
      </c>
      <c r="AF2470" s="7" t="n"/>
      <c r="AI2470" s="11" t="n"/>
      <c r="AK2470">
        <f>IF($D2470="","",IF(COUNTIF($D$2:$D2470,$D2470)=1,1,0))</f>
        <v/>
      </c>
      <c r="AL2470">
        <f>IF($AK2470=1,SUMPRODUCT(--($AO$2:$AO$3001&lt;$AO2470))+1,"")</f>
        <v/>
      </c>
      <c r="AM2470">
        <f>IF($D2470="","",IF(OR($R2470=TRUE(),$R2470="TRUE"),1,0))</f>
        <v/>
      </c>
      <c r="AN2470">
        <f>IF($D2470="","",IF($X2470="Yes",1,0))</f>
        <v/>
      </c>
      <c r="AO2470">
        <f>IF($AK2470=1,IFERROR(IF(VALUE($D2470)&lt;100000000,VALUE($D2470),1000000000),IFERROR(IF(VALUE(MID($D2470,2,20))&lt;100000000,VALUE(MID($D2470,2,20)),1000000000),1000000000))+ROW()/100000,"")</f>
        <v/>
      </c>
    </row>
    <row r="2471">
      <c r="F2471" s="11" t="n"/>
      <c r="N2471" s="7">
        <f>IF($D2471="","",M2471*V2471/100)</f>
        <v/>
      </c>
      <c r="O2471" s="7" t="n"/>
      <c r="U2471" s="7" t="n"/>
      <c r="V2471" s="7" t="n"/>
      <c r="Y2471">
        <f>IF($D2471="","",IF($AN2471=1,0,IF($AM2471=1,Settings!$C$6,Settings!$C$7))*100)</f>
        <v/>
      </c>
      <c r="Z2471" s="7">
        <f>IF($D2471="","",V2471*Y2471/100)</f>
        <v/>
      </c>
      <c r="AA2471" s="7">
        <f>IF($D2471="","",V2471-Z2471)</f>
        <v/>
      </c>
      <c r="AB2471" s="7">
        <f>IF($D2471="","",AA2471-N2471)</f>
        <v/>
      </c>
      <c r="AF2471" s="7" t="n"/>
      <c r="AI2471" s="11" t="n"/>
      <c r="AK2471">
        <f>IF($D2471="","",IF(COUNTIF($D$2:$D2471,$D2471)=1,1,0))</f>
        <v/>
      </c>
      <c r="AL2471">
        <f>IF($AK2471=1,SUMPRODUCT(--($AO$2:$AO$3001&lt;$AO2471))+1,"")</f>
        <v/>
      </c>
      <c r="AM2471">
        <f>IF($D2471="","",IF(OR($R2471=TRUE(),$R2471="TRUE"),1,0))</f>
        <v/>
      </c>
      <c r="AN2471">
        <f>IF($D2471="","",IF($X2471="Yes",1,0))</f>
        <v/>
      </c>
      <c r="AO2471">
        <f>IF($AK2471=1,IFERROR(IF(VALUE($D2471)&lt;100000000,VALUE($D2471),1000000000),IFERROR(IF(VALUE(MID($D2471,2,20))&lt;100000000,VALUE(MID($D2471,2,20)),1000000000),1000000000))+ROW()/100000,"")</f>
        <v/>
      </c>
    </row>
    <row r="2472">
      <c r="F2472" s="11" t="n"/>
      <c r="N2472" s="7">
        <f>IF($D2472="","",M2472*V2472/100)</f>
        <v/>
      </c>
      <c r="O2472" s="7" t="n"/>
      <c r="U2472" s="7" t="n"/>
      <c r="V2472" s="7" t="n"/>
      <c r="Y2472">
        <f>IF($D2472="","",IF($AN2472=1,0,IF($AM2472=1,Settings!$C$6,Settings!$C$7))*100)</f>
        <v/>
      </c>
      <c r="Z2472" s="7">
        <f>IF($D2472="","",V2472*Y2472/100)</f>
        <v/>
      </c>
      <c r="AA2472" s="7">
        <f>IF($D2472="","",V2472-Z2472)</f>
        <v/>
      </c>
      <c r="AB2472" s="7">
        <f>IF($D2472="","",AA2472-N2472)</f>
        <v/>
      </c>
      <c r="AF2472" s="7" t="n"/>
      <c r="AI2472" s="11" t="n"/>
      <c r="AK2472">
        <f>IF($D2472="","",IF(COUNTIF($D$2:$D2472,$D2472)=1,1,0))</f>
        <v/>
      </c>
      <c r="AL2472">
        <f>IF($AK2472=1,SUMPRODUCT(--($AO$2:$AO$3001&lt;$AO2472))+1,"")</f>
        <v/>
      </c>
      <c r="AM2472">
        <f>IF($D2472="","",IF(OR($R2472=TRUE(),$R2472="TRUE"),1,0))</f>
        <v/>
      </c>
      <c r="AN2472">
        <f>IF($D2472="","",IF($X2472="Yes",1,0))</f>
        <v/>
      </c>
      <c r="AO2472">
        <f>IF($AK2472=1,IFERROR(IF(VALUE($D2472)&lt;100000000,VALUE($D2472),1000000000),IFERROR(IF(VALUE(MID($D2472,2,20))&lt;100000000,VALUE(MID($D2472,2,20)),1000000000),1000000000))+ROW()/100000,"")</f>
        <v/>
      </c>
    </row>
    <row r="2473">
      <c r="F2473" s="11" t="n"/>
      <c r="N2473" s="7">
        <f>IF($D2473="","",M2473*V2473/100)</f>
        <v/>
      </c>
      <c r="O2473" s="7" t="n"/>
      <c r="U2473" s="7" t="n"/>
      <c r="V2473" s="7" t="n"/>
      <c r="Y2473">
        <f>IF($D2473="","",IF($AN2473=1,0,IF($AM2473=1,Settings!$C$6,Settings!$C$7))*100)</f>
        <v/>
      </c>
      <c r="Z2473" s="7">
        <f>IF($D2473="","",V2473*Y2473/100)</f>
        <v/>
      </c>
      <c r="AA2473" s="7">
        <f>IF($D2473="","",V2473-Z2473)</f>
        <v/>
      </c>
      <c r="AB2473" s="7">
        <f>IF($D2473="","",AA2473-N2473)</f>
        <v/>
      </c>
      <c r="AF2473" s="7" t="n"/>
      <c r="AI2473" s="11" t="n"/>
      <c r="AK2473">
        <f>IF($D2473="","",IF(COUNTIF($D$2:$D2473,$D2473)=1,1,0))</f>
        <v/>
      </c>
      <c r="AL2473">
        <f>IF($AK2473=1,SUMPRODUCT(--($AO$2:$AO$3001&lt;$AO2473))+1,"")</f>
        <v/>
      </c>
      <c r="AM2473">
        <f>IF($D2473="","",IF(OR($R2473=TRUE(),$R2473="TRUE"),1,0))</f>
        <v/>
      </c>
      <c r="AN2473">
        <f>IF($D2473="","",IF($X2473="Yes",1,0))</f>
        <v/>
      </c>
      <c r="AO2473">
        <f>IF($AK2473=1,IFERROR(IF(VALUE($D2473)&lt;100000000,VALUE($D2473),1000000000),IFERROR(IF(VALUE(MID($D2473,2,20))&lt;100000000,VALUE(MID($D2473,2,20)),1000000000),1000000000))+ROW()/100000,"")</f>
        <v/>
      </c>
    </row>
    <row r="2474">
      <c r="F2474" s="11" t="n"/>
      <c r="N2474" s="7">
        <f>IF($D2474="","",M2474*V2474/100)</f>
        <v/>
      </c>
      <c r="O2474" s="7" t="n"/>
      <c r="U2474" s="7" t="n"/>
      <c r="V2474" s="7" t="n"/>
      <c r="Y2474">
        <f>IF($D2474="","",IF($AN2474=1,0,IF($AM2474=1,Settings!$C$6,Settings!$C$7))*100)</f>
        <v/>
      </c>
      <c r="Z2474" s="7">
        <f>IF($D2474="","",V2474*Y2474/100)</f>
        <v/>
      </c>
      <c r="AA2474" s="7">
        <f>IF($D2474="","",V2474-Z2474)</f>
        <v/>
      </c>
      <c r="AB2474" s="7">
        <f>IF($D2474="","",AA2474-N2474)</f>
        <v/>
      </c>
      <c r="AF2474" s="7" t="n"/>
      <c r="AI2474" s="11" t="n"/>
      <c r="AK2474">
        <f>IF($D2474="","",IF(COUNTIF($D$2:$D2474,$D2474)=1,1,0))</f>
        <v/>
      </c>
      <c r="AL2474">
        <f>IF($AK2474=1,SUMPRODUCT(--($AO$2:$AO$3001&lt;$AO2474))+1,"")</f>
        <v/>
      </c>
      <c r="AM2474">
        <f>IF($D2474="","",IF(OR($R2474=TRUE(),$R2474="TRUE"),1,0))</f>
        <v/>
      </c>
      <c r="AN2474">
        <f>IF($D2474="","",IF($X2474="Yes",1,0))</f>
        <v/>
      </c>
      <c r="AO2474">
        <f>IF($AK2474=1,IFERROR(IF(VALUE($D2474)&lt;100000000,VALUE($D2474),1000000000),IFERROR(IF(VALUE(MID($D2474,2,20))&lt;100000000,VALUE(MID($D2474,2,20)),1000000000),1000000000))+ROW()/100000,"")</f>
        <v/>
      </c>
    </row>
    <row r="2475">
      <c r="F2475" s="11" t="n"/>
      <c r="N2475" s="7">
        <f>IF($D2475="","",M2475*V2475/100)</f>
        <v/>
      </c>
      <c r="O2475" s="7" t="n"/>
      <c r="U2475" s="7" t="n"/>
      <c r="V2475" s="7" t="n"/>
      <c r="Y2475">
        <f>IF($D2475="","",IF($AN2475=1,0,IF($AM2475=1,Settings!$C$6,Settings!$C$7))*100)</f>
        <v/>
      </c>
      <c r="Z2475" s="7">
        <f>IF($D2475="","",V2475*Y2475/100)</f>
        <v/>
      </c>
      <c r="AA2475" s="7">
        <f>IF($D2475="","",V2475-Z2475)</f>
        <v/>
      </c>
      <c r="AB2475" s="7">
        <f>IF($D2475="","",AA2475-N2475)</f>
        <v/>
      </c>
      <c r="AF2475" s="7" t="n"/>
      <c r="AI2475" s="11" t="n"/>
      <c r="AK2475">
        <f>IF($D2475="","",IF(COUNTIF($D$2:$D2475,$D2475)=1,1,0))</f>
        <v/>
      </c>
      <c r="AL2475">
        <f>IF($AK2475=1,SUMPRODUCT(--($AO$2:$AO$3001&lt;$AO2475))+1,"")</f>
        <v/>
      </c>
      <c r="AM2475">
        <f>IF($D2475="","",IF(OR($R2475=TRUE(),$R2475="TRUE"),1,0))</f>
        <v/>
      </c>
      <c r="AN2475">
        <f>IF($D2475="","",IF($X2475="Yes",1,0))</f>
        <v/>
      </c>
      <c r="AO2475">
        <f>IF($AK2475=1,IFERROR(IF(VALUE($D2475)&lt;100000000,VALUE($D2475),1000000000),IFERROR(IF(VALUE(MID($D2475,2,20))&lt;100000000,VALUE(MID($D2475,2,20)),1000000000),1000000000))+ROW()/100000,"")</f>
        <v/>
      </c>
    </row>
    <row r="2476">
      <c r="F2476" s="11" t="n"/>
      <c r="N2476" s="7">
        <f>IF($D2476="","",M2476*V2476/100)</f>
        <v/>
      </c>
      <c r="O2476" s="7" t="n"/>
      <c r="U2476" s="7" t="n"/>
      <c r="V2476" s="7" t="n"/>
      <c r="Y2476">
        <f>IF($D2476="","",IF($AN2476=1,0,IF($AM2476=1,Settings!$C$6,Settings!$C$7))*100)</f>
        <v/>
      </c>
      <c r="Z2476" s="7">
        <f>IF($D2476="","",V2476*Y2476/100)</f>
        <v/>
      </c>
      <c r="AA2476" s="7">
        <f>IF($D2476="","",V2476-Z2476)</f>
        <v/>
      </c>
      <c r="AB2476" s="7">
        <f>IF($D2476="","",AA2476-N2476)</f>
        <v/>
      </c>
      <c r="AF2476" s="7" t="n"/>
      <c r="AI2476" s="11" t="n"/>
      <c r="AK2476">
        <f>IF($D2476="","",IF(COUNTIF($D$2:$D2476,$D2476)=1,1,0))</f>
        <v/>
      </c>
      <c r="AL2476">
        <f>IF($AK2476=1,SUMPRODUCT(--($AO$2:$AO$3001&lt;$AO2476))+1,"")</f>
        <v/>
      </c>
      <c r="AM2476">
        <f>IF($D2476="","",IF(OR($R2476=TRUE(),$R2476="TRUE"),1,0))</f>
        <v/>
      </c>
      <c r="AN2476">
        <f>IF($D2476="","",IF($X2476="Yes",1,0))</f>
        <v/>
      </c>
      <c r="AO2476">
        <f>IF($AK2476=1,IFERROR(IF(VALUE($D2476)&lt;100000000,VALUE($D2476),1000000000),IFERROR(IF(VALUE(MID($D2476,2,20))&lt;100000000,VALUE(MID($D2476,2,20)),1000000000),1000000000))+ROW()/100000,"")</f>
        <v/>
      </c>
    </row>
    <row r="2477">
      <c r="F2477" s="11" t="n"/>
      <c r="N2477" s="7">
        <f>IF($D2477="","",M2477*V2477/100)</f>
        <v/>
      </c>
      <c r="O2477" s="7" t="n"/>
      <c r="U2477" s="7" t="n"/>
      <c r="V2477" s="7" t="n"/>
      <c r="Y2477">
        <f>IF($D2477="","",IF($AN2477=1,0,IF($AM2477=1,Settings!$C$6,Settings!$C$7))*100)</f>
        <v/>
      </c>
      <c r="Z2477" s="7">
        <f>IF($D2477="","",V2477*Y2477/100)</f>
        <v/>
      </c>
      <c r="AA2477" s="7">
        <f>IF($D2477="","",V2477-Z2477)</f>
        <v/>
      </c>
      <c r="AB2477" s="7">
        <f>IF($D2477="","",AA2477-N2477)</f>
        <v/>
      </c>
      <c r="AF2477" s="7" t="n"/>
      <c r="AI2477" s="11" t="n"/>
      <c r="AK2477">
        <f>IF($D2477="","",IF(COUNTIF($D$2:$D2477,$D2477)=1,1,0))</f>
        <v/>
      </c>
      <c r="AL2477">
        <f>IF($AK2477=1,SUMPRODUCT(--($AO$2:$AO$3001&lt;$AO2477))+1,"")</f>
        <v/>
      </c>
      <c r="AM2477">
        <f>IF($D2477="","",IF(OR($R2477=TRUE(),$R2477="TRUE"),1,0))</f>
        <v/>
      </c>
      <c r="AN2477">
        <f>IF($D2477="","",IF($X2477="Yes",1,0))</f>
        <v/>
      </c>
      <c r="AO2477">
        <f>IF($AK2477=1,IFERROR(IF(VALUE($D2477)&lt;100000000,VALUE($D2477),1000000000),IFERROR(IF(VALUE(MID($D2477,2,20))&lt;100000000,VALUE(MID($D2477,2,20)),1000000000),1000000000))+ROW()/100000,"")</f>
        <v/>
      </c>
    </row>
    <row r="2478">
      <c r="F2478" s="11" t="n"/>
      <c r="N2478" s="7">
        <f>IF($D2478="","",M2478*V2478/100)</f>
        <v/>
      </c>
      <c r="O2478" s="7" t="n"/>
      <c r="U2478" s="7" t="n"/>
      <c r="V2478" s="7" t="n"/>
      <c r="Y2478">
        <f>IF($D2478="","",IF($AN2478=1,0,IF($AM2478=1,Settings!$C$6,Settings!$C$7))*100)</f>
        <v/>
      </c>
      <c r="Z2478" s="7">
        <f>IF($D2478="","",V2478*Y2478/100)</f>
        <v/>
      </c>
      <c r="AA2478" s="7">
        <f>IF($D2478="","",V2478-Z2478)</f>
        <v/>
      </c>
      <c r="AB2478" s="7">
        <f>IF($D2478="","",AA2478-N2478)</f>
        <v/>
      </c>
      <c r="AF2478" s="7" t="n"/>
      <c r="AI2478" s="11" t="n"/>
      <c r="AK2478">
        <f>IF($D2478="","",IF(COUNTIF($D$2:$D2478,$D2478)=1,1,0))</f>
        <v/>
      </c>
      <c r="AL2478">
        <f>IF($AK2478=1,SUMPRODUCT(--($AO$2:$AO$3001&lt;$AO2478))+1,"")</f>
        <v/>
      </c>
      <c r="AM2478">
        <f>IF($D2478="","",IF(OR($R2478=TRUE(),$R2478="TRUE"),1,0))</f>
        <v/>
      </c>
      <c r="AN2478">
        <f>IF($D2478="","",IF($X2478="Yes",1,0))</f>
        <v/>
      </c>
      <c r="AO2478">
        <f>IF($AK2478=1,IFERROR(IF(VALUE($D2478)&lt;100000000,VALUE($D2478),1000000000),IFERROR(IF(VALUE(MID($D2478,2,20))&lt;100000000,VALUE(MID($D2478,2,20)),1000000000),1000000000))+ROW()/100000,"")</f>
        <v/>
      </c>
    </row>
    <row r="2479">
      <c r="F2479" s="11" t="n"/>
      <c r="N2479" s="7">
        <f>IF($D2479="","",M2479*V2479/100)</f>
        <v/>
      </c>
      <c r="O2479" s="7" t="n"/>
      <c r="U2479" s="7" t="n"/>
      <c r="V2479" s="7" t="n"/>
      <c r="Y2479">
        <f>IF($D2479="","",IF($AN2479=1,0,IF($AM2479=1,Settings!$C$6,Settings!$C$7))*100)</f>
        <v/>
      </c>
      <c r="Z2479" s="7">
        <f>IF($D2479="","",V2479*Y2479/100)</f>
        <v/>
      </c>
      <c r="AA2479" s="7">
        <f>IF($D2479="","",V2479-Z2479)</f>
        <v/>
      </c>
      <c r="AB2479" s="7">
        <f>IF($D2479="","",AA2479-N2479)</f>
        <v/>
      </c>
      <c r="AF2479" s="7" t="n"/>
      <c r="AI2479" s="11" t="n"/>
      <c r="AK2479">
        <f>IF($D2479="","",IF(COUNTIF($D$2:$D2479,$D2479)=1,1,0))</f>
        <v/>
      </c>
      <c r="AL2479">
        <f>IF($AK2479=1,SUMPRODUCT(--($AO$2:$AO$3001&lt;$AO2479))+1,"")</f>
        <v/>
      </c>
      <c r="AM2479">
        <f>IF($D2479="","",IF(OR($R2479=TRUE(),$R2479="TRUE"),1,0))</f>
        <v/>
      </c>
      <c r="AN2479">
        <f>IF($D2479="","",IF($X2479="Yes",1,0))</f>
        <v/>
      </c>
      <c r="AO2479">
        <f>IF($AK2479=1,IFERROR(IF(VALUE($D2479)&lt;100000000,VALUE($D2479),1000000000),IFERROR(IF(VALUE(MID($D2479,2,20))&lt;100000000,VALUE(MID($D2479,2,20)),1000000000),1000000000))+ROW()/100000,"")</f>
        <v/>
      </c>
    </row>
    <row r="2480">
      <c r="F2480" s="11" t="n"/>
      <c r="N2480" s="7">
        <f>IF($D2480="","",M2480*V2480/100)</f>
        <v/>
      </c>
      <c r="O2480" s="7" t="n"/>
      <c r="U2480" s="7" t="n"/>
      <c r="V2480" s="7" t="n"/>
      <c r="Y2480">
        <f>IF($D2480="","",IF($AN2480=1,0,IF($AM2480=1,Settings!$C$6,Settings!$C$7))*100)</f>
        <v/>
      </c>
      <c r="Z2480" s="7">
        <f>IF($D2480="","",V2480*Y2480/100)</f>
        <v/>
      </c>
      <c r="AA2480" s="7">
        <f>IF($D2480="","",V2480-Z2480)</f>
        <v/>
      </c>
      <c r="AB2480" s="7">
        <f>IF($D2480="","",AA2480-N2480)</f>
        <v/>
      </c>
      <c r="AF2480" s="7" t="n"/>
      <c r="AI2480" s="11" t="n"/>
      <c r="AK2480">
        <f>IF($D2480="","",IF(COUNTIF($D$2:$D2480,$D2480)=1,1,0))</f>
        <v/>
      </c>
      <c r="AL2480">
        <f>IF($AK2480=1,SUMPRODUCT(--($AO$2:$AO$3001&lt;$AO2480))+1,"")</f>
        <v/>
      </c>
      <c r="AM2480">
        <f>IF($D2480="","",IF(OR($R2480=TRUE(),$R2480="TRUE"),1,0))</f>
        <v/>
      </c>
      <c r="AN2480">
        <f>IF($D2480="","",IF($X2480="Yes",1,0))</f>
        <v/>
      </c>
      <c r="AO2480">
        <f>IF($AK2480=1,IFERROR(IF(VALUE($D2480)&lt;100000000,VALUE($D2480),1000000000),IFERROR(IF(VALUE(MID($D2480,2,20))&lt;100000000,VALUE(MID($D2480,2,20)),1000000000),1000000000))+ROW()/100000,"")</f>
        <v/>
      </c>
    </row>
    <row r="2481">
      <c r="F2481" s="11" t="n"/>
      <c r="N2481" s="7">
        <f>IF($D2481="","",M2481*V2481/100)</f>
        <v/>
      </c>
      <c r="O2481" s="7" t="n"/>
      <c r="U2481" s="7" t="n"/>
      <c r="V2481" s="7" t="n"/>
      <c r="Y2481">
        <f>IF($D2481="","",IF($AN2481=1,0,IF($AM2481=1,Settings!$C$6,Settings!$C$7))*100)</f>
        <v/>
      </c>
      <c r="Z2481" s="7">
        <f>IF($D2481="","",V2481*Y2481/100)</f>
        <v/>
      </c>
      <c r="AA2481" s="7">
        <f>IF($D2481="","",V2481-Z2481)</f>
        <v/>
      </c>
      <c r="AB2481" s="7">
        <f>IF($D2481="","",AA2481-N2481)</f>
        <v/>
      </c>
      <c r="AF2481" s="7" t="n"/>
      <c r="AI2481" s="11" t="n"/>
      <c r="AK2481">
        <f>IF($D2481="","",IF(COUNTIF($D$2:$D2481,$D2481)=1,1,0))</f>
        <v/>
      </c>
      <c r="AL2481">
        <f>IF($AK2481=1,SUMPRODUCT(--($AO$2:$AO$3001&lt;$AO2481))+1,"")</f>
        <v/>
      </c>
      <c r="AM2481">
        <f>IF($D2481="","",IF(OR($R2481=TRUE(),$R2481="TRUE"),1,0))</f>
        <v/>
      </c>
      <c r="AN2481">
        <f>IF($D2481="","",IF($X2481="Yes",1,0))</f>
        <v/>
      </c>
      <c r="AO2481">
        <f>IF($AK2481=1,IFERROR(IF(VALUE($D2481)&lt;100000000,VALUE($D2481),1000000000),IFERROR(IF(VALUE(MID($D2481,2,20))&lt;100000000,VALUE(MID($D2481,2,20)),1000000000),1000000000))+ROW()/100000,"")</f>
        <v/>
      </c>
    </row>
    <row r="2482">
      <c r="F2482" s="11" t="n"/>
      <c r="N2482" s="7">
        <f>IF($D2482="","",M2482*V2482/100)</f>
        <v/>
      </c>
      <c r="O2482" s="7" t="n"/>
      <c r="U2482" s="7" t="n"/>
      <c r="V2482" s="7" t="n"/>
      <c r="Y2482">
        <f>IF($D2482="","",IF($AN2482=1,0,IF($AM2482=1,Settings!$C$6,Settings!$C$7))*100)</f>
        <v/>
      </c>
      <c r="Z2482" s="7">
        <f>IF($D2482="","",V2482*Y2482/100)</f>
        <v/>
      </c>
      <c r="AA2482" s="7">
        <f>IF($D2482="","",V2482-Z2482)</f>
        <v/>
      </c>
      <c r="AB2482" s="7">
        <f>IF($D2482="","",AA2482-N2482)</f>
        <v/>
      </c>
      <c r="AF2482" s="7" t="n"/>
      <c r="AI2482" s="11" t="n"/>
      <c r="AK2482">
        <f>IF($D2482="","",IF(COUNTIF($D$2:$D2482,$D2482)=1,1,0))</f>
        <v/>
      </c>
      <c r="AL2482">
        <f>IF($AK2482=1,SUMPRODUCT(--($AO$2:$AO$3001&lt;$AO2482))+1,"")</f>
        <v/>
      </c>
      <c r="AM2482">
        <f>IF($D2482="","",IF(OR($R2482=TRUE(),$R2482="TRUE"),1,0))</f>
        <v/>
      </c>
      <c r="AN2482">
        <f>IF($D2482="","",IF($X2482="Yes",1,0))</f>
        <v/>
      </c>
      <c r="AO2482">
        <f>IF($AK2482=1,IFERROR(IF(VALUE($D2482)&lt;100000000,VALUE($D2482),1000000000),IFERROR(IF(VALUE(MID($D2482,2,20))&lt;100000000,VALUE(MID($D2482,2,20)),1000000000),1000000000))+ROW()/100000,"")</f>
        <v/>
      </c>
    </row>
    <row r="2483">
      <c r="F2483" s="11" t="n"/>
      <c r="N2483" s="7">
        <f>IF($D2483="","",M2483*V2483/100)</f>
        <v/>
      </c>
      <c r="O2483" s="7" t="n"/>
      <c r="U2483" s="7" t="n"/>
      <c r="V2483" s="7" t="n"/>
      <c r="Y2483">
        <f>IF($D2483="","",IF($AN2483=1,0,IF($AM2483=1,Settings!$C$6,Settings!$C$7))*100)</f>
        <v/>
      </c>
      <c r="Z2483" s="7">
        <f>IF($D2483="","",V2483*Y2483/100)</f>
        <v/>
      </c>
      <c r="AA2483" s="7">
        <f>IF($D2483="","",V2483-Z2483)</f>
        <v/>
      </c>
      <c r="AB2483" s="7">
        <f>IF($D2483="","",AA2483-N2483)</f>
        <v/>
      </c>
      <c r="AF2483" s="7" t="n"/>
      <c r="AI2483" s="11" t="n"/>
      <c r="AK2483">
        <f>IF($D2483="","",IF(COUNTIF($D$2:$D2483,$D2483)=1,1,0))</f>
        <v/>
      </c>
      <c r="AL2483">
        <f>IF($AK2483=1,SUMPRODUCT(--($AO$2:$AO$3001&lt;$AO2483))+1,"")</f>
        <v/>
      </c>
      <c r="AM2483">
        <f>IF($D2483="","",IF(OR($R2483=TRUE(),$R2483="TRUE"),1,0))</f>
        <v/>
      </c>
      <c r="AN2483">
        <f>IF($D2483="","",IF($X2483="Yes",1,0))</f>
        <v/>
      </c>
      <c r="AO2483">
        <f>IF($AK2483=1,IFERROR(IF(VALUE($D2483)&lt;100000000,VALUE($D2483),1000000000),IFERROR(IF(VALUE(MID($D2483,2,20))&lt;100000000,VALUE(MID($D2483,2,20)),1000000000),1000000000))+ROW()/100000,"")</f>
        <v/>
      </c>
    </row>
    <row r="2484">
      <c r="F2484" s="11" t="n"/>
      <c r="N2484" s="7">
        <f>IF($D2484="","",M2484*V2484/100)</f>
        <v/>
      </c>
      <c r="O2484" s="7" t="n"/>
      <c r="U2484" s="7" t="n"/>
      <c r="V2484" s="7" t="n"/>
      <c r="Y2484">
        <f>IF($D2484="","",IF($AN2484=1,0,IF($AM2484=1,Settings!$C$6,Settings!$C$7))*100)</f>
        <v/>
      </c>
      <c r="Z2484" s="7">
        <f>IF($D2484="","",V2484*Y2484/100)</f>
        <v/>
      </c>
      <c r="AA2484" s="7">
        <f>IF($D2484="","",V2484-Z2484)</f>
        <v/>
      </c>
      <c r="AB2484" s="7">
        <f>IF($D2484="","",AA2484-N2484)</f>
        <v/>
      </c>
      <c r="AF2484" s="7" t="n"/>
      <c r="AI2484" s="11" t="n"/>
      <c r="AK2484">
        <f>IF($D2484="","",IF(COUNTIF($D$2:$D2484,$D2484)=1,1,0))</f>
        <v/>
      </c>
      <c r="AL2484">
        <f>IF($AK2484=1,SUMPRODUCT(--($AO$2:$AO$3001&lt;$AO2484))+1,"")</f>
        <v/>
      </c>
      <c r="AM2484">
        <f>IF($D2484="","",IF(OR($R2484=TRUE(),$R2484="TRUE"),1,0))</f>
        <v/>
      </c>
      <c r="AN2484">
        <f>IF($D2484="","",IF($X2484="Yes",1,0))</f>
        <v/>
      </c>
      <c r="AO2484">
        <f>IF($AK2484=1,IFERROR(IF(VALUE($D2484)&lt;100000000,VALUE($D2484),1000000000),IFERROR(IF(VALUE(MID($D2484,2,20))&lt;100000000,VALUE(MID($D2484,2,20)),1000000000),1000000000))+ROW()/100000,"")</f>
        <v/>
      </c>
    </row>
    <row r="2485">
      <c r="F2485" s="11" t="n"/>
      <c r="N2485" s="7">
        <f>IF($D2485="","",M2485*V2485/100)</f>
        <v/>
      </c>
      <c r="O2485" s="7" t="n"/>
      <c r="U2485" s="7" t="n"/>
      <c r="V2485" s="7" t="n"/>
      <c r="Y2485">
        <f>IF($D2485="","",IF($AN2485=1,0,IF($AM2485=1,Settings!$C$6,Settings!$C$7))*100)</f>
        <v/>
      </c>
      <c r="Z2485" s="7">
        <f>IF($D2485="","",V2485*Y2485/100)</f>
        <v/>
      </c>
      <c r="AA2485" s="7">
        <f>IF($D2485="","",V2485-Z2485)</f>
        <v/>
      </c>
      <c r="AB2485" s="7">
        <f>IF($D2485="","",AA2485-N2485)</f>
        <v/>
      </c>
      <c r="AF2485" s="7" t="n"/>
      <c r="AI2485" s="11" t="n"/>
      <c r="AK2485">
        <f>IF($D2485="","",IF(COUNTIF($D$2:$D2485,$D2485)=1,1,0))</f>
        <v/>
      </c>
      <c r="AL2485">
        <f>IF($AK2485=1,SUMPRODUCT(--($AO$2:$AO$3001&lt;$AO2485))+1,"")</f>
        <v/>
      </c>
      <c r="AM2485">
        <f>IF($D2485="","",IF(OR($R2485=TRUE(),$R2485="TRUE"),1,0))</f>
        <v/>
      </c>
      <c r="AN2485">
        <f>IF($D2485="","",IF($X2485="Yes",1,0))</f>
        <v/>
      </c>
      <c r="AO2485">
        <f>IF($AK2485=1,IFERROR(IF(VALUE($D2485)&lt;100000000,VALUE($D2485),1000000000),IFERROR(IF(VALUE(MID($D2485,2,20))&lt;100000000,VALUE(MID($D2485,2,20)),1000000000),1000000000))+ROW()/100000,"")</f>
        <v/>
      </c>
    </row>
    <row r="2486">
      <c r="F2486" s="11" t="n"/>
      <c r="N2486" s="7">
        <f>IF($D2486="","",M2486*V2486/100)</f>
        <v/>
      </c>
      <c r="O2486" s="7" t="n"/>
      <c r="U2486" s="7" t="n"/>
      <c r="V2486" s="7" t="n"/>
      <c r="Y2486">
        <f>IF($D2486="","",IF($AN2486=1,0,IF($AM2486=1,Settings!$C$6,Settings!$C$7))*100)</f>
        <v/>
      </c>
      <c r="Z2486" s="7">
        <f>IF($D2486="","",V2486*Y2486/100)</f>
        <v/>
      </c>
      <c r="AA2486" s="7">
        <f>IF($D2486="","",V2486-Z2486)</f>
        <v/>
      </c>
      <c r="AB2486" s="7">
        <f>IF($D2486="","",AA2486-N2486)</f>
        <v/>
      </c>
      <c r="AF2486" s="7" t="n"/>
      <c r="AI2486" s="11" t="n"/>
      <c r="AK2486">
        <f>IF($D2486="","",IF(COUNTIF($D$2:$D2486,$D2486)=1,1,0))</f>
        <v/>
      </c>
      <c r="AL2486">
        <f>IF($AK2486=1,SUMPRODUCT(--($AO$2:$AO$3001&lt;$AO2486))+1,"")</f>
        <v/>
      </c>
      <c r="AM2486">
        <f>IF($D2486="","",IF(OR($R2486=TRUE(),$R2486="TRUE"),1,0))</f>
        <v/>
      </c>
      <c r="AN2486">
        <f>IF($D2486="","",IF($X2486="Yes",1,0))</f>
        <v/>
      </c>
      <c r="AO2486">
        <f>IF($AK2486=1,IFERROR(IF(VALUE($D2486)&lt;100000000,VALUE($D2486),1000000000),IFERROR(IF(VALUE(MID($D2486,2,20))&lt;100000000,VALUE(MID($D2486,2,20)),1000000000),1000000000))+ROW()/100000,"")</f>
        <v/>
      </c>
    </row>
    <row r="2487">
      <c r="F2487" s="11" t="n"/>
      <c r="N2487" s="7">
        <f>IF($D2487="","",M2487*V2487/100)</f>
        <v/>
      </c>
      <c r="O2487" s="7" t="n"/>
      <c r="U2487" s="7" t="n"/>
      <c r="V2487" s="7" t="n"/>
      <c r="Y2487">
        <f>IF($D2487="","",IF($AN2487=1,0,IF($AM2487=1,Settings!$C$6,Settings!$C$7))*100)</f>
        <v/>
      </c>
      <c r="Z2487" s="7">
        <f>IF($D2487="","",V2487*Y2487/100)</f>
        <v/>
      </c>
      <c r="AA2487" s="7">
        <f>IF($D2487="","",V2487-Z2487)</f>
        <v/>
      </c>
      <c r="AB2487" s="7">
        <f>IF($D2487="","",AA2487-N2487)</f>
        <v/>
      </c>
      <c r="AF2487" s="7" t="n"/>
      <c r="AI2487" s="11" t="n"/>
      <c r="AK2487">
        <f>IF($D2487="","",IF(COUNTIF($D$2:$D2487,$D2487)=1,1,0))</f>
        <v/>
      </c>
      <c r="AL2487">
        <f>IF($AK2487=1,SUMPRODUCT(--($AO$2:$AO$3001&lt;$AO2487))+1,"")</f>
        <v/>
      </c>
      <c r="AM2487">
        <f>IF($D2487="","",IF(OR($R2487=TRUE(),$R2487="TRUE"),1,0))</f>
        <v/>
      </c>
      <c r="AN2487">
        <f>IF($D2487="","",IF($X2487="Yes",1,0))</f>
        <v/>
      </c>
      <c r="AO2487">
        <f>IF($AK2487=1,IFERROR(IF(VALUE($D2487)&lt;100000000,VALUE($D2487),1000000000),IFERROR(IF(VALUE(MID($D2487,2,20))&lt;100000000,VALUE(MID($D2487,2,20)),1000000000),1000000000))+ROW()/100000,"")</f>
        <v/>
      </c>
    </row>
    <row r="2488">
      <c r="F2488" s="11" t="n"/>
      <c r="N2488" s="7">
        <f>IF($D2488="","",M2488*V2488/100)</f>
        <v/>
      </c>
      <c r="O2488" s="7" t="n"/>
      <c r="U2488" s="7" t="n"/>
      <c r="V2488" s="7" t="n"/>
      <c r="Y2488">
        <f>IF($D2488="","",IF($AN2488=1,0,IF($AM2488=1,Settings!$C$6,Settings!$C$7))*100)</f>
        <v/>
      </c>
      <c r="Z2488" s="7">
        <f>IF($D2488="","",V2488*Y2488/100)</f>
        <v/>
      </c>
      <c r="AA2488" s="7">
        <f>IF($D2488="","",V2488-Z2488)</f>
        <v/>
      </c>
      <c r="AB2488" s="7">
        <f>IF($D2488="","",AA2488-N2488)</f>
        <v/>
      </c>
      <c r="AF2488" s="7" t="n"/>
      <c r="AI2488" s="11" t="n"/>
      <c r="AK2488">
        <f>IF($D2488="","",IF(COUNTIF($D$2:$D2488,$D2488)=1,1,0))</f>
        <v/>
      </c>
      <c r="AL2488">
        <f>IF($AK2488=1,SUMPRODUCT(--($AO$2:$AO$3001&lt;$AO2488))+1,"")</f>
        <v/>
      </c>
      <c r="AM2488">
        <f>IF($D2488="","",IF(OR($R2488=TRUE(),$R2488="TRUE"),1,0))</f>
        <v/>
      </c>
      <c r="AN2488">
        <f>IF($D2488="","",IF($X2488="Yes",1,0))</f>
        <v/>
      </c>
      <c r="AO2488">
        <f>IF($AK2488=1,IFERROR(IF(VALUE($D2488)&lt;100000000,VALUE($D2488),1000000000),IFERROR(IF(VALUE(MID($D2488,2,20))&lt;100000000,VALUE(MID($D2488,2,20)),1000000000),1000000000))+ROW()/100000,"")</f>
        <v/>
      </c>
    </row>
    <row r="2489">
      <c r="F2489" s="11" t="n"/>
      <c r="N2489" s="7">
        <f>IF($D2489="","",M2489*V2489/100)</f>
        <v/>
      </c>
      <c r="O2489" s="7" t="n"/>
      <c r="U2489" s="7" t="n"/>
      <c r="V2489" s="7" t="n"/>
      <c r="Y2489">
        <f>IF($D2489="","",IF($AN2489=1,0,IF($AM2489=1,Settings!$C$6,Settings!$C$7))*100)</f>
        <v/>
      </c>
      <c r="Z2489" s="7">
        <f>IF($D2489="","",V2489*Y2489/100)</f>
        <v/>
      </c>
      <c r="AA2489" s="7">
        <f>IF($D2489="","",V2489-Z2489)</f>
        <v/>
      </c>
      <c r="AB2489" s="7">
        <f>IF($D2489="","",AA2489-N2489)</f>
        <v/>
      </c>
      <c r="AF2489" s="7" t="n"/>
      <c r="AI2489" s="11" t="n"/>
      <c r="AK2489">
        <f>IF($D2489="","",IF(COUNTIF($D$2:$D2489,$D2489)=1,1,0))</f>
        <v/>
      </c>
      <c r="AL2489">
        <f>IF($AK2489=1,SUMPRODUCT(--($AO$2:$AO$3001&lt;$AO2489))+1,"")</f>
        <v/>
      </c>
      <c r="AM2489">
        <f>IF($D2489="","",IF(OR($R2489=TRUE(),$R2489="TRUE"),1,0))</f>
        <v/>
      </c>
      <c r="AN2489">
        <f>IF($D2489="","",IF($X2489="Yes",1,0))</f>
        <v/>
      </c>
      <c r="AO2489">
        <f>IF($AK2489=1,IFERROR(IF(VALUE($D2489)&lt;100000000,VALUE($D2489),1000000000),IFERROR(IF(VALUE(MID($D2489,2,20))&lt;100000000,VALUE(MID($D2489,2,20)),1000000000),1000000000))+ROW()/100000,"")</f>
        <v/>
      </c>
    </row>
    <row r="2490">
      <c r="F2490" s="11" t="n"/>
      <c r="N2490" s="7">
        <f>IF($D2490="","",M2490*V2490/100)</f>
        <v/>
      </c>
      <c r="O2490" s="7" t="n"/>
      <c r="U2490" s="7" t="n"/>
      <c r="V2490" s="7" t="n"/>
      <c r="Y2490">
        <f>IF($D2490="","",IF($AN2490=1,0,IF($AM2490=1,Settings!$C$6,Settings!$C$7))*100)</f>
        <v/>
      </c>
      <c r="Z2490" s="7">
        <f>IF($D2490="","",V2490*Y2490/100)</f>
        <v/>
      </c>
      <c r="AA2490" s="7">
        <f>IF($D2490="","",V2490-Z2490)</f>
        <v/>
      </c>
      <c r="AB2490" s="7">
        <f>IF($D2490="","",AA2490-N2490)</f>
        <v/>
      </c>
      <c r="AF2490" s="7" t="n"/>
      <c r="AI2490" s="11" t="n"/>
      <c r="AK2490">
        <f>IF($D2490="","",IF(COUNTIF($D$2:$D2490,$D2490)=1,1,0))</f>
        <v/>
      </c>
      <c r="AL2490">
        <f>IF($AK2490=1,SUMPRODUCT(--($AO$2:$AO$3001&lt;$AO2490))+1,"")</f>
        <v/>
      </c>
      <c r="AM2490">
        <f>IF($D2490="","",IF(OR($R2490=TRUE(),$R2490="TRUE"),1,0))</f>
        <v/>
      </c>
      <c r="AN2490">
        <f>IF($D2490="","",IF($X2490="Yes",1,0))</f>
        <v/>
      </c>
      <c r="AO2490">
        <f>IF($AK2490=1,IFERROR(IF(VALUE($D2490)&lt;100000000,VALUE($D2490),1000000000),IFERROR(IF(VALUE(MID($D2490,2,20))&lt;100000000,VALUE(MID($D2490,2,20)),1000000000),1000000000))+ROW()/100000,"")</f>
        <v/>
      </c>
    </row>
    <row r="2491">
      <c r="F2491" s="11" t="n"/>
      <c r="N2491" s="7">
        <f>IF($D2491="","",M2491*V2491/100)</f>
        <v/>
      </c>
      <c r="O2491" s="7" t="n"/>
      <c r="U2491" s="7" t="n"/>
      <c r="V2491" s="7" t="n"/>
      <c r="Y2491">
        <f>IF($D2491="","",IF($AN2491=1,0,IF($AM2491=1,Settings!$C$6,Settings!$C$7))*100)</f>
        <v/>
      </c>
      <c r="Z2491" s="7">
        <f>IF($D2491="","",V2491*Y2491/100)</f>
        <v/>
      </c>
      <c r="AA2491" s="7">
        <f>IF($D2491="","",V2491-Z2491)</f>
        <v/>
      </c>
      <c r="AB2491" s="7">
        <f>IF($D2491="","",AA2491-N2491)</f>
        <v/>
      </c>
      <c r="AF2491" s="7" t="n"/>
      <c r="AI2491" s="11" t="n"/>
      <c r="AK2491">
        <f>IF($D2491="","",IF(COUNTIF($D$2:$D2491,$D2491)=1,1,0))</f>
        <v/>
      </c>
      <c r="AL2491">
        <f>IF($AK2491=1,SUMPRODUCT(--($AO$2:$AO$3001&lt;$AO2491))+1,"")</f>
        <v/>
      </c>
      <c r="AM2491">
        <f>IF($D2491="","",IF(OR($R2491=TRUE(),$R2491="TRUE"),1,0))</f>
        <v/>
      </c>
      <c r="AN2491">
        <f>IF($D2491="","",IF($X2491="Yes",1,0))</f>
        <v/>
      </c>
      <c r="AO2491">
        <f>IF($AK2491=1,IFERROR(IF(VALUE($D2491)&lt;100000000,VALUE($D2491),1000000000),IFERROR(IF(VALUE(MID($D2491,2,20))&lt;100000000,VALUE(MID($D2491,2,20)),1000000000),1000000000))+ROW()/100000,"")</f>
        <v/>
      </c>
    </row>
    <row r="2492">
      <c r="F2492" s="11" t="n"/>
      <c r="N2492" s="7">
        <f>IF($D2492="","",M2492*V2492/100)</f>
        <v/>
      </c>
      <c r="O2492" s="7" t="n"/>
      <c r="U2492" s="7" t="n"/>
      <c r="V2492" s="7" t="n"/>
      <c r="Y2492">
        <f>IF($D2492="","",IF($AN2492=1,0,IF($AM2492=1,Settings!$C$6,Settings!$C$7))*100)</f>
        <v/>
      </c>
      <c r="Z2492" s="7">
        <f>IF($D2492="","",V2492*Y2492/100)</f>
        <v/>
      </c>
      <c r="AA2492" s="7">
        <f>IF($D2492="","",V2492-Z2492)</f>
        <v/>
      </c>
      <c r="AB2492" s="7">
        <f>IF($D2492="","",AA2492-N2492)</f>
        <v/>
      </c>
      <c r="AF2492" s="7" t="n"/>
      <c r="AI2492" s="11" t="n"/>
      <c r="AK2492">
        <f>IF($D2492="","",IF(COUNTIF($D$2:$D2492,$D2492)=1,1,0))</f>
        <v/>
      </c>
      <c r="AL2492">
        <f>IF($AK2492=1,SUMPRODUCT(--($AO$2:$AO$3001&lt;$AO2492))+1,"")</f>
        <v/>
      </c>
      <c r="AM2492">
        <f>IF($D2492="","",IF(OR($R2492=TRUE(),$R2492="TRUE"),1,0))</f>
        <v/>
      </c>
      <c r="AN2492">
        <f>IF($D2492="","",IF($X2492="Yes",1,0))</f>
        <v/>
      </c>
      <c r="AO2492">
        <f>IF($AK2492=1,IFERROR(IF(VALUE($D2492)&lt;100000000,VALUE($D2492),1000000000),IFERROR(IF(VALUE(MID($D2492,2,20))&lt;100000000,VALUE(MID($D2492,2,20)),1000000000),1000000000))+ROW()/100000,"")</f>
        <v/>
      </c>
    </row>
    <row r="2493">
      <c r="F2493" s="11" t="n"/>
      <c r="N2493" s="7">
        <f>IF($D2493="","",M2493*V2493/100)</f>
        <v/>
      </c>
      <c r="O2493" s="7" t="n"/>
      <c r="U2493" s="7" t="n"/>
      <c r="V2493" s="7" t="n"/>
      <c r="Y2493">
        <f>IF($D2493="","",IF($AN2493=1,0,IF($AM2493=1,Settings!$C$6,Settings!$C$7))*100)</f>
        <v/>
      </c>
      <c r="Z2493" s="7">
        <f>IF($D2493="","",V2493*Y2493/100)</f>
        <v/>
      </c>
      <c r="AA2493" s="7">
        <f>IF($D2493="","",V2493-Z2493)</f>
        <v/>
      </c>
      <c r="AB2493" s="7">
        <f>IF($D2493="","",AA2493-N2493)</f>
        <v/>
      </c>
      <c r="AF2493" s="7" t="n"/>
      <c r="AI2493" s="11" t="n"/>
      <c r="AK2493">
        <f>IF($D2493="","",IF(COUNTIF($D$2:$D2493,$D2493)=1,1,0))</f>
        <v/>
      </c>
      <c r="AL2493">
        <f>IF($AK2493=1,SUMPRODUCT(--($AO$2:$AO$3001&lt;$AO2493))+1,"")</f>
        <v/>
      </c>
      <c r="AM2493">
        <f>IF($D2493="","",IF(OR($R2493=TRUE(),$R2493="TRUE"),1,0))</f>
        <v/>
      </c>
      <c r="AN2493">
        <f>IF($D2493="","",IF($X2493="Yes",1,0))</f>
        <v/>
      </c>
      <c r="AO2493">
        <f>IF($AK2493=1,IFERROR(IF(VALUE($D2493)&lt;100000000,VALUE($D2493),1000000000),IFERROR(IF(VALUE(MID($D2493,2,20))&lt;100000000,VALUE(MID($D2493,2,20)),1000000000),1000000000))+ROW()/100000,"")</f>
        <v/>
      </c>
    </row>
    <row r="2494">
      <c r="F2494" s="11" t="n"/>
      <c r="N2494" s="7">
        <f>IF($D2494="","",M2494*V2494/100)</f>
        <v/>
      </c>
      <c r="O2494" s="7" t="n"/>
      <c r="U2494" s="7" t="n"/>
      <c r="V2494" s="7" t="n"/>
      <c r="Y2494">
        <f>IF($D2494="","",IF($AN2494=1,0,IF($AM2494=1,Settings!$C$6,Settings!$C$7))*100)</f>
        <v/>
      </c>
      <c r="Z2494" s="7">
        <f>IF($D2494="","",V2494*Y2494/100)</f>
        <v/>
      </c>
      <c r="AA2494" s="7">
        <f>IF($D2494="","",V2494-Z2494)</f>
        <v/>
      </c>
      <c r="AB2494" s="7">
        <f>IF($D2494="","",AA2494-N2494)</f>
        <v/>
      </c>
      <c r="AF2494" s="7" t="n"/>
      <c r="AI2494" s="11" t="n"/>
      <c r="AK2494">
        <f>IF($D2494="","",IF(COUNTIF($D$2:$D2494,$D2494)=1,1,0))</f>
        <v/>
      </c>
      <c r="AL2494">
        <f>IF($AK2494=1,SUMPRODUCT(--($AO$2:$AO$3001&lt;$AO2494))+1,"")</f>
        <v/>
      </c>
      <c r="AM2494">
        <f>IF($D2494="","",IF(OR($R2494=TRUE(),$R2494="TRUE"),1,0))</f>
        <v/>
      </c>
      <c r="AN2494">
        <f>IF($D2494="","",IF($X2494="Yes",1,0))</f>
        <v/>
      </c>
      <c r="AO2494">
        <f>IF($AK2494=1,IFERROR(IF(VALUE($D2494)&lt;100000000,VALUE($D2494),1000000000),IFERROR(IF(VALUE(MID($D2494,2,20))&lt;100000000,VALUE(MID($D2494,2,20)),1000000000),1000000000))+ROW()/100000,"")</f>
        <v/>
      </c>
    </row>
    <row r="2495">
      <c r="F2495" s="11" t="n"/>
      <c r="N2495" s="7">
        <f>IF($D2495="","",M2495*V2495/100)</f>
        <v/>
      </c>
      <c r="O2495" s="7" t="n"/>
      <c r="U2495" s="7" t="n"/>
      <c r="V2495" s="7" t="n"/>
      <c r="Y2495">
        <f>IF($D2495="","",IF($AN2495=1,0,IF($AM2495=1,Settings!$C$6,Settings!$C$7))*100)</f>
        <v/>
      </c>
      <c r="Z2495" s="7">
        <f>IF($D2495="","",V2495*Y2495/100)</f>
        <v/>
      </c>
      <c r="AA2495" s="7">
        <f>IF($D2495="","",V2495-Z2495)</f>
        <v/>
      </c>
      <c r="AB2495" s="7">
        <f>IF($D2495="","",AA2495-N2495)</f>
        <v/>
      </c>
      <c r="AF2495" s="7" t="n"/>
      <c r="AI2495" s="11" t="n"/>
      <c r="AK2495">
        <f>IF($D2495="","",IF(COUNTIF($D$2:$D2495,$D2495)=1,1,0))</f>
        <v/>
      </c>
      <c r="AL2495">
        <f>IF($AK2495=1,SUMPRODUCT(--($AO$2:$AO$3001&lt;$AO2495))+1,"")</f>
        <v/>
      </c>
      <c r="AM2495">
        <f>IF($D2495="","",IF(OR($R2495=TRUE(),$R2495="TRUE"),1,0))</f>
        <v/>
      </c>
      <c r="AN2495">
        <f>IF($D2495="","",IF($X2495="Yes",1,0))</f>
        <v/>
      </c>
      <c r="AO2495">
        <f>IF($AK2495=1,IFERROR(IF(VALUE($D2495)&lt;100000000,VALUE($D2495),1000000000),IFERROR(IF(VALUE(MID($D2495,2,20))&lt;100000000,VALUE(MID($D2495,2,20)),1000000000),1000000000))+ROW()/100000,"")</f>
        <v/>
      </c>
    </row>
    <row r="2496">
      <c r="F2496" s="11" t="n"/>
      <c r="N2496" s="7">
        <f>IF($D2496="","",M2496*V2496/100)</f>
        <v/>
      </c>
      <c r="O2496" s="7" t="n"/>
      <c r="U2496" s="7" t="n"/>
      <c r="V2496" s="7" t="n"/>
      <c r="Y2496">
        <f>IF($D2496="","",IF($AN2496=1,0,IF($AM2496=1,Settings!$C$6,Settings!$C$7))*100)</f>
        <v/>
      </c>
      <c r="Z2496" s="7">
        <f>IF($D2496="","",V2496*Y2496/100)</f>
        <v/>
      </c>
      <c r="AA2496" s="7">
        <f>IF($D2496="","",V2496-Z2496)</f>
        <v/>
      </c>
      <c r="AB2496" s="7">
        <f>IF($D2496="","",AA2496-N2496)</f>
        <v/>
      </c>
      <c r="AF2496" s="7" t="n"/>
      <c r="AI2496" s="11" t="n"/>
      <c r="AK2496">
        <f>IF($D2496="","",IF(COUNTIF($D$2:$D2496,$D2496)=1,1,0))</f>
        <v/>
      </c>
      <c r="AL2496">
        <f>IF($AK2496=1,SUMPRODUCT(--($AO$2:$AO$3001&lt;$AO2496))+1,"")</f>
        <v/>
      </c>
      <c r="AM2496">
        <f>IF($D2496="","",IF(OR($R2496=TRUE(),$R2496="TRUE"),1,0))</f>
        <v/>
      </c>
      <c r="AN2496">
        <f>IF($D2496="","",IF($X2496="Yes",1,0))</f>
        <v/>
      </c>
      <c r="AO2496">
        <f>IF($AK2496=1,IFERROR(IF(VALUE($D2496)&lt;100000000,VALUE($D2496),1000000000),IFERROR(IF(VALUE(MID($D2496,2,20))&lt;100000000,VALUE(MID($D2496,2,20)),1000000000),1000000000))+ROW()/100000,"")</f>
        <v/>
      </c>
    </row>
    <row r="2497">
      <c r="F2497" s="11" t="n"/>
      <c r="N2497" s="7">
        <f>IF($D2497="","",M2497*V2497/100)</f>
        <v/>
      </c>
      <c r="O2497" s="7" t="n"/>
      <c r="U2497" s="7" t="n"/>
      <c r="V2497" s="7" t="n"/>
      <c r="Y2497">
        <f>IF($D2497="","",IF($AN2497=1,0,IF($AM2497=1,Settings!$C$6,Settings!$C$7))*100)</f>
        <v/>
      </c>
      <c r="Z2497" s="7">
        <f>IF($D2497="","",V2497*Y2497/100)</f>
        <v/>
      </c>
      <c r="AA2497" s="7">
        <f>IF($D2497="","",V2497-Z2497)</f>
        <v/>
      </c>
      <c r="AB2497" s="7">
        <f>IF($D2497="","",AA2497-N2497)</f>
        <v/>
      </c>
      <c r="AF2497" s="7" t="n"/>
      <c r="AI2497" s="11" t="n"/>
      <c r="AK2497">
        <f>IF($D2497="","",IF(COUNTIF($D$2:$D2497,$D2497)=1,1,0))</f>
        <v/>
      </c>
      <c r="AL2497">
        <f>IF($AK2497=1,SUMPRODUCT(--($AO$2:$AO$3001&lt;$AO2497))+1,"")</f>
        <v/>
      </c>
      <c r="AM2497">
        <f>IF($D2497="","",IF(OR($R2497=TRUE(),$R2497="TRUE"),1,0))</f>
        <v/>
      </c>
      <c r="AN2497">
        <f>IF($D2497="","",IF($X2497="Yes",1,0))</f>
        <v/>
      </c>
      <c r="AO2497">
        <f>IF($AK2497=1,IFERROR(IF(VALUE($D2497)&lt;100000000,VALUE($D2497),1000000000),IFERROR(IF(VALUE(MID($D2497,2,20))&lt;100000000,VALUE(MID($D2497,2,20)),1000000000),1000000000))+ROW()/100000,"")</f>
        <v/>
      </c>
    </row>
    <row r="2498">
      <c r="F2498" s="11" t="n"/>
      <c r="N2498" s="7">
        <f>IF($D2498="","",M2498*V2498/100)</f>
        <v/>
      </c>
      <c r="O2498" s="7" t="n"/>
      <c r="U2498" s="7" t="n"/>
      <c r="V2498" s="7" t="n"/>
      <c r="Y2498">
        <f>IF($D2498="","",IF($AN2498=1,0,IF($AM2498=1,Settings!$C$6,Settings!$C$7))*100)</f>
        <v/>
      </c>
      <c r="Z2498" s="7">
        <f>IF($D2498="","",V2498*Y2498/100)</f>
        <v/>
      </c>
      <c r="AA2498" s="7">
        <f>IF($D2498="","",V2498-Z2498)</f>
        <v/>
      </c>
      <c r="AB2498" s="7">
        <f>IF($D2498="","",AA2498-N2498)</f>
        <v/>
      </c>
      <c r="AF2498" s="7" t="n"/>
      <c r="AI2498" s="11" t="n"/>
      <c r="AK2498">
        <f>IF($D2498="","",IF(COUNTIF($D$2:$D2498,$D2498)=1,1,0))</f>
        <v/>
      </c>
      <c r="AL2498">
        <f>IF($AK2498=1,SUMPRODUCT(--($AO$2:$AO$3001&lt;$AO2498))+1,"")</f>
        <v/>
      </c>
      <c r="AM2498">
        <f>IF($D2498="","",IF(OR($R2498=TRUE(),$R2498="TRUE"),1,0))</f>
        <v/>
      </c>
      <c r="AN2498">
        <f>IF($D2498="","",IF($X2498="Yes",1,0))</f>
        <v/>
      </c>
      <c r="AO2498">
        <f>IF($AK2498=1,IFERROR(IF(VALUE($D2498)&lt;100000000,VALUE($D2498),1000000000),IFERROR(IF(VALUE(MID($D2498,2,20))&lt;100000000,VALUE(MID($D2498,2,20)),1000000000),1000000000))+ROW()/100000,"")</f>
        <v/>
      </c>
    </row>
    <row r="2499">
      <c r="F2499" s="11" t="n"/>
      <c r="N2499" s="7">
        <f>IF($D2499="","",M2499*V2499/100)</f>
        <v/>
      </c>
      <c r="O2499" s="7" t="n"/>
      <c r="U2499" s="7" t="n"/>
      <c r="V2499" s="7" t="n"/>
      <c r="Y2499">
        <f>IF($D2499="","",IF($AN2499=1,0,IF($AM2499=1,Settings!$C$6,Settings!$C$7))*100)</f>
        <v/>
      </c>
      <c r="Z2499" s="7">
        <f>IF($D2499="","",V2499*Y2499/100)</f>
        <v/>
      </c>
      <c r="AA2499" s="7">
        <f>IF($D2499="","",V2499-Z2499)</f>
        <v/>
      </c>
      <c r="AB2499" s="7">
        <f>IF($D2499="","",AA2499-N2499)</f>
        <v/>
      </c>
      <c r="AF2499" s="7" t="n"/>
      <c r="AI2499" s="11" t="n"/>
      <c r="AK2499">
        <f>IF($D2499="","",IF(COUNTIF($D$2:$D2499,$D2499)=1,1,0))</f>
        <v/>
      </c>
      <c r="AL2499">
        <f>IF($AK2499=1,SUMPRODUCT(--($AO$2:$AO$3001&lt;$AO2499))+1,"")</f>
        <v/>
      </c>
      <c r="AM2499">
        <f>IF($D2499="","",IF(OR($R2499=TRUE(),$R2499="TRUE"),1,0))</f>
        <v/>
      </c>
      <c r="AN2499">
        <f>IF($D2499="","",IF($X2499="Yes",1,0))</f>
        <v/>
      </c>
      <c r="AO2499">
        <f>IF($AK2499=1,IFERROR(IF(VALUE($D2499)&lt;100000000,VALUE($D2499),1000000000),IFERROR(IF(VALUE(MID($D2499,2,20))&lt;100000000,VALUE(MID($D2499,2,20)),1000000000),1000000000))+ROW()/100000,"")</f>
        <v/>
      </c>
    </row>
    <row r="2500">
      <c r="F2500" s="11" t="n"/>
      <c r="N2500" s="7">
        <f>IF($D2500="","",M2500*V2500/100)</f>
        <v/>
      </c>
      <c r="O2500" s="7" t="n"/>
      <c r="U2500" s="7" t="n"/>
      <c r="V2500" s="7" t="n"/>
      <c r="Y2500">
        <f>IF($D2500="","",IF($AN2500=1,0,IF($AM2500=1,Settings!$C$6,Settings!$C$7))*100)</f>
        <v/>
      </c>
      <c r="Z2500" s="7">
        <f>IF($D2500="","",V2500*Y2500/100)</f>
        <v/>
      </c>
      <c r="AA2500" s="7">
        <f>IF($D2500="","",V2500-Z2500)</f>
        <v/>
      </c>
      <c r="AB2500" s="7">
        <f>IF($D2500="","",AA2500-N2500)</f>
        <v/>
      </c>
      <c r="AF2500" s="7" t="n"/>
      <c r="AI2500" s="11" t="n"/>
      <c r="AK2500">
        <f>IF($D2500="","",IF(COUNTIF($D$2:$D2500,$D2500)=1,1,0))</f>
        <v/>
      </c>
      <c r="AL2500">
        <f>IF($AK2500=1,SUMPRODUCT(--($AO$2:$AO$3001&lt;$AO2500))+1,"")</f>
        <v/>
      </c>
      <c r="AM2500">
        <f>IF($D2500="","",IF(OR($R2500=TRUE(),$R2500="TRUE"),1,0))</f>
        <v/>
      </c>
      <c r="AN2500">
        <f>IF($D2500="","",IF($X2500="Yes",1,0))</f>
        <v/>
      </c>
      <c r="AO2500">
        <f>IF($AK2500=1,IFERROR(IF(VALUE($D2500)&lt;100000000,VALUE($D2500),1000000000),IFERROR(IF(VALUE(MID($D2500,2,20))&lt;100000000,VALUE(MID($D2500,2,20)),1000000000),1000000000))+ROW()/100000,"")</f>
        <v/>
      </c>
    </row>
    <row r="2501">
      <c r="F2501" s="11" t="n"/>
      <c r="N2501" s="7">
        <f>IF($D2501="","",M2501*V2501/100)</f>
        <v/>
      </c>
      <c r="O2501" s="7" t="n"/>
      <c r="U2501" s="7" t="n"/>
      <c r="V2501" s="7" t="n"/>
      <c r="Y2501">
        <f>IF($D2501="","",IF($AN2501=1,0,IF($AM2501=1,Settings!$C$6,Settings!$C$7))*100)</f>
        <v/>
      </c>
      <c r="Z2501" s="7">
        <f>IF($D2501="","",V2501*Y2501/100)</f>
        <v/>
      </c>
      <c r="AA2501" s="7">
        <f>IF($D2501="","",V2501-Z2501)</f>
        <v/>
      </c>
      <c r="AB2501" s="7">
        <f>IF($D2501="","",AA2501-N2501)</f>
        <v/>
      </c>
      <c r="AF2501" s="7" t="n"/>
      <c r="AI2501" s="11" t="n"/>
      <c r="AK2501">
        <f>IF($D2501="","",IF(COUNTIF($D$2:$D2501,$D2501)=1,1,0))</f>
        <v/>
      </c>
      <c r="AL2501">
        <f>IF($AK2501=1,SUMPRODUCT(--($AO$2:$AO$3001&lt;$AO2501))+1,"")</f>
        <v/>
      </c>
      <c r="AM2501">
        <f>IF($D2501="","",IF(OR($R2501=TRUE(),$R2501="TRUE"),1,0))</f>
        <v/>
      </c>
      <c r="AN2501">
        <f>IF($D2501="","",IF($X2501="Yes",1,0))</f>
        <v/>
      </c>
      <c r="AO2501">
        <f>IF($AK2501=1,IFERROR(IF(VALUE($D2501)&lt;100000000,VALUE($D2501),1000000000),IFERROR(IF(VALUE(MID($D2501,2,20))&lt;100000000,VALUE(MID($D2501,2,20)),1000000000),1000000000))+ROW()/100000,"")</f>
        <v/>
      </c>
    </row>
    <row r="2502">
      <c r="F2502" s="11" t="n"/>
      <c r="N2502" s="7">
        <f>IF($D2502="","",M2502*V2502/100)</f>
        <v/>
      </c>
      <c r="O2502" s="7" t="n"/>
      <c r="U2502" s="7" t="n"/>
      <c r="V2502" s="7" t="n"/>
      <c r="Y2502">
        <f>IF($D2502="","",IF($AN2502=1,0,IF($AM2502=1,Settings!$C$6,Settings!$C$7))*100)</f>
        <v/>
      </c>
      <c r="Z2502" s="7">
        <f>IF($D2502="","",V2502*Y2502/100)</f>
        <v/>
      </c>
      <c r="AA2502" s="7">
        <f>IF($D2502="","",V2502-Z2502)</f>
        <v/>
      </c>
      <c r="AB2502" s="7">
        <f>IF($D2502="","",AA2502-N2502)</f>
        <v/>
      </c>
      <c r="AF2502" s="7" t="n"/>
      <c r="AI2502" s="11" t="n"/>
      <c r="AK2502">
        <f>IF($D2502="","",IF(COUNTIF($D$2:$D2502,$D2502)=1,1,0))</f>
        <v/>
      </c>
      <c r="AL2502">
        <f>IF($AK2502=1,SUMPRODUCT(--($AO$2:$AO$3001&lt;$AO2502))+1,"")</f>
        <v/>
      </c>
      <c r="AM2502">
        <f>IF($D2502="","",IF(OR($R2502=TRUE(),$R2502="TRUE"),1,0))</f>
        <v/>
      </c>
      <c r="AN2502">
        <f>IF($D2502="","",IF($X2502="Yes",1,0))</f>
        <v/>
      </c>
      <c r="AO2502">
        <f>IF($AK2502=1,IFERROR(IF(VALUE($D2502)&lt;100000000,VALUE($D2502),1000000000),IFERROR(IF(VALUE(MID($D2502,2,20))&lt;100000000,VALUE(MID($D2502,2,20)),1000000000),1000000000))+ROW()/100000,"")</f>
        <v/>
      </c>
    </row>
    <row r="2503">
      <c r="F2503" s="11" t="n"/>
      <c r="N2503" s="7">
        <f>IF($D2503="","",M2503*V2503/100)</f>
        <v/>
      </c>
      <c r="O2503" s="7" t="n"/>
      <c r="U2503" s="7" t="n"/>
      <c r="V2503" s="7" t="n"/>
      <c r="Y2503">
        <f>IF($D2503="","",IF($AN2503=1,0,IF($AM2503=1,Settings!$C$6,Settings!$C$7))*100)</f>
        <v/>
      </c>
      <c r="Z2503" s="7">
        <f>IF($D2503="","",V2503*Y2503/100)</f>
        <v/>
      </c>
      <c r="AA2503" s="7">
        <f>IF($D2503="","",V2503-Z2503)</f>
        <v/>
      </c>
      <c r="AB2503" s="7">
        <f>IF($D2503="","",AA2503-N2503)</f>
        <v/>
      </c>
      <c r="AF2503" s="7" t="n"/>
      <c r="AI2503" s="11" t="n"/>
      <c r="AK2503">
        <f>IF($D2503="","",IF(COUNTIF($D$2:$D2503,$D2503)=1,1,0))</f>
        <v/>
      </c>
      <c r="AL2503">
        <f>IF($AK2503=1,SUMPRODUCT(--($AO$2:$AO$3001&lt;$AO2503))+1,"")</f>
        <v/>
      </c>
      <c r="AM2503">
        <f>IF($D2503="","",IF(OR($R2503=TRUE(),$R2503="TRUE"),1,0))</f>
        <v/>
      </c>
      <c r="AN2503">
        <f>IF($D2503="","",IF($X2503="Yes",1,0))</f>
        <v/>
      </c>
      <c r="AO2503">
        <f>IF($AK2503=1,IFERROR(IF(VALUE($D2503)&lt;100000000,VALUE($D2503),1000000000),IFERROR(IF(VALUE(MID($D2503,2,20))&lt;100000000,VALUE(MID($D2503,2,20)),1000000000),1000000000))+ROW()/100000,"")</f>
        <v/>
      </c>
    </row>
    <row r="2504">
      <c r="F2504" s="11" t="n"/>
      <c r="N2504" s="7">
        <f>IF($D2504="","",M2504*V2504/100)</f>
        <v/>
      </c>
      <c r="O2504" s="7" t="n"/>
      <c r="U2504" s="7" t="n"/>
      <c r="V2504" s="7" t="n"/>
      <c r="Y2504">
        <f>IF($D2504="","",IF($AN2504=1,0,IF($AM2504=1,Settings!$C$6,Settings!$C$7))*100)</f>
        <v/>
      </c>
      <c r="Z2504" s="7">
        <f>IF($D2504="","",V2504*Y2504/100)</f>
        <v/>
      </c>
      <c r="AA2504" s="7">
        <f>IF($D2504="","",V2504-Z2504)</f>
        <v/>
      </c>
      <c r="AB2504" s="7">
        <f>IF($D2504="","",AA2504-N2504)</f>
        <v/>
      </c>
      <c r="AF2504" s="7" t="n"/>
      <c r="AI2504" s="11" t="n"/>
      <c r="AK2504">
        <f>IF($D2504="","",IF(COUNTIF($D$2:$D2504,$D2504)=1,1,0))</f>
        <v/>
      </c>
      <c r="AL2504">
        <f>IF($AK2504=1,SUMPRODUCT(--($AO$2:$AO$3001&lt;$AO2504))+1,"")</f>
        <v/>
      </c>
      <c r="AM2504">
        <f>IF($D2504="","",IF(OR($R2504=TRUE(),$R2504="TRUE"),1,0))</f>
        <v/>
      </c>
      <c r="AN2504">
        <f>IF($D2504="","",IF($X2504="Yes",1,0))</f>
        <v/>
      </c>
      <c r="AO2504">
        <f>IF($AK2504=1,IFERROR(IF(VALUE($D2504)&lt;100000000,VALUE($D2504),1000000000),IFERROR(IF(VALUE(MID($D2504,2,20))&lt;100000000,VALUE(MID($D2504,2,20)),1000000000),1000000000))+ROW()/100000,"")</f>
        <v/>
      </c>
    </row>
    <row r="2505">
      <c r="F2505" s="11" t="n"/>
      <c r="N2505" s="7">
        <f>IF($D2505="","",M2505*V2505/100)</f>
        <v/>
      </c>
      <c r="O2505" s="7" t="n"/>
      <c r="U2505" s="7" t="n"/>
      <c r="V2505" s="7" t="n"/>
      <c r="Y2505">
        <f>IF($D2505="","",IF($AN2505=1,0,IF($AM2505=1,Settings!$C$6,Settings!$C$7))*100)</f>
        <v/>
      </c>
      <c r="Z2505" s="7">
        <f>IF($D2505="","",V2505*Y2505/100)</f>
        <v/>
      </c>
      <c r="AA2505" s="7">
        <f>IF($D2505="","",V2505-Z2505)</f>
        <v/>
      </c>
      <c r="AB2505" s="7">
        <f>IF($D2505="","",AA2505-N2505)</f>
        <v/>
      </c>
      <c r="AF2505" s="7" t="n"/>
      <c r="AI2505" s="11" t="n"/>
      <c r="AK2505">
        <f>IF($D2505="","",IF(COUNTIF($D$2:$D2505,$D2505)=1,1,0))</f>
        <v/>
      </c>
      <c r="AL2505">
        <f>IF($AK2505=1,SUMPRODUCT(--($AO$2:$AO$3001&lt;$AO2505))+1,"")</f>
        <v/>
      </c>
      <c r="AM2505">
        <f>IF($D2505="","",IF(OR($R2505=TRUE(),$R2505="TRUE"),1,0))</f>
        <v/>
      </c>
      <c r="AN2505">
        <f>IF($D2505="","",IF($X2505="Yes",1,0))</f>
        <v/>
      </c>
      <c r="AO2505">
        <f>IF($AK2505=1,IFERROR(IF(VALUE($D2505)&lt;100000000,VALUE($D2505),1000000000),IFERROR(IF(VALUE(MID($D2505,2,20))&lt;100000000,VALUE(MID($D2505,2,20)),1000000000),1000000000))+ROW()/100000,"")</f>
        <v/>
      </c>
    </row>
    <row r="2506">
      <c r="F2506" s="11" t="n"/>
      <c r="N2506" s="7">
        <f>IF($D2506="","",M2506*V2506/100)</f>
        <v/>
      </c>
      <c r="O2506" s="7" t="n"/>
      <c r="U2506" s="7" t="n"/>
      <c r="V2506" s="7" t="n"/>
      <c r="Y2506">
        <f>IF($D2506="","",IF($AN2506=1,0,IF($AM2506=1,Settings!$C$6,Settings!$C$7))*100)</f>
        <v/>
      </c>
      <c r="Z2506" s="7">
        <f>IF($D2506="","",V2506*Y2506/100)</f>
        <v/>
      </c>
      <c r="AA2506" s="7">
        <f>IF($D2506="","",V2506-Z2506)</f>
        <v/>
      </c>
      <c r="AB2506" s="7">
        <f>IF($D2506="","",AA2506-N2506)</f>
        <v/>
      </c>
      <c r="AF2506" s="7" t="n"/>
      <c r="AI2506" s="11" t="n"/>
      <c r="AK2506">
        <f>IF($D2506="","",IF(COUNTIF($D$2:$D2506,$D2506)=1,1,0))</f>
        <v/>
      </c>
      <c r="AL2506">
        <f>IF($AK2506=1,SUMPRODUCT(--($AO$2:$AO$3001&lt;$AO2506))+1,"")</f>
        <v/>
      </c>
      <c r="AM2506">
        <f>IF($D2506="","",IF(OR($R2506=TRUE(),$R2506="TRUE"),1,0))</f>
        <v/>
      </c>
      <c r="AN2506">
        <f>IF($D2506="","",IF($X2506="Yes",1,0))</f>
        <v/>
      </c>
      <c r="AO2506">
        <f>IF($AK2506=1,IFERROR(IF(VALUE($D2506)&lt;100000000,VALUE($D2506),1000000000),IFERROR(IF(VALUE(MID($D2506,2,20))&lt;100000000,VALUE(MID($D2506,2,20)),1000000000),1000000000))+ROW()/100000,"")</f>
        <v/>
      </c>
    </row>
    <row r="2507">
      <c r="F2507" s="11" t="n"/>
      <c r="N2507" s="7">
        <f>IF($D2507="","",M2507*V2507/100)</f>
        <v/>
      </c>
      <c r="O2507" s="7" t="n"/>
      <c r="U2507" s="7" t="n"/>
      <c r="V2507" s="7" t="n"/>
      <c r="Y2507">
        <f>IF($D2507="","",IF($AN2507=1,0,IF($AM2507=1,Settings!$C$6,Settings!$C$7))*100)</f>
        <v/>
      </c>
      <c r="Z2507" s="7">
        <f>IF($D2507="","",V2507*Y2507/100)</f>
        <v/>
      </c>
      <c r="AA2507" s="7">
        <f>IF($D2507="","",V2507-Z2507)</f>
        <v/>
      </c>
      <c r="AB2507" s="7">
        <f>IF($D2507="","",AA2507-N2507)</f>
        <v/>
      </c>
      <c r="AF2507" s="7" t="n"/>
      <c r="AI2507" s="11" t="n"/>
      <c r="AK2507">
        <f>IF($D2507="","",IF(COUNTIF($D$2:$D2507,$D2507)=1,1,0))</f>
        <v/>
      </c>
      <c r="AL2507">
        <f>IF($AK2507=1,SUMPRODUCT(--($AO$2:$AO$3001&lt;$AO2507))+1,"")</f>
        <v/>
      </c>
      <c r="AM2507">
        <f>IF($D2507="","",IF(OR($R2507=TRUE(),$R2507="TRUE"),1,0))</f>
        <v/>
      </c>
      <c r="AN2507">
        <f>IF($D2507="","",IF($X2507="Yes",1,0))</f>
        <v/>
      </c>
      <c r="AO2507">
        <f>IF($AK2507=1,IFERROR(IF(VALUE($D2507)&lt;100000000,VALUE($D2507),1000000000),IFERROR(IF(VALUE(MID($D2507,2,20))&lt;100000000,VALUE(MID($D2507,2,20)),1000000000),1000000000))+ROW()/100000,"")</f>
        <v/>
      </c>
    </row>
    <row r="2508">
      <c r="F2508" s="11" t="n"/>
      <c r="N2508" s="7">
        <f>IF($D2508="","",M2508*V2508/100)</f>
        <v/>
      </c>
      <c r="O2508" s="7" t="n"/>
      <c r="U2508" s="7" t="n"/>
      <c r="V2508" s="7" t="n"/>
      <c r="Y2508">
        <f>IF($D2508="","",IF($AN2508=1,0,IF($AM2508=1,Settings!$C$6,Settings!$C$7))*100)</f>
        <v/>
      </c>
      <c r="Z2508" s="7">
        <f>IF($D2508="","",V2508*Y2508/100)</f>
        <v/>
      </c>
      <c r="AA2508" s="7">
        <f>IF($D2508="","",V2508-Z2508)</f>
        <v/>
      </c>
      <c r="AB2508" s="7">
        <f>IF($D2508="","",AA2508-N2508)</f>
        <v/>
      </c>
      <c r="AF2508" s="7" t="n"/>
      <c r="AI2508" s="11" t="n"/>
      <c r="AK2508">
        <f>IF($D2508="","",IF(COUNTIF($D$2:$D2508,$D2508)=1,1,0))</f>
        <v/>
      </c>
      <c r="AL2508">
        <f>IF($AK2508=1,SUMPRODUCT(--($AO$2:$AO$3001&lt;$AO2508))+1,"")</f>
        <v/>
      </c>
      <c r="AM2508">
        <f>IF($D2508="","",IF(OR($R2508=TRUE(),$R2508="TRUE"),1,0))</f>
        <v/>
      </c>
      <c r="AN2508">
        <f>IF($D2508="","",IF($X2508="Yes",1,0))</f>
        <v/>
      </c>
      <c r="AO2508">
        <f>IF($AK2508=1,IFERROR(IF(VALUE($D2508)&lt;100000000,VALUE($D2508),1000000000),IFERROR(IF(VALUE(MID($D2508,2,20))&lt;100000000,VALUE(MID($D2508,2,20)),1000000000),1000000000))+ROW()/100000,"")</f>
        <v/>
      </c>
    </row>
    <row r="2509">
      <c r="F2509" s="11" t="n"/>
      <c r="N2509" s="7">
        <f>IF($D2509="","",M2509*V2509/100)</f>
        <v/>
      </c>
      <c r="O2509" s="7" t="n"/>
      <c r="U2509" s="7" t="n"/>
      <c r="V2509" s="7" t="n"/>
      <c r="Y2509">
        <f>IF($D2509="","",IF($AN2509=1,0,IF($AM2509=1,Settings!$C$6,Settings!$C$7))*100)</f>
        <v/>
      </c>
      <c r="Z2509" s="7">
        <f>IF($D2509="","",V2509*Y2509/100)</f>
        <v/>
      </c>
      <c r="AA2509" s="7">
        <f>IF($D2509="","",V2509-Z2509)</f>
        <v/>
      </c>
      <c r="AB2509" s="7">
        <f>IF($D2509="","",AA2509-N2509)</f>
        <v/>
      </c>
      <c r="AF2509" s="7" t="n"/>
      <c r="AI2509" s="11" t="n"/>
      <c r="AK2509">
        <f>IF($D2509="","",IF(COUNTIF($D$2:$D2509,$D2509)=1,1,0))</f>
        <v/>
      </c>
      <c r="AL2509">
        <f>IF($AK2509=1,SUMPRODUCT(--($AO$2:$AO$3001&lt;$AO2509))+1,"")</f>
        <v/>
      </c>
      <c r="AM2509">
        <f>IF($D2509="","",IF(OR($R2509=TRUE(),$R2509="TRUE"),1,0))</f>
        <v/>
      </c>
      <c r="AN2509">
        <f>IF($D2509="","",IF($X2509="Yes",1,0))</f>
        <v/>
      </c>
      <c r="AO2509">
        <f>IF($AK2509=1,IFERROR(IF(VALUE($D2509)&lt;100000000,VALUE($D2509),1000000000),IFERROR(IF(VALUE(MID($D2509,2,20))&lt;100000000,VALUE(MID($D2509,2,20)),1000000000),1000000000))+ROW()/100000,"")</f>
        <v/>
      </c>
    </row>
    <row r="2510">
      <c r="F2510" s="11" t="n"/>
      <c r="N2510" s="7">
        <f>IF($D2510="","",M2510*V2510/100)</f>
        <v/>
      </c>
      <c r="O2510" s="7" t="n"/>
      <c r="U2510" s="7" t="n"/>
      <c r="V2510" s="7" t="n"/>
      <c r="Y2510">
        <f>IF($D2510="","",IF($AN2510=1,0,IF($AM2510=1,Settings!$C$6,Settings!$C$7))*100)</f>
        <v/>
      </c>
      <c r="Z2510" s="7">
        <f>IF($D2510="","",V2510*Y2510/100)</f>
        <v/>
      </c>
      <c r="AA2510" s="7">
        <f>IF($D2510="","",V2510-Z2510)</f>
        <v/>
      </c>
      <c r="AB2510" s="7">
        <f>IF($D2510="","",AA2510-N2510)</f>
        <v/>
      </c>
      <c r="AF2510" s="7" t="n"/>
      <c r="AI2510" s="11" t="n"/>
      <c r="AK2510">
        <f>IF($D2510="","",IF(COUNTIF($D$2:$D2510,$D2510)=1,1,0))</f>
        <v/>
      </c>
      <c r="AL2510">
        <f>IF($AK2510=1,SUMPRODUCT(--($AO$2:$AO$3001&lt;$AO2510))+1,"")</f>
        <v/>
      </c>
      <c r="AM2510">
        <f>IF($D2510="","",IF(OR($R2510=TRUE(),$R2510="TRUE"),1,0))</f>
        <v/>
      </c>
      <c r="AN2510">
        <f>IF($D2510="","",IF($X2510="Yes",1,0))</f>
        <v/>
      </c>
      <c r="AO2510">
        <f>IF($AK2510=1,IFERROR(IF(VALUE($D2510)&lt;100000000,VALUE($D2510),1000000000),IFERROR(IF(VALUE(MID($D2510,2,20))&lt;100000000,VALUE(MID($D2510,2,20)),1000000000),1000000000))+ROW()/100000,"")</f>
        <v/>
      </c>
    </row>
    <row r="2511">
      <c r="F2511" s="11" t="n"/>
      <c r="N2511" s="7">
        <f>IF($D2511="","",M2511*V2511/100)</f>
        <v/>
      </c>
      <c r="O2511" s="7" t="n"/>
      <c r="U2511" s="7" t="n"/>
      <c r="V2511" s="7" t="n"/>
      <c r="Y2511">
        <f>IF($D2511="","",IF($AN2511=1,0,IF($AM2511=1,Settings!$C$6,Settings!$C$7))*100)</f>
        <v/>
      </c>
      <c r="Z2511" s="7">
        <f>IF($D2511="","",V2511*Y2511/100)</f>
        <v/>
      </c>
      <c r="AA2511" s="7">
        <f>IF($D2511="","",V2511-Z2511)</f>
        <v/>
      </c>
      <c r="AB2511" s="7">
        <f>IF($D2511="","",AA2511-N2511)</f>
        <v/>
      </c>
      <c r="AF2511" s="7" t="n"/>
      <c r="AI2511" s="11" t="n"/>
      <c r="AK2511">
        <f>IF($D2511="","",IF(COUNTIF($D$2:$D2511,$D2511)=1,1,0))</f>
        <v/>
      </c>
      <c r="AL2511">
        <f>IF($AK2511=1,SUMPRODUCT(--($AO$2:$AO$3001&lt;$AO2511))+1,"")</f>
        <v/>
      </c>
      <c r="AM2511">
        <f>IF($D2511="","",IF(OR($R2511=TRUE(),$R2511="TRUE"),1,0))</f>
        <v/>
      </c>
      <c r="AN2511">
        <f>IF($D2511="","",IF($X2511="Yes",1,0))</f>
        <v/>
      </c>
      <c r="AO2511">
        <f>IF($AK2511=1,IFERROR(IF(VALUE($D2511)&lt;100000000,VALUE($D2511),1000000000),IFERROR(IF(VALUE(MID($D2511,2,20))&lt;100000000,VALUE(MID($D2511,2,20)),1000000000),1000000000))+ROW()/100000,"")</f>
        <v/>
      </c>
    </row>
    <row r="2512">
      <c r="F2512" s="11" t="n"/>
      <c r="N2512" s="7">
        <f>IF($D2512="","",M2512*V2512/100)</f>
        <v/>
      </c>
      <c r="O2512" s="7" t="n"/>
      <c r="U2512" s="7" t="n"/>
      <c r="V2512" s="7" t="n"/>
      <c r="Y2512">
        <f>IF($D2512="","",IF($AN2512=1,0,IF($AM2512=1,Settings!$C$6,Settings!$C$7))*100)</f>
        <v/>
      </c>
      <c r="Z2512" s="7">
        <f>IF($D2512="","",V2512*Y2512/100)</f>
        <v/>
      </c>
      <c r="AA2512" s="7">
        <f>IF($D2512="","",V2512-Z2512)</f>
        <v/>
      </c>
      <c r="AB2512" s="7">
        <f>IF($D2512="","",AA2512-N2512)</f>
        <v/>
      </c>
      <c r="AF2512" s="7" t="n"/>
      <c r="AI2512" s="11" t="n"/>
      <c r="AK2512">
        <f>IF($D2512="","",IF(COUNTIF($D$2:$D2512,$D2512)=1,1,0))</f>
        <v/>
      </c>
      <c r="AL2512">
        <f>IF($AK2512=1,SUMPRODUCT(--($AO$2:$AO$3001&lt;$AO2512))+1,"")</f>
        <v/>
      </c>
      <c r="AM2512">
        <f>IF($D2512="","",IF(OR($R2512=TRUE(),$R2512="TRUE"),1,0))</f>
        <v/>
      </c>
      <c r="AN2512">
        <f>IF($D2512="","",IF($X2512="Yes",1,0))</f>
        <v/>
      </c>
      <c r="AO2512">
        <f>IF($AK2512=1,IFERROR(IF(VALUE($D2512)&lt;100000000,VALUE($D2512),1000000000),IFERROR(IF(VALUE(MID($D2512,2,20))&lt;100000000,VALUE(MID($D2512,2,20)),1000000000),1000000000))+ROW()/100000,"")</f>
        <v/>
      </c>
    </row>
    <row r="2513">
      <c r="F2513" s="11" t="n"/>
      <c r="N2513" s="7">
        <f>IF($D2513="","",M2513*V2513/100)</f>
        <v/>
      </c>
      <c r="O2513" s="7" t="n"/>
      <c r="U2513" s="7" t="n"/>
      <c r="V2513" s="7" t="n"/>
      <c r="Y2513">
        <f>IF($D2513="","",IF($AN2513=1,0,IF($AM2513=1,Settings!$C$6,Settings!$C$7))*100)</f>
        <v/>
      </c>
      <c r="Z2513" s="7">
        <f>IF($D2513="","",V2513*Y2513/100)</f>
        <v/>
      </c>
      <c r="AA2513" s="7">
        <f>IF($D2513="","",V2513-Z2513)</f>
        <v/>
      </c>
      <c r="AB2513" s="7">
        <f>IF($D2513="","",AA2513-N2513)</f>
        <v/>
      </c>
      <c r="AF2513" s="7" t="n"/>
      <c r="AI2513" s="11" t="n"/>
      <c r="AK2513">
        <f>IF($D2513="","",IF(COUNTIF($D$2:$D2513,$D2513)=1,1,0))</f>
        <v/>
      </c>
      <c r="AL2513">
        <f>IF($AK2513=1,SUMPRODUCT(--($AO$2:$AO$3001&lt;$AO2513))+1,"")</f>
        <v/>
      </c>
      <c r="AM2513">
        <f>IF($D2513="","",IF(OR($R2513=TRUE(),$R2513="TRUE"),1,0))</f>
        <v/>
      </c>
      <c r="AN2513">
        <f>IF($D2513="","",IF($X2513="Yes",1,0))</f>
        <v/>
      </c>
      <c r="AO2513">
        <f>IF($AK2513=1,IFERROR(IF(VALUE($D2513)&lt;100000000,VALUE($D2513),1000000000),IFERROR(IF(VALUE(MID($D2513,2,20))&lt;100000000,VALUE(MID($D2513,2,20)),1000000000),1000000000))+ROW()/100000,"")</f>
        <v/>
      </c>
    </row>
    <row r="2514">
      <c r="F2514" s="11" t="n"/>
      <c r="N2514" s="7">
        <f>IF($D2514="","",M2514*V2514/100)</f>
        <v/>
      </c>
      <c r="O2514" s="7" t="n"/>
      <c r="U2514" s="7" t="n"/>
      <c r="V2514" s="7" t="n"/>
      <c r="Y2514">
        <f>IF($D2514="","",IF($AN2514=1,0,IF($AM2514=1,Settings!$C$6,Settings!$C$7))*100)</f>
        <v/>
      </c>
      <c r="Z2514" s="7">
        <f>IF($D2514="","",V2514*Y2514/100)</f>
        <v/>
      </c>
      <c r="AA2514" s="7">
        <f>IF($D2514="","",V2514-Z2514)</f>
        <v/>
      </c>
      <c r="AB2514" s="7">
        <f>IF($D2514="","",AA2514-N2514)</f>
        <v/>
      </c>
      <c r="AF2514" s="7" t="n"/>
      <c r="AI2514" s="11" t="n"/>
      <c r="AK2514">
        <f>IF($D2514="","",IF(COUNTIF($D$2:$D2514,$D2514)=1,1,0))</f>
        <v/>
      </c>
      <c r="AL2514">
        <f>IF($AK2514=1,SUMPRODUCT(--($AO$2:$AO$3001&lt;$AO2514))+1,"")</f>
        <v/>
      </c>
      <c r="AM2514">
        <f>IF($D2514="","",IF(OR($R2514=TRUE(),$R2514="TRUE"),1,0))</f>
        <v/>
      </c>
      <c r="AN2514">
        <f>IF($D2514="","",IF($X2514="Yes",1,0))</f>
        <v/>
      </c>
      <c r="AO2514">
        <f>IF($AK2514=1,IFERROR(IF(VALUE($D2514)&lt;100000000,VALUE($D2514),1000000000),IFERROR(IF(VALUE(MID($D2514,2,20))&lt;100000000,VALUE(MID($D2514,2,20)),1000000000),1000000000))+ROW()/100000,"")</f>
        <v/>
      </c>
    </row>
    <row r="2515">
      <c r="F2515" s="11" t="n"/>
      <c r="N2515" s="7">
        <f>IF($D2515="","",M2515*V2515/100)</f>
        <v/>
      </c>
      <c r="O2515" s="7" t="n"/>
      <c r="U2515" s="7" t="n"/>
      <c r="V2515" s="7" t="n"/>
      <c r="Y2515">
        <f>IF($D2515="","",IF($AN2515=1,0,IF($AM2515=1,Settings!$C$6,Settings!$C$7))*100)</f>
        <v/>
      </c>
      <c r="Z2515" s="7">
        <f>IF($D2515="","",V2515*Y2515/100)</f>
        <v/>
      </c>
      <c r="AA2515" s="7">
        <f>IF($D2515="","",V2515-Z2515)</f>
        <v/>
      </c>
      <c r="AB2515" s="7">
        <f>IF($D2515="","",AA2515-N2515)</f>
        <v/>
      </c>
      <c r="AF2515" s="7" t="n"/>
      <c r="AI2515" s="11" t="n"/>
      <c r="AK2515">
        <f>IF($D2515="","",IF(COUNTIF($D$2:$D2515,$D2515)=1,1,0))</f>
        <v/>
      </c>
      <c r="AL2515">
        <f>IF($AK2515=1,SUMPRODUCT(--($AO$2:$AO$3001&lt;$AO2515))+1,"")</f>
        <v/>
      </c>
      <c r="AM2515">
        <f>IF($D2515="","",IF(OR($R2515=TRUE(),$R2515="TRUE"),1,0))</f>
        <v/>
      </c>
      <c r="AN2515">
        <f>IF($D2515="","",IF($X2515="Yes",1,0))</f>
        <v/>
      </c>
      <c r="AO2515">
        <f>IF($AK2515=1,IFERROR(IF(VALUE($D2515)&lt;100000000,VALUE($D2515),1000000000),IFERROR(IF(VALUE(MID($D2515,2,20))&lt;100000000,VALUE(MID($D2515,2,20)),1000000000),1000000000))+ROW()/100000,"")</f>
        <v/>
      </c>
    </row>
    <row r="2516">
      <c r="F2516" s="11" t="n"/>
      <c r="N2516" s="7">
        <f>IF($D2516="","",M2516*V2516/100)</f>
        <v/>
      </c>
      <c r="O2516" s="7" t="n"/>
      <c r="U2516" s="7" t="n"/>
      <c r="V2516" s="7" t="n"/>
      <c r="Y2516">
        <f>IF($D2516="","",IF($AN2516=1,0,IF($AM2516=1,Settings!$C$6,Settings!$C$7))*100)</f>
        <v/>
      </c>
      <c r="Z2516" s="7">
        <f>IF($D2516="","",V2516*Y2516/100)</f>
        <v/>
      </c>
      <c r="AA2516" s="7">
        <f>IF($D2516="","",V2516-Z2516)</f>
        <v/>
      </c>
      <c r="AB2516" s="7">
        <f>IF($D2516="","",AA2516-N2516)</f>
        <v/>
      </c>
      <c r="AF2516" s="7" t="n"/>
      <c r="AI2516" s="11" t="n"/>
      <c r="AK2516">
        <f>IF($D2516="","",IF(COUNTIF($D$2:$D2516,$D2516)=1,1,0))</f>
        <v/>
      </c>
      <c r="AL2516">
        <f>IF($AK2516=1,SUMPRODUCT(--($AO$2:$AO$3001&lt;$AO2516))+1,"")</f>
        <v/>
      </c>
      <c r="AM2516">
        <f>IF($D2516="","",IF(OR($R2516=TRUE(),$R2516="TRUE"),1,0))</f>
        <v/>
      </c>
      <c r="AN2516">
        <f>IF($D2516="","",IF($X2516="Yes",1,0))</f>
        <v/>
      </c>
      <c r="AO2516">
        <f>IF($AK2516=1,IFERROR(IF(VALUE($D2516)&lt;100000000,VALUE($D2516),1000000000),IFERROR(IF(VALUE(MID($D2516,2,20))&lt;100000000,VALUE(MID($D2516,2,20)),1000000000),1000000000))+ROW()/100000,"")</f>
        <v/>
      </c>
    </row>
    <row r="2517">
      <c r="F2517" s="11" t="n"/>
      <c r="N2517" s="7">
        <f>IF($D2517="","",M2517*V2517/100)</f>
        <v/>
      </c>
      <c r="O2517" s="7" t="n"/>
      <c r="U2517" s="7" t="n"/>
      <c r="V2517" s="7" t="n"/>
      <c r="Y2517">
        <f>IF($D2517="","",IF($AN2517=1,0,IF($AM2517=1,Settings!$C$6,Settings!$C$7))*100)</f>
        <v/>
      </c>
      <c r="Z2517" s="7">
        <f>IF($D2517="","",V2517*Y2517/100)</f>
        <v/>
      </c>
      <c r="AA2517" s="7">
        <f>IF($D2517="","",V2517-Z2517)</f>
        <v/>
      </c>
      <c r="AB2517" s="7">
        <f>IF($D2517="","",AA2517-N2517)</f>
        <v/>
      </c>
      <c r="AF2517" s="7" t="n"/>
      <c r="AI2517" s="11" t="n"/>
      <c r="AK2517">
        <f>IF($D2517="","",IF(COUNTIF($D$2:$D2517,$D2517)=1,1,0))</f>
        <v/>
      </c>
      <c r="AL2517">
        <f>IF($AK2517=1,SUMPRODUCT(--($AO$2:$AO$3001&lt;$AO2517))+1,"")</f>
        <v/>
      </c>
      <c r="AM2517">
        <f>IF($D2517="","",IF(OR($R2517=TRUE(),$R2517="TRUE"),1,0))</f>
        <v/>
      </c>
      <c r="AN2517">
        <f>IF($D2517="","",IF($X2517="Yes",1,0))</f>
        <v/>
      </c>
      <c r="AO2517">
        <f>IF($AK2517=1,IFERROR(IF(VALUE($D2517)&lt;100000000,VALUE($D2517),1000000000),IFERROR(IF(VALUE(MID($D2517,2,20))&lt;100000000,VALUE(MID($D2517,2,20)),1000000000),1000000000))+ROW()/100000,"")</f>
        <v/>
      </c>
    </row>
    <row r="2518">
      <c r="F2518" s="11" t="n"/>
      <c r="N2518" s="7">
        <f>IF($D2518="","",M2518*V2518/100)</f>
        <v/>
      </c>
      <c r="O2518" s="7" t="n"/>
      <c r="U2518" s="7" t="n"/>
      <c r="V2518" s="7" t="n"/>
      <c r="Y2518">
        <f>IF($D2518="","",IF($AN2518=1,0,IF($AM2518=1,Settings!$C$6,Settings!$C$7))*100)</f>
        <v/>
      </c>
      <c r="Z2518" s="7">
        <f>IF($D2518="","",V2518*Y2518/100)</f>
        <v/>
      </c>
      <c r="AA2518" s="7">
        <f>IF($D2518="","",V2518-Z2518)</f>
        <v/>
      </c>
      <c r="AB2518" s="7">
        <f>IF($D2518="","",AA2518-N2518)</f>
        <v/>
      </c>
      <c r="AF2518" s="7" t="n"/>
      <c r="AI2518" s="11" t="n"/>
      <c r="AK2518">
        <f>IF($D2518="","",IF(COUNTIF($D$2:$D2518,$D2518)=1,1,0))</f>
        <v/>
      </c>
      <c r="AL2518">
        <f>IF($AK2518=1,SUMPRODUCT(--($AO$2:$AO$3001&lt;$AO2518))+1,"")</f>
        <v/>
      </c>
      <c r="AM2518">
        <f>IF($D2518="","",IF(OR($R2518=TRUE(),$R2518="TRUE"),1,0))</f>
        <v/>
      </c>
      <c r="AN2518">
        <f>IF($D2518="","",IF($X2518="Yes",1,0))</f>
        <v/>
      </c>
      <c r="AO2518">
        <f>IF($AK2518=1,IFERROR(IF(VALUE($D2518)&lt;100000000,VALUE($D2518),1000000000),IFERROR(IF(VALUE(MID($D2518,2,20))&lt;100000000,VALUE(MID($D2518,2,20)),1000000000),1000000000))+ROW()/100000,"")</f>
        <v/>
      </c>
    </row>
    <row r="2519">
      <c r="F2519" s="11" t="n"/>
      <c r="N2519" s="7">
        <f>IF($D2519="","",M2519*V2519/100)</f>
        <v/>
      </c>
      <c r="O2519" s="7" t="n"/>
      <c r="U2519" s="7" t="n"/>
      <c r="V2519" s="7" t="n"/>
      <c r="Y2519">
        <f>IF($D2519="","",IF($AN2519=1,0,IF($AM2519=1,Settings!$C$6,Settings!$C$7))*100)</f>
        <v/>
      </c>
      <c r="Z2519" s="7">
        <f>IF($D2519="","",V2519*Y2519/100)</f>
        <v/>
      </c>
      <c r="AA2519" s="7">
        <f>IF($D2519="","",V2519-Z2519)</f>
        <v/>
      </c>
      <c r="AB2519" s="7">
        <f>IF($D2519="","",AA2519-N2519)</f>
        <v/>
      </c>
      <c r="AF2519" s="7" t="n"/>
      <c r="AI2519" s="11" t="n"/>
      <c r="AK2519">
        <f>IF($D2519="","",IF(COUNTIF($D$2:$D2519,$D2519)=1,1,0))</f>
        <v/>
      </c>
      <c r="AL2519">
        <f>IF($AK2519=1,SUMPRODUCT(--($AO$2:$AO$3001&lt;$AO2519))+1,"")</f>
        <v/>
      </c>
      <c r="AM2519">
        <f>IF($D2519="","",IF(OR($R2519=TRUE(),$R2519="TRUE"),1,0))</f>
        <v/>
      </c>
      <c r="AN2519">
        <f>IF($D2519="","",IF($X2519="Yes",1,0))</f>
        <v/>
      </c>
      <c r="AO2519">
        <f>IF($AK2519=1,IFERROR(IF(VALUE($D2519)&lt;100000000,VALUE($D2519),1000000000),IFERROR(IF(VALUE(MID($D2519,2,20))&lt;100000000,VALUE(MID($D2519,2,20)),1000000000),1000000000))+ROW()/100000,"")</f>
        <v/>
      </c>
    </row>
    <row r="2520">
      <c r="F2520" s="11" t="n"/>
      <c r="N2520" s="7">
        <f>IF($D2520="","",M2520*V2520/100)</f>
        <v/>
      </c>
      <c r="O2520" s="7" t="n"/>
      <c r="U2520" s="7" t="n"/>
      <c r="V2520" s="7" t="n"/>
      <c r="Y2520">
        <f>IF($D2520="","",IF($AN2520=1,0,IF($AM2520=1,Settings!$C$6,Settings!$C$7))*100)</f>
        <v/>
      </c>
      <c r="Z2520" s="7">
        <f>IF($D2520="","",V2520*Y2520/100)</f>
        <v/>
      </c>
      <c r="AA2520" s="7">
        <f>IF($D2520="","",V2520-Z2520)</f>
        <v/>
      </c>
      <c r="AB2520" s="7">
        <f>IF($D2520="","",AA2520-N2520)</f>
        <v/>
      </c>
      <c r="AF2520" s="7" t="n"/>
      <c r="AI2520" s="11" t="n"/>
      <c r="AK2520">
        <f>IF($D2520="","",IF(COUNTIF($D$2:$D2520,$D2520)=1,1,0))</f>
        <v/>
      </c>
      <c r="AL2520">
        <f>IF($AK2520=1,SUMPRODUCT(--($AO$2:$AO$3001&lt;$AO2520))+1,"")</f>
        <v/>
      </c>
      <c r="AM2520">
        <f>IF($D2520="","",IF(OR($R2520=TRUE(),$R2520="TRUE"),1,0))</f>
        <v/>
      </c>
      <c r="AN2520">
        <f>IF($D2520="","",IF($X2520="Yes",1,0))</f>
        <v/>
      </c>
      <c r="AO2520">
        <f>IF($AK2520=1,IFERROR(IF(VALUE($D2520)&lt;100000000,VALUE($D2520),1000000000),IFERROR(IF(VALUE(MID($D2520,2,20))&lt;100000000,VALUE(MID($D2520,2,20)),1000000000),1000000000))+ROW()/100000,"")</f>
        <v/>
      </c>
    </row>
    <row r="2521">
      <c r="F2521" s="11" t="n"/>
      <c r="N2521" s="7">
        <f>IF($D2521="","",M2521*V2521/100)</f>
        <v/>
      </c>
      <c r="O2521" s="7" t="n"/>
      <c r="U2521" s="7" t="n"/>
      <c r="V2521" s="7" t="n"/>
      <c r="Y2521">
        <f>IF($D2521="","",IF($AN2521=1,0,IF($AM2521=1,Settings!$C$6,Settings!$C$7))*100)</f>
        <v/>
      </c>
      <c r="Z2521" s="7">
        <f>IF($D2521="","",V2521*Y2521/100)</f>
        <v/>
      </c>
      <c r="AA2521" s="7">
        <f>IF($D2521="","",V2521-Z2521)</f>
        <v/>
      </c>
      <c r="AB2521" s="7">
        <f>IF($D2521="","",AA2521-N2521)</f>
        <v/>
      </c>
      <c r="AF2521" s="7" t="n"/>
      <c r="AI2521" s="11" t="n"/>
      <c r="AK2521">
        <f>IF($D2521="","",IF(COUNTIF($D$2:$D2521,$D2521)=1,1,0))</f>
        <v/>
      </c>
      <c r="AL2521">
        <f>IF($AK2521=1,SUMPRODUCT(--($AO$2:$AO$3001&lt;$AO2521))+1,"")</f>
        <v/>
      </c>
      <c r="AM2521">
        <f>IF($D2521="","",IF(OR($R2521=TRUE(),$R2521="TRUE"),1,0))</f>
        <v/>
      </c>
      <c r="AN2521">
        <f>IF($D2521="","",IF($X2521="Yes",1,0))</f>
        <v/>
      </c>
      <c r="AO2521">
        <f>IF($AK2521=1,IFERROR(IF(VALUE($D2521)&lt;100000000,VALUE($D2521),1000000000),IFERROR(IF(VALUE(MID($D2521,2,20))&lt;100000000,VALUE(MID($D2521,2,20)),1000000000),1000000000))+ROW()/100000,"")</f>
        <v/>
      </c>
    </row>
    <row r="2522">
      <c r="F2522" s="11" t="n"/>
      <c r="N2522" s="7">
        <f>IF($D2522="","",M2522*V2522/100)</f>
        <v/>
      </c>
      <c r="O2522" s="7" t="n"/>
      <c r="U2522" s="7" t="n"/>
      <c r="V2522" s="7" t="n"/>
      <c r="Y2522">
        <f>IF($D2522="","",IF($AN2522=1,0,IF($AM2522=1,Settings!$C$6,Settings!$C$7))*100)</f>
        <v/>
      </c>
      <c r="Z2522" s="7">
        <f>IF($D2522="","",V2522*Y2522/100)</f>
        <v/>
      </c>
      <c r="AA2522" s="7">
        <f>IF($D2522="","",V2522-Z2522)</f>
        <v/>
      </c>
      <c r="AB2522" s="7">
        <f>IF($D2522="","",AA2522-N2522)</f>
        <v/>
      </c>
      <c r="AF2522" s="7" t="n"/>
      <c r="AI2522" s="11" t="n"/>
      <c r="AK2522">
        <f>IF($D2522="","",IF(COUNTIF($D$2:$D2522,$D2522)=1,1,0))</f>
        <v/>
      </c>
      <c r="AL2522">
        <f>IF($AK2522=1,SUMPRODUCT(--($AO$2:$AO$3001&lt;$AO2522))+1,"")</f>
        <v/>
      </c>
      <c r="AM2522">
        <f>IF($D2522="","",IF(OR($R2522=TRUE(),$R2522="TRUE"),1,0))</f>
        <v/>
      </c>
      <c r="AN2522">
        <f>IF($D2522="","",IF($X2522="Yes",1,0))</f>
        <v/>
      </c>
      <c r="AO2522">
        <f>IF($AK2522=1,IFERROR(IF(VALUE($D2522)&lt;100000000,VALUE($D2522),1000000000),IFERROR(IF(VALUE(MID($D2522,2,20))&lt;100000000,VALUE(MID($D2522,2,20)),1000000000),1000000000))+ROW()/100000,"")</f>
        <v/>
      </c>
    </row>
    <row r="2523">
      <c r="F2523" s="11" t="n"/>
      <c r="N2523" s="7">
        <f>IF($D2523="","",M2523*V2523/100)</f>
        <v/>
      </c>
      <c r="O2523" s="7" t="n"/>
      <c r="U2523" s="7" t="n"/>
      <c r="V2523" s="7" t="n"/>
      <c r="Y2523">
        <f>IF($D2523="","",IF($AN2523=1,0,IF($AM2523=1,Settings!$C$6,Settings!$C$7))*100)</f>
        <v/>
      </c>
      <c r="Z2523" s="7">
        <f>IF($D2523="","",V2523*Y2523/100)</f>
        <v/>
      </c>
      <c r="AA2523" s="7">
        <f>IF($D2523="","",V2523-Z2523)</f>
        <v/>
      </c>
      <c r="AB2523" s="7">
        <f>IF($D2523="","",AA2523-N2523)</f>
        <v/>
      </c>
      <c r="AF2523" s="7" t="n"/>
      <c r="AI2523" s="11" t="n"/>
      <c r="AK2523">
        <f>IF($D2523="","",IF(COUNTIF($D$2:$D2523,$D2523)=1,1,0))</f>
        <v/>
      </c>
      <c r="AL2523">
        <f>IF($AK2523=1,SUMPRODUCT(--($AO$2:$AO$3001&lt;$AO2523))+1,"")</f>
        <v/>
      </c>
      <c r="AM2523">
        <f>IF($D2523="","",IF(OR($R2523=TRUE(),$R2523="TRUE"),1,0))</f>
        <v/>
      </c>
      <c r="AN2523">
        <f>IF($D2523="","",IF($X2523="Yes",1,0))</f>
        <v/>
      </c>
      <c r="AO2523">
        <f>IF($AK2523=1,IFERROR(IF(VALUE($D2523)&lt;100000000,VALUE($D2523),1000000000),IFERROR(IF(VALUE(MID($D2523,2,20))&lt;100000000,VALUE(MID($D2523,2,20)),1000000000),1000000000))+ROW()/100000,"")</f>
        <v/>
      </c>
    </row>
    <row r="2524">
      <c r="F2524" s="11" t="n"/>
      <c r="N2524" s="7">
        <f>IF($D2524="","",M2524*V2524/100)</f>
        <v/>
      </c>
      <c r="O2524" s="7" t="n"/>
      <c r="U2524" s="7" t="n"/>
      <c r="V2524" s="7" t="n"/>
      <c r="Y2524">
        <f>IF($D2524="","",IF($AN2524=1,0,IF($AM2524=1,Settings!$C$6,Settings!$C$7))*100)</f>
        <v/>
      </c>
      <c r="Z2524" s="7">
        <f>IF($D2524="","",V2524*Y2524/100)</f>
        <v/>
      </c>
      <c r="AA2524" s="7">
        <f>IF($D2524="","",V2524-Z2524)</f>
        <v/>
      </c>
      <c r="AB2524" s="7">
        <f>IF($D2524="","",AA2524-N2524)</f>
        <v/>
      </c>
      <c r="AF2524" s="7" t="n"/>
      <c r="AI2524" s="11" t="n"/>
      <c r="AK2524">
        <f>IF($D2524="","",IF(COUNTIF($D$2:$D2524,$D2524)=1,1,0))</f>
        <v/>
      </c>
      <c r="AL2524">
        <f>IF($AK2524=1,SUMPRODUCT(--($AO$2:$AO$3001&lt;$AO2524))+1,"")</f>
        <v/>
      </c>
      <c r="AM2524">
        <f>IF($D2524="","",IF(OR($R2524=TRUE(),$R2524="TRUE"),1,0))</f>
        <v/>
      </c>
      <c r="AN2524">
        <f>IF($D2524="","",IF($X2524="Yes",1,0))</f>
        <v/>
      </c>
      <c r="AO2524">
        <f>IF($AK2524=1,IFERROR(IF(VALUE($D2524)&lt;100000000,VALUE($D2524),1000000000),IFERROR(IF(VALUE(MID($D2524,2,20))&lt;100000000,VALUE(MID($D2524,2,20)),1000000000),1000000000))+ROW()/100000,"")</f>
        <v/>
      </c>
    </row>
    <row r="2525">
      <c r="F2525" s="11" t="n"/>
      <c r="N2525" s="7">
        <f>IF($D2525="","",M2525*V2525/100)</f>
        <v/>
      </c>
      <c r="O2525" s="7" t="n"/>
      <c r="U2525" s="7" t="n"/>
      <c r="V2525" s="7" t="n"/>
      <c r="Y2525">
        <f>IF($D2525="","",IF($AN2525=1,0,IF($AM2525=1,Settings!$C$6,Settings!$C$7))*100)</f>
        <v/>
      </c>
      <c r="Z2525" s="7">
        <f>IF($D2525="","",V2525*Y2525/100)</f>
        <v/>
      </c>
      <c r="AA2525" s="7">
        <f>IF($D2525="","",V2525-Z2525)</f>
        <v/>
      </c>
      <c r="AB2525" s="7">
        <f>IF($D2525="","",AA2525-N2525)</f>
        <v/>
      </c>
      <c r="AF2525" s="7" t="n"/>
      <c r="AI2525" s="11" t="n"/>
      <c r="AK2525">
        <f>IF($D2525="","",IF(COUNTIF($D$2:$D2525,$D2525)=1,1,0))</f>
        <v/>
      </c>
      <c r="AL2525">
        <f>IF($AK2525=1,SUMPRODUCT(--($AO$2:$AO$3001&lt;$AO2525))+1,"")</f>
        <v/>
      </c>
      <c r="AM2525">
        <f>IF($D2525="","",IF(OR($R2525=TRUE(),$R2525="TRUE"),1,0))</f>
        <v/>
      </c>
      <c r="AN2525">
        <f>IF($D2525="","",IF($X2525="Yes",1,0))</f>
        <v/>
      </c>
      <c r="AO2525">
        <f>IF($AK2525=1,IFERROR(IF(VALUE($D2525)&lt;100000000,VALUE($D2525),1000000000),IFERROR(IF(VALUE(MID($D2525,2,20))&lt;100000000,VALUE(MID($D2525,2,20)),1000000000),1000000000))+ROW()/100000,"")</f>
        <v/>
      </c>
    </row>
    <row r="2526">
      <c r="F2526" s="11" t="n"/>
      <c r="N2526" s="7">
        <f>IF($D2526="","",M2526*V2526/100)</f>
        <v/>
      </c>
      <c r="O2526" s="7" t="n"/>
      <c r="U2526" s="7" t="n"/>
      <c r="V2526" s="7" t="n"/>
      <c r="Y2526">
        <f>IF($D2526="","",IF($AN2526=1,0,IF($AM2526=1,Settings!$C$6,Settings!$C$7))*100)</f>
        <v/>
      </c>
      <c r="Z2526" s="7">
        <f>IF($D2526="","",V2526*Y2526/100)</f>
        <v/>
      </c>
      <c r="AA2526" s="7">
        <f>IF($D2526="","",V2526-Z2526)</f>
        <v/>
      </c>
      <c r="AB2526" s="7">
        <f>IF($D2526="","",AA2526-N2526)</f>
        <v/>
      </c>
      <c r="AF2526" s="7" t="n"/>
      <c r="AI2526" s="11" t="n"/>
      <c r="AK2526">
        <f>IF($D2526="","",IF(COUNTIF($D$2:$D2526,$D2526)=1,1,0))</f>
        <v/>
      </c>
      <c r="AL2526">
        <f>IF($AK2526=1,SUMPRODUCT(--($AO$2:$AO$3001&lt;$AO2526))+1,"")</f>
        <v/>
      </c>
      <c r="AM2526">
        <f>IF($D2526="","",IF(OR($R2526=TRUE(),$R2526="TRUE"),1,0))</f>
        <v/>
      </c>
      <c r="AN2526">
        <f>IF($D2526="","",IF($X2526="Yes",1,0))</f>
        <v/>
      </c>
      <c r="AO2526">
        <f>IF($AK2526=1,IFERROR(IF(VALUE($D2526)&lt;100000000,VALUE($D2526),1000000000),IFERROR(IF(VALUE(MID($D2526,2,20))&lt;100000000,VALUE(MID($D2526,2,20)),1000000000),1000000000))+ROW()/100000,"")</f>
        <v/>
      </c>
    </row>
    <row r="2527">
      <c r="F2527" s="11" t="n"/>
      <c r="N2527" s="7">
        <f>IF($D2527="","",M2527*V2527/100)</f>
        <v/>
      </c>
      <c r="O2527" s="7" t="n"/>
      <c r="U2527" s="7" t="n"/>
      <c r="V2527" s="7" t="n"/>
      <c r="Y2527">
        <f>IF($D2527="","",IF($AN2527=1,0,IF($AM2527=1,Settings!$C$6,Settings!$C$7))*100)</f>
        <v/>
      </c>
      <c r="Z2527" s="7">
        <f>IF($D2527="","",V2527*Y2527/100)</f>
        <v/>
      </c>
      <c r="AA2527" s="7">
        <f>IF($D2527="","",V2527-Z2527)</f>
        <v/>
      </c>
      <c r="AB2527" s="7">
        <f>IF($D2527="","",AA2527-N2527)</f>
        <v/>
      </c>
      <c r="AF2527" s="7" t="n"/>
      <c r="AI2527" s="11" t="n"/>
      <c r="AK2527">
        <f>IF($D2527="","",IF(COUNTIF($D$2:$D2527,$D2527)=1,1,0))</f>
        <v/>
      </c>
      <c r="AL2527">
        <f>IF($AK2527=1,SUMPRODUCT(--($AO$2:$AO$3001&lt;$AO2527))+1,"")</f>
        <v/>
      </c>
      <c r="AM2527">
        <f>IF($D2527="","",IF(OR($R2527=TRUE(),$R2527="TRUE"),1,0))</f>
        <v/>
      </c>
      <c r="AN2527">
        <f>IF($D2527="","",IF($X2527="Yes",1,0))</f>
        <v/>
      </c>
      <c r="AO2527">
        <f>IF($AK2527=1,IFERROR(IF(VALUE($D2527)&lt;100000000,VALUE($D2527),1000000000),IFERROR(IF(VALUE(MID($D2527,2,20))&lt;100000000,VALUE(MID($D2527,2,20)),1000000000),1000000000))+ROW()/100000,"")</f>
        <v/>
      </c>
    </row>
    <row r="2528">
      <c r="F2528" s="11" t="n"/>
      <c r="N2528" s="7">
        <f>IF($D2528="","",M2528*V2528/100)</f>
        <v/>
      </c>
      <c r="O2528" s="7" t="n"/>
      <c r="U2528" s="7" t="n"/>
      <c r="V2528" s="7" t="n"/>
      <c r="Y2528">
        <f>IF($D2528="","",IF($AN2528=1,0,IF($AM2528=1,Settings!$C$6,Settings!$C$7))*100)</f>
        <v/>
      </c>
      <c r="Z2528" s="7">
        <f>IF($D2528="","",V2528*Y2528/100)</f>
        <v/>
      </c>
      <c r="AA2528" s="7">
        <f>IF($D2528="","",V2528-Z2528)</f>
        <v/>
      </c>
      <c r="AB2528" s="7">
        <f>IF($D2528="","",AA2528-N2528)</f>
        <v/>
      </c>
      <c r="AF2528" s="7" t="n"/>
      <c r="AI2528" s="11" t="n"/>
      <c r="AK2528">
        <f>IF($D2528="","",IF(COUNTIF($D$2:$D2528,$D2528)=1,1,0))</f>
        <v/>
      </c>
      <c r="AL2528">
        <f>IF($AK2528=1,SUMPRODUCT(--($AO$2:$AO$3001&lt;$AO2528))+1,"")</f>
        <v/>
      </c>
      <c r="AM2528">
        <f>IF($D2528="","",IF(OR($R2528=TRUE(),$R2528="TRUE"),1,0))</f>
        <v/>
      </c>
      <c r="AN2528">
        <f>IF($D2528="","",IF($X2528="Yes",1,0))</f>
        <v/>
      </c>
      <c r="AO2528">
        <f>IF($AK2528=1,IFERROR(IF(VALUE($D2528)&lt;100000000,VALUE($D2528),1000000000),IFERROR(IF(VALUE(MID($D2528,2,20))&lt;100000000,VALUE(MID($D2528,2,20)),1000000000),1000000000))+ROW()/100000,"")</f>
        <v/>
      </c>
    </row>
    <row r="2529">
      <c r="F2529" s="11" t="n"/>
      <c r="N2529" s="7">
        <f>IF($D2529="","",M2529*V2529/100)</f>
        <v/>
      </c>
      <c r="O2529" s="7" t="n"/>
      <c r="U2529" s="7" t="n"/>
      <c r="V2529" s="7" t="n"/>
      <c r="Y2529">
        <f>IF($D2529="","",IF($AN2529=1,0,IF($AM2529=1,Settings!$C$6,Settings!$C$7))*100)</f>
        <v/>
      </c>
      <c r="Z2529" s="7">
        <f>IF($D2529="","",V2529*Y2529/100)</f>
        <v/>
      </c>
      <c r="AA2529" s="7">
        <f>IF($D2529="","",V2529-Z2529)</f>
        <v/>
      </c>
      <c r="AB2529" s="7">
        <f>IF($D2529="","",AA2529-N2529)</f>
        <v/>
      </c>
      <c r="AF2529" s="7" t="n"/>
      <c r="AI2529" s="11" t="n"/>
      <c r="AK2529">
        <f>IF($D2529="","",IF(COUNTIF($D$2:$D2529,$D2529)=1,1,0))</f>
        <v/>
      </c>
      <c r="AL2529">
        <f>IF($AK2529=1,SUMPRODUCT(--($AO$2:$AO$3001&lt;$AO2529))+1,"")</f>
        <v/>
      </c>
      <c r="AM2529">
        <f>IF($D2529="","",IF(OR($R2529=TRUE(),$R2529="TRUE"),1,0))</f>
        <v/>
      </c>
      <c r="AN2529">
        <f>IF($D2529="","",IF($X2529="Yes",1,0))</f>
        <v/>
      </c>
      <c r="AO2529">
        <f>IF($AK2529=1,IFERROR(IF(VALUE($D2529)&lt;100000000,VALUE($D2529),1000000000),IFERROR(IF(VALUE(MID($D2529,2,20))&lt;100000000,VALUE(MID($D2529,2,20)),1000000000),1000000000))+ROW()/100000,"")</f>
        <v/>
      </c>
    </row>
    <row r="2530">
      <c r="F2530" s="11" t="n"/>
      <c r="N2530" s="7">
        <f>IF($D2530="","",M2530*V2530/100)</f>
        <v/>
      </c>
      <c r="O2530" s="7" t="n"/>
      <c r="U2530" s="7" t="n"/>
      <c r="V2530" s="7" t="n"/>
      <c r="Y2530">
        <f>IF($D2530="","",IF($AN2530=1,0,IF($AM2530=1,Settings!$C$6,Settings!$C$7))*100)</f>
        <v/>
      </c>
      <c r="Z2530" s="7">
        <f>IF($D2530="","",V2530*Y2530/100)</f>
        <v/>
      </c>
      <c r="AA2530" s="7">
        <f>IF($D2530="","",V2530-Z2530)</f>
        <v/>
      </c>
      <c r="AB2530" s="7">
        <f>IF($D2530="","",AA2530-N2530)</f>
        <v/>
      </c>
      <c r="AF2530" s="7" t="n"/>
      <c r="AI2530" s="11" t="n"/>
      <c r="AK2530">
        <f>IF($D2530="","",IF(COUNTIF($D$2:$D2530,$D2530)=1,1,0))</f>
        <v/>
      </c>
      <c r="AL2530">
        <f>IF($AK2530=1,SUMPRODUCT(--($AO$2:$AO$3001&lt;$AO2530))+1,"")</f>
        <v/>
      </c>
      <c r="AM2530">
        <f>IF($D2530="","",IF(OR($R2530=TRUE(),$R2530="TRUE"),1,0))</f>
        <v/>
      </c>
      <c r="AN2530">
        <f>IF($D2530="","",IF($X2530="Yes",1,0))</f>
        <v/>
      </c>
      <c r="AO2530">
        <f>IF($AK2530=1,IFERROR(IF(VALUE($D2530)&lt;100000000,VALUE($D2530),1000000000),IFERROR(IF(VALUE(MID($D2530,2,20))&lt;100000000,VALUE(MID($D2530,2,20)),1000000000),1000000000))+ROW()/100000,"")</f>
        <v/>
      </c>
    </row>
    <row r="2531">
      <c r="F2531" s="11" t="n"/>
      <c r="N2531" s="7">
        <f>IF($D2531="","",M2531*V2531/100)</f>
        <v/>
      </c>
      <c r="O2531" s="7" t="n"/>
      <c r="U2531" s="7" t="n"/>
      <c r="V2531" s="7" t="n"/>
      <c r="Y2531">
        <f>IF($D2531="","",IF($AN2531=1,0,IF($AM2531=1,Settings!$C$6,Settings!$C$7))*100)</f>
        <v/>
      </c>
      <c r="Z2531" s="7">
        <f>IF($D2531="","",V2531*Y2531/100)</f>
        <v/>
      </c>
      <c r="AA2531" s="7">
        <f>IF($D2531="","",V2531-Z2531)</f>
        <v/>
      </c>
      <c r="AB2531" s="7">
        <f>IF($D2531="","",AA2531-N2531)</f>
        <v/>
      </c>
      <c r="AF2531" s="7" t="n"/>
      <c r="AI2531" s="11" t="n"/>
      <c r="AK2531">
        <f>IF($D2531="","",IF(COUNTIF($D$2:$D2531,$D2531)=1,1,0))</f>
        <v/>
      </c>
      <c r="AL2531">
        <f>IF($AK2531=1,SUMPRODUCT(--($AO$2:$AO$3001&lt;$AO2531))+1,"")</f>
        <v/>
      </c>
      <c r="AM2531">
        <f>IF($D2531="","",IF(OR($R2531=TRUE(),$R2531="TRUE"),1,0))</f>
        <v/>
      </c>
      <c r="AN2531">
        <f>IF($D2531="","",IF($X2531="Yes",1,0))</f>
        <v/>
      </c>
      <c r="AO2531">
        <f>IF($AK2531=1,IFERROR(IF(VALUE($D2531)&lt;100000000,VALUE($D2531),1000000000),IFERROR(IF(VALUE(MID($D2531,2,20))&lt;100000000,VALUE(MID($D2531,2,20)),1000000000),1000000000))+ROW()/100000,"")</f>
        <v/>
      </c>
    </row>
    <row r="2532">
      <c r="F2532" s="11" t="n"/>
      <c r="N2532" s="7">
        <f>IF($D2532="","",M2532*V2532/100)</f>
        <v/>
      </c>
      <c r="O2532" s="7" t="n"/>
      <c r="U2532" s="7" t="n"/>
      <c r="V2532" s="7" t="n"/>
      <c r="Y2532">
        <f>IF($D2532="","",IF($AN2532=1,0,IF($AM2532=1,Settings!$C$6,Settings!$C$7))*100)</f>
        <v/>
      </c>
      <c r="Z2532" s="7">
        <f>IF($D2532="","",V2532*Y2532/100)</f>
        <v/>
      </c>
      <c r="AA2532" s="7">
        <f>IF($D2532="","",V2532-Z2532)</f>
        <v/>
      </c>
      <c r="AB2532" s="7">
        <f>IF($D2532="","",AA2532-N2532)</f>
        <v/>
      </c>
      <c r="AF2532" s="7" t="n"/>
      <c r="AI2532" s="11" t="n"/>
      <c r="AK2532">
        <f>IF($D2532="","",IF(COUNTIF($D$2:$D2532,$D2532)=1,1,0))</f>
        <v/>
      </c>
      <c r="AL2532">
        <f>IF($AK2532=1,SUMPRODUCT(--($AO$2:$AO$3001&lt;$AO2532))+1,"")</f>
        <v/>
      </c>
      <c r="AM2532">
        <f>IF($D2532="","",IF(OR($R2532=TRUE(),$R2532="TRUE"),1,0))</f>
        <v/>
      </c>
      <c r="AN2532">
        <f>IF($D2532="","",IF($X2532="Yes",1,0))</f>
        <v/>
      </c>
      <c r="AO2532">
        <f>IF($AK2532=1,IFERROR(IF(VALUE($D2532)&lt;100000000,VALUE($D2532),1000000000),IFERROR(IF(VALUE(MID($D2532,2,20))&lt;100000000,VALUE(MID($D2532,2,20)),1000000000),1000000000))+ROW()/100000,"")</f>
        <v/>
      </c>
    </row>
    <row r="2533">
      <c r="F2533" s="11" t="n"/>
      <c r="N2533" s="7">
        <f>IF($D2533="","",M2533*V2533/100)</f>
        <v/>
      </c>
      <c r="O2533" s="7" t="n"/>
      <c r="U2533" s="7" t="n"/>
      <c r="V2533" s="7" t="n"/>
      <c r="Y2533">
        <f>IF($D2533="","",IF($AN2533=1,0,IF($AM2533=1,Settings!$C$6,Settings!$C$7))*100)</f>
        <v/>
      </c>
      <c r="Z2533" s="7">
        <f>IF($D2533="","",V2533*Y2533/100)</f>
        <v/>
      </c>
      <c r="AA2533" s="7">
        <f>IF($D2533="","",V2533-Z2533)</f>
        <v/>
      </c>
      <c r="AB2533" s="7">
        <f>IF($D2533="","",AA2533-N2533)</f>
        <v/>
      </c>
      <c r="AF2533" s="7" t="n"/>
      <c r="AI2533" s="11" t="n"/>
      <c r="AK2533">
        <f>IF($D2533="","",IF(COUNTIF($D$2:$D2533,$D2533)=1,1,0))</f>
        <v/>
      </c>
      <c r="AL2533">
        <f>IF($AK2533=1,SUMPRODUCT(--($AO$2:$AO$3001&lt;$AO2533))+1,"")</f>
        <v/>
      </c>
      <c r="AM2533">
        <f>IF($D2533="","",IF(OR($R2533=TRUE(),$R2533="TRUE"),1,0))</f>
        <v/>
      </c>
      <c r="AN2533">
        <f>IF($D2533="","",IF($X2533="Yes",1,0))</f>
        <v/>
      </c>
      <c r="AO2533">
        <f>IF($AK2533=1,IFERROR(IF(VALUE($D2533)&lt;100000000,VALUE($D2533),1000000000),IFERROR(IF(VALUE(MID($D2533,2,20))&lt;100000000,VALUE(MID($D2533,2,20)),1000000000),1000000000))+ROW()/100000,"")</f>
        <v/>
      </c>
    </row>
    <row r="2534">
      <c r="F2534" s="11" t="n"/>
      <c r="N2534" s="7">
        <f>IF($D2534="","",M2534*V2534/100)</f>
        <v/>
      </c>
      <c r="O2534" s="7" t="n"/>
      <c r="U2534" s="7" t="n"/>
      <c r="V2534" s="7" t="n"/>
      <c r="Y2534">
        <f>IF($D2534="","",IF($AN2534=1,0,IF($AM2534=1,Settings!$C$6,Settings!$C$7))*100)</f>
        <v/>
      </c>
      <c r="Z2534" s="7">
        <f>IF($D2534="","",V2534*Y2534/100)</f>
        <v/>
      </c>
      <c r="AA2534" s="7">
        <f>IF($D2534="","",V2534-Z2534)</f>
        <v/>
      </c>
      <c r="AB2534" s="7">
        <f>IF($D2534="","",AA2534-N2534)</f>
        <v/>
      </c>
      <c r="AF2534" s="7" t="n"/>
      <c r="AI2534" s="11" t="n"/>
      <c r="AK2534">
        <f>IF($D2534="","",IF(COUNTIF($D$2:$D2534,$D2534)=1,1,0))</f>
        <v/>
      </c>
      <c r="AL2534">
        <f>IF($AK2534=1,SUMPRODUCT(--($AO$2:$AO$3001&lt;$AO2534))+1,"")</f>
        <v/>
      </c>
      <c r="AM2534">
        <f>IF($D2534="","",IF(OR($R2534=TRUE(),$R2534="TRUE"),1,0))</f>
        <v/>
      </c>
      <c r="AN2534">
        <f>IF($D2534="","",IF($X2534="Yes",1,0))</f>
        <v/>
      </c>
      <c r="AO2534">
        <f>IF($AK2534=1,IFERROR(IF(VALUE($D2534)&lt;100000000,VALUE($D2534),1000000000),IFERROR(IF(VALUE(MID($D2534,2,20))&lt;100000000,VALUE(MID($D2534,2,20)),1000000000),1000000000))+ROW()/100000,"")</f>
        <v/>
      </c>
    </row>
    <row r="2535">
      <c r="F2535" s="11" t="n"/>
      <c r="N2535" s="7">
        <f>IF($D2535="","",M2535*V2535/100)</f>
        <v/>
      </c>
      <c r="O2535" s="7" t="n"/>
      <c r="U2535" s="7" t="n"/>
      <c r="V2535" s="7" t="n"/>
      <c r="Y2535">
        <f>IF($D2535="","",IF($AN2535=1,0,IF($AM2535=1,Settings!$C$6,Settings!$C$7))*100)</f>
        <v/>
      </c>
      <c r="Z2535" s="7">
        <f>IF($D2535="","",V2535*Y2535/100)</f>
        <v/>
      </c>
      <c r="AA2535" s="7">
        <f>IF($D2535="","",V2535-Z2535)</f>
        <v/>
      </c>
      <c r="AB2535" s="7">
        <f>IF($D2535="","",AA2535-N2535)</f>
        <v/>
      </c>
      <c r="AF2535" s="7" t="n"/>
      <c r="AI2535" s="11" t="n"/>
      <c r="AK2535">
        <f>IF($D2535="","",IF(COUNTIF($D$2:$D2535,$D2535)=1,1,0))</f>
        <v/>
      </c>
      <c r="AL2535">
        <f>IF($AK2535=1,SUMPRODUCT(--($AO$2:$AO$3001&lt;$AO2535))+1,"")</f>
        <v/>
      </c>
      <c r="AM2535">
        <f>IF($D2535="","",IF(OR($R2535=TRUE(),$R2535="TRUE"),1,0))</f>
        <v/>
      </c>
      <c r="AN2535">
        <f>IF($D2535="","",IF($X2535="Yes",1,0))</f>
        <v/>
      </c>
      <c r="AO2535">
        <f>IF($AK2535=1,IFERROR(IF(VALUE($D2535)&lt;100000000,VALUE($D2535),1000000000),IFERROR(IF(VALUE(MID($D2535,2,20))&lt;100000000,VALUE(MID($D2535,2,20)),1000000000),1000000000))+ROW()/100000,"")</f>
        <v/>
      </c>
    </row>
    <row r="2536">
      <c r="F2536" s="11" t="n"/>
      <c r="N2536" s="7">
        <f>IF($D2536="","",M2536*V2536/100)</f>
        <v/>
      </c>
      <c r="O2536" s="7" t="n"/>
      <c r="U2536" s="7" t="n"/>
      <c r="V2536" s="7" t="n"/>
      <c r="Y2536">
        <f>IF($D2536="","",IF($AN2536=1,0,IF($AM2536=1,Settings!$C$6,Settings!$C$7))*100)</f>
        <v/>
      </c>
      <c r="Z2536" s="7">
        <f>IF($D2536="","",V2536*Y2536/100)</f>
        <v/>
      </c>
      <c r="AA2536" s="7">
        <f>IF($D2536="","",V2536-Z2536)</f>
        <v/>
      </c>
      <c r="AB2536" s="7">
        <f>IF($D2536="","",AA2536-N2536)</f>
        <v/>
      </c>
      <c r="AF2536" s="7" t="n"/>
      <c r="AI2536" s="11" t="n"/>
      <c r="AK2536">
        <f>IF($D2536="","",IF(COUNTIF($D$2:$D2536,$D2536)=1,1,0))</f>
        <v/>
      </c>
      <c r="AL2536">
        <f>IF($AK2536=1,SUMPRODUCT(--($AO$2:$AO$3001&lt;$AO2536))+1,"")</f>
        <v/>
      </c>
      <c r="AM2536">
        <f>IF($D2536="","",IF(OR($R2536=TRUE(),$R2536="TRUE"),1,0))</f>
        <v/>
      </c>
      <c r="AN2536">
        <f>IF($D2536="","",IF($X2536="Yes",1,0))</f>
        <v/>
      </c>
      <c r="AO2536">
        <f>IF($AK2536=1,IFERROR(IF(VALUE($D2536)&lt;100000000,VALUE($D2536),1000000000),IFERROR(IF(VALUE(MID($D2536,2,20))&lt;100000000,VALUE(MID($D2536,2,20)),1000000000),1000000000))+ROW()/100000,"")</f>
        <v/>
      </c>
    </row>
    <row r="2537">
      <c r="F2537" s="11" t="n"/>
      <c r="N2537" s="7">
        <f>IF($D2537="","",M2537*V2537/100)</f>
        <v/>
      </c>
      <c r="O2537" s="7" t="n"/>
      <c r="U2537" s="7" t="n"/>
      <c r="V2537" s="7" t="n"/>
      <c r="Y2537">
        <f>IF($D2537="","",IF($AN2537=1,0,IF($AM2537=1,Settings!$C$6,Settings!$C$7))*100)</f>
        <v/>
      </c>
      <c r="Z2537" s="7">
        <f>IF($D2537="","",V2537*Y2537/100)</f>
        <v/>
      </c>
      <c r="AA2537" s="7">
        <f>IF($D2537="","",V2537-Z2537)</f>
        <v/>
      </c>
      <c r="AB2537" s="7">
        <f>IF($D2537="","",AA2537-N2537)</f>
        <v/>
      </c>
      <c r="AF2537" s="7" t="n"/>
      <c r="AI2537" s="11" t="n"/>
      <c r="AK2537">
        <f>IF($D2537="","",IF(COUNTIF($D$2:$D2537,$D2537)=1,1,0))</f>
        <v/>
      </c>
      <c r="AL2537">
        <f>IF($AK2537=1,SUMPRODUCT(--($AO$2:$AO$3001&lt;$AO2537))+1,"")</f>
        <v/>
      </c>
      <c r="AM2537">
        <f>IF($D2537="","",IF(OR($R2537=TRUE(),$R2537="TRUE"),1,0))</f>
        <v/>
      </c>
      <c r="AN2537">
        <f>IF($D2537="","",IF($X2537="Yes",1,0))</f>
        <v/>
      </c>
      <c r="AO2537">
        <f>IF($AK2537=1,IFERROR(IF(VALUE($D2537)&lt;100000000,VALUE($D2537),1000000000),IFERROR(IF(VALUE(MID($D2537,2,20))&lt;100000000,VALUE(MID($D2537,2,20)),1000000000),1000000000))+ROW()/100000,"")</f>
        <v/>
      </c>
    </row>
    <row r="2538">
      <c r="F2538" s="11" t="n"/>
      <c r="N2538" s="7">
        <f>IF($D2538="","",M2538*V2538/100)</f>
        <v/>
      </c>
      <c r="O2538" s="7" t="n"/>
      <c r="U2538" s="7" t="n"/>
      <c r="V2538" s="7" t="n"/>
      <c r="Y2538">
        <f>IF($D2538="","",IF($AN2538=1,0,IF($AM2538=1,Settings!$C$6,Settings!$C$7))*100)</f>
        <v/>
      </c>
      <c r="Z2538" s="7">
        <f>IF($D2538="","",V2538*Y2538/100)</f>
        <v/>
      </c>
      <c r="AA2538" s="7">
        <f>IF($D2538="","",V2538-Z2538)</f>
        <v/>
      </c>
      <c r="AB2538" s="7">
        <f>IF($D2538="","",AA2538-N2538)</f>
        <v/>
      </c>
      <c r="AF2538" s="7" t="n"/>
      <c r="AI2538" s="11" t="n"/>
      <c r="AK2538">
        <f>IF($D2538="","",IF(COUNTIF($D$2:$D2538,$D2538)=1,1,0))</f>
        <v/>
      </c>
      <c r="AL2538">
        <f>IF($AK2538=1,SUMPRODUCT(--($AO$2:$AO$3001&lt;$AO2538))+1,"")</f>
        <v/>
      </c>
      <c r="AM2538">
        <f>IF($D2538="","",IF(OR($R2538=TRUE(),$R2538="TRUE"),1,0))</f>
        <v/>
      </c>
      <c r="AN2538">
        <f>IF($D2538="","",IF($X2538="Yes",1,0))</f>
        <v/>
      </c>
      <c r="AO2538">
        <f>IF($AK2538=1,IFERROR(IF(VALUE($D2538)&lt;100000000,VALUE($D2538),1000000000),IFERROR(IF(VALUE(MID($D2538,2,20))&lt;100000000,VALUE(MID($D2538,2,20)),1000000000),1000000000))+ROW()/100000,"")</f>
        <v/>
      </c>
    </row>
    <row r="2539">
      <c r="F2539" s="11" t="n"/>
      <c r="N2539" s="7">
        <f>IF($D2539="","",M2539*V2539/100)</f>
        <v/>
      </c>
      <c r="O2539" s="7" t="n"/>
      <c r="U2539" s="7" t="n"/>
      <c r="V2539" s="7" t="n"/>
      <c r="Y2539">
        <f>IF($D2539="","",IF($AN2539=1,0,IF($AM2539=1,Settings!$C$6,Settings!$C$7))*100)</f>
        <v/>
      </c>
      <c r="Z2539" s="7">
        <f>IF($D2539="","",V2539*Y2539/100)</f>
        <v/>
      </c>
      <c r="AA2539" s="7">
        <f>IF($D2539="","",V2539-Z2539)</f>
        <v/>
      </c>
      <c r="AB2539" s="7">
        <f>IF($D2539="","",AA2539-N2539)</f>
        <v/>
      </c>
      <c r="AF2539" s="7" t="n"/>
      <c r="AI2539" s="11" t="n"/>
      <c r="AK2539">
        <f>IF($D2539="","",IF(COUNTIF($D$2:$D2539,$D2539)=1,1,0))</f>
        <v/>
      </c>
      <c r="AL2539">
        <f>IF($AK2539=1,SUMPRODUCT(--($AO$2:$AO$3001&lt;$AO2539))+1,"")</f>
        <v/>
      </c>
      <c r="AM2539">
        <f>IF($D2539="","",IF(OR($R2539=TRUE(),$R2539="TRUE"),1,0))</f>
        <v/>
      </c>
      <c r="AN2539">
        <f>IF($D2539="","",IF($X2539="Yes",1,0))</f>
        <v/>
      </c>
      <c r="AO2539">
        <f>IF($AK2539=1,IFERROR(IF(VALUE($D2539)&lt;100000000,VALUE($D2539),1000000000),IFERROR(IF(VALUE(MID($D2539,2,20))&lt;100000000,VALUE(MID($D2539,2,20)),1000000000),1000000000))+ROW()/100000,"")</f>
        <v/>
      </c>
    </row>
    <row r="2540">
      <c r="F2540" s="11" t="n"/>
      <c r="N2540" s="7">
        <f>IF($D2540="","",M2540*V2540/100)</f>
        <v/>
      </c>
      <c r="O2540" s="7" t="n"/>
      <c r="U2540" s="7" t="n"/>
      <c r="V2540" s="7" t="n"/>
      <c r="Y2540">
        <f>IF($D2540="","",IF($AN2540=1,0,IF($AM2540=1,Settings!$C$6,Settings!$C$7))*100)</f>
        <v/>
      </c>
      <c r="Z2540" s="7">
        <f>IF($D2540="","",V2540*Y2540/100)</f>
        <v/>
      </c>
      <c r="AA2540" s="7">
        <f>IF($D2540="","",V2540-Z2540)</f>
        <v/>
      </c>
      <c r="AB2540" s="7">
        <f>IF($D2540="","",AA2540-N2540)</f>
        <v/>
      </c>
      <c r="AF2540" s="7" t="n"/>
      <c r="AI2540" s="11" t="n"/>
      <c r="AK2540">
        <f>IF($D2540="","",IF(COUNTIF($D$2:$D2540,$D2540)=1,1,0))</f>
        <v/>
      </c>
      <c r="AL2540">
        <f>IF($AK2540=1,SUMPRODUCT(--($AO$2:$AO$3001&lt;$AO2540))+1,"")</f>
        <v/>
      </c>
      <c r="AM2540">
        <f>IF($D2540="","",IF(OR($R2540=TRUE(),$R2540="TRUE"),1,0))</f>
        <v/>
      </c>
      <c r="AN2540">
        <f>IF($D2540="","",IF($X2540="Yes",1,0))</f>
        <v/>
      </c>
      <c r="AO2540">
        <f>IF($AK2540=1,IFERROR(IF(VALUE($D2540)&lt;100000000,VALUE($D2540),1000000000),IFERROR(IF(VALUE(MID($D2540,2,20))&lt;100000000,VALUE(MID($D2540,2,20)),1000000000),1000000000))+ROW()/100000,"")</f>
        <v/>
      </c>
    </row>
    <row r="2541">
      <c r="F2541" s="11" t="n"/>
      <c r="N2541" s="7">
        <f>IF($D2541="","",M2541*V2541/100)</f>
        <v/>
      </c>
      <c r="O2541" s="7" t="n"/>
      <c r="U2541" s="7" t="n"/>
      <c r="V2541" s="7" t="n"/>
      <c r="Y2541">
        <f>IF($D2541="","",IF($AN2541=1,0,IF($AM2541=1,Settings!$C$6,Settings!$C$7))*100)</f>
        <v/>
      </c>
      <c r="Z2541" s="7">
        <f>IF($D2541="","",V2541*Y2541/100)</f>
        <v/>
      </c>
      <c r="AA2541" s="7">
        <f>IF($D2541="","",V2541-Z2541)</f>
        <v/>
      </c>
      <c r="AB2541" s="7">
        <f>IF($D2541="","",AA2541-N2541)</f>
        <v/>
      </c>
      <c r="AF2541" s="7" t="n"/>
      <c r="AI2541" s="11" t="n"/>
      <c r="AK2541">
        <f>IF($D2541="","",IF(COUNTIF($D$2:$D2541,$D2541)=1,1,0))</f>
        <v/>
      </c>
      <c r="AL2541">
        <f>IF($AK2541=1,SUMPRODUCT(--($AO$2:$AO$3001&lt;$AO2541))+1,"")</f>
        <v/>
      </c>
      <c r="AM2541">
        <f>IF($D2541="","",IF(OR($R2541=TRUE(),$R2541="TRUE"),1,0))</f>
        <v/>
      </c>
      <c r="AN2541">
        <f>IF($D2541="","",IF($X2541="Yes",1,0))</f>
        <v/>
      </c>
      <c r="AO2541">
        <f>IF($AK2541=1,IFERROR(IF(VALUE($D2541)&lt;100000000,VALUE($D2541),1000000000),IFERROR(IF(VALUE(MID($D2541,2,20))&lt;100000000,VALUE(MID($D2541,2,20)),1000000000),1000000000))+ROW()/100000,"")</f>
        <v/>
      </c>
    </row>
    <row r="2542">
      <c r="F2542" s="11" t="n"/>
      <c r="N2542" s="7">
        <f>IF($D2542="","",M2542*V2542/100)</f>
        <v/>
      </c>
      <c r="O2542" s="7" t="n"/>
      <c r="U2542" s="7" t="n"/>
      <c r="V2542" s="7" t="n"/>
      <c r="Y2542">
        <f>IF($D2542="","",IF($AN2542=1,0,IF($AM2542=1,Settings!$C$6,Settings!$C$7))*100)</f>
        <v/>
      </c>
      <c r="Z2542" s="7">
        <f>IF($D2542="","",V2542*Y2542/100)</f>
        <v/>
      </c>
      <c r="AA2542" s="7">
        <f>IF($D2542="","",V2542-Z2542)</f>
        <v/>
      </c>
      <c r="AB2542" s="7">
        <f>IF($D2542="","",AA2542-N2542)</f>
        <v/>
      </c>
      <c r="AF2542" s="7" t="n"/>
      <c r="AI2542" s="11" t="n"/>
      <c r="AK2542">
        <f>IF($D2542="","",IF(COUNTIF($D$2:$D2542,$D2542)=1,1,0))</f>
        <v/>
      </c>
      <c r="AL2542">
        <f>IF($AK2542=1,SUMPRODUCT(--($AO$2:$AO$3001&lt;$AO2542))+1,"")</f>
        <v/>
      </c>
      <c r="AM2542">
        <f>IF($D2542="","",IF(OR($R2542=TRUE(),$R2542="TRUE"),1,0))</f>
        <v/>
      </c>
      <c r="AN2542">
        <f>IF($D2542="","",IF($X2542="Yes",1,0))</f>
        <v/>
      </c>
      <c r="AO2542">
        <f>IF($AK2542=1,IFERROR(IF(VALUE($D2542)&lt;100000000,VALUE($D2542),1000000000),IFERROR(IF(VALUE(MID($D2542,2,20))&lt;100000000,VALUE(MID($D2542,2,20)),1000000000),1000000000))+ROW()/100000,"")</f>
        <v/>
      </c>
    </row>
    <row r="2543">
      <c r="F2543" s="11" t="n"/>
      <c r="N2543" s="7">
        <f>IF($D2543="","",M2543*V2543/100)</f>
        <v/>
      </c>
      <c r="O2543" s="7" t="n"/>
      <c r="U2543" s="7" t="n"/>
      <c r="V2543" s="7" t="n"/>
      <c r="Y2543">
        <f>IF($D2543="","",IF($AN2543=1,0,IF($AM2543=1,Settings!$C$6,Settings!$C$7))*100)</f>
        <v/>
      </c>
      <c r="Z2543" s="7">
        <f>IF($D2543="","",V2543*Y2543/100)</f>
        <v/>
      </c>
      <c r="AA2543" s="7">
        <f>IF($D2543="","",V2543-Z2543)</f>
        <v/>
      </c>
      <c r="AB2543" s="7">
        <f>IF($D2543="","",AA2543-N2543)</f>
        <v/>
      </c>
      <c r="AF2543" s="7" t="n"/>
      <c r="AI2543" s="11" t="n"/>
      <c r="AK2543">
        <f>IF($D2543="","",IF(COUNTIF($D$2:$D2543,$D2543)=1,1,0))</f>
        <v/>
      </c>
      <c r="AL2543">
        <f>IF($AK2543=1,SUMPRODUCT(--($AO$2:$AO$3001&lt;$AO2543))+1,"")</f>
        <v/>
      </c>
      <c r="AM2543">
        <f>IF($D2543="","",IF(OR($R2543=TRUE(),$R2543="TRUE"),1,0))</f>
        <v/>
      </c>
      <c r="AN2543">
        <f>IF($D2543="","",IF($X2543="Yes",1,0))</f>
        <v/>
      </c>
      <c r="AO2543">
        <f>IF($AK2543=1,IFERROR(IF(VALUE($D2543)&lt;100000000,VALUE($D2543),1000000000),IFERROR(IF(VALUE(MID($D2543,2,20))&lt;100000000,VALUE(MID($D2543,2,20)),1000000000),1000000000))+ROW()/100000,"")</f>
        <v/>
      </c>
    </row>
    <row r="2544">
      <c r="F2544" s="11" t="n"/>
      <c r="N2544" s="7">
        <f>IF($D2544="","",M2544*V2544/100)</f>
        <v/>
      </c>
      <c r="O2544" s="7" t="n"/>
      <c r="U2544" s="7" t="n"/>
      <c r="V2544" s="7" t="n"/>
      <c r="Y2544">
        <f>IF($D2544="","",IF($AN2544=1,0,IF($AM2544=1,Settings!$C$6,Settings!$C$7))*100)</f>
        <v/>
      </c>
      <c r="Z2544" s="7">
        <f>IF($D2544="","",V2544*Y2544/100)</f>
        <v/>
      </c>
      <c r="AA2544" s="7">
        <f>IF($D2544="","",V2544-Z2544)</f>
        <v/>
      </c>
      <c r="AB2544" s="7">
        <f>IF($D2544="","",AA2544-N2544)</f>
        <v/>
      </c>
      <c r="AF2544" s="7" t="n"/>
      <c r="AI2544" s="11" t="n"/>
      <c r="AK2544">
        <f>IF($D2544="","",IF(COUNTIF($D$2:$D2544,$D2544)=1,1,0))</f>
        <v/>
      </c>
      <c r="AL2544">
        <f>IF($AK2544=1,SUMPRODUCT(--($AO$2:$AO$3001&lt;$AO2544))+1,"")</f>
        <v/>
      </c>
      <c r="AM2544">
        <f>IF($D2544="","",IF(OR($R2544=TRUE(),$R2544="TRUE"),1,0))</f>
        <v/>
      </c>
      <c r="AN2544">
        <f>IF($D2544="","",IF($X2544="Yes",1,0))</f>
        <v/>
      </c>
      <c r="AO2544">
        <f>IF($AK2544=1,IFERROR(IF(VALUE($D2544)&lt;100000000,VALUE($D2544),1000000000),IFERROR(IF(VALUE(MID($D2544,2,20))&lt;100000000,VALUE(MID($D2544,2,20)),1000000000),1000000000))+ROW()/100000,"")</f>
        <v/>
      </c>
    </row>
    <row r="2545">
      <c r="F2545" s="11" t="n"/>
      <c r="N2545" s="7">
        <f>IF($D2545="","",M2545*V2545/100)</f>
        <v/>
      </c>
      <c r="O2545" s="7" t="n"/>
      <c r="U2545" s="7" t="n"/>
      <c r="V2545" s="7" t="n"/>
      <c r="Y2545">
        <f>IF($D2545="","",IF($AN2545=1,0,IF($AM2545=1,Settings!$C$6,Settings!$C$7))*100)</f>
        <v/>
      </c>
      <c r="Z2545" s="7">
        <f>IF($D2545="","",V2545*Y2545/100)</f>
        <v/>
      </c>
      <c r="AA2545" s="7">
        <f>IF($D2545="","",V2545-Z2545)</f>
        <v/>
      </c>
      <c r="AB2545" s="7">
        <f>IF($D2545="","",AA2545-N2545)</f>
        <v/>
      </c>
      <c r="AF2545" s="7" t="n"/>
      <c r="AI2545" s="11" t="n"/>
      <c r="AK2545">
        <f>IF($D2545="","",IF(COUNTIF($D$2:$D2545,$D2545)=1,1,0))</f>
        <v/>
      </c>
      <c r="AL2545">
        <f>IF($AK2545=1,SUMPRODUCT(--($AO$2:$AO$3001&lt;$AO2545))+1,"")</f>
        <v/>
      </c>
      <c r="AM2545">
        <f>IF($D2545="","",IF(OR($R2545=TRUE(),$R2545="TRUE"),1,0))</f>
        <v/>
      </c>
      <c r="AN2545">
        <f>IF($D2545="","",IF($X2545="Yes",1,0))</f>
        <v/>
      </c>
      <c r="AO2545">
        <f>IF($AK2545=1,IFERROR(IF(VALUE($D2545)&lt;100000000,VALUE($D2545),1000000000),IFERROR(IF(VALUE(MID($D2545,2,20))&lt;100000000,VALUE(MID($D2545,2,20)),1000000000),1000000000))+ROW()/100000,"")</f>
        <v/>
      </c>
    </row>
    <row r="2546">
      <c r="F2546" s="11" t="n"/>
      <c r="N2546" s="7">
        <f>IF($D2546="","",M2546*V2546/100)</f>
        <v/>
      </c>
      <c r="O2546" s="7" t="n"/>
      <c r="U2546" s="7" t="n"/>
      <c r="V2546" s="7" t="n"/>
      <c r="Y2546">
        <f>IF($D2546="","",IF($AN2546=1,0,IF($AM2546=1,Settings!$C$6,Settings!$C$7))*100)</f>
        <v/>
      </c>
      <c r="Z2546" s="7">
        <f>IF($D2546="","",V2546*Y2546/100)</f>
        <v/>
      </c>
      <c r="AA2546" s="7">
        <f>IF($D2546="","",V2546-Z2546)</f>
        <v/>
      </c>
      <c r="AB2546" s="7">
        <f>IF($D2546="","",AA2546-N2546)</f>
        <v/>
      </c>
      <c r="AF2546" s="7" t="n"/>
      <c r="AI2546" s="11" t="n"/>
      <c r="AK2546">
        <f>IF($D2546="","",IF(COUNTIF($D$2:$D2546,$D2546)=1,1,0))</f>
        <v/>
      </c>
      <c r="AL2546">
        <f>IF($AK2546=1,SUMPRODUCT(--($AO$2:$AO$3001&lt;$AO2546))+1,"")</f>
        <v/>
      </c>
      <c r="AM2546">
        <f>IF($D2546="","",IF(OR($R2546=TRUE(),$R2546="TRUE"),1,0))</f>
        <v/>
      </c>
      <c r="AN2546">
        <f>IF($D2546="","",IF($X2546="Yes",1,0))</f>
        <v/>
      </c>
      <c r="AO2546">
        <f>IF($AK2546=1,IFERROR(IF(VALUE($D2546)&lt;100000000,VALUE($D2546),1000000000),IFERROR(IF(VALUE(MID($D2546,2,20))&lt;100000000,VALUE(MID($D2546,2,20)),1000000000),1000000000))+ROW()/100000,"")</f>
        <v/>
      </c>
    </row>
    <row r="2547">
      <c r="F2547" s="11" t="n"/>
      <c r="N2547" s="7">
        <f>IF($D2547="","",M2547*V2547/100)</f>
        <v/>
      </c>
      <c r="O2547" s="7" t="n"/>
      <c r="U2547" s="7" t="n"/>
      <c r="V2547" s="7" t="n"/>
      <c r="Y2547">
        <f>IF($D2547="","",IF($AN2547=1,0,IF($AM2547=1,Settings!$C$6,Settings!$C$7))*100)</f>
        <v/>
      </c>
      <c r="Z2547" s="7">
        <f>IF($D2547="","",V2547*Y2547/100)</f>
        <v/>
      </c>
      <c r="AA2547" s="7">
        <f>IF($D2547="","",V2547-Z2547)</f>
        <v/>
      </c>
      <c r="AB2547" s="7">
        <f>IF($D2547="","",AA2547-N2547)</f>
        <v/>
      </c>
      <c r="AF2547" s="7" t="n"/>
      <c r="AI2547" s="11" t="n"/>
      <c r="AK2547">
        <f>IF($D2547="","",IF(COUNTIF($D$2:$D2547,$D2547)=1,1,0))</f>
        <v/>
      </c>
      <c r="AL2547">
        <f>IF($AK2547=1,SUMPRODUCT(--($AO$2:$AO$3001&lt;$AO2547))+1,"")</f>
        <v/>
      </c>
      <c r="AM2547">
        <f>IF($D2547="","",IF(OR($R2547=TRUE(),$R2547="TRUE"),1,0))</f>
        <v/>
      </c>
      <c r="AN2547">
        <f>IF($D2547="","",IF($X2547="Yes",1,0))</f>
        <v/>
      </c>
      <c r="AO2547">
        <f>IF($AK2547=1,IFERROR(IF(VALUE($D2547)&lt;100000000,VALUE($D2547),1000000000),IFERROR(IF(VALUE(MID($D2547,2,20))&lt;100000000,VALUE(MID($D2547,2,20)),1000000000),1000000000))+ROW()/100000,"")</f>
        <v/>
      </c>
    </row>
    <row r="2548">
      <c r="F2548" s="11" t="n"/>
      <c r="N2548" s="7">
        <f>IF($D2548="","",M2548*V2548/100)</f>
        <v/>
      </c>
      <c r="O2548" s="7" t="n"/>
      <c r="U2548" s="7" t="n"/>
      <c r="V2548" s="7" t="n"/>
      <c r="Y2548">
        <f>IF($D2548="","",IF($AN2548=1,0,IF($AM2548=1,Settings!$C$6,Settings!$C$7))*100)</f>
        <v/>
      </c>
      <c r="Z2548" s="7">
        <f>IF($D2548="","",V2548*Y2548/100)</f>
        <v/>
      </c>
      <c r="AA2548" s="7">
        <f>IF($D2548="","",V2548-Z2548)</f>
        <v/>
      </c>
      <c r="AB2548" s="7">
        <f>IF($D2548="","",AA2548-N2548)</f>
        <v/>
      </c>
      <c r="AF2548" s="7" t="n"/>
      <c r="AI2548" s="11" t="n"/>
      <c r="AK2548">
        <f>IF($D2548="","",IF(COUNTIF($D$2:$D2548,$D2548)=1,1,0))</f>
        <v/>
      </c>
      <c r="AL2548">
        <f>IF($AK2548=1,SUMPRODUCT(--($AO$2:$AO$3001&lt;$AO2548))+1,"")</f>
        <v/>
      </c>
      <c r="AM2548">
        <f>IF($D2548="","",IF(OR($R2548=TRUE(),$R2548="TRUE"),1,0))</f>
        <v/>
      </c>
      <c r="AN2548">
        <f>IF($D2548="","",IF($X2548="Yes",1,0))</f>
        <v/>
      </c>
      <c r="AO2548">
        <f>IF($AK2548=1,IFERROR(IF(VALUE($D2548)&lt;100000000,VALUE($D2548),1000000000),IFERROR(IF(VALUE(MID($D2548,2,20))&lt;100000000,VALUE(MID($D2548,2,20)),1000000000),1000000000))+ROW()/100000,"")</f>
        <v/>
      </c>
    </row>
    <row r="2549">
      <c r="F2549" s="11" t="n"/>
      <c r="N2549" s="7">
        <f>IF($D2549="","",M2549*V2549/100)</f>
        <v/>
      </c>
      <c r="O2549" s="7" t="n"/>
      <c r="U2549" s="7" t="n"/>
      <c r="V2549" s="7" t="n"/>
      <c r="Y2549">
        <f>IF($D2549="","",IF($AN2549=1,0,IF($AM2549=1,Settings!$C$6,Settings!$C$7))*100)</f>
        <v/>
      </c>
      <c r="Z2549" s="7">
        <f>IF($D2549="","",V2549*Y2549/100)</f>
        <v/>
      </c>
      <c r="AA2549" s="7">
        <f>IF($D2549="","",V2549-Z2549)</f>
        <v/>
      </c>
      <c r="AB2549" s="7">
        <f>IF($D2549="","",AA2549-N2549)</f>
        <v/>
      </c>
      <c r="AF2549" s="7" t="n"/>
      <c r="AI2549" s="11" t="n"/>
      <c r="AK2549">
        <f>IF($D2549="","",IF(COUNTIF($D$2:$D2549,$D2549)=1,1,0))</f>
        <v/>
      </c>
      <c r="AL2549">
        <f>IF($AK2549=1,SUMPRODUCT(--($AO$2:$AO$3001&lt;$AO2549))+1,"")</f>
        <v/>
      </c>
      <c r="AM2549">
        <f>IF($D2549="","",IF(OR($R2549=TRUE(),$R2549="TRUE"),1,0))</f>
        <v/>
      </c>
      <c r="AN2549">
        <f>IF($D2549="","",IF($X2549="Yes",1,0))</f>
        <v/>
      </c>
      <c r="AO2549">
        <f>IF($AK2549=1,IFERROR(IF(VALUE($D2549)&lt;100000000,VALUE($D2549),1000000000),IFERROR(IF(VALUE(MID($D2549,2,20))&lt;100000000,VALUE(MID($D2549,2,20)),1000000000),1000000000))+ROW()/100000,"")</f>
        <v/>
      </c>
    </row>
    <row r="2550">
      <c r="F2550" s="11" t="n"/>
      <c r="N2550" s="7">
        <f>IF($D2550="","",M2550*V2550/100)</f>
        <v/>
      </c>
      <c r="O2550" s="7" t="n"/>
      <c r="U2550" s="7" t="n"/>
      <c r="V2550" s="7" t="n"/>
      <c r="Y2550">
        <f>IF($D2550="","",IF($AN2550=1,0,IF($AM2550=1,Settings!$C$6,Settings!$C$7))*100)</f>
        <v/>
      </c>
      <c r="Z2550" s="7">
        <f>IF($D2550="","",V2550*Y2550/100)</f>
        <v/>
      </c>
      <c r="AA2550" s="7">
        <f>IF($D2550="","",V2550-Z2550)</f>
        <v/>
      </c>
      <c r="AB2550" s="7">
        <f>IF($D2550="","",AA2550-N2550)</f>
        <v/>
      </c>
      <c r="AF2550" s="7" t="n"/>
      <c r="AI2550" s="11" t="n"/>
      <c r="AK2550">
        <f>IF($D2550="","",IF(COUNTIF($D$2:$D2550,$D2550)=1,1,0))</f>
        <v/>
      </c>
      <c r="AL2550">
        <f>IF($AK2550=1,SUMPRODUCT(--($AO$2:$AO$3001&lt;$AO2550))+1,"")</f>
        <v/>
      </c>
      <c r="AM2550">
        <f>IF($D2550="","",IF(OR($R2550=TRUE(),$R2550="TRUE"),1,0))</f>
        <v/>
      </c>
      <c r="AN2550">
        <f>IF($D2550="","",IF($X2550="Yes",1,0))</f>
        <v/>
      </c>
      <c r="AO2550">
        <f>IF($AK2550=1,IFERROR(IF(VALUE($D2550)&lt;100000000,VALUE($D2550),1000000000),IFERROR(IF(VALUE(MID($D2550,2,20))&lt;100000000,VALUE(MID($D2550,2,20)),1000000000),1000000000))+ROW()/100000,"")</f>
        <v/>
      </c>
    </row>
    <row r="2551">
      <c r="F2551" s="11" t="n"/>
      <c r="N2551" s="7">
        <f>IF($D2551="","",M2551*V2551/100)</f>
        <v/>
      </c>
      <c r="O2551" s="7" t="n"/>
      <c r="U2551" s="7" t="n"/>
      <c r="V2551" s="7" t="n"/>
      <c r="Y2551">
        <f>IF($D2551="","",IF($AN2551=1,0,IF($AM2551=1,Settings!$C$6,Settings!$C$7))*100)</f>
        <v/>
      </c>
      <c r="Z2551" s="7">
        <f>IF($D2551="","",V2551*Y2551/100)</f>
        <v/>
      </c>
      <c r="AA2551" s="7">
        <f>IF($D2551="","",V2551-Z2551)</f>
        <v/>
      </c>
      <c r="AB2551" s="7">
        <f>IF($D2551="","",AA2551-N2551)</f>
        <v/>
      </c>
      <c r="AF2551" s="7" t="n"/>
      <c r="AI2551" s="11" t="n"/>
      <c r="AK2551">
        <f>IF($D2551="","",IF(COUNTIF($D$2:$D2551,$D2551)=1,1,0))</f>
        <v/>
      </c>
      <c r="AL2551">
        <f>IF($AK2551=1,SUMPRODUCT(--($AO$2:$AO$3001&lt;$AO2551))+1,"")</f>
        <v/>
      </c>
      <c r="AM2551">
        <f>IF($D2551="","",IF(OR($R2551=TRUE(),$R2551="TRUE"),1,0))</f>
        <v/>
      </c>
      <c r="AN2551">
        <f>IF($D2551="","",IF($X2551="Yes",1,0))</f>
        <v/>
      </c>
      <c r="AO2551">
        <f>IF($AK2551=1,IFERROR(IF(VALUE($D2551)&lt;100000000,VALUE($D2551),1000000000),IFERROR(IF(VALUE(MID($D2551,2,20))&lt;100000000,VALUE(MID($D2551,2,20)),1000000000),1000000000))+ROW()/100000,"")</f>
        <v/>
      </c>
    </row>
    <row r="2552">
      <c r="F2552" s="11" t="n"/>
      <c r="N2552" s="7">
        <f>IF($D2552="","",M2552*V2552/100)</f>
        <v/>
      </c>
      <c r="O2552" s="7" t="n"/>
      <c r="U2552" s="7" t="n"/>
      <c r="V2552" s="7" t="n"/>
      <c r="Y2552">
        <f>IF($D2552="","",IF($AN2552=1,0,IF($AM2552=1,Settings!$C$6,Settings!$C$7))*100)</f>
        <v/>
      </c>
      <c r="Z2552" s="7">
        <f>IF($D2552="","",V2552*Y2552/100)</f>
        <v/>
      </c>
      <c r="AA2552" s="7">
        <f>IF($D2552="","",V2552-Z2552)</f>
        <v/>
      </c>
      <c r="AB2552" s="7">
        <f>IF($D2552="","",AA2552-N2552)</f>
        <v/>
      </c>
      <c r="AF2552" s="7" t="n"/>
      <c r="AI2552" s="11" t="n"/>
      <c r="AK2552">
        <f>IF($D2552="","",IF(COUNTIF($D$2:$D2552,$D2552)=1,1,0))</f>
        <v/>
      </c>
      <c r="AL2552">
        <f>IF($AK2552=1,SUMPRODUCT(--($AO$2:$AO$3001&lt;$AO2552))+1,"")</f>
        <v/>
      </c>
      <c r="AM2552">
        <f>IF($D2552="","",IF(OR($R2552=TRUE(),$R2552="TRUE"),1,0))</f>
        <v/>
      </c>
      <c r="AN2552">
        <f>IF($D2552="","",IF($X2552="Yes",1,0))</f>
        <v/>
      </c>
      <c r="AO2552">
        <f>IF($AK2552=1,IFERROR(IF(VALUE($D2552)&lt;100000000,VALUE($D2552),1000000000),IFERROR(IF(VALUE(MID($D2552,2,20))&lt;100000000,VALUE(MID($D2552,2,20)),1000000000),1000000000))+ROW()/100000,"")</f>
        <v/>
      </c>
    </row>
    <row r="2553">
      <c r="F2553" s="11" t="n"/>
      <c r="N2553" s="7">
        <f>IF($D2553="","",M2553*V2553/100)</f>
        <v/>
      </c>
      <c r="O2553" s="7" t="n"/>
      <c r="U2553" s="7" t="n"/>
      <c r="V2553" s="7" t="n"/>
      <c r="Y2553">
        <f>IF($D2553="","",IF($AN2553=1,0,IF($AM2553=1,Settings!$C$6,Settings!$C$7))*100)</f>
        <v/>
      </c>
      <c r="Z2553" s="7">
        <f>IF($D2553="","",V2553*Y2553/100)</f>
        <v/>
      </c>
      <c r="AA2553" s="7">
        <f>IF($D2553="","",V2553-Z2553)</f>
        <v/>
      </c>
      <c r="AB2553" s="7">
        <f>IF($D2553="","",AA2553-N2553)</f>
        <v/>
      </c>
      <c r="AF2553" s="7" t="n"/>
      <c r="AI2553" s="11" t="n"/>
      <c r="AK2553">
        <f>IF($D2553="","",IF(COUNTIF($D$2:$D2553,$D2553)=1,1,0))</f>
        <v/>
      </c>
      <c r="AL2553">
        <f>IF($AK2553=1,SUMPRODUCT(--($AO$2:$AO$3001&lt;$AO2553))+1,"")</f>
        <v/>
      </c>
      <c r="AM2553">
        <f>IF($D2553="","",IF(OR($R2553=TRUE(),$R2553="TRUE"),1,0))</f>
        <v/>
      </c>
      <c r="AN2553">
        <f>IF($D2553="","",IF($X2553="Yes",1,0))</f>
        <v/>
      </c>
      <c r="AO2553">
        <f>IF($AK2553=1,IFERROR(IF(VALUE($D2553)&lt;100000000,VALUE($D2553),1000000000),IFERROR(IF(VALUE(MID($D2553,2,20))&lt;100000000,VALUE(MID($D2553,2,20)),1000000000),1000000000))+ROW()/100000,"")</f>
        <v/>
      </c>
    </row>
    <row r="2554">
      <c r="F2554" s="11" t="n"/>
      <c r="N2554" s="7">
        <f>IF($D2554="","",M2554*V2554/100)</f>
        <v/>
      </c>
      <c r="O2554" s="7" t="n"/>
      <c r="U2554" s="7" t="n"/>
      <c r="V2554" s="7" t="n"/>
      <c r="Y2554">
        <f>IF($D2554="","",IF($AN2554=1,0,IF($AM2554=1,Settings!$C$6,Settings!$C$7))*100)</f>
        <v/>
      </c>
      <c r="Z2554" s="7">
        <f>IF($D2554="","",V2554*Y2554/100)</f>
        <v/>
      </c>
      <c r="AA2554" s="7">
        <f>IF($D2554="","",V2554-Z2554)</f>
        <v/>
      </c>
      <c r="AB2554" s="7">
        <f>IF($D2554="","",AA2554-N2554)</f>
        <v/>
      </c>
      <c r="AF2554" s="7" t="n"/>
      <c r="AI2554" s="11" t="n"/>
      <c r="AK2554">
        <f>IF($D2554="","",IF(COUNTIF($D$2:$D2554,$D2554)=1,1,0))</f>
        <v/>
      </c>
      <c r="AL2554">
        <f>IF($AK2554=1,SUMPRODUCT(--($AO$2:$AO$3001&lt;$AO2554))+1,"")</f>
        <v/>
      </c>
      <c r="AM2554">
        <f>IF($D2554="","",IF(OR($R2554=TRUE(),$R2554="TRUE"),1,0))</f>
        <v/>
      </c>
      <c r="AN2554">
        <f>IF($D2554="","",IF($X2554="Yes",1,0))</f>
        <v/>
      </c>
      <c r="AO2554">
        <f>IF($AK2554=1,IFERROR(IF(VALUE($D2554)&lt;100000000,VALUE($D2554),1000000000),IFERROR(IF(VALUE(MID($D2554,2,20))&lt;100000000,VALUE(MID($D2554,2,20)),1000000000),1000000000))+ROW()/100000,"")</f>
        <v/>
      </c>
    </row>
    <row r="2555">
      <c r="F2555" s="11" t="n"/>
      <c r="N2555" s="7">
        <f>IF($D2555="","",M2555*V2555/100)</f>
        <v/>
      </c>
      <c r="O2555" s="7" t="n"/>
      <c r="U2555" s="7" t="n"/>
      <c r="V2555" s="7" t="n"/>
      <c r="Y2555">
        <f>IF($D2555="","",IF($AN2555=1,0,IF($AM2555=1,Settings!$C$6,Settings!$C$7))*100)</f>
        <v/>
      </c>
      <c r="Z2555" s="7">
        <f>IF($D2555="","",V2555*Y2555/100)</f>
        <v/>
      </c>
      <c r="AA2555" s="7">
        <f>IF($D2555="","",V2555-Z2555)</f>
        <v/>
      </c>
      <c r="AB2555" s="7">
        <f>IF($D2555="","",AA2555-N2555)</f>
        <v/>
      </c>
      <c r="AF2555" s="7" t="n"/>
      <c r="AI2555" s="11" t="n"/>
      <c r="AK2555">
        <f>IF($D2555="","",IF(COUNTIF($D$2:$D2555,$D2555)=1,1,0))</f>
        <v/>
      </c>
      <c r="AL2555">
        <f>IF($AK2555=1,SUMPRODUCT(--($AO$2:$AO$3001&lt;$AO2555))+1,"")</f>
        <v/>
      </c>
      <c r="AM2555">
        <f>IF($D2555="","",IF(OR($R2555=TRUE(),$R2555="TRUE"),1,0))</f>
        <v/>
      </c>
      <c r="AN2555">
        <f>IF($D2555="","",IF($X2555="Yes",1,0))</f>
        <v/>
      </c>
      <c r="AO2555">
        <f>IF($AK2555=1,IFERROR(IF(VALUE($D2555)&lt;100000000,VALUE($D2555),1000000000),IFERROR(IF(VALUE(MID($D2555,2,20))&lt;100000000,VALUE(MID($D2555,2,20)),1000000000),1000000000))+ROW()/100000,"")</f>
        <v/>
      </c>
    </row>
    <row r="2556">
      <c r="F2556" s="11" t="n"/>
      <c r="N2556" s="7">
        <f>IF($D2556="","",M2556*V2556/100)</f>
        <v/>
      </c>
      <c r="O2556" s="7" t="n"/>
      <c r="U2556" s="7" t="n"/>
      <c r="V2556" s="7" t="n"/>
      <c r="Y2556">
        <f>IF($D2556="","",IF($AN2556=1,0,IF($AM2556=1,Settings!$C$6,Settings!$C$7))*100)</f>
        <v/>
      </c>
      <c r="Z2556" s="7">
        <f>IF($D2556="","",V2556*Y2556/100)</f>
        <v/>
      </c>
      <c r="AA2556" s="7">
        <f>IF($D2556="","",V2556-Z2556)</f>
        <v/>
      </c>
      <c r="AB2556" s="7">
        <f>IF($D2556="","",AA2556-N2556)</f>
        <v/>
      </c>
      <c r="AF2556" s="7" t="n"/>
      <c r="AI2556" s="11" t="n"/>
      <c r="AK2556">
        <f>IF($D2556="","",IF(COUNTIF($D$2:$D2556,$D2556)=1,1,0))</f>
        <v/>
      </c>
      <c r="AL2556">
        <f>IF($AK2556=1,SUMPRODUCT(--($AO$2:$AO$3001&lt;$AO2556))+1,"")</f>
        <v/>
      </c>
      <c r="AM2556">
        <f>IF($D2556="","",IF(OR($R2556=TRUE(),$R2556="TRUE"),1,0))</f>
        <v/>
      </c>
      <c r="AN2556">
        <f>IF($D2556="","",IF($X2556="Yes",1,0))</f>
        <v/>
      </c>
      <c r="AO2556">
        <f>IF($AK2556=1,IFERROR(IF(VALUE($D2556)&lt;100000000,VALUE($D2556),1000000000),IFERROR(IF(VALUE(MID($D2556,2,20))&lt;100000000,VALUE(MID($D2556,2,20)),1000000000),1000000000))+ROW()/100000,"")</f>
        <v/>
      </c>
    </row>
    <row r="2557">
      <c r="F2557" s="11" t="n"/>
      <c r="N2557" s="7">
        <f>IF($D2557="","",M2557*V2557/100)</f>
        <v/>
      </c>
      <c r="O2557" s="7" t="n"/>
      <c r="U2557" s="7" t="n"/>
      <c r="V2557" s="7" t="n"/>
      <c r="Y2557">
        <f>IF($D2557="","",IF($AN2557=1,0,IF($AM2557=1,Settings!$C$6,Settings!$C$7))*100)</f>
        <v/>
      </c>
      <c r="Z2557" s="7">
        <f>IF($D2557="","",V2557*Y2557/100)</f>
        <v/>
      </c>
      <c r="AA2557" s="7">
        <f>IF($D2557="","",V2557-Z2557)</f>
        <v/>
      </c>
      <c r="AB2557" s="7">
        <f>IF($D2557="","",AA2557-N2557)</f>
        <v/>
      </c>
      <c r="AF2557" s="7" t="n"/>
      <c r="AI2557" s="11" t="n"/>
      <c r="AK2557">
        <f>IF($D2557="","",IF(COUNTIF($D$2:$D2557,$D2557)=1,1,0))</f>
        <v/>
      </c>
      <c r="AL2557">
        <f>IF($AK2557=1,SUMPRODUCT(--($AO$2:$AO$3001&lt;$AO2557))+1,"")</f>
        <v/>
      </c>
      <c r="AM2557">
        <f>IF($D2557="","",IF(OR($R2557=TRUE(),$R2557="TRUE"),1,0))</f>
        <v/>
      </c>
      <c r="AN2557">
        <f>IF($D2557="","",IF($X2557="Yes",1,0))</f>
        <v/>
      </c>
      <c r="AO2557">
        <f>IF($AK2557=1,IFERROR(IF(VALUE($D2557)&lt;100000000,VALUE($D2557),1000000000),IFERROR(IF(VALUE(MID($D2557,2,20))&lt;100000000,VALUE(MID($D2557,2,20)),1000000000),1000000000))+ROW()/100000,"")</f>
        <v/>
      </c>
    </row>
    <row r="2558">
      <c r="F2558" s="11" t="n"/>
      <c r="N2558" s="7">
        <f>IF($D2558="","",M2558*V2558/100)</f>
        <v/>
      </c>
      <c r="O2558" s="7" t="n"/>
      <c r="U2558" s="7" t="n"/>
      <c r="V2558" s="7" t="n"/>
      <c r="Y2558">
        <f>IF($D2558="","",IF($AN2558=1,0,IF($AM2558=1,Settings!$C$6,Settings!$C$7))*100)</f>
        <v/>
      </c>
      <c r="Z2558" s="7">
        <f>IF($D2558="","",V2558*Y2558/100)</f>
        <v/>
      </c>
      <c r="AA2558" s="7">
        <f>IF($D2558="","",V2558-Z2558)</f>
        <v/>
      </c>
      <c r="AB2558" s="7">
        <f>IF($D2558="","",AA2558-N2558)</f>
        <v/>
      </c>
      <c r="AF2558" s="7" t="n"/>
      <c r="AI2558" s="11" t="n"/>
      <c r="AK2558">
        <f>IF($D2558="","",IF(COUNTIF($D$2:$D2558,$D2558)=1,1,0))</f>
        <v/>
      </c>
      <c r="AL2558">
        <f>IF($AK2558=1,SUMPRODUCT(--($AO$2:$AO$3001&lt;$AO2558))+1,"")</f>
        <v/>
      </c>
      <c r="AM2558">
        <f>IF($D2558="","",IF(OR($R2558=TRUE(),$R2558="TRUE"),1,0))</f>
        <v/>
      </c>
      <c r="AN2558">
        <f>IF($D2558="","",IF($X2558="Yes",1,0))</f>
        <v/>
      </c>
      <c r="AO2558">
        <f>IF($AK2558=1,IFERROR(IF(VALUE($D2558)&lt;100000000,VALUE($D2558),1000000000),IFERROR(IF(VALUE(MID($D2558,2,20))&lt;100000000,VALUE(MID($D2558,2,20)),1000000000),1000000000))+ROW()/100000,"")</f>
        <v/>
      </c>
    </row>
    <row r="2559">
      <c r="F2559" s="11" t="n"/>
      <c r="N2559" s="7">
        <f>IF($D2559="","",M2559*V2559/100)</f>
        <v/>
      </c>
      <c r="O2559" s="7" t="n"/>
      <c r="U2559" s="7" t="n"/>
      <c r="V2559" s="7" t="n"/>
      <c r="Y2559">
        <f>IF($D2559="","",IF($AN2559=1,0,IF($AM2559=1,Settings!$C$6,Settings!$C$7))*100)</f>
        <v/>
      </c>
      <c r="Z2559" s="7">
        <f>IF($D2559="","",V2559*Y2559/100)</f>
        <v/>
      </c>
      <c r="AA2559" s="7">
        <f>IF($D2559="","",V2559-Z2559)</f>
        <v/>
      </c>
      <c r="AB2559" s="7">
        <f>IF($D2559="","",AA2559-N2559)</f>
        <v/>
      </c>
      <c r="AF2559" s="7" t="n"/>
      <c r="AI2559" s="11" t="n"/>
      <c r="AK2559">
        <f>IF($D2559="","",IF(COUNTIF($D$2:$D2559,$D2559)=1,1,0))</f>
        <v/>
      </c>
      <c r="AL2559">
        <f>IF($AK2559=1,SUMPRODUCT(--($AO$2:$AO$3001&lt;$AO2559))+1,"")</f>
        <v/>
      </c>
      <c r="AM2559">
        <f>IF($D2559="","",IF(OR($R2559=TRUE(),$R2559="TRUE"),1,0))</f>
        <v/>
      </c>
      <c r="AN2559">
        <f>IF($D2559="","",IF($X2559="Yes",1,0))</f>
        <v/>
      </c>
      <c r="AO2559">
        <f>IF($AK2559=1,IFERROR(IF(VALUE($D2559)&lt;100000000,VALUE($D2559),1000000000),IFERROR(IF(VALUE(MID($D2559,2,20))&lt;100000000,VALUE(MID($D2559,2,20)),1000000000),1000000000))+ROW()/100000,"")</f>
        <v/>
      </c>
    </row>
    <row r="2560">
      <c r="F2560" s="11" t="n"/>
      <c r="N2560" s="7">
        <f>IF($D2560="","",M2560*V2560/100)</f>
        <v/>
      </c>
      <c r="O2560" s="7" t="n"/>
      <c r="U2560" s="7" t="n"/>
      <c r="V2560" s="7" t="n"/>
      <c r="Y2560">
        <f>IF($D2560="","",IF($AN2560=1,0,IF($AM2560=1,Settings!$C$6,Settings!$C$7))*100)</f>
        <v/>
      </c>
      <c r="Z2560" s="7">
        <f>IF($D2560="","",V2560*Y2560/100)</f>
        <v/>
      </c>
      <c r="AA2560" s="7">
        <f>IF($D2560="","",V2560-Z2560)</f>
        <v/>
      </c>
      <c r="AB2560" s="7">
        <f>IF($D2560="","",AA2560-N2560)</f>
        <v/>
      </c>
      <c r="AF2560" s="7" t="n"/>
      <c r="AI2560" s="11" t="n"/>
      <c r="AK2560">
        <f>IF($D2560="","",IF(COUNTIF($D$2:$D2560,$D2560)=1,1,0))</f>
        <v/>
      </c>
      <c r="AL2560">
        <f>IF($AK2560=1,SUMPRODUCT(--($AO$2:$AO$3001&lt;$AO2560))+1,"")</f>
        <v/>
      </c>
      <c r="AM2560">
        <f>IF($D2560="","",IF(OR($R2560=TRUE(),$R2560="TRUE"),1,0))</f>
        <v/>
      </c>
      <c r="AN2560">
        <f>IF($D2560="","",IF($X2560="Yes",1,0))</f>
        <v/>
      </c>
      <c r="AO2560">
        <f>IF($AK2560=1,IFERROR(IF(VALUE($D2560)&lt;100000000,VALUE($D2560),1000000000),IFERROR(IF(VALUE(MID($D2560,2,20))&lt;100000000,VALUE(MID($D2560,2,20)),1000000000),1000000000))+ROW()/100000,"")</f>
        <v/>
      </c>
    </row>
    <row r="2561">
      <c r="F2561" s="11" t="n"/>
      <c r="N2561" s="7">
        <f>IF($D2561="","",M2561*V2561/100)</f>
        <v/>
      </c>
      <c r="O2561" s="7" t="n"/>
      <c r="U2561" s="7" t="n"/>
      <c r="V2561" s="7" t="n"/>
      <c r="Y2561">
        <f>IF($D2561="","",IF($AN2561=1,0,IF($AM2561=1,Settings!$C$6,Settings!$C$7))*100)</f>
        <v/>
      </c>
      <c r="Z2561" s="7">
        <f>IF($D2561="","",V2561*Y2561/100)</f>
        <v/>
      </c>
      <c r="AA2561" s="7">
        <f>IF($D2561="","",V2561-Z2561)</f>
        <v/>
      </c>
      <c r="AB2561" s="7">
        <f>IF($D2561="","",AA2561-N2561)</f>
        <v/>
      </c>
      <c r="AF2561" s="7" t="n"/>
      <c r="AI2561" s="11" t="n"/>
      <c r="AK2561">
        <f>IF($D2561="","",IF(COUNTIF($D$2:$D2561,$D2561)=1,1,0))</f>
        <v/>
      </c>
      <c r="AL2561">
        <f>IF($AK2561=1,SUMPRODUCT(--($AO$2:$AO$3001&lt;$AO2561))+1,"")</f>
        <v/>
      </c>
      <c r="AM2561">
        <f>IF($D2561="","",IF(OR($R2561=TRUE(),$R2561="TRUE"),1,0))</f>
        <v/>
      </c>
      <c r="AN2561">
        <f>IF($D2561="","",IF($X2561="Yes",1,0))</f>
        <v/>
      </c>
      <c r="AO2561">
        <f>IF($AK2561=1,IFERROR(IF(VALUE($D2561)&lt;100000000,VALUE($D2561),1000000000),IFERROR(IF(VALUE(MID($D2561,2,20))&lt;100000000,VALUE(MID($D2561,2,20)),1000000000),1000000000))+ROW()/100000,"")</f>
        <v/>
      </c>
    </row>
    <row r="2562">
      <c r="F2562" s="11" t="n"/>
      <c r="N2562" s="7">
        <f>IF($D2562="","",M2562*V2562/100)</f>
        <v/>
      </c>
      <c r="O2562" s="7" t="n"/>
      <c r="U2562" s="7" t="n"/>
      <c r="V2562" s="7" t="n"/>
      <c r="Y2562">
        <f>IF($D2562="","",IF($AN2562=1,0,IF($AM2562=1,Settings!$C$6,Settings!$C$7))*100)</f>
        <v/>
      </c>
      <c r="Z2562" s="7">
        <f>IF($D2562="","",V2562*Y2562/100)</f>
        <v/>
      </c>
      <c r="AA2562" s="7">
        <f>IF($D2562="","",V2562-Z2562)</f>
        <v/>
      </c>
      <c r="AB2562" s="7">
        <f>IF($D2562="","",AA2562-N2562)</f>
        <v/>
      </c>
      <c r="AF2562" s="7" t="n"/>
      <c r="AI2562" s="11" t="n"/>
      <c r="AK2562">
        <f>IF($D2562="","",IF(COUNTIF($D$2:$D2562,$D2562)=1,1,0))</f>
        <v/>
      </c>
      <c r="AL2562">
        <f>IF($AK2562=1,SUMPRODUCT(--($AO$2:$AO$3001&lt;$AO2562))+1,"")</f>
        <v/>
      </c>
      <c r="AM2562">
        <f>IF($D2562="","",IF(OR($R2562=TRUE(),$R2562="TRUE"),1,0))</f>
        <v/>
      </c>
      <c r="AN2562">
        <f>IF($D2562="","",IF($X2562="Yes",1,0))</f>
        <v/>
      </c>
      <c r="AO2562">
        <f>IF($AK2562=1,IFERROR(IF(VALUE($D2562)&lt;100000000,VALUE($D2562),1000000000),IFERROR(IF(VALUE(MID($D2562,2,20))&lt;100000000,VALUE(MID($D2562,2,20)),1000000000),1000000000))+ROW()/100000,"")</f>
        <v/>
      </c>
    </row>
    <row r="2563">
      <c r="F2563" s="11" t="n"/>
      <c r="N2563" s="7">
        <f>IF($D2563="","",M2563*V2563/100)</f>
        <v/>
      </c>
      <c r="O2563" s="7" t="n"/>
      <c r="U2563" s="7" t="n"/>
      <c r="V2563" s="7" t="n"/>
      <c r="Y2563">
        <f>IF($D2563="","",IF($AN2563=1,0,IF($AM2563=1,Settings!$C$6,Settings!$C$7))*100)</f>
        <v/>
      </c>
      <c r="Z2563" s="7">
        <f>IF($D2563="","",V2563*Y2563/100)</f>
        <v/>
      </c>
      <c r="AA2563" s="7">
        <f>IF($D2563="","",V2563-Z2563)</f>
        <v/>
      </c>
      <c r="AB2563" s="7">
        <f>IF($D2563="","",AA2563-N2563)</f>
        <v/>
      </c>
      <c r="AF2563" s="7" t="n"/>
      <c r="AI2563" s="11" t="n"/>
      <c r="AK2563">
        <f>IF($D2563="","",IF(COUNTIF($D$2:$D2563,$D2563)=1,1,0))</f>
        <v/>
      </c>
      <c r="AL2563">
        <f>IF($AK2563=1,SUMPRODUCT(--($AO$2:$AO$3001&lt;$AO2563))+1,"")</f>
        <v/>
      </c>
      <c r="AM2563">
        <f>IF($D2563="","",IF(OR($R2563=TRUE(),$R2563="TRUE"),1,0))</f>
        <v/>
      </c>
      <c r="AN2563">
        <f>IF($D2563="","",IF($X2563="Yes",1,0))</f>
        <v/>
      </c>
      <c r="AO2563">
        <f>IF($AK2563=1,IFERROR(IF(VALUE($D2563)&lt;100000000,VALUE($D2563),1000000000),IFERROR(IF(VALUE(MID($D2563,2,20))&lt;100000000,VALUE(MID($D2563,2,20)),1000000000),1000000000))+ROW()/100000,"")</f>
        <v/>
      </c>
    </row>
    <row r="2564">
      <c r="F2564" s="11" t="n"/>
      <c r="N2564" s="7">
        <f>IF($D2564="","",M2564*V2564/100)</f>
        <v/>
      </c>
      <c r="O2564" s="7" t="n"/>
      <c r="U2564" s="7" t="n"/>
      <c r="V2564" s="7" t="n"/>
      <c r="Y2564">
        <f>IF($D2564="","",IF($AN2564=1,0,IF($AM2564=1,Settings!$C$6,Settings!$C$7))*100)</f>
        <v/>
      </c>
      <c r="Z2564" s="7">
        <f>IF($D2564="","",V2564*Y2564/100)</f>
        <v/>
      </c>
      <c r="AA2564" s="7">
        <f>IF($D2564="","",V2564-Z2564)</f>
        <v/>
      </c>
      <c r="AB2564" s="7">
        <f>IF($D2564="","",AA2564-N2564)</f>
        <v/>
      </c>
      <c r="AF2564" s="7" t="n"/>
      <c r="AI2564" s="11" t="n"/>
      <c r="AK2564">
        <f>IF($D2564="","",IF(COUNTIF($D$2:$D2564,$D2564)=1,1,0))</f>
        <v/>
      </c>
      <c r="AL2564">
        <f>IF($AK2564=1,SUMPRODUCT(--($AO$2:$AO$3001&lt;$AO2564))+1,"")</f>
        <v/>
      </c>
      <c r="AM2564">
        <f>IF($D2564="","",IF(OR($R2564=TRUE(),$R2564="TRUE"),1,0))</f>
        <v/>
      </c>
      <c r="AN2564">
        <f>IF($D2564="","",IF($X2564="Yes",1,0))</f>
        <v/>
      </c>
      <c r="AO2564">
        <f>IF($AK2564=1,IFERROR(IF(VALUE($D2564)&lt;100000000,VALUE($D2564),1000000000),IFERROR(IF(VALUE(MID($D2564,2,20))&lt;100000000,VALUE(MID($D2564,2,20)),1000000000),1000000000))+ROW()/100000,"")</f>
        <v/>
      </c>
    </row>
    <row r="2565">
      <c r="F2565" s="11" t="n"/>
      <c r="N2565" s="7">
        <f>IF($D2565="","",M2565*V2565/100)</f>
        <v/>
      </c>
      <c r="O2565" s="7" t="n"/>
      <c r="U2565" s="7" t="n"/>
      <c r="V2565" s="7" t="n"/>
      <c r="Y2565">
        <f>IF($D2565="","",IF($AN2565=1,0,IF($AM2565=1,Settings!$C$6,Settings!$C$7))*100)</f>
        <v/>
      </c>
      <c r="Z2565" s="7">
        <f>IF($D2565="","",V2565*Y2565/100)</f>
        <v/>
      </c>
      <c r="AA2565" s="7">
        <f>IF($D2565="","",V2565-Z2565)</f>
        <v/>
      </c>
      <c r="AB2565" s="7">
        <f>IF($D2565="","",AA2565-N2565)</f>
        <v/>
      </c>
      <c r="AF2565" s="7" t="n"/>
      <c r="AI2565" s="11" t="n"/>
      <c r="AK2565">
        <f>IF($D2565="","",IF(COUNTIF($D$2:$D2565,$D2565)=1,1,0))</f>
        <v/>
      </c>
      <c r="AL2565">
        <f>IF($AK2565=1,SUMPRODUCT(--($AO$2:$AO$3001&lt;$AO2565))+1,"")</f>
        <v/>
      </c>
      <c r="AM2565">
        <f>IF($D2565="","",IF(OR($R2565=TRUE(),$R2565="TRUE"),1,0))</f>
        <v/>
      </c>
      <c r="AN2565">
        <f>IF($D2565="","",IF($X2565="Yes",1,0))</f>
        <v/>
      </c>
      <c r="AO2565">
        <f>IF($AK2565=1,IFERROR(IF(VALUE($D2565)&lt;100000000,VALUE($D2565),1000000000),IFERROR(IF(VALUE(MID($D2565,2,20))&lt;100000000,VALUE(MID($D2565,2,20)),1000000000),1000000000))+ROW()/100000,"")</f>
        <v/>
      </c>
    </row>
    <row r="2566">
      <c r="F2566" s="11" t="n"/>
      <c r="N2566" s="7">
        <f>IF($D2566="","",M2566*V2566/100)</f>
        <v/>
      </c>
      <c r="O2566" s="7" t="n"/>
      <c r="U2566" s="7" t="n"/>
      <c r="V2566" s="7" t="n"/>
      <c r="Y2566">
        <f>IF($D2566="","",IF($AN2566=1,0,IF($AM2566=1,Settings!$C$6,Settings!$C$7))*100)</f>
        <v/>
      </c>
      <c r="Z2566" s="7">
        <f>IF($D2566="","",V2566*Y2566/100)</f>
        <v/>
      </c>
      <c r="AA2566" s="7">
        <f>IF($D2566="","",V2566-Z2566)</f>
        <v/>
      </c>
      <c r="AB2566" s="7">
        <f>IF($D2566="","",AA2566-N2566)</f>
        <v/>
      </c>
      <c r="AF2566" s="7" t="n"/>
      <c r="AI2566" s="11" t="n"/>
      <c r="AK2566">
        <f>IF($D2566="","",IF(COUNTIF($D$2:$D2566,$D2566)=1,1,0))</f>
        <v/>
      </c>
      <c r="AL2566">
        <f>IF($AK2566=1,SUMPRODUCT(--($AO$2:$AO$3001&lt;$AO2566))+1,"")</f>
        <v/>
      </c>
      <c r="AM2566">
        <f>IF($D2566="","",IF(OR($R2566=TRUE(),$R2566="TRUE"),1,0))</f>
        <v/>
      </c>
      <c r="AN2566">
        <f>IF($D2566="","",IF($X2566="Yes",1,0))</f>
        <v/>
      </c>
      <c r="AO2566">
        <f>IF($AK2566=1,IFERROR(IF(VALUE($D2566)&lt;100000000,VALUE($D2566),1000000000),IFERROR(IF(VALUE(MID($D2566,2,20))&lt;100000000,VALUE(MID($D2566,2,20)),1000000000),1000000000))+ROW()/100000,"")</f>
        <v/>
      </c>
    </row>
    <row r="2567">
      <c r="F2567" s="11" t="n"/>
      <c r="N2567" s="7">
        <f>IF($D2567="","",M2567*V2567/100)</f>
        <v/>
      </c>
      <c r="O2567" s="7" t="n"/>
      <c r="U2567" s="7" t="n"/>
      <c r="V2567" s="7" t="n"/>
      <c r="Y2567">
        <f>IF($D2567="","",IF($AN2567=1,0,IF($AM2567=1,Settings!$C$6,Settings!$C$7))*100)</f>
        <v/>
      </c>
      <c r="Z2567" s="7">
        <f>IF($D2567="","",V2567*Y2567/100)</f>
        <v/>
      </c>
      <c r="AA2567" s="7">
        <f>IF($D2567="","",V2567-Z2567)</f>
        <v/>
      </c>
      <c r="AB2567" s="7">
        <f>IF($D2567="","",AA2567-N2567)</f>
        <v/>
      </c>
      <c r="AF2567" s="7" t="n"/>
      <c r="AI2567" s="11" t="n"/>
      <c r="AK2567">
        <f>IF($D2567="","",IF(COUNTIF($D$2:$D2567,$D2567)=1,1,0))</f>
        <v/>
      </c>
      <c r="AL2567">
        <f>IF($AK2567=1,SUMPRODUCT(--($AO$2:$AO$3001&lt;$AO2567))+1,"")</f>
        <v/>
      </c>
      <c r="AM2567">
        <f>IF($D2567="","",IF(OR($R2567=TRUE(),$R2567="TRUE"),1,0))</f>
        <v/>
      </c>
      <c r="AN2567">
        <f>IF($D2567="","",IF($X2567="Yes",1,0))</f>
        <v/>
      </c>
      <c r="AO2567">
        <f>IF($AK2567=1,IFERROR(IF(VALUE($D2567)&lt;100000000,VALUE($D2567),1000000000),IFERROR(IF(VALUE(MID($D2567,2,20))&lt;100000000,VALUE(MID($D2567,2,20)),1000000000),1000000000))+ROW()/100000,"")</f>
        <v/>
      </c>
    </row>
    <row r="2568">
      <c r="F2568" s="11" t="n"/>
      <c r="N2568" s="7">
        <f>IF($D2568="","",M2568*V2568/100)</f>
        <v/>
      </c>
      <c r="O2568" s="7" t="n"/>
      <c r="U2568" s="7" t="n"/>
      <c r="V2568" s="7" t="n"/>
      <c r="Y2568">
        <f>IF($D2568="","",IF($AN2568=1,0,IF($AM2568=1,Settings!$C$6,Settings!$C$7))*100)</f>
        <v/>
      </c>
      <c r="Z2568" s="7">
        <f>IF($D2568="","",V2568*Y2568/100)</f>
        <v/>
      </c>
      <c r="AA2568" s="7">
        <f>IF($D2568="","",V2568-Z2568)</f>
        <v/>
      </c>
      <c r="AB2568" s="7">
        <f>IF($D2568="","",AA2568-N2568)</f>
        <v/>
      </c>
      <c r="AF2568" s="7" t="n"/>
      <c r="AI2568" s="11" t="n"/>
      <c r="AK2568">
        <f>IF($D2568="","",IF(COUNTIF($D$2:$D2568,$D2568)=1,1,0))</f>
        <v/>
      </c>
      <c r="AL2568">
        <f>IF($AK2568=1,SUMPRODUCT(--($AO$2:$AO$3001&lt;$AO2568))+1,"")</f>
        <v/>
      </c>
      <c r="AM2568">
        <f>IF($D2568="","",IF(OR($R2568=TRUE(),$R2568="TRUE"),1,0))</f>
        <v/>
      </c>
      <c r="AN2568">
        <f>IF($D2568="","",IF($X2568="Yes",1,0))</f>
        <v/>
      </c>
      <c r="AO2568">
        <f>IF($AK2568=1,IFERROR(IF(VALUE($D2568)&lt;100000000,VALUE($D2568),1000000000),IFERROR(IF(VALUE(MID($D2568,2,20))&lt;100000000,VALUE(MID($D2568,2,20)),1000000000),1000000000))+ROW()/100000,"")</f>
        <v/>
      </c>
    </row>
    <row r="2569">
      <c r="F2569" s="11" t="n"/>
      <c r="N2569" s="7">
        <f>IF($D2569="","",M2569*V2569/100)</f>
        <v/>
      </c>
      <c r="O2569" s="7" t="n"/>
      <c r="U2569" s="7" t="n"/>
      <c r="V2569" s="7" t="n"/>
      <c r="Y2569">
        <f>IF($D2569="","",IF($AN2569=1,0,IF($AM2569=1,Settings!$C$6,Settings!$C$7))*100)</f>
        <v/>
      </c>
      <c r="Z2569" s="7">
        <f>IF($D2569="","",V2569*Y2569/100)</f>
        <v/>
      </c>
      <c r="AA2569" s="7">
        <f>IF($D2569="","",V2569-Z2569)</f>
        <v/>
      </c>
      <c r="AB2569" s="7">
        <f>IF($D2569="","",AA2569-N2569)</f>
        <v/>
      </c>
      <c r="AF2569" s="7" t="n"/>
      <c r="AI2569" s="11" t="n"/>
      <c r="AK2569">
        <f>IF($D2569="","",IF(COUNTIF($D$2:$D2569,$D2569)=1,1,0))</f>
        <v/>
      </c>
      <c r="AL2569">
        <f>IF($AK2569=1,SUMPRODUCT(--($AO$2:$AO$3001&lt;$AO2569))+1,"")</f>
        <v/>
      </c>
      <c r="AM2569">
        <f>IF($D2569="","",IF(OR($R2569=TRUE(),$R2569="TRUE"),1,0))</f>
        <v/>
      </c>
      <c r="AN2569">
        <f>IF($D2569="","",IF($X2569="Yes",1,0))</f>
        <v/>
      </c>
      <c r="AO2569">
        <f>IF($AK2569=1,IFERROR(IF(VALUE($D2569)&lt;100000000,VALUE($D2569),1000000000),IFERROR(IF(VALUE(MID($D2569,2,20))&lt;100000000,VALUE(MID($D2569,2,20)),1000000000),1000000000))+ROW()/100000,"")</f>
        <v/>
      </c>
    </row>
    <row r="2570">
      <c r="F2570" s="11" t="n"/>
      <c r="N2570" s="7">
        <f>IF($D2570="","",M2570*V2570/100)</f>
        <v/>
      </c>
      <c r="O2570" s="7" t="n"/>
      <c r="U2570" s="7" t="n"/>
      <c r="V2570" s="7" t="n"/>
      <c r="Y2570">
        <f>IF($D2570="","",IF($AN2570=1,0,IF($AM2570=1,Settings!$C$6,Settings!$C$7))*100)</f>
        <v/>
      </c>
      <c r="Z2570" s="7">
        <f>IF($D2570="","",V2570*Y2570/100)</f>
        <v/>
      </c>
      <c r="AA2570" s="7">
        <f>IF($D2570="","",V2570-Z2570)</f>
        <v/>
      </c>
      <c r="AB2570" s="7">
        <f>IF($D2570="","",AA2570-N2570)</f>
        <v/>
      </c>
      <c r="AF2570" s="7" t="n"/>
      <c r="AI2570" s="11" t="n"/>
      <c r="AK2570">
        <f>IF($D2570="","",IF(COUNTIF($D$2:$D2570,$D2570)=1,1,0))</f>
        <v/>
      </c>
      <c r="AL2570">
        <f>IF($AK2570=1,SUMPRODUCT(--($AO$2:$AO$3001&lt;$AO2570))+1,"")</f>
        <v/>
      </c>
      <c r="AM2570">
        <f>IF($D2570="","",IF(OR($R2570=TRUE(),$R2570="TRUE"),1,0))</f>
        <v/>
      </c>
      <c r="AN2570">
        <f>IF($D2570="","",IF($X2570="Yes",1,0))</f>
        <v/>
      </c>
      <c r="AO2570">
        <f>IF($AK2570=1,IFERROR(IF(VALUE($D2570)&lt;100000000,VALUE($D2570),1000000000),IFERROR(IF(VALUE(MID($D2570,2,20))&lt;100000000,VALUE(MID($D2570,2,20)),1000000000),1000000000))+ROW()/100000,"")</f>
        <v/>
      </c>
    </row>
    <row r="2571">
      <c r="F2571" s="11" t="n"/>
      <c r="N2571" s="7">
        <f>IF($D2571="","",M2571*V2571/100)</f>
        <v/>
      </c>
      <c r="O2571" s="7" t="n"/>
      <c r="U2571" s="7" t="n"/>
      <c r="V2571" s="7" t="n"/>
      <c r="Y2571">
        <f>IF($D2571="","",IF($AN2571=1,0,IF($AM2571=1,Settings!$C$6,Settings!$C$7))*100)</f>
        <v/>
      </c>
      <c r="Z2571" s="7">
        <f>IF($D2571="","",V2571*Y2571/100)</f>
        <v/>
      </c>
      <c r="AA2571" s="7">
        <f>IF($D2571="","",V2571-Z2571)</f>
        <v/>
      </c>
      <c r="AB2571" s="7">
        <f>IF($D2571="","",AA2571-N2571)</f>
        <v/>
      </c>
      <c r="AF2571" s="7" t="n"/>
      <c r="AI2571" s="11" t="n"/>
      <c r="AK2571">
        <f>IF($D2571="","",IF(COUNTIF($D$2:$D2571,$D2571)=1,1,0))</f>
        <v/>
      </c>
      <c r="AL2571">
        <f>IF($AK2571=1,SUMPRODUCT(--($AO$2:$AO$3001&lt;$AO2571))+1,"")</f>
        <v/>
      </c>
      <c r="AM2571">
        <f>IF($D2571="","",IF(OR($R2571=TRUE(),$R2571="TRUE"),1,0))</f>
        <v/>
      </c>
      <c r="AN2571">
        <f>IF($D2571="","",IF($X2571="Yes",1,0))</f>
        <v/>
      </c>
      <c r="AO2571">
        <f>IF($AK2571=1,IFERROR(IF(VALUE($D2571)&lt;100000000,VALUE($D2571),1000000000),IFERROR(IF(VALUE(MID($D2571,2,20))&lt;100000000,VALUE(MID($D2571,2,20)),1000000000),1000000000))+ROW()/100000,"")</f>
        <v/>
      </c>
    </row>
    <row r="2572">
      <c r="F2572" s="11" t="n"/>
      <c r="N2572" s="7">
        <f>IF($D2572="","",M2572*V2572/100)</f>
        <v/>
      </c>
      <c r="O2572" s="7" t="n"/>
      <c r="U2572" s="7" t="n"/>
      <c r="V2572" s="7" t="n"/>
      <c r="Y2572">
        <f>IF($D2572="","",IF($AN2572=1,0,IF($AM2572=1,Settings!$C$6,Settings!$C$7))*100)</f>
        <v/>
      </c>
      <c r="Z2572" s="7">
        <f>IF($D2572="","",V2572*Y2572/100)</f>
        <v/>
      </c>
      <c r="AA2572" s="7">
        <f>IF($D2572="","",V2572-Z2572)</f>
        <v/>
      </c>
      <c r="AB2572" s="7">
        <f>IF($D2572="","",AA2572-N2572)</f>
        <v/>
      </c>
      <c r="AF2572" s="7" t="n"/>
      <c r="AI2572" s="11" t="n"/>
      <c r="AK2572">
        <f>IF($D2572="","",IF(COUNTIF($D$2:$D2572,$D2572)=1,1,0))</f>
        <v/>
      </c>
      <c r="AL2572">
        <f>IF($AK2572=1,SUMPRODUCT(--($AO$2:$AO$3001&lt;$AO2572))+1,"")</f>
        <v/>
      </c>
      <c r="AM2572">
        <f>IF($D2572="","",IF(OR($R2572=TRUE(),$R2572="TRUE"),1,0))</f>
        <v/>
      </c>
      <c r="AN2572">
        <f>IF($D2572="","",IF($X2572="Yes",1,0))</f>
        <v/>
      </c>
      <c r="AO2572">
        <f>IF($AK2572=1,IFERROR(IF(VALUE($D2572)&lt;100000000,VALUE($D2572),1000000000),IFERROR(IF(VALUE(MID($D2572,2,20))&lt;100000000,VALUE(MID($D2572,2,20)),1000000000),1000000000))+ROW()/100000,"")</f>
        <v/>
      </c>
    </row>
    <row r="2573">
      <c r="F2573" s="11" t="n"/>
      <c r="N2573" s="7">
        <f>IF($D2573="","",M2573*V2573/100)</f>
        <v/>
      </c>
      <c r="O2573" s="7" t="n"/>
      <c r="U2573" s="7" t="n"/>
      <c r="V2573" s="7" t="n"/>
      <c r="Y2573">
        <f>IF($D2573="","",IF($AN2573=1,0,IF($AM2573=1,Settings!$C$6,Settings!$C$7))*100)</f>
        <v/>
      </c>
      <c r="Z2573" s="7">
        <f>IF($D2573="","",V2573*Y2573/100)</f>
        <v/>
      </c>
      <c r="AA2573" s="7">
        <f>IF($D2573="","",V2573-Z2573)</f>
        <v/>
      </c>
      <c r="AB2573" s="7">
        <f>IF($D2573="","",AA2573-N2573)</f>
        <v/>
      </c>
      <c r="AF2573" s="7" t="n"/>
      <c r="AI2573" s="11" t="n"/>
      <c r="AK2573">
        <f>IF($D2573="","",IF(COUNTIF($D$2:$D2573,$D2573)=1,1,0))</f>
        <v/>
      </c>
      <c r="AL2573">
        <f>IF($AK2573=1,SUMPRODUCT(--($AO$2:$AO$3001&lt;$AO2573))+1,"")</f>
        <v/>
      </c>
      <c r="AM2573">
        <f>IF($D2573="","",IF(OR($R2573=TRUE(),$R2573="TRUE"),1,0))</f>
        <v/>
      </c>
      <c r="AN2573">
        <f>IF($D2573="","",IF($X2573="Yes",1,0))</f>
        <v/>
      </c>
      <c r="AO2573">
        <f>IF($AK2573=1,IFERROR(IF(VALUE($D2573)&lt;100000000,VALUE($D2573),1000000000),IFERROR(IF(VALUE(MID($D2573,2,20))&lt;100000000,VALUE(MID($D2573,2,20)),1000000000),1000000000))+ROW()/100000,"")</f>
        <v/>
      </c>
    </row>
    <row r="2574">
      <c r="F2574" s="11" t="n"/>
      <c r="N2574" s="7">
        <f>IF($D2574="","",M2574*V2574/100)</f>
        <v/>
      </c>
      <c r="O2574" s="7" t="n"/>
      <c r="U2574" s="7" t="n"/>
      <c r="V2574" s="7" t="n"/>
      <c r="Y2574">
        <f>IF($D2574="","",IF($AN2574=1,0,IF($AM2574=1,Settings!$C$6,Settings!$C$7))*100)</f>
        <v/>
      </c>
      <c r="Z2574" s="7">
        <f>IF($D2574="","",V2574*Y2574/100)</f>
        <v/>
      </c>
      <c r="AA2574" s="7">
        <f>IF($D2574="","",V2574-Z2574)</f>
        <v/>
      </c>
      <c r="AB2574" s="7">
        <f>IF($D2574="","",AA2574-N2574)</f>
        <v/>
      </c>
      <c r="AF2574" s="7" t="n"/>
      <c r="AI2574" s="11" t="n"/>
      <c r="AK2574">
        <f>IF($D2574="","",IF(COUNTIF($D$2:$D2574,$D2574)=1,1,0))</f>
        <v/>
      </c>
      <c r="AL2574">
        <f>IF($AK2574=1,SUMPRODUCT(--($AO$2:$AO$3001&lt;$AO2574))+1,"")</f>
        <v/>
      </c>
      <c r="AM2574">
        <f>IF($D2574="","",IF(OR($R2574=TRUE(),$R2574="TRUE"),1,0))</f>
        <v/>
      </c>
      <c r="AN2574">
        <f>IF($D2574="","",IF($X2574="Yes",1,0))</f>
        <v/>
      </c>
      <c r="AO2574">
        <f>IF($AK2574=1,IFERROR(IF(VALUE($D2574)&lt;100000000,VALUE($D2574),1000000000),IFERROR(IF(VALUE(MID($D2574,2,20))&lt;100000000,VALUE(MID($D2574,2,20)),1000000000),1000000000))+ROW()/100000,"")</f>
        <v/>
      </c>
    </row>
    <row r="2575">
      <c r="F2575" s="11" t="n"/>
      <c r="N2575" s="7">
        <f>IF($D2575="","",M2575*V2575/100)</f>
        <v/>
      </c>
      <c r="O2575" s="7" t="n"/>
      <c r="U2575" s="7" t="n"/>
      <c r="V2575" s="7" t="n"/>
      <c r="Y2575">
        <f>IF($D2575="","",IF($AN2575=1,0,IF($AM2575=1,Settings!$C$6,Settings!$C$7))*100)</f>
        <v/>
      </c>
      <c r="Z2575" s="7">
        <f>IF($D2575="","",V2575*Y2575/100)</f>
        <v/>
      </c>
      <c r="AA2575" s="7">
        <f>IF($D2575="","",V2575-Z2575)</f>
        <v/>
      </c>
      <c r="AB2575" s="7">
        <f>IF($D2575="","",AA2575-N2575)</f>
        <v/>
      </c>
      <c r="AF2575" s="7" t="n"/>
      <c r="AI2575" s="11" t="n"/>
      <c r="AK2575">
        <f>IF($D2575="","",IF(COUNTIF($D$2:$D2575,$D2575)=1,1,0))</f>
        <v/>
      </c>
      <c r="AL2575">
        <f>IF($AK2575=1,SUMPRODUCT(--($AO$2:$AO$3001&lt;$AO2575))+1,"")</f>
        <v/>
      </c>
      <c r="AM2575">
        <f>IF($D2575="","",IF(OR($R2575=TRUE(),$R2575="TRUE"),1,0))</f>
        <v/>
      </c>
      <c r="AN2575">
        <f>IF($D2575="","",IF($X2575="Yes",1,0))</f>
        <v/>
      </c>
      <c r="AO2575">
        <f>IF($AK2575=1,IFERROR(IF(VALUE($D2575)&lt;100000000,VALUE($D2575),1000000000),IFERROR(IF(VALUE(MID($D2575,2,20))&lt;100000000,VALUE(MID($D2575,2,20)),1000000000),1000000000))+ROW()/100000,"")</f>
        <v/>
      </c>
    </row>
    <row r="2576">
      <c r="F2576" s="11" t="n"/>
      <c r="N2576" s="7">
        <f>IF($D2576="","",M2576*V2576/100)</f>
        <v/>
      </c>
      <c r="O2576" s="7" t="n"/>
      <c r="U2576" s="7" t="n"/>
      <c r="V2576" s="7" t="n"/>
      <c r="Y2576">
        <f>IF($D2576="","",IF($AN2576=1,0,IF($AM2576=1,Settings!$C$6,Settings!$C$7))*100)</f>
        <v/>
      </c>
      <c r="Z2576" s="7">
        <f>IF($D2576="","",V2576*Y2576/100)</f>
        <v/>
      </c>
      <c r="AA2576" s="7">
        <f>IF($D2576="","",V2576-Z2576)</f>
        <v/>
      </c>
      <c r="AB2576" s="7">
        <f>IF($D2576="","",AA2576-N2576)</f>
        <v/>
      </c>
      <c r="AF2576" s="7" t="n"/>
      <c r="AI2576" s="11" t="n"/>
      <c r="AK2576">
        <f>IF($D2576="","",IF(COUNTIF($D$2:$D2576,$D2576)=1,1,0))</f>
        <v/>
      </c>
      <c r="AL2576">
        <f>IF($AK2576=1,SUMPRODUCT(--($AO$2:$AO$3001&lt;$AO2576))+1,"")</f>
        <v/>
      </c>
      <c r="AM2576">
        <f>IF($D2576="","",IF(OR($R2576=TRUE(),$R2576="TRUE"),1,0))</f>
        <v/>
      </c>
      <c r="AN2576">
        <f>IF($D2576="","",IF($X2576="Yes",1,0))</f>
        <v/>
      </c>
      <c r="AO2576">
        <f>IF($AK2576=1,IFERROR(IF(VALUE($D2576)&lt;100000000,VALUE($D2576),1000000000),IFERROR(IF(VALUE(MID($D2576,2,20))&lt;100000000,VALUE(MID($D2576,2,20)),1000000000),1000000000))+ROW()/100000,"")</f>
        <v/>
      </c>
    </row>
    <row r="2577">
      <c r="F2577" s="11" t="n"/>
      <c r="N2577" s="7">
        <f>IF($D2577="","",M2577*V2577/100)</f>
        <v/>
      </c>
      <c r="O2577" s="7" t="n"/>
      <c r="U2577" s="7" t="n"/>
      <c r="V2577" s="7" t="n"/>
      <c r="Y2577">
        <f>IF($D2577="","",IF($AN2577=1,0,IF($AM2577=1,Settings!$C$6,Settings!$C$7))*100)</f>
        <v/>
      </c>
      <c r="Z2577" s="7">
        <f>IF($D2577="","",V2577*Y2577/100)</f>
        <v/>
      </c>
      <c r="AA2577" s="7">
        <f>IF($D2577="","",V2577-Z2577)</f>
        <v/>
      </c>
      <c r="AB2577" s="7">
        <f>IF($D2577="","",AA2577-N2577)</f>
        <v/>
      </c>
      <c r="AF2577" s="7" t="n"/>
      <c r="AI2577" s="11" t="n"/>
      <c r="AK2577">
        <f>IF($D2577="","",IF(COUNTIF($D$2:$D2577,$D2577)=1,1,0))</f>
        <v/>
      </c>
      <c r="AL2577">
        <f>IF($AK2577=1,SUMPRODUCT(--($AO$2:$AO$3001&lt;$AO2577))+1,"")</f>
        <v/>
      </c>
      <c r="AM2577">
        <f>IF($D2577="","",IF(OR($R2577=TRUE(),$R2577="TRUE"),1,0))</f>
        <v/>
      </c>
      <c r="AN2577">
        <f>IF($D2577="","",IF($X2577="Yes",1,0))</f>
        <v/>
      </c>
      <c r="AO2577">
        <f>IF($AK2577=1,IFERROR(IF(VALUE($D2577)&lt;100000000,VALUE($D2577),1000000000),IFERROR(IF(VALUE(MID($D2577,2,20))&lt;100000000,VALUE(MID($D2577,2,20)),1000000000),1000000000))+ROW()/100000,"")</f>
        <v/>
      </c>
    </row>
    <row r="2578">
      <c r="F2578" s="11" t="n"/>
      <c r="N2578" s="7">
        <f>IF($D2578="","",M2578*V2578/100)</f>
        <v/>
      </c>
      <c r="O2578" s="7" t="n"/>
      <c r="U2578" s="7" t="n"/>
      <c r="V2578" s="7" t="n"/>
      <c r="Y2578">
        <f>IF($D2578="","",IF($AN2578=1,0,IF($AM2578=1,Settings!$C$6,Settings!$C$7))*100)</f>
        <v/>
      </c>
      <c r="Z2578" s="7">
        <f>IF($D2578="","",V2578*Y2578/100)</f>
        <v/>
      </c>
      <c r="AA2578" s="7">
        <f>IF($D2578="","",V2578-Z2578)</f>
        <v/>
      </c>
      <c r="AB2578" s="7">
        <f>IF($D2578="","",AA2578-N2578)</f>
        <v/>
      </c>
      <c r="AF2578" s="7" t="n"/>
      <c r="AI2578" s="11" t="n"/>
      <c r="AK2578">
        <f>IF($D2578="","",IF(COUNTIF($D$2:$D2578,$D2578)=1,1,0))</f>
        <v/>
      </c>
      <c r="AL2578">
        <f>IF($AK2578=1,SUMPRODUCT(--($AO$2:$AO$3001&lt;$AO2578))+1,"")</f>
        <v/>
      </c>
      <c r="AM2578">
        <f>IF($D2578="","",IF(OR($R2578=TRUE(),$R2578="TRUE"),1,0))</f>
        <v/>
      </c>
      <c r="AN2578">
        <f>IF($D2578="","",IF($X2578="Yes",1,0))</f>
        <v/>
      </c>
      <c r="AO2578">
        <f>IF($AK2578=1,IFERROR(IF(VALUE($D2578)&lt;100000000,VALUE($D2578),1000000000),IFERROR(IF(VALUE(MID($D2578,2,20))&lt;100000000,VALUE(MID($D2578,2,20)),1000000000),1000000000))+ROW()/100000,"")</f>
        <v/>
      </c>
    </row>
    <row r="2579">
      <c r="F2579" s="11" t="n"/>
      <c r="N2579" s="7">
        <f>IF($D2579="","",M2579*V2579/100)</f>
        <v/>
      </c>
      <c r="O2579" s="7" t="n"/>
      <c r="U2579" s="7" t="n"/>
      <c r="V2579" s="7" t="n"/>
      <c r="Y2579">
        <f>IF($D2579="","",IF($AN2579=1,0,IF($AM2579=1,Settings!$C$6,Settings!$C$7))*100)</f>
        <v/>
      </c>
      <c r="Z2579" s="7">
        <f>IF($D2579="","",V2579*Y2579/100)</f>
        <v/>
      </c>
      <c r="AA2579" s="7">
        <f>IF($D2579="","",V2579-Z2579)</f>
        <v/>
      </c>
      <c r="AB2579" s="7">
        <f>IF($D2579="","",AA2579-N2579)</f>
        <v/>
      </c>
      <c r="AF2579" s="7" t="n"/>
      <c r="AI2579" s="11" t="n"/>
      <c r="AK2579">
        <f>IF($D2579="","",IF(COUNTIF($D$2:$D2579,$D2579)=1,1,0))</f>
        <v/>
      </c>
      <c r="AL2579">
        <f>IF($AK2579=1,SUMPRODUCT(--($AO$2:$AO$3001&lt;$AO2579))+1,"")</f>
        <v/>
      </c>
      <c r="AM2579">
        <f>IF($D2579="","",IF(OR($R2579=TRUE(),$R2579="TRUE"),1,0))</f>
        <v/>
      </c>
      <c r="AN2579">
        <f>IF($D2579="","",IF($X2579="Yes",1,0))</f>
        <v/>
      </c>
      <c r="AO2579">
        <f>IF($AK2579=1,IFERROR(IF(VALUE($D2579)&lt;100000000,VALUE($D2579),1000000000),IFERROR(IF(VALUE(MID($D2579,2,20))&lt;100000000,VALUE(MID($D2579,2,20)),1000000000),1000000000))+ROW()/100000,"")</f>
        <v/>
      </c>
    </row>
    <row r="2580">
      <c r="F2580" s="11" t="n"/>
      <c r="N2580" s="7">
        <f>IF($D2580="","",M2580*V2580/100)</f>
        <v/>
      </c>
      <c r="O2580" s="7" t="n"/>
      <c r="U2580" s="7" t="n"/>
      <c r="V2580" s="7" t="n"/>
      <c r="Y2580">
        <f>IF($D2580="","",IF($AN2580=1,0,IF($AM2580=1,Settings!$C$6,Settings!$C$7))*100)</f>
        <v/>
      </c>
      <c r="Z2580" s="7">
        <f>IF($D2580="","",V2580*Y2580/100)</f>
        <v/>
      </c>
      <c r="AA2580" s="7">
        <f>IF($D2580="","",V2580-Z2580)</f>
        <v/>
      </c>
      <c r="AB2580" s="7">
        <f>IF($D2580="","",AA2580-N2580)</f>
        <v/>
      </c>
      <c r="AF2580" s="7" t="n"/>
      <c r="AI2580" s="11" t="n"/>
      <c r="AK2580">
        <f>IF($D2580="","",IF(COUNTIF($D$2:$D2580,$D2580)=1,1,0))</f>
        <v/>
      </c>
      <c r="AL2580">
        <f>IF($AK2580=1,SUMPRODUCT(--($AO$2:$AO$3001&lt;$AO2580))+1,"")</f>
        <v/>
      </c>
      <c r="AM2580">
        <f>IF($D2580="","",IF(OR($R2580=TRUE(),$R2580="TRUE"),1,0))</f>
        <v/>
      </c>
      <c r="AN2580">
        <f>IF($D2580="","",IF($X2580="Yes",1,0))</f>
        <v/>
      </c>
      <c r="AO2580">
        <f>IF($AK2580=1,IFERROR(IF(VALUE($D2580)&lt;100000000,VALUE($D2580),1000000000),IFERROR(IF(VALUE(MID($D2580,2,20))&lt;100000000,VALUE(MID($D2580,2,20)),1000000000),1000000000))+ROW()/100000,"")</f>
        <v/>
      </c>
    </row>
    <row r="2581">
      <c r="F2581" s="11" t="n"/>
      <c r="N2581" s="7">
        <f>IF($D2581="","",M2581*V2581/100)</f>
        <v/>
      </c>
      <c r="O2581" s="7" t="n"/>
      <c r="U2581" s="7" t="n"/>
      <c r="V2581" s="7" t="n"/>
      <c r="Y2581">
        <f>IF($D2581="","",IF($AN2581=1,0,IF($AM2581=1,Settings!$C$6,Settings!$C$7))*100)</f>
        <v/>
      </c>
      <c r="Z2581" s="7">
        <f>IF($D2581="","",V2581*Y2581/100)</f>
        <v/>
      </c>
      <c r="AA2581" s="7">
        <f>IF($D2581="","",V2581-Z2581)</f>
        <v/>
      </c>
      <c r="AB2581" s="7">
        <f>IF($D2581="","",AA2581-N2581)</f>
        <v/>
      </c>
      <c r="AF2581" s="7" t="n"/>
      <c r="AI2581" s="11" t="n"/>
      <c r="AK2581">
        <f>IF($D2581="","",IF(COUNTIF($D$2:$D2581,$D2581)=1,1,0))</f>
        <v/>
      </c>
      <c r="AL2581">
        <f>IF($AK2581=1,SUMPRODUCT(--($AO$2:$AO$3001&lt;$AO2581))+1,"")</f>
        <v/>
      </c>
      <c r="AM2581">
        <f>IF($D2581="","",IF(OR($R2581=TRUE(),$R2581="TRUE"),1,0))</f>
        <v/>
      </c>
      <c r="AN2581">
        <f>IF($D2581="","",IF($X2581="Yes",1,0))</f>
        <v/>
      </c>
      <c r="AO2581">
        <f>IF($AK2581=1,IFERROR(IF(VALUE($D2581)&lt;100000000,VALUE($D2581),1000000000),IFERROR(IF(VALUE(MID($D2581,2,20))&lt;100000000,VALUE(MID($D2581,2,20)),1000000000),1000000000))+ROW()/100000,"")</f>
        <v/>
      </c>
    </row>
    <row r="2582">
      <c r="F2582" s="11" t="n"/>
      <c r="N2582" s="7">
        <f>IF($D2582="","",M2582*V2582/100)</f>
        <v/>
      </c>
      <c r="O2582" s="7" t="n"/>
      <c r="U2582" s="7" t="n"/>
      <c r="V2582" s="7" t="n"/>
      <c r="Y2582">
        <f>IF($D2582="","",IF($AN2582=1,0,IF($AM2582=1,Settings!$C$6,Settings!$C$7))*100)</f>
        <v/>
      </c>
      <c r="Z2582" s="7">
        <f>IF($D2582="","",V2582*Y2582/100)</f>
        <v/>
      </c>
      <c r="AA2582" s="7">
        <f>IF($D2582="","",V2582-Z2582)</f>
        <v/>
      </c>
      <c r="AB2582" s="7">
        <f>IF($D2582="","",AA2582-N2582)</f>
        <v/>
      </c>
      <c r="AF2582" s="7" t="n"/>
      <c r="AI2582" s="11" t="n"/>
      <c r="AK2582">
        <f>IF($D2582="","",IF(COUNTIF($D$2:$D2582,$D2582)=1,1,0))</f>
        <v/>
      </c>
      <c r="AL2582">
        <f>IF($AK2582=1,SUMPRODUCT(--($AO$2:$AO$3001&lt;$AO2582))+1,"")</f>
        <v/>
      </c>
      <c r="AM2582">
        <f>IF($D2582="","",IF(OR($R2582=TRUE(),$R2582="TRUE"),1,0))</f>
        <v/>
      </c>
      <c r="AN2582">
        <f>IF($D2582="","",IF($X2582="Yes",1,0))</f>
        <v/>
      </c>
      <c r="AO2582">
        <f>IF($AK2582=1,IFERROR(IF(VALUE($D2582)&lt;100000000,VALUE($D2582),1000000000),IFERROR(IF(VALUE(MID($D2582,2,20))&lt;100000000,VALUE(MID($D2582,2,20)),1000000000),1000000000))+ROW()/100000,"")</f>
        <v/>
      </c>
    </row>
    <row r="2583">
      <c r="F2583" s="11" t="n"/>
      <c r="N2583" s="7">
        <f>IF($D2583="","",M2583*V2583/100)</f>
        <v/>
      </c>
      <c r="O2583" s="7" t="n"/>
      <c r="U2583" s="7" t="n"/>
      <c r="V2583" s="7" t="n"/>
      <c r="Y2583">
        <f>IF($D2583="","",IF($AN2583=1,0,IF($AM2583=1,Settings!$C$6,Settings!$C$7))*100)</f>
        <v/>
      </c>
      <c r="Z2583" s="7">
        <f>IF($D2583="","",V2583*Y2583/100)</f>
        <v/>
      </c>
      <c r="AA2583" s="7">
        <f>IF($D2583="","",V2583-Z2583)</f>
        <v/>
      </c>
      <c r="AB2583" s="7">
        <f>IF($D2583="","",AA2583-N2583)</f>
        <v/>
      </c>
      <c r="AF2583" s="7" t="n"/>
      <c r="AI2583" s="11" t="n"/>
      <c r="AK2583">
        <f>IF($D2583="","",IF(COUNTIF($D$2:$D2583,$D2583)=1,1,0))</f>
        <v/>
      </c>
      <c r="AL2583">
        <f>IF($AK2583=1,SUMPRODUCT(--($AO$2:$AO$3001&lt;$AO2583))+1,"")</f>
        <v/>
      </c>
      <c r="AM2583">
        <f>IF($D2583="","",IF(OR($R2583=TRUE(),$R2583="TRUE"),1,0))</f>
        <v/>
      </c>
      <c r="AN2583">
        <f>IF($D2583="","",IF($X2583="Yes",1,0))</f>
        <v/>
      </c>
      <c r="AO2583">
        <f>IF($AK2583=1,IFERROR(IF(VALUE($D2583)&lt;100000000,VALUE($D2583),1000000000),IFERROR(IF(VALUE(MID($D2583,2,20))&lt;100000000,VALUE(MID($D2583,2,20)),1000000000),1000000000))+ROW()/100000,"")</f>
        <v/>
      </c>
    </row>
    <row r="2584">
      <c r="F2584" s="11" t="n"/>
      <c r="N2584" s="7">
        <f>IF($D2584="","",M2584*V2584/100)</f>
        <v/>
      </c>
      <c r="O2584" s="7" t="n"/>
      <c r="U2584" s="7" t="n"/>
      <c r="V2584" s="7" t="n"/>
      <c r="Y2584">
        <f>IF($D2584="","",IF($AN2584=1,0,IF($AM2584=1,Settings!$C$6,Settings!$C$7))*100)</f>
        <v/>
      </c>
      <c r="Z2584" s="7">
        <f>IF($D2584="","",V2584*Y2584/100)</f>
        <v/>
      </c>
      <c r="AA2584" s="7">
        <f>IF($D2584="","",V2584-Z2584)</f>
        <v/>
      </c>
      <c r="AB2584" s="7">
        <f>IF($D2584="","",AA2584-N2584)</f>
        <v/>
      </c>
      <c r="AF2584" s="7" t="n"/>
      <c r="AI2584" s="11" t="n"/>
      <c r="AK2584">
        <f>IF($D2584="","",IF(COUNTIF($D$2:$D2584,$D2584)=1,1,0))</f>
        <v/>
      </c>
      <c r="AL2584">
        <f>IF($AK2584=1,SUMPRODUCT(--($AO$2:$AO$3001&lt;$AO2584))+1,"")</f>
        <v/>
      </c>
      <c r="AM2584">
        <f>IF($D2584="","",IF(OR($R2584=TRUE(),$R2584="TRUE"),1,0))</f>
        <v/>
      </c>
      <c r="AN2584">
        <f>IF($D2584="","",IF($X2584="Yes",1,0))</f>
        <v/>
      </c>
      <c r="AO2584">
        <f>IF($AK2584=1,IFERROR(IF(VALUE($D2584)&lt;100000000,VALUE($D2584),1000000000),IFERROR(IF(VALUE(MID($D2584,2,20))&lt;100000000,VALUE(MID($D2584,2,20)),1000000000),1000000000))+ROW()/100000,"")</f>
        <v/>
      </c>
    </row>
    <row r="2585">
      <c r="F2585" s="11" t="n"/>
      <c r="N2585" s="7">
        <f>IF($D2585="","",M2585*V2585/100)</f>
        <v/>
      </c>
      <c r="O2585" s="7" t="n"/>
      <c r="U2585" s="7" t="n"/>
      <c r="V2585" s="7" t="n"/>
      <c r="Y2585">
        <f>IF($D2585="","",IF($AN2585=1,0,IF($AM2585=1,Settings!$C$6,Settings!$C$7))*100)</f>
        <v/>
      </c>
      <c r="Z2585" s="7">
        <f>IF($D2585="","",V2585*Y2585/100)</f>
        <v/>
      </c>
      <c r="AA2585" s="7">
        <f>IF($D2585="","",V2585-Z2585)</f>
        <v/>
      </c>
      <c r="AB2585" s="7">
        <f>IF($D2585="","",AA2585-N2585)</f>
        <v/>
      </c>
      <c r="AF2585" s="7" t="n"/>
      <c r="AI2585" s="11" t="n"/>
      <c r="AK2585">
        <f>IF($D2585="","",IF(COUNTIF($D$2:$D2585,$D2585)=1,1,0))</f>
        <v/>
      </c>
      <c r="AL2585">
        <f>IF($AK2585=1,SUMPRODUCT(--($AO$2:$AO$3001&lt;$AO2585))+1,"")</f>
        <v/>
      </c>
      <c r="AM2585">
        <f>IF($D2585="","",IF(OR($R2585=TRUE(),$R2585="TRUE"),1,0))</f>
        <v/>
      </c>
      <c r="AN2585">
        <f>IF($D2585="","",IF($X2585="Yes",1,0))</f>
        <v/>
      </c>
      <c r="AO2585">
        <f>IF($AK2585=1,IFERROR(IF(VALUE($D2585)&lt;100000000,VALUE($D2585),1000000000),IFERROR(IF(VALUE(MID($D2585,2,20))&lt;100000000,VALUE(MID($D2585,2,20)),1000000000),1000000000))+ROW()/100000,"")</f>
        <v/>
      </c>
    </row>
    <row r="2586">
      <c r="F2586" s="11" t="n"/>
      <c r="N2586" s="7">
        <f>IF($D2586="","",M2586*V2586/100)</f>
        <v/>
      </c>
      <c r="O2586" s="7" t="n"/>
      <c r="U2586" s="7" t="n"/>
      <c r="V2586" s="7" t="n"/>
      <c r="Y2586">
        <f>IF($D2586="","",IF($AN2586=1,0,IF($AM2586=1,Settings!$C$6,Settings!$C$7))*100)</f>
        <v/>
      </c>
      <c r="Z2586" s="7">
        <f>IF($D2586="","",V2586*Y2586/100)</f>
        <v/>
      </c>
      <c r="AA2586" s="7">
        <f>IF($D2586="","",V2586-Z2586)</f>
        <v/>
      </c>
      <c r="AB2586" s="7">
        <f>IF($D2586="","",AA2586-N2586)</f>
        <v/>
      </c>
      <c r="AF2586" s="7" t="n"/>
      <c r="AI2586" s="11" t="n"/>
      <c r="AK2586">
        <f>IF($D2586="","",IF(COUNTIF($D$2:$D2586,$D2586)=1,1,0))</f>
        <v/>
      </c>
      <c r="AL2586">
        <f>IF($AK2586=1,SUMPRODUCT(--($AO$2:$AO$3001&lt;$AO2586))+1,"")</f>
        <v/>
      </c>
      <c r="AM2586">
        <f>IF($D2586="","",IF(OR($R2586=TRUE(),$R2586="TRUE"),1,0))</f>
        <v/>
      </c>
      <c r="AN2586">
        <f>IF($D2586="","",IF($X2586="Yes",1,0))</f>
        <v/>
      </c>
      <c r="AO2586">
        <f>IF($AK2586=1,IFERROR(IF(VALUE($D2586)&lt;100000000,VALUE($D2586),1000000000),IFERROR(IF(VALUE(MID($D2586,2,20))&lt;100000000,VALUE(MID($D2586,2,20)),1000000000),1000000000))+ROW()/100000,"")</f>
        <v/>
      </c>
    </row>
    <row r="2587">
      <c r="F2587" s="11" t="n"/>
      <c r="N2587" s="7">
        <f>IF($D2587="","",M2587*V2587/100)</f>
        <v/>
      </c>
      <c r="O2587" s="7" t="n"/>
      <c r="U2587" s="7" t="n"/>
      <c r="V2587" s="7" t="n"/>
      <c r="Y2587">
        <f>IF($D2587="","",IF($AN2587=1,0,IF($AM2587=1,Settings!$C$6,Settings!$C$7))*100)</f>
        <v/>
      </c>
      <c r="Z2587" s="7">
        <f>IF($D2587="","",V2587*Y2587/100)</f>
        <v/>
      </c>
      <c r="AA2587" s="7">
        <f>IF($D2587="","",V2587-Z2587)</f>
        <v/>
      </c>
      <c r="AB2587" s="7">
        <f>IF($D2587="","",AA2587-N2587)</f>
        <v/>
      </c>
      <c r="AF2587" s="7" t="n"/>
      <c r="AI2587" s="11" t="n"/>
      <c r="AK2587">
        <f>IF($D2587="","",IF(COUNTIF($D$2:$D2587,$D2587)=1,1,0))</f>
        <v/>
      </c>
      <c r="AL2587">
        <f>IF($AK2587=1,SUMPRODUCT(--($AO$2:$AO$3001&lt;$AO2587))+1,"")</f>
        <v/>
      </c>
      <c r="AM2587">
        <f>IF($D2587="","",IF(OR($R2587=TRUE(),$R2587="TRUE"),1,0))</f>
        <v/>
      </c>
      <c r="AN2587">
        <f>IF($D2587="","",IF($X2587="Yes",1,0))</f>
        <v/>
      </c>
      <c r="AO2587">
        <f>IF($AK2587=1,IFERROR(IF(VALUE($D2587)&lt;100000000,VALUE($D2587),1000000000),IFERROR(IF(VALUE(MID($D2587,2,20))&lt;100000000,VALUE(MID($D2587,2,20)),1000000000),1000000000))+ROW()/100000,"")</f>
        <v/>
      </c>
    </row>
    <row r="2588">
      <c r="F2588" s="11" t="n"/>
      <c r="N2588" s="7">
        <f>IF($D2588="","",M2588*V2588/100)</f>
        <v/>
      </c>
      <c r="O2588" s="7" t="n"/>
      <c r="U2588" s="7" t="n"/>
      <c r="V2588" s="7" t="n"/>
      <c r="Y2588">
        <f>IF($D2588="","",IF($AN2588=1,0,IF($AM2588=1,Settings!$C$6,Settings!$C$7))*100)</f>
        <v/>
      </c>
      <c r="Z2588" s="7">
        <f>IF($D2588="","",V2588*Y2588/100)</f>
        <v/>
      </c>
      <c r="AA2588" s="7">
        <f>IF($D2588="","",V2588-Z2588)</f>
        <v/>
      </c>
      <c r="AB2588" s="7">
        <f>IF($D2588="","",AA2588-N2588)</f>
        <v/>
      </c>
      <c r="AF2588" s="7" t="n"/>
      <c r="AI2588" s="11" t="n"/>
      <c r="AK2588">
        <f>IF($D2588="","",IF(COUNTIF($D$2:$D2588,$D2588)=1,1,0))</f>
        <v/>
      </c>
      <c r="AL2588">
        <f>IF($AK2588=1,SUMPRODUCT(--($AO$2:$AO$3001&lt;$AO2588))+1,"")</f>
        <v/>
      </c>
      <c r="AM2588">
        <f>IF($D2588="","",IF(OR($R2588=TRUE(),$R2588="TRUE"),1,0))</f>
        <v/>
      </c>
      <c r="AN2588">
        <f>IF($D2588="","",IF($X2588="Yes",1,0))</f>
        <v/>
      </c>
      <c r="AO2588">
        <f>IF($AK2588=1,IFERROR(IF(VALUE($D2588)&lt;100000000,VALUE($D2588),1000000000),IFERROR(IF(VALUE(MID($D2588,2,20))&lt;100000000,VALUE(MID($D2588,2,20)),1000000000),1000000000))+ROW()/100000,"")</f>
        <v/>
      </c>
    </row>
    <row r="2589">
      <c r="F2589" s="11" t="n"/>
      <c r="N2589" s="7">
        <f>IF($D2589="","",M2589*V2589/100)</f>
        <v/>
      </c>
      <c r="O2589" s="7" t="n"/>
      <c r="U2589" s="7" t="n"/>
      <c r="V2589" s="7" t="n"/>
      <c r="Y2589">
        <f>IF($D2589="","",IF($AN2589=1,0,IF($AM2589=1,Settings!$C$6,Settings!$C$7))*100)</f>
        <v/>
      </c>
      <c r="Z2589" s="7">
        <f>IF($D2589="","",V2589*Y2589/100)</f>
        <v/>
      </c>
      <c r="AA2589" s="7">
        <f>IF($D2589="","",V2589-Z2589)</f>
        <v/>
      </c>
      <c r="AB2589" s="7">
        <f>IF($D2589="","",AA2589-N2589)</f>
        <v/>
      </c>
      <c r="AF2589" s="7" t="n"/>
      <c r="AI2589" s="11" t="n"/>
      <c r="AK2589">
        <f>IF($D2589="","",IF(COUNTIF($D$2:$D2589,$D2589)=1,1,0))</f>
        <v/>
      </c>
      <c r="AL2589">
        <f>IF($AK2589=1,SUMPRODUCT(--($AO$2:$AO$3001&lt;$AO2589))+1,"")</f>
        <v/>
      </c>
      <c r="AM2589">
        <f>IF($D2589="","",IF(OR($R2589=TRUE(),$R2589="TRUE"),1,0))</f>
        <v/>
      </c>
      <c r="AN2589">
        <f>IF($D2589="","",IF($X2589="Yes",1,0))</f>
        <v/>
      </c>
      <c r="AO2589">
        <f>IF($AK2589=1,IFERROR(IF(VALUE($D2589)&lt;100000000,VALUE($D2589),1000000000),IFERROR(IF(VALUE(MID($D2589,2,20))&lt;100000000,VALUE(MID($D2589,2,20)),1000000000),1000000000))+ROW()/100000,"")</f>
        <v/>
      </c>
    </row>
    <row r="2590">
      <c r="F2590" s="11" t="n"/>
      <c r="N2590" s="7">
        <f>IF($D2590="","",M2590*V2590/100)</f>
        <v/>
      </c>
      <c r="O2590" s="7" t="n"/>
      <c r="U2590" s="7" t="n"/>
      <c r="V2590" s="7" t="n"/>
      <c r="Y2590">
        <f>IF($D2590="","",IF($AN2590=1,0,IF($AM2590=1,Settings!$C$6,Settings!$C$7))*100)</f>
        <v/>
      </c>
      <c r="Z2590" s="7">
        <f>IF($D2590="","",V2590*Y2590/100)</f>
        <v/>
      </c>
      <c r="AA2590" s="7">
        <f>IF($D2590="","",V2590-Z2590)</f>
        <v/>
      </c>
      <c r="AB2590" s="7">
        <f>IF($D2590="","",AA2590-N2590)</f>
        <v/>
      </c>
      <c r="AF2590" s="7" t="n"/>
      <c r="AI2590" s="11" t="n"/>
      <c r="AK2590">
        <f>IF($D2590="","",IF(COUNTIF($D$2:$D2590,$D2590)=1,1,0))</f>
        <v/>
      </c>
      <c r="AL2590">
        <f>IF($AK2590=1,SUMPRODUCT(--($AO$2:$AO$3001&lt;$AO2590))+1,"")</f>
        <v/>
      </c>
      <c r="AM2590">
        <f>IF($D2590="","",IF(OR($R2590=TRUE(),$R2590="TRUE"),1,0))</f>
        <v/>
      </c>
      <c r="AN2590">
        <f>IF($D2590="","",IF($X2590="Yes",1,0))</f>
        <v/>
      </c>
      <c r="AO2590">
        <f>IF($AK2590=1,IFERROR(IF(VALUE($D2590)&lt;100000000,VALUE($D2590),1000000000),IFERROR(IF(VALUE(MID($D2590,2,20))&lt;100000000,VALUE(MID($D2590,2,20)),1000000000),1000000000))+ROW()/100000,"")</f>
        <v/>
      </c>
    </row>
    <row r="2591">
      <c r="F2591" s="11" t="n"/>
      <c r="N2591" s="7">
        <f>IF($D2591="","",M2591*V2591/100)</f>
        <v/>
      </c>
      <c r="O2591" s="7" t="n"/>
      <c r="U2591" s="7" t="n"/>
      <c r="V2591" s="7" t="n"/>
      <c r="Y2591">
        <f>IF($D2591="","",IF($AN2591=1,0,IF($AM2591=1,Settings!$C$6,Settings!$C$7))*100)</f>
        <v/>
      </c>
      <c r="Z2591" s="7">
        <f>IF($D2591="","",V2591*Y2591/100)</f>
        <v/>
      </c>
      <c r="AA2591" s="7">
        <f>IF($D2591="","",V2591-Z2591)</f>
        <v/>
      </c>
      <c r="AB2591" s="7">
        <f>IF($D2591="","",AA2591-N2591)</f>
        <v/>
      </c>
      <c r="AF2591" s="7" t="n"/>
      <c r="AI2591" s="11" t="n"/>
      <c r="AK2591">
        <f>IF($D2591="","",IF(COUNTIF($D$2:$D2591,$D2591)=1,1,0))</f>
        <v/>
      </c>
      <c r="AL2591">
        <f>IF($AK2591=1,SUMPRODUCT(--($AO$2:$AO$3001&lt;$AO2591))+1,"")</f>
        <v/>
      </c>
      <c r="AM2591">
        <f>IF($D2591="","",IF(OR($R2591=TRUE(),$R2591="TRUE"),1,0))</f>
        <v/>
      </c>
      <c r="AN2591">
        <f>IF($D2591="","",IF($X2591="Yes",1,0))</f>
        <v/>
      </c>
      <c r="AO2591">
        <f>IF($AK2591=1,IFERROR(IF(VALUE($D2591)&lt;100000000,VALUE($D2591),1000000000),IFERROR(IF(VALUE(MID($D2591,2,20))&lt;100000000,VALUE(MID($D2591,2,20)),1000000000),1000000000))+ROW()/100000,"")</f>
        <v/>
      </c>
    </row>
    <row r="2592">
      <c r="F2592" s="11" t="n"/>
      <c r="N2592" s="7">
        <f>IF($D2592="","",M2592*V2592/100)</f>
        <v/>
      </c>
      <c r="O2592" s="7" t="n"/>
      <c r="U2592" s="7" t="n"/>
      <c r="V2592" s="7" t="n"/>
      <c r="Y2592">
        <f>IF($D2592="","",IF($AN2592=1,0,IF($AM2592=1,Settings!$C$6,Settings!$C$7))*100)</f>
        <v/>
      </c>
      <c r="Z2592" s="7">
        <f>IF($D2592="","",V2592*Y2592/100)</f>
        <v/>
      </c>
      <c r="AA2592" s="7">
        <f>IF($D2592="","",V2592-Z2592)</f>
        <v/>
      </c>
      <c r="AB2592" s="7">
        <f>IF($D2592="","",AA2592-N2592)</f>
        <v/>
      </c>
      <c r="AF2592" s="7" t="n"/>
      <c r="AI2592" s="11" t="n"/>
      <c r="AK2592">
        <f>IF($D2592="","",IF(COUNTIF($D$2:$D2592,$D2592)=1,1,0))</f>
        <v/>
      </c>
      <c r="AL2592">
        <f>IF($AK2592=1,SUMPRODUCT(--($AO$2:$AO$3001&lt;$AO2592))+1,"")</f>
        <v/>
      </c>
      <c r="AM2592">
        <f>IF($D2592="","",IF(OR($R2592=TRUE(),$R2592="TRUE"),1,0))</f>
        <v/>
      </c>
      <c r="AN2592">
        <f>IF($D2592="","",IF($X2592="Yes",1,0))</f>
        <v/>
      </c>
      <c r="AO2592">
        <f>IF($AK2592=1,IFERROR(IF(VALUE($D2592)&lt;100000000,VALUE($D2592),1000000000),IFERROR(IF(VALUE(MID($D2592,2,20))&lt;100000000,VALUE(MID($D2592,2,20)),1000000000),1000000000))+ROW()/100000,"")</f>
        <v/>
      </c>
    </row>
    <row r="2593">
      <c r="F2593" s="11" t="n"/>
      <c r="N2593" s="7">
        <f>IF($D2593="","",M2593*V2593/100)</f>
        <v/>
      </c>
      <c r="O2593" s="7" t="n"/>
      <c r="U2593" s="7" t="n"/>
      <c r="V2593" s="7" t="n"/>
      <c r="Y2593">
        <f>IF($D2593="","",IF($AN2593=1,0,IF($AM2593=1,Settings!$C$6,Settings!$C$7))*100)</f>
        <v/>
      </c>
      <c r="Z2593" s="7">
        <f>IF($D2593="","",V2593*Y2593/100)</f>
        <v/>
      </c>
      <c r="AA2593" s="7">
        <f>IF($D2593="","",V2593-Z2593)</f>
        <v/>
      </c>
      <c r="AB2593" s="7">
        <f>IF($D2593="","",AA2593-N2593)</f>
        <v/>
      </c>
      <c r="AF2593" s="7" t="n"/>
      <c r="AI2593" s="11" t="n"/>
      <c r="AK2593">
        <f>IF($D2593="","",IF(COUNTIF($D$2:$D2593,$D2593)=1,1,0))</f>
        <v/>
      </c>
      <c r="AL2593">
        <f>IF($AK2593=1,SUMPRODUCT(--($AO$2:$AO$3001&lt;$AO2593))+1,"")</f>
        <v/>
      </c>
      <c r="AM2593">
        <f>IF($D2593="","",IF(OR($R2593=TRUE(),$R2593="TRUE"),1,0))</f>
        <v/>
      </c>
      <c r="AN2593">
        <f>IF($D2593="","",IF($X2593="Yes",1,0))</f>
        <v/>
      </c>
      <c r="AO2593">
        <f>IF($AK2593=1,IFERROR(IF(VALUE($D2593)&lt;100000000,VALUE($D2593),1000000000),IFERROR(IF(VALUE(MID($D2593,2,20))&lt;100000000,VALUE(MID($D2593,2,20)),1000000000),1000000000))+ROW()/100000,"")</f>
        <v/>
      </c>
    </row>
    <row r="2594">
      <c r="F2594" s="11" t="n"/>
      <c r="N2594" s="7">
        <f>IF($D2594="","",M2594*V2594/100)</f>
        <v/>
      </c>
      <c r="O2594" s="7" t="n"/>
      <c r="U2594" s="7" t="n"/>
      <c r="V2594" s="7" t="n"/>
      <c r="Y2594">
        <f>IF($D2594="","",IF($AN2594=1,0,IF($AM2594=1,Settings!$C$6,Settings!$C$7))*100)</f>
        <v/>
      </c>
      <c r="Z2594" s="7">
        <f>IF($D2594="","",V2594*Y2594/100)</f>
        <v/>
      </c>
      <c r="AA2594" s="7">
        <f>IF($D2594="","",V2594-Z2594)</f>
        <v/>
      </c>
      <c r="AB2594" s="7">
        <f>IF($D2594="","",AA2594-N2594)</f>
        <v/>
      </c>
      <c r="AF2594" s="7" t="n"/>
      <c r="AI2594" s="11" t="n"/>
      <c r="AK2594">
        <f>IF($D2594="","",IF(COUNTIF($D$2:$D2594,$D2594)=1,1,0))</f>
        <v/>
      </c>
      <c r="AL2594">
        <f>IF($AK2594=1,SUMPRODUCT(--($AO$2:$AO$3001&lt;$AO2594))+1,"")</f>
        <v/>
      </c>
      <c r="AM2594">
        <f>IF($D2594="","",IF(OR($R2594=TRUE(),$R2594="TRUE"),1,0))</f>
        <v/>
      </c>
      <c r="AN2594">
        <f>IF($D2594="","",IF($X2594="Yes",1,0))</f>
        <v/>
      </c>
      <c r="AO2594">
        <f>IF($AK2594=1,IFERROR(IF(VALUE($D2594)&lt;100000000,VALUE($D2594),1000000000),IFERROR(IF(VALUE(MID($D2594,2,20))&lt;100000000,VALUE(MID($D2594,2,20)),1000000000),1000000000))+ROW()/100000,"")</f>
        <v/>
      </c>
    </row>
    <row r="2595">
      <c r="F2595" s="11" t="n"/>
      <c r="N2595" s="7">
        <f>IF($D2595="","",M2595*V2595/100)</f>
        <v/>
      </c>
      <c r="O2595" s="7" t="n"/>
      <c r="U2595" s="7" t="n"/>
      <c r="V2595" s="7" t="n"/>
      <c r="Y2595">
        <f>IF($D2595="","",IF($AN2595=1,0,IF($AM2595=1,Settings!$C$6,Settings!$C$7))*100)</f>
        <v/>
      </c>
      <c r="Z2595" s="7">
        <f>IF($D2595="","",V2595*Y2595/100)</f>
        <v/>
      </c>
      <c r="AA2595" s="7">
        <f>IF($D2595="","",V2595-Z2595)</f>
        <v/>
      </c>
      <c r="AB2595" s="7">
        <f>IF($D2595="","",AA2595-N2595)</f>
        <v/>
      </c>
      <c r="AF2595" s="7" t="n"/>
      <c r="AI2595" s="11" t="n"/>
      <c r="AK2595">
        <f>IF($D2595="","",IF(COUNTIF($D$2:$D2595,$D2595)=1,1,0))</f>
        <v/>
      </c>
      <c r="AL2595">
        <f>IF($AK2595=1,SUMPRODUCT(--($AO$2:$AO$3001&lt;$AO2595))+1,"")</f>
        <v/>
      </c>
      <c r="AM2595">
        <f>IF($D2595="","",IF(OR($R2595=TRUE(),$R2595="TRUE"),1,0))</f>
        <v/>
      </c>
      <c r="AN2595">
        <f>IF($D2595="","",IF($X2595="Yes",1,0))</f>
        <v/>
      </c>
      <c r="AO2595">
        <f>IF($AK2595=1,IFERROR(IF(VALUE($D2595)&lt;100000000,VALUE($D2595),1000000000),IFERROR(IF(VALUE(MID($D2595,2,20))&lt;100000000,VALUE(MID($D2595,2,20)),1000000000),1000000000))+ROW()/100000,"")</f>
        <v/>
      </c>
    </row>
    <row r="2596">
      <c r="F2596" s="11" t="n"/>
      <c r="N2596" s="7">
        <f>IF($D2596="","",M2596*V2596/100)</f>
        <v/>
      </c>
      <c r="O2596" s="7" t="n"/>
      <c r="U2596" s="7" t="n"/>
      <c r="V2596" s="7" t="n"/>
      <c r="Y2596">
        <f>IF($D2596="","",IF($AN2596=1,0,IF($AM2596=1,Settings!$C$6,Settings!$C$7))*100)</f>
        <v/>
      </c>
      <c r="Z2596" s="7">
        <f>IF($D2596="","",V2596*Y2596/100)</f>
        <v/>
      </c>
      <c r="AA2596" s="7">
        <f>IF($D2596="","",V2596-Z2596)</f>
        <v/>
      </c>
      <c r="AB2596" s="7">
        <f>IF($D2596="","",AA2596-N2596)</f>
        <v/>
      </c>
      <c r="AF2596" s="7" t="n"/>
      <c r="AI2596" s="11" t="n"/>
      <c r="AK2596">
        <f>IF($D2596="","",IF(COUNTIF($D$2:$D2596,$D2596)=1,1,0))</f>
        <v/>
      </c>
      <c r="AL2596">
        <f>IF($AK2596=1,SUMPRODUCT(--($AO$2:$AO$3001&lt;$AO2596))+1,"")</f>
        <v/>
      </c>
      <c r="AM2596">
        <f>IF($D2596="","",IF(OR($R2596=TRUE(),$R2596="TRUE"),1,0))</f>
        <v/>
      </c>
      <c r="AN2596">
        <f>IF($D2596="","",IF($X2596="Yes",1,0))</f>
        <v/>
      </c>
      <c r="AO2596">
        <f>IF($AK2596=1,IFERROR(IF(VALUE($D2596)&lt;100000000,VALUE($D2596),1000000000),IFERROR(IF(VALUE(MID($D2596,2,20))&lt;100000000,VALUE(MID($D2596,2,20)),1000000000),1000000000))+ROW()/100000,"")</f>
        <v/>
      </c>
    </row>
    <row r="2597">
      <c r="F2597" s="11" t="n"/>
      <c r="N2597" s="7">
        <f>IF($D2597="","",M2597*V2597/100)</f>
        <v/>
      </c>
      <c r="O2597" s="7" t="n"/>
      <c r="U2597" s="7" t="n"/>
      <c r="V2597" s="7" t="n"/>
      <c r="Y2597">
        <f>IF($D2597="","",IF($AN2597=1,0,IF($AM2597=1,Settings!$C$6,Settings!$C$7))*100)</f>
        <v/>
      </c>
      <c r="Z2597" s="7">
        <f>IF($D2597="","",V2597*Y2597/100)</f>
        <v/>
      </c>
      <c r="AA2597" s="7">
        <f>IF($D2597="","",V2597-Z2597)</f>
        <v/>
      </c>
      <c r="AB2597" s="7">
        <f>IF($D2597="","",AA2597-N2597)</f>
        <v/>
      </c>
      <c r="AF2597" s="7" t="n"/>
      <c r="AI2597" s="11" t="n"/>
      <c r="AK2597">
        <f>IF($D2597="","",IF(COUNTIF($D$2:$D2597,$D2597)=1,1,0))</f>
        <v/>
      </c>
      <c r="AL2597">
        <f>IF($AK2597=1,SUMPRODUCT(--($AO$2:$AO$3001&lt;$AO2597))+1,"")</f>
        <v/>
      </c>
      <c r="AM2597">
        <f>IF($D2597="","",IF(OR($R2597=TRUE(),$R2597="TRUE"),1,0))</f>
        <v/>
      </c>
      <c r="AN2597">
        <f>IF($D2597="","",IF($X2597="Yes",1,0))</f>
        <v/>
      </c>
      <c r="AO2597">
        <f>IF($AK2597=1,IFERROR(IF(VALUE($D2597)&lt;100000000,VALUE($D2597),1000000000),IFERROR(IF(VALUE(MID($D2597,2,20))&lt;100000000,VALUE(MID($D2597,2,20)),1000000000),1000000000))+ROW()/100000,"")</f>
        <v/>
      </c>
    </row>
    <row r="2598">
      <c r="F2598" s="11" t="n"/>
      <c r="N2598" s="7">
        <f>IF($D2598="","",M2598*V2598/100)</f>
        <v/>
      </c>
      <c r="O2598" s="7" t="n"/>
      <c r="U2598" s="7" t="n"/>
      <c r="V2598" s="7" t="n"/>
      <c r="Y2598">
        <f>IF($D2598="","",IF($AN2598=1,0,IF($AM2598=1,Settings!$C$6,Settings!$C$7))*100)</f>
        <v/>
      </c>
      <c r="Z2598" s="7">
        <f>IF($D2598="","",V2598*Y2598/100)</f>
        <v/>
      </c>
      <c r="AA2598" s="7">
        <f>IF($D2598="","",V2598-Z2598)</f>
        <v/>
      </c>
      <c r="AB2598" s="7">
        <f>IF($D2598="","",AA2598-N2598)</f>
        <v/>
      </c>
      <c r="AF2598" s="7" t="n"/>
      <c r="AI2598" s="11" t="n"/>
      <c r="AK2598">
        <f>IF($D2598="","",IF(COUNTIF($D$2:$D2598,$D2598)=1,1,0))</f>
        <v/>
      </c>
      <c r="AL2598">
        <f>IF($AK2598=1,SUMPRODUCT(--($AO$2:$AO$3001&lt;$AO2598))+1,"")</f>
        <v/>
      </c>
      <c r="AM2598">
        <f>IF($D2598="","",IF(OR($R2598=TRUE(),$R2598="TRUE"),1,0))</f>
        <v/>
      </c>
      <c r="AN2598">
        <f>IF($D2598="","",IF($X2598="Yes",1,0))</f>
        <v/>
      </c>
      <c r="AO2598">
        <f>IF($AK2598=1,IFERROR(IF(VALUE($D2598)&lt;100000000,VALUE($D2598),1000000000),IFERROR(IF(VALUE(MID($D2598,2,20))&lt;100000000,VALUE(MID($D2598,2,20)),1000000000),1000000000))+ROW()/100000,"")</f>
        <v/>
      </c>
    </row>
    <row r="2599">
      <c r="F2599" s="11" t="n"/>
      <c r="N2599" s="7">
        <f>IF($D2599="","",M2599*V2599/100)</f>
        <v/>
      </c>
      <c r="O2599" s="7" t="n"/>
      <c r="U2599" s="7" t="n"/>
      <c r="V2599" s="7" t="n"/>
      <c r="Y2599">
        <f>IF($D2599="","",IF($AN2599=1,0,IF($AM2599=1,Settings!$C$6,Settings!$C$7))*100)</f>
        <v/>
      </c>
      <c r="Z2599" s="7">
        <f>IF($D2599="","",V2599*Y2599/100)</f>
        <v/>
      </c>
      <c r="AA2599" s="7">
        <f>IF($D2599="","",V2599-Z2599)</f>
        <v/>
      </c>
      <c r="AB2599" s="7">
        <f>IF($D2599="","",AA2599-N2599)</f>
        <v/>
      </c>
      <c r="AF2599" s="7" t="n"/>
      <c r="AI2599" s="11" t="n"/>
      <c r="AK2599">
        <f>IF($D2599="","",IF(COUNTIF($D$2:$D2599,$D2599)=1,1,0))</f>
        <v/>
      </c>
      <c r="AL2599">
        <f>IF($AK2599=1,SUMPRODUCT(--($AO$2:$AO$3001&lt;$AO2599))+1,"")</f>
        <v/>
      </c>
      <c r="AM2599">
        <f>IF($D2599="","",IF(OR($R2599=TRUE(),$R2599="TRUE"),1,0))</f>
        <v/>
      </c>
      <c r="AN2599">
        <f>IF($D2599="","",IF($X2599="Yes",1,0))</f>
        <v/>
      </c>
      <c r="AO2599">
        <f>IF($AK2599=1,IFERROR(IF(VALUE($D2599)&lt;100000000,VALUE($D2599),1000000000),IFERROR(IF(VALUE(MID($D2599,2,20))&lt;100000000,VALUE(MID($D2599,2,20)),1000000000),1000000000))+ROW()/100000,"")</f>
        <v/>
      </c>
    </row>
    <row r="2600">
      <c r="F2600" s="11" t="n"/>
      <c r="N2600" s="7">
        <f>IF($D2600="","",M2600*V2600/100)</f>
        <v/>
      </c>
      <c r="O2600" s="7" t="n"/>
      <c r="U2600" s="7" t="n"/>
      <c r="V2600" s="7" t="n"/>
      <c r="Y2600">
        <f>IF($D2600="","",IF($AN2600=1,0,IF($AM2600=1,Settings!$C$6,Settings!$C$7))*100)</f>
        <v/>
      </c>
      <c r="Z2600" s="7">
        <f>IF($D2600="","",V2600*Y2600/100)</f>
        <v/>
      </c>
      <c r="AA2600" s="7">
        <f>IF($D2600="","",V2600-Z2600)</f>
        <v/>
      </c>
      <c r="AB2600" s="7">
        <f>IF($D2600="","",AA2600-N2600)</f>
        <v/>
      </c>
      <c r="AF2600" s="7" t="n"/>
      <c r="AI2600" s="11" t="n"/>
      <c r="AK2600">
        <f>IF($D2600="","",IF(COUNTIF($D$2:$D2600,$D2600)=1,1,0))</f>
        <v/>
      </c>
      <c r="AL2600">
        <f>IF($AK2600=1,SUMPRODUCT(--($AO$2:$AO$3001&lt;$AO2600))+1,"")</f>
        <v/>
      </c>
      <c r="AM2600">
        <f>IF($D2600="","",IF(OR($R2600=TRUE(),$R2600="TRUE"),1,0))</f>
        <v/>
      </c>
      <c r="AN2600">
        <f>IF($D2600="","",IF($X2600="Yes",1,0))</f>
        <v/>
      </c>
      <c r="AO2600">
        <f>IF($AK2600=1,IFERROR(IF(VALUE($D2600)&lt;100000000,VALUE($D2600),1000000000),IFERROR(IF(VALUE(MID($D2600,2,20))&lt;100000000,VALUE(MID($D2600,2,20)),1000000000),1000000000))+ROW()/100000,"")</f>
        <v/>
      </c>
    </row>
    <row r="2601">
      <c r="F2601" s="11" t="n"/>
      <c r="N2601" s="7">
        <f>IF($D2601="","",M2601*V2601/100)</f>
        <v/>
      </c>
      <c r="O2601" s="7" t="n"/>
      <c r="U2601" s="7" t="n"/>
      <c r="V2601" s="7" t="n"/>
      <c r="Y2601">
        <f>IF($D2601="","",IF($AN2601=1,0,IF($AM2601=1,Settings!$C$6,Settings!$C$7))*100)</f>
        <v/>
      </c>
      <c r="Z2601" s="7">
        <f>IF($D2601="","",V2601*Y2601/100)</f>
        <v/>
      </c>
      <c r="AA2601" s="7">
        <f>IF($D2601="","",V2601-Z2601)</f>
        <v/>
      </c>
      <c r="AB2601" s="7">
        <f>IF($D2601="","",AA2601-N2601)</f>
        <v/>
      </c>
      <c r="AF2601" s="7" t="n"/>
      <c r="AI2601" s="11" t="n"/>
      <c r="AK2601">
        <f>IF($D2601="","",IF(COUNTIF($D$2:$D2601,$D2601)=1,1,0))</f>
        <v/>
      </c>
      <c r="AL2601">
        <f>IF($AK2601=1,SUMPRODUCT(--($AO$2:$AO$3001&lt;$AO2601))+1,"")</f>
        <v/>
      </c>
      <c r="AM2601">
        <f>IF($D2601="","",IF(OR($R2601=TRUE(),$R2601="TRUE"),1,0))</f>
        <v/>
      </c>
      <c r="AN2601">
        <f>IF($D2601="","",IF($X2601="Yes",1,0))</f>
        <v/>
      </c>
      <c r="AO2601">
        <f>IF($AK2601=1,IFERROR(IF(VALUE($D2601)&lt;100000000,VALUE($D2601),1000000000),IFERROR(IF(VALUE(MID($D2601,2,20))&lt;100000000,VALUE(MID($D2601,2,20)),1000000000),1000000000))+ROW()/100000,"")</f>
        <v/>
      </c>
    </row>
    <row r="2602">
      <c r="F2602" s="11" t="n"/>
      <c r="N2602" s="7">
        <f>IF($D2602="","",M2602*V2602/100)</f>
        <v/>
      </c>
      <c r="O2602" s="7" t="n"/>
      <c r="U2602" s="7" t="n"/>
      <c r="V2602" s="7" t="n"/>
      <c r="Y2602">
        <f>IF($D2602="","",IF($AN2602=1,0,IF($AM2602=1,Settings!$C$6,Settings!$C$7))*100)</f>
        <v/>
      </c>
      <c r="Z2602" s="7">
        <f>IF($D2602="","",V2602*Y2602/100)</f>
        <v/>
      </c>
      <c r="AA2602" s="7">
        <f>IF($D2602="","",V2602-Z2602)</f>
        <v/>
      </c>
      <c r="AB2602" s="7">
        <f>IF($D2602="","",AA2602-N2602)</f>
        <v/>
      </c>
      <c r="AF2602" s="7" t="n"/>
      <c r="AI2602" s="11" t="n"/>
      <c r="AK2602">
        <f>IF($D2602="","",IF(COUNTIF($D$2:$D2602,$D2602)=1,1,0))</f>
        <v/>
      </c>
      <c r="AL2602">
        <f>IF($AK2602=1,SUMPRODUCT(--($AO$2:$AO$3001&lt;$AO2602))+1,"")</f>
        <v/>
      </c>
      <c r="AM2602">
        <f>IF($D2602="","",IF(OR($R2602=TRUE(),$R2602="TRUE"),1,0))</f>
        <v/>
      </c>
      <c r="AN2602">
        <f>IF($D2602="","",IF($X2602="Yes",1,0))</f>
        <v/>
      </c>
      <c r="AO2602">
        <f>IF($AK2602=1,IFERROR(IF(VALUE($D2602)&lt;100000000,VALUE($D2602),1000000000),IFERROR(IF(VALUE(MID($D2602,2,20))&lt;100000000,VALUE(MID($D2602,2,20)),1000000000),1000000000))+ROW()/100000,"")</f>
        <v/>
      </c>
    </row>
    <row r="2603">
      <c r="F2603" s="11" t="n"/>
      <c r="N2603" s="7">
        <f>IF($D2603="","",M2603*V2603/100)</f>
        <v/>
      </c>
      <c r="O2603" s="7" t="n"/>
      <c r="U2603" s="7" t="n"/>
      <c r="V2603" s="7" t="n"/>
      <c r="Y2603">
        <f>IF($D2603="","",IF($AN2603=1,0,IF($AM2603=1,Settings!$C$6,Settings!$C$7))*100)</f>
        <v/>
      </c>
      <c r="Z2603" s="7">
        <f>IF($D2603="","",V2603*Y2603/100)</f>
        <v/>
      </c>
      <c r="AA2603" s="7">
        <f>IF($D2603="","",V2603-Z2603)</f>
        <v/>
      </c>
      <c r="AB2603" s="7">
        <f>IF($D2603="","",AA2603-N2603)</f>
        <v/>
      </c>
      <c r="AF2603" s="7" t="n"/>
      <c r="AI2603" s="11" t="n"/>
      <c r="AK2603">
        <f>IF($D2603="","",IF(COUNTIF($D$2:$D2603,$D2603)=1,1,0))</f>
        <v/>
      </c>
      <c r="AL2603">
        <f>IF($AK2603=1,SUMPRODUCT(--($AO$2:$AO$3001&lt;$AO2603))+1,"")</f>
        <v/>
      </c>
      <c r="AM2603">
        <f>IF($D2603="","",IF(OR($R2603=TRUE(),$R2603="TRUE"),1,0))</f>
        <v/>
      </c>
      <c r="AN2603">
        <f>IF($D2603="","",IF($X2603="Yes",1,0))</f>
        <v/>
      </c>
      <c r="AO2603">
        <f>IF($AK2603=1,IFERROR(IF(VALUE($D2603)&lt;100000000,VALUE($D2603),1000000000),IFERROR(IF(VALUE(MID($D2603,2,20))&lt;100000000,VALUE(MID($D2603,2,20)),1000000000),1000000000))+ROW()/100000,"")</f>
        <v/>
      </c>
    </row>
    <row r="2604">
      <c r="F2604" s="11" t="n"/>
      <c r="N2604" s="7">
        <f>IF($D2604="","",M2604*V2604/100)</f>
        <v/>
      </c>
      <c r="O2604" s="7" t="n"/>
      <c r="U2604" s="7" t="n"/>
      <c r="V2604" s="7" t="n"/>
      <c r="Y2604">
        <f>IF($D2604="","",IF($AN2604=1,0,IF($AM2604=1,Settings!$C$6,Settings!$C$7))*100)</f>
        <v/>
      </c>
      <c r="Z2604" s="7">
        <f>IF($D2604="","",V2604*Y2604/100)</f>
        <v/>
      </c>
      <c r="AA2604" s="7">
        <f>IF($D2604="","",V2604-Z2604)</f>
        <v/>
      </c>
      <c r="AB2604" s="7">
        <f>IF($D2604="","",AA2604-N2604)</f>
        <v/>
      </c>
      <c r="AF2604" s="7" t="n"/>
      <c r="AI2604" s="11" t="n"/>
      <c r="AK2604">
        <f>IF($D2604="","",IF(COUNTIF($D$2:$D2604,$D2604)=1,1,0))</f>
        <v/>
      </c>
      <c r="AL2604">
        <f>IF($AK2604=1,SUMPRODUCT(--($AO$2:$AO$3001&lt;$AO2604))+1,"")</f>
        <v/>
      </c>
      <c r="AM2604">
        <f>IF($D2604="","",IF(OR($R2604=TRUE(),$R2604="TRUE"),1,0))</f>
        <v/>
      </c>
      <c r="AN2604">
        <f>IF($D2604="","",IF($X2604="Yes",1,0))</f>
        <v/>
      </c>
      <c r="AO2604">
        <f>IF($AK2604=1,IFERROR(IF(VALUE($D2604)&lt;100000000,VALUE($D2604),1000000000),IFERROR(IF(VALUE(MID($D2604,2,20))&lt;100000000,VALUE(MID($D2604,2,20)),1000000000),1000000000))+ROW()/100000,"")</f>
        <v/>
      </c>
    </row>
    <row r="2605">
      <c r="F2605" s="11" t="n"/>
      <c r="N2605" s="7">
        <f>IF($D2605="","",M2605*V2605/100)</f>
        <v/>
      </c>
      <c r="O2605" s="7" t="n"/>
      <c r="U2605" s="7" t="n"/>
      <c r="V2605" s="7" t="n"/>
      <c r="Y2605">
        <f>IF($D2605="","",IF($AN2605=1,0,IF($AM2605=1,Settings!$C$6,Settings!$C$7))*100)</f>
        <v/>
      </c>
      <c r="Z2605" s="7">
        <f>IF($D2605="","",V2605*Y2605/100)</f>
        <v/>
      </c>
      <c r="AA2605" s="7">
        <f>IF($D2605="","",V2605-Z2605)</f>
        <v/>
      </c>
      <c r="AB2605" s="7">
        <f>IF($D2605="","",AA2605-N2605)</f>
        <v/>
      </c>
      <c r="AF2605" s="7" t="n"/>
      <c r="AI2605" s="11" t="n"/>
      <c r="AK2605">
        <f>IF($D2605="","",IF(COUNTIF($D$2:$D2605,$D2605)=1,1,0))</f>
        <v/>
      </c>
      <c r="AL2605">
        <f>IF($AK2605=1,SUMPRODUCT(--($AO$2:$AO$3001&lt;$AO2605))+1,"")</f>
        <v/>
      </c>
      <c r="AM2605">
        <f>IF($D2605="","",IF(OR($R2605=TRUE(),$R2605="TRUE"),1,0))</f>
        <v/>
      </c>
      <c r="AN2605">
        <f>IF($D2605="","",IF($X2605="Yes",1,0))</f>
        <v/>
      </c>
      <c r="AO2605">
        <f>IF($AK2605=1,IFERROR(IF(VALUE($D2605)&lt;100000000,VALUE($D2605),1000000000),IFERROR(IF(VALUE(MID($D2605,2,20))&lt;100000000,VALUE(MID($D2605,2,20)),1000000000),1000000000))+ROW()/100000,"")</f>
        <v/>
      </c>
    </row>
    <row r="2606">
      <c r="F2606" s="11" t="n"/>
      <c r="N2606" s="7">
        <f>IF($D2606="","",M2606*V2606/100)</f>
        <v/>
      </c>
      <c r="O2606" s="7" t="n"/>
      <c r="U2606" s="7" t="n"/>
      <c r="V2606" s="7" t="n"/>
      <c r="Y2606">
        <f>IF($D2606="","",IF($AN2606=1,0,IF($AM2606=1,Settings!$C$6,Settings!$C$7))*100)</f>
        <v/>
      </c>
      <c r="Z2606" s="7">
        <f>IF($D2606="","",V2606*Y2606/100)</f>
        <v/>
      </c>
      <c r="AA2606" s="7">
        <f>IF($D2606="","",V2606-Z2606)</f>
        <v/>
      </c>
      <c r="AB2606" s="7">
        <f>IF($D2606="","",AA2606-N2606)</f>
        <v/>
      </c>
      <c r="AF2606" s="7" t="n"/>
      <c r="AI2606" s="11" t="n"/>
      <c r="AK2606">
        <f>IF($D2606="","",IF(COUNTIF($D$2:$D2606,$D2606)=1,1,0))</f>
        <v/>
      </c>
      <c r="AL2606">
        <f>IF($AK2606=1,SUMPRODUCT(--($AO$2:$AO$3001&lt;$AO2606))+1,"")</f>
        <v/>
      </c>
      <c r="AM2606">
        <f>IF($D2606="","",IF(OR($R2606=TRUE(),$R2606="TRUE"),1,0))</f>
        <v/>
      </c>
      <c r="AN2606">
        <f>IF($D2606="","",IF($X2606="Yes",1,0))</f>
        <v/>
      </c>
      <c r="AO2606">
        <f>IF($AK2606=1,IFERROR(IF(VALUE($D2606)&lt;100000000,VALUE($D2606),1000000000),IFERROR(IF(VALUE(MID($D2606,2,20))&lt;100000000,VALUE(MID($D2606,2,20)),1000000000),1000000000))+ROW()/100000,"")</f>
        <v/>
      </c>
    </row>
    <row r="2607">
      <c r="F2607" s="11" t="n"/>
      <c r="N2607" s="7">
        <f>IF($D2607="","",M2607*V2607/100)</f>
        <v/>
      </c>
      <c r="O2607" s="7" t="n"/>
      <c r="U2607" s="7" t="n"/>
      <c r="V2607" s="7" t="n"/>
      <c r="Y2607">
        <f>IF($D2607="","",IF($AN2607=1,0,IF($AM2607=1,Settings!$C$6,Settings!$C$7))*100)</f>
        <v/>
      </c>
      <c r="Z2607" s="7">
        <f>IF($D2607="","",V2607*Y2607/100)</f>
        <v/>
      </c>
      <c r="AA2607" s="7">
        <f>IF($D2607="","",V2607-Z2607)</f>
        <v/>
      </c>
      <c r="AB2607" s="7">
        <f>IF($D2607="","",AA2607-N2607)</f>
        <v/>
      </c>
      <c r="AF2607" s="7" t="n"/>
      <c r="AI2607" s="11" t="n"/>
      <c r="AK2607">
        <f>IF($D2607="","",IF(COUNTIF($D$2:$D2607,$D2607)=1,1,0))</f>
        <v/>
      </c>
      <c r="AL2607">
        <f>IF($AK2607=1,SUMPRODUCT(--($AO$2:$AO$3001&lt;$AO2607))+1,"")</f>
        <v/>
      </c>
      <c r="AM2607">
        <f>IF($D2607="","",IF(OR($R2607=TRUE(),$R2607="TRUE"),1,0))</f>
        <v/>
      </c>
      <c r="AN2607">
        <f>IF($D2607="","",IF($X2607="Yes",1,0))</f>
        <v/>
      </c>
      <c r="AO2607">
        <f>IF($AK2607=1,IFERROR(IF(VALUE($D2607)&lt;100000000,VALUE($D2607),1000000000),IFERROR(IF(VALUE(MID($D2607,2,20))&lt;100000000,VALUE(MID($D2607,2,20)),1000000000),1000000000))+ROW()/100000,"")</f>
        <v/>
      </c>
    </row>
    <row r="2608">
      <c r="F2608" s="11" t="n"/>
      <c r="N2608" s="7">
        <f>IF($D2608="","",M2608*V2608/100)</f>
        <v/>
      </c>
      <c r="O2608" s="7" t="n"/>
      <c r="U2608" s="7" t="n"/>
      <c r="V2608" s="7" t="n"/>
      <c r="Y2608">
        <f>IF($D2608="","",IF($AN2608=1,0,IF($AM2608=1,Settings!$C$6,Settings!$C$7))*100)</f>
        <v/>
      </c>
      <c r="Z2608" s="7">
        <f>IF($D2608="","",V2608*Y2608/100)</f>
        <v/>
      </c>
      <c r="AA2608" s="7">
        <f>IF($D2608="","",V2608-Z2608)</f>
        <v/>
      </c>
      <c r="AB2608" s="7">
        <f>IF($D2608="","",AA2608-N2608)</f>
        <v/>
      </c>
      <c r="AF2608" s="7" t="n"/>
      <c r="AI2608" s="11" t="n"/>
      <c r="AK2608">
        <f>IF($D2608="","",IF(COUNTIF($D$2:$D2608,$D2608)=1,1,0))</f>
        <v/>
      </c>
      <c r="AL2608">
        <f>IF($AK2608=1,SUMPRODUCT(--($AO$2:$AO$3001&lt;$AO2608))+1,"")</f>
        <v/>
      </c>
      <c r="AM2608">
        <f>IF($D2608="","",IF(OR($R2608=TRUE(),$R2608="TRUE"),1,0))</f>
        <v/>
      </c>
      <c r="AN2608">
        <f>IF($D2608="","",IF($X2608="Yes",1,0))</f>
        <v/>
      </c>
      <c r="AO2608">
        <f>IF($AK2608=1,IFERROR(IF(VALUE($D2608)&lt;100000000,VALUE($D2608),1000000000),IFERROR(IF(VALUE(MID($D2608,2,20))&lt;100000000,VALUE(MID($D2608,2,20)),1000000000),1000000000))+ROW()/100000,"")</f>
        <v/>
      </c>
    </row>
    <row r="2609">
      <c r="F2609" s="11" t="n"/>
      <c r="N2609" s="7">
        <f>IF($D2609="","",M2609*V2609/100)</f>
        <v/>
      </c>
      <c r="O2609" s="7" t="n"/>
      <c r="U2609" s="7" t="n"/>
      <c r="V2609" s="7" t="n"/>
      <c r="Y2609">
        <f>IF($D2609="","",IF($AN2609=1,0,IF($AM2609=1,Settings!$C$6,Settings!$C$7))*100)</f>
        <v/>
      </c>
      <c r="Z2609" s="7">
        <f>IF($D2609="","",V2609*Y2609/100)</f>
        <v/>
      </c>
      <c r="AA2609" s="7">
        <f>IF($D2609="","",V2609-Z2609)</f>
        <v/>
      </c>
      <c r="AB2609" s="7">
        <f>IF($D2609="","",AA2609-N2609)</f>
        <v/>
      </c>
      <c r="AF2609" s="7" t="n"/>
      <c r="AI2609" s="11" t="n"/>
      <c r="AK2609">
        <f>IF($D2609="","",IF(COUNTIF($D$2:$D2609,$D2609)=1,1,0))</f>
        <v/>
      </c>
      <c r="AL2609">
        <f>IF($AK2609=1,SUMPRODUCT(--($AO$2:$AO$3001&lt;$AO2609))+1,"")</f>
        <v/>
      </c>
      <c r="AM2609">
        <f>IF($D2609="","",IF(OR($R2609=TRUE(),$R2609="TRUE"),1,0))</f>
        <v/>
      </c>
      <c r="AN2609">
        <f>IF($D2609="","",IF($X2609="Yes",1,0))</f>
        <v/>
      </c>
      <c r="AO2609">
        <f>IF($AK2609=1,IFERROR(IF(VALUE($D2609)&lt;100000000,VALUE($D2609),1000000000),IFERROR(IF(VALUE(MID($D2609,2,20))&lt;100000000,VALUE(MID($D2609,2,20)),1000000000),1000000000))+ROW()/100000,"")</f>
        <v/>
      </c>
    </row>
    <row r="2610">
      <c r="F2610" s="11" t="n"/>
      <c r="N2610" s="7">
        <f>IF($D2610="","",M2610*V2610/100)</f>
        <v/>
      </c>
      <c r="O2610" s="7" t="n"/>
      <c r="U2610" s="7" t="n"/>
      <c r="V2610" s="7" t="n"/>
      <c r="Y2610">
        <f>IF($D2610="","",IF($AN2610=1,0,IF($AM2610=1,Settings!$C$6,Settings!$C$7))*100)</f>
        <v/>
      </c>
      <c r="Z2610" s="7">
        <f>IF($D2610="","",V2610*Y2610/100)</f>
        <v/>
      </c>
      <c r="AA2610" s="7">
        <f>IF($D2610="","",V2610-Z2610)</f>
        <v/>
      </c>
      <c r="AB2610" s="7">
        <f>IF($D2610="","",AA2610-N2610)</f>
        <v/>
      </c>
      <c r="AF2610" s="7" t="n"/>
      <c r="AI2610" s="11" t="n"/>
      <c r="AK2610">
        <f>IF($D2610="","",IF(COUNTIF($D$2:$D2610,$D2610)=1,1,0))</f>
        <v/>
      </c>
      <c r="AL2610">
        <f>IF($AK2610=1,SUMPRODUCT(--($AO$2:$AO$3001&lt;$AO2610))+1,"")</f>
        <v/>
      </c>
      <c r="AM2610">
        <f>IF($D2610="","",IF(OR($R2610=TRUE(),$R2610="TRUE"),1,0))</f>
        <v/>
      </c>
      <c r="AN2610">
        <f>IF($D2610="","",IF($X2610="Yes",1,0))</f>
        <v/>
      </c>
      <c r="AO2610">
        <f>IF($AK2610=1,IFERROR(IF(VALUE($D2610)&lt;100000000,VALUE($D2610),1000000000),IFERROR(IF(VALUE(MID($D2610,2,20))&lt;100000000,VALUE(MID($D2610,2,20)),1000000000),1000000000))+ROW()/100000,"")</f>
        <v/>
      </c>
    </row>
    <row r="2611">
      <c r="F2611" s="11" t="n"/>
      <c r="N2611" s="7">
        <f>IF($D2611="","",M2611*V2611/100)</f>
        <v/>
      </c>
      <c r="O2611" s="7" t="n"/>
      <c r="U2611" s="7" t="n"/>
      <c r="V2611" s="7" t="n"/>
      <c r="Y2611">
        <f>IF($D2611="","",IF($AN2611=1,0,IF($AM2611=1,Settings!$C$6,Settings!$C$7))*100)</f>
        <v/>
      </c>
      <c r="Z2611" s="7">
        <f>IF($D2611="","",V2611*Y2611/100)</f>
        <v/>
      </c>
      <c r="AA2611" s="7">
        <f>IF($D2611="","",V2611-Z2611)</f>
        <v/>
      </c>
      <c r="AB2611" s="7">
        <f>IF($D2611="","",AA2611-N2611)</f>
        <v/>
      </c>
      <c r="AF2611" s="7" t="n"/>
      <c r="AI2611" s="11" t="n"/>
      <c r="AK2611">
        <f>IF($D2611="","",IF(COUNTIF($D$2:$D2611,$D2611)=1,1,0))</f>
        <v/>
      </c>
      <c r="AL2611">
        <f>IF($AK2611=1,SUMPRODUCT(--($AO$2:$AO$3001&lt;$AO2611))+1,"")</f>
        <v/>
      </c>
      <c r="AM2611">
        <f>IF($D2611="","",IF(OR($R2611=TRUE(),$R2611="TRUE"),1,0))</f>
        <v/>
      </c>
      <c r="AN2611">
        <f>IF($D2611="","",IF($X2611="Yes",1,0))</f>
        <v/>
      </c>
      <c r="AO2611">
        <f>IF($AK2611=1,IFERROR(IF(VALUE($D2611)&lt;100000000,VALUE($D2611),1000000000),IFERROR(IF(VALUE(MID($D2611,2,20))&lt;100000000,VALUE(MID($D2611,2,20)),1000000000),1000000000))+ROW()/100000,"")</f>
        <v/>
      </c>
    </row>
    <row r="2612">
      <c r="F2612" s="11" t="n"/>
      <c r="N2612" s="7">
        <f>IF($D2612="","",M2612*V2612/100)</f>
        <v/>
      </c>
      <c r="O2612" s="7" t="n"/>
      <c r="U2612" s="7" t="n"/>
      <c r="V2612" s="7" t="n"/>
      <c r="Y2612">
        <f>IF($D2612="","",IF($AN2612=1,0,IF($AM2612=1,Settings!$C$6,Settings!$C$7))*100)</f>
        <v/>
      </c>
      <c r="Z2612" s="7">
        <f>IF($D2612="","",V2612*Y2612/100)</f>
        <v/>
      </c>
      <c r="AA2612" s="7">
        <f>IF($D2612="","",V2612-Z2612)</f>
        <v/>
      </c>
      <c r="AB2612" s="7">
        <f>IF($D2612="","",AA2612-N2612)</f>
        <v/>
      </c>
      <c r="AF2612" s="7" t="n"/>
      <c r="AI2612" s="11" t="n"/>
      <c r="AK2612">
        <f>IF($D2612="","",IF(COUNTIF($D$2:$D2612,$D2612)=1,1,0))</f>
        <v/>
      </c>
      <c r="AL2612">
        <f>IF($AK2612=1,SUMPRODUCT(--($AO$2:$AO$3001&lt;$AO2612))+1,"")</f>
        <v/>
      </c>
      <c r="AM2612">
        <f>IF($D2612="","",IF(OR($R2612=TRUE(),$R2612="TRUE"),1,0))</f>
        <v/>
      </c>
      <c r="AN2612">
        <f>IF($D2612="","",IF($X2612="Yes",1,0))</f>
        <v/>
      </c>
      <c r="AO2612">
        <f>IF($AK2612=1,IFERROR(IF(VALUE($D2612)&lt;100000000,VALUE($D2612),1000000000),IFERROR(IF(VALUE(MID($D2612,2,20))&lt;100000000,VALUE(MID($D2612,2,20)),1000000000),1000000000))+ROW()/100000,"")</f>
        <v/>
      </c>
    </row>
    <row r="2613">
      <c r="F2613" s="11" t="n"/>
      <c r="N2613" s="7">
        <f>IF($D2613="","",M2613*V2613/100)</f>
        <v/>
      </c>
      <c r="O2613" s="7" t="n"/>
      <c r="U2613" s="7" t="n"/>
      <c r="V2613" s="7" t="n"/>
      <c r="Y2613">
        <f>IF($D2613="","",IF($AN2613=1,0,IF($AM2613=1,Settings!$C$6,Settings!$C$7))*100)</f>
        <v/>
      </c>
      <c r="Z2613" s="7">
        <f>IF($D2613="","",V2613*Y2613/100)</f>
        <v/>
      </c>
      <c r="AA2613" s="7">
        <f>IF($D2613="","",V2613-Z2613)</f>
        <v/>
      </c>
      <c r="AB2613" s="7">
        <f>IF($D2613="","",AA2613-N2613)</f>
        <v/>
      </c>
      <c r="AF2613" s="7" t="n"/>
      <c r="AI2613" s="11" t="n"/>
      <c r="AK2613">
        <f>IF($D2613="","",IF(COUNTIF($D$2:$D2613,$D2613)=1,1,0))</f>
        <v/>
      </c>
      <c r="AL2613">
        <f>IF($AK2613=1,SUMPRODUCT(--($AO$2:$AO$3001&lt;$AO2613))+1,"")</f>
        <v/>
      </c>
      <c r="AM2613">
        <f>IF($D2613="","",IF(OR($R2613=TRUE(),$R2613="TRUE"),1,0))</f>
        <v/>
      </c>
      <c r="AN2613">
        <f>IF($D2613="","",IF($X2613="Yes",1,0))</f>
        <v/>
      </c>
      <c r="AO2613">
        <f>IF($AK2613=1,IFERROR(IF(VALUE($D2613)&lt;100000000,VALUE($D2613),1000000000),IFERROR(IF(VALUE(MID($D2613,2,20))&lt;100000000,VALUE(MID($D2613,2,20)),1000000000),1000000000))+ROW()/100000,"")</f>
        <v/>
      </c>
    </row>
    <row r="2614">
      <c r="F2614" s="11" t="n"/>
      <c r="N2614" s="7">
        <f>IF($D2614="","",M2614*V2614/100)</f>
        <v/>
      </c>
      <c r="O2614" s="7" t="n"/>
      <c r="U2614" s="7" t="n"/>
      <c r="V2614" s="7" t="n"/>
      <c r="Y2614">
        <f>IF($D2614="","",IF($AN2614=1,0,IF($AM2614=1,Settings!$C$6,Settings!$C$7))*100)</f>
        <v/>
      </c>
      <c r="Z2614" s="7">
        <f>IF($D2614="","",V2614*Y2614/100)</f>
        <v/>
      </c>
      <c r="AA2614" s="7">
        <f>IF($D2614="","",V2614-Z2614)</f>
        <v/>
      </c>
      <c r="AB2614" s="7">
        <f>IF($D2614="","",AA2614-N2614)</f>
        <v/>
      </c>
      <c r="AF2614" s="7" t="n"/>
      <c r="AI2614" s="11" t="n"/>
      <c r="AK2614">
        <f>IF($D2614="","",IF(COUNTIF($D$2:$D2614,$D2614)=1,1,0))</f>
        <v/>
      </c>
      <c r="AL2614">
        <f>IF($AK2614=1,SUMPRODUCT(--($AO$2:$AO$3001&lt;$AO2614))+1,"")</f>
        <v/>
      </c>
      <c r="AM2614">
        <f>IF($D2614="","",IF(OR($R2614=TRUE(),$R2614="TRUE"),1,0))</f>
        <v/>
      </c>
      <c r="AN2614">
        <f>IF($D2614="","",IF($X2614="Yes",1,0))</f>
        <v/>
      </c>
      <c r="AO2614">
        <f>IF($AK2614=1,IFERROR(IF(VALUE($D2614)&lt;100000000,VALUE($D2614),1000000000),IFERROR(IF(VALUE(MID($D2614,2,20))&lt;100000000,VALUE(MID($D2614,2,20)),1000000000),1000000000))+ROW()/100000,"")</f>
        <v/>
      </c>
    </row>
    <row r="2615">
      <c r="F2615" s="11" t="n"/>
      <c r="N2615" s="7">
        <f>IF($D2615="","",M2615*V2615/100)</f>
        <v/>
      </c>
      <c r="O2615" s="7" t="n"/>
      <c r="U2615" s="7" t="n"/>
      <c r="V2615" s="7" t="n"/>
      <c r="Y2615">
        <f>IF($D2615="","",IF($AN2615=1,0,IF($AM2615=1,Settings!$C$6,Settings!$C$7))*100)</f>
        <v/>
      </c>
      <c r="Z2615" s="7">
        <f>IF($D2615="","",V2615*Y2615/100)</f>
        <v/>
      </c>
      <c r="AA2615" s="7">
        <f>IF($D2615="","",V2615-Z2615)</f>
        <v/>
      </c>
      <c r="AB2615" s="7">
        <f>IF($D2615="","",AA2615-N2615)</f>
        <v/>
      </c>
      <c r="AF2615" s="7" t="n"/>
      <c r="AI2615" s="11" t="n"/>
      <c r="AK2615">
        <f>IF($D2615="","",IF(COUNTIF($D$2:$D2615,$D2615)=1,1,0))</f>
        <v/>
      </c>
      <c r="AL2615">
        <f>IF($AK2615=1,SUMPRODUCT(--($AO$2:$AO$3001&lt;$AO2615))+1,"")</f>
        <v/>
      </c>
      <c r="AM2615">
        <f>IF($D2615="","",IF(OR($R2615=TRUE(),$R2615="TRUE"),1,0))</f>
        <v/>
      </c>
      <c r="AN2615">
        <f>IF($D2615="","",IF($X2615="Yes",1,0))</f>
        <v/>
      </c>
      <c r="AO2615">
        <f>IF($AK2615=1,IFERROR(IF(VALUE($D2615)&lt;100000000,VALUE($D2615),1000000000),IFERROR(IF(VALUE(MID($D2615,2,20))&lt;100000000,VALUE(MID($D2615,2,20)),1000000000),1000000000))+ROW()/100000,"")</f>
        <v/>
      </c>
    </row>
    <row r="2616">
      <c r="F2616" s="11" t="n"/>
      <c r="N2616" s="7">
        <f>IF($D2616="","",M2616*V2616/100)</f>
        <v/>
      </c>
      <c r="O2616" s="7" t="n"/>
      <c r="U2616" s="7" t="n"/>
      <c r="V2616" s="7" t="n"/>
      <c r="Y2616">
        <f>IF($D2616="","",IF($AN2616=1,0,IF($AM2616=1,Settings!$C$6,Settings!$C$7))*100)</f>
        <v/>
      </c>
      <c r="Z2616" s="7">
        <f>IF($D2616="","",V2616*Y2616/100)</f>
        <v/>
      </c>
      <c r="AA2616" s="7">
        <f>IF($D2616="","",V2616-Z2616)</f>
        <v/>
      </c>
      <c r="AB2616" s="7">
        <f>IF($D2616="","",AA2616-N2616)</f>
        <v/>
      </c>
      <c r="AF2616" s="7" t="n"/>
      <c r="AI2616" s="11" t="n"/>
      <c r="AK2616">
        <f>IF($D2616="","",IF(COUNTIF($D$2:$D2616,$D2616)=1,1,0))</f>
        <v/>
      </c>
      <c r="AL2616">
        <f>IF($AK2616=1,SUMPRODUCT(--($AO$2:$AO$3001&lt;$AO2616))+1,"")</f>
        <v/>
      </c>
      <c r="AM2616">
        <f>IF($D2616="","",IF(OR($R2616=TRUE(),$R2616="TRUE"),1,0))</f>
        <v/>
      </c>
      <c r="AN2616">
        <f>IF($D2616="","",IF($X2616="Yes",1,0))</f>
        <v/>
      </c>
      <c r="AO2616">
        <f>IF($AK2616=1,IFERROR(IF(VALUE($D2616)&lt;100000000,VALUE($D2616),1000000000),IFERROR(IF(VALUE(MID($D2616,2,20))&lt;100000000,VALUE(MID($D2616,2,20)),1000000000),1000000000))+ROW()/100000,"")</f>
        <v/>
      </c>
    </row>
    <row r="2617">
      <c r="F2617" s="11" t="n"/>
      <c r="N2617" s="7">
        <f>IF($D2617="","",M2617*V2617/100)</f>
        <v/>
      </c>
      <c r="O2617" s="7" t="n"/>
      <c r="U2617" s="7" t="n"/>
      <c r="V2617" s="7" t="n"/>
      <c r="Y2617">
        <f>IF($D2617="","",IF($AN2617=1,0,IF($AM2617=1,Settings!$C$6,Settings!$C$7))*100)</f>
        <v/>
      </c>
      <c r="Z2617" s="7">
        <f>IF($D2617="","",V2617*Y2617/100)</f>
        <v/>
      </c>
      <c r="AA2617" s="7">
        <f>IF($D2617="","",V2617-Z2617)</f>
        <v/>
      </c>
      <c r="AB2617" s="7">
        <f>IF($D2617="","",AA2617-N2617)</f>
        <v/>
      </c>
      <c r="AF2617" s="7" t="n"/>
      <c r="AI2617" s="11" t="n"/>
      <c r="AK2617">
        <f>IF($D2617="","",IF(COUNTIF($D$2:$D2617,$D2617)=1,1,0))</f>
        <v/>
      </c>
      <c r="AL2617">
        <f>IF($AK2617=1,SUMPRODUCT(--($AO$2:$AO$3001&lt;$AO2617))+1,"")</f>
        <v/>
      </c>
      <c r="AM2617">
        <f>IF($D2617="","",IF(OR($R2617=TRUE(),$R2617="TRUE"),1,0))</f>
        <v/>
      </c>
      <c r="AN2617">
        <f>IF($D2617="","",IF($X2617="Yes",1,0))</f>
        <v/>
      </c>
      <c r="AO2617">
        <f>IF($AK2617=1,IFERROR(IF(VALUE($D2617)&lt;100000000,VALUE($D2617),1000000000),IFERROR(IF(VALUE(MID($D2617,2,20))&lt;100000000,VALUE(MID($D2617,2,20)),1000000000),1000000000))+ROW()/100000,"")</f>
        <v/>
      </c>
    </row>
    <row r="2618">
      <c r="F2618" s="11" t="n"/>
      <c r="N2618" s="7">
        <f>IF($D2618="","",M2618*V2618/100)</f>
        <v/>
      </c>
      <c r="O2618" s="7" t="n"/>
      <c r="U2618" s="7" t="n"/>
      <c r="V2618" s="7" t="n"/>
      <c r="Y2618">
        <f>IF($D2618="","",IF($AN2618=1,0,IF($AM2618=1,Settings!$C$6,Settings!$C$7))*100)</f>
        <v/>
      </c>
      <c r="Z2618" s="7">
        <f>IF($D2618="","",V2618*Y2618/100)</f>
        <v/>
      </c>
      <c r="AA2618" s="7">
        <f>IF($D2618="","",V2618-Z2618)</f>
        <v/>
      </c>
      <c r="AB2618" s="7">
        <f>IF($D2618="","",AA2618-N2618)</f>
        <v/>
      </c>
      <c r="AF2618" s="7" t="n"/>
      <c r="AI2618" s="11" t="n"/>
      <c r="AK2618">
        <f>IF($D2618="","",IF(COUNTIF($D$2:$D2618,$D2618)=1,1,0))</f>
        <v/>
      </c>
      <c r="AL2618">
        <f>IF($AK2618=1,SUMPRODUCT(--($AO$2:$AO$3001&lt;$AO2618))+1,"")</f>
        <v/>
      </c>
      <c r="AM2618">
        <f>IF($D2618="","",IF(OR($R2618=TRUE(),$R2618="TRUE"),1,0))</f>
        <v/>
      </c>
      <c r="AN2618">
        <f>IF($D2618="","",IF($X2618="Yes",1,0))</f>
        <v/>
      </c>
      <c r="AO2618">
        <f>IF($AK2618=1,IFERROR(IF(VALUE($D2618)&lt;100000000,VALUE($D2618),1000000000),IFERROR(IF(VALUE(MID($D2618,2,20))&lt;100000000,VALUE(MID($D2618,2,20)),1000000000),1000000000))+ROW()/100000,"")</f>
        <v/>
      </c>
    </row>
    <row r="2619">
      <c r="F2619" s="11" t="n"/>
      <c r="N2619" s="7">
        <f>IF($D2619="","",M2619*V2619/100)</f>
        <v/>
      </c>
      <c r="O2619" s="7" t="n"/>
      <c r="U2619" s="7" t="n"/>
      <c r="V2619" s="7" t="n"/>
      <c r="Y2619">
        <f>IF($D2619="","",IF($AN2619=1,0,IF($AM2619=1,Settings!$C$6,Settings!$C$7))*100)</f>
        <v/>
      </c>
      <c r="Z2619" s="7">
        <f>IF($D2619="","",V2619*Y2619/100)</f>
        <v/>
      </c>
      <c r="AA2619" s="7">
        <f>IF($D2619="","",V2619-Z2619)</f>
        <v/>
      </c>
      <c r="AB2619" s="7">
        <f>IF($D2619="","",AA2619-N2619)</f>
        <v/>
      </c>
      <c r="AF2619" s="7" t="n"/>
      <c r="AI2619" s="11" t="n"/>
      <c r="AK2619">
        <f>IF($D2619="","",IF(COUNTIF($D$2:$D2619,$D2619)=1,1,0))</f>
        <v/>
      </c>
      <c r="AL2619">
        <f>IF($AK2619=1,SUMPRODUCT(--($AO$2:$AO$3001&lt;$AO2619))+1,"")</f>
        <v/>
      </c>
      <c r="AM2619">
        <f>IF($D2619="","",IF(OR($R2619=TRUE(),$R2619="TRUE"),1,0))</f>
        <v/>
      </c>
      <c r="AN2619">
        <f>IF($D2619="","",IF($X2619="Yes",1,0))</f>
        <v/>
      </c>
      <c r="AO2619">
        <f>IF($AK2619=1,IFERROR(IF(VALUE($D2619)&lt;100000000,VALUE($D2619),1000000000),IFERROR(IF(VALUE(MID($D2619,2,20))&lt;100000000,VALUE(MID($D2619,2,20)),1000000000),1000000000))+ROW()/100000,"")</f>
        <v/>
      </c>
    </row>
    <row r="2620">
      <c r="F2620" s="11" t="n"/>
      <c r="N2620" s="7">
        <f>IF($D2620="","",M2620*V2620/100)</f>
        <v/>
      </c>
      <c r="O2620" s="7" t="n"/>
      <c r="U2620" s="7" t="n"/>
      <c r="V2620" s="7" t="n"/>
      <c r="Y2620">
        <f>IF($D2620="","",IF($AN2620=1,0,IF($AM2620=1,Settings!$C$6,Settings!$C$7))*100)</f>
        <v/>
      </c>
      <c r="Z2620" s="7">
        <f>IF($D2620="","",V2620*Y2620/100)</f>
        <v/>
      </c>
      <c r="AA2620" s="7">
        <f>IF($D2620="","",V2620-Z2620)</f>
        <v/>
      </c>
      <c r="AB2620" s="7">
        <f>IF($D2620="","",AA2620-N2620)</f>
        <v/>
      </c>
      <c r="AF2620" s="7" t="n"/>
      <c r="AI2620" s="11" t="n"/>
      <c r="AK2620">
        <f>IF($D2620="","",IF(COUNTIF($D$2:$D2620,$D2620)=1,1,0))</f>
        <v/>
      </c>
      <c r="AL2620">
        <f>IF($AK2620=1,SUMPRODUCT(--($AO$2:$AO$3001&lt;$AO2620))+1,"")</f>
        <v/>
      </c>
      <c r="AM2620">
        <f>IF($D2620="","",IF(OR($R2620=TRUE(),$R2620="TRUE"),1,0))</f>
        <v/>
      </c>
      <c r="AN2620">
        <f>IF($D2620="","",IF($X2620="Yes",1,0))</f>
        <v/>
      </c>
      <c r="AO2620">
        <f>IF($AK2620=1,IFERROR(IF(VALUE($D2620)&lt;100000000,VALUE($D2620),1000000000),IFERROR(IF(VALUE(MID($D2620,2,20))&lt;100000000,VALUE(MID($D2620,2,20)),1000000000),1000000000))+ROW()/100000,"")</f>
        <v/>
      </c>
    </row>
    <row r="2621">
      <c r="F2621" s="11" t="n"/>
      <c r="N2621" s="7">
        <f>IF($D2621="","",M2621*V2621/100)</f>
        <v/>
      </c>
      <c r="O2621" s="7" t="n"/>
      <c r="U2621" s="7" t="n"/>
      <c r="V2621" s="7" t="n"/>
      <c r="Y2621">
        <f>IF($D2621="","",IF($AN2621=1,0,IF($AM2621=1,Settings!$C$6,Settings!$C$7))*100)</f>
        <v/>
      </c>
      <c r="Z2621" s="7">
        <f>IF($D2621="","",V2621*Y2621/100)</f>
        <v/>
      </c>
      <c r="AA2621" s="7">
        <f>IF($D2621="","",V2621-Z2621)</f>
        <v/>
      </c>
      <c r="AB2621" s="7">
        <f>IF($D2621="","",AA2621-N2621)</f>
        <v/>
      </c>
      <c r="AF2621" s="7" t="n"/>
      <c r="AI2621" s="11" t="n"/>
      <c r="AK2621">
        <f>IF($D2621="","",IF(COUNTIF($D$2:$D2621,$D2621)=1,1,0))</f>
        <v/>
      </c>
      <c r="AL2621">
        <f>IF($AK2621=1,SUMPRODUCT(--($AO$2:$AO$3001&lt;$AO2621))+1,"")</f>
        <v/>
      </c>
      <c r="AM2621">
        <f>IF($D2621="","",IF(OR($R2621=TRUE(),$R2621="TRUE"),1,0))</f>
        <v/>
      </c>
      <c r="AN2621">
        <f>IF($D2621="","",IF($X2621="Yes",1,0))</f>
        <v/>
      </c>
      <c r="AO2621">
        <f>IF($AK2621=1,IFERROR(IF(VALUE($D2621)&lt;100000000,VALUE($D2621),1000000000),IFERROR(IF(VALUE(MID($D2621,2,20))&lt;100000000,VALUE(MID($D2621,2,20)),1000000000),1000000000))+ROW()/100000,"")</f>
        <v/>
      </c>
    </row>
    <row r="2622">
      <c r="F2622" s="11" t="n"/>
      <c r="N2622" s="7">
        <f>IF($D2622="","",M2622*V2622/100)</f>
        <v/>
      </c>
      <c r="O2622" s="7" t="n"/>
      <c r="U2622" s="7" t="n"/>
      <c r="V2622" s="7" t="n"/>
      <c r="Y2622">
        <f>IF($D2622="","",IF($AN2622=1,0,IF($AM2622=1,Settings!$C$6,Settings!$C$7))*100)</f>
        <v/>
      </c>
      <c r="Z2622" s="7">
        <f>IF($D2622="","",V2622*Y2622/100)</f>
        <v/>
      </c>
      <c r="AA2622" s="7">
        <f>IF($D2622="","",V2622-Z2622)</f>
        <v/>
      </c>
      <c r="AB2622" s="7">
        <f>IF($D2622="","",AA2622-N2622)</f>
        <v/>
      </c>
      <c r="AF2622" s="7" t="n"/>
      <c r="AI2622" s="11" t="n"/>
      <c r="AK2622">
        <f>IF($D2622="","",IF(COUNTIF($D$2:$D2622,$D2622)=1,1,0))</f>
        <v/>
      </c>
      <c r="AL2622">
        <f>IF($AK2622=1,SUMPRODUCT(--($AO$2:$AO$3001&lt;$AO2622))+1,"")</f>
        <v/>
      </c>
      <c r="AM2622">
        <f>IF($D2622="","",IF(OR($R2622=TRUE(),$R2622="TRUE"),1,0))</f>
        <v/>
      </c>
      <c r="AN2622">
        <f>IF($D2622="","",IF($X2622="Yes",1,0))</f>
        <v/>
      </c>
      <c r="AO2622">
        <f>IF($AK2622=1,IFERROR(IF(VALUE($D2622)&lt;100000000,VALUE($D2622),1000000000),IFERROR(IF(VALUE(MID($D2622,2,20))&lt;100000000,VALUE(MID($D2622,2,20)),1000000000),1000000000))+ROW()/100000,"")</f>
        <v/>
      </c>
    </row>
    <row r="2623">
      <c r="F2623" s="11" t="n"/>
      <c r="N2623" s="7">
        <f>IF($D2623="","",M2623*V2623/100)</f>
        <v/>
      </c>
      <c r="O2623" s="7" t="n"/>
      <c r="U2623" s="7" t="n"/>
      <c r="V2623" s="7" t="n"/>
      <c r="Y2623">
        <f>IF($D2623="","",IF($AN2623=1,0,IF($AM2623=1,Settings!$C$6,Settings!$C$7))*100)</f>
        <v/>
      </c>
      <c r="Z2623" s="7">
        <f>IF($D2623="","",V2623*Y2623/100)</f>
        <v/>
      </c>
      <c r="AA2623" s="7">
        <f>IF($D2623="","",V2623-Z2623)</f>
        <v/>
      </c>
      <c r="AB2623" s="7">
        <f>IF($D2623="","",AA2623-N2623)</f>
        <v/>
      </c>
      <c r="AF2623" s="7" t="n"/>
      <c r="AI2623" s="11" t="n"/>
      <c r="AK2623">
        <f>IF($D2623="","",IF(COUNTIF($D$2:$D2623,$D2623)=1,1,0))</f>
        <v/>
      </c>
      <c r="AL2623">
        <f>IF($AK2623=1,SUMPRODUCT(--($AO$2:$AO$3001&lt;$AO2623))+1,"")</f>
        <v/>
      </c>
      <c r="AM2623">
        <f>IF($D2623="","",IF(OR($R2623=TRUE(),$R2623="TRUE"),1,0))</f>
        <v/>
      </c>
      <c r="AN2623">
        <f>IF($D2623="","",IF($X2623="Yes",1,0))</f>
        <v/>
      </c>
      <c r="AO2623">
        <f>IF($AK2623=1,IFERROR(IF(VALUE($D2623)&lt;100000000,VALUE($D2623),1000000000),IFERROR(IF(VALUE(MID($D2623,2,20))&lt;100000000,VALUE(MID($D2623,2,20)),1000000000),1000000000))+ROW()/100000,"")</f>
        <v/>
      </c>
    </row>
    <row r="2624">
      <c r="F2624" s="11" t="n"/>
      <c r="N2624" s="7">
        <f>IF($D2624="","",M2624*V2624/100)</f>
        <v/>
      </c>
      <c r="O2624" s="7" t="n"/>
      <c r="U2624" s="7" t="n"/>
      <c r="V2624" s="7" t="n"/>
      <c r="Y2624">
        <f>IF($D2624="","",IF($AN2624=1,0,IF($AM2624=1,Settings!$C$6,Settings!$C$7))*100)</f>
        <v/>
      </c>
      <c r="Z2624" s="7">
        <f>IF($D2624="","",V2624*Y2624/100)</f>
        <v/>
      </c>
      <c r="AA2624" s="7">
        <f>IF($D2624="","",V2624-Z2624)</f>
        <v/>
      </c>
      <c r="AB2624" s="7">
        <f>IF($D2624="","",AA2624-N2624)</f>
        <v/>
      </c>
      <c r="AF2624" s="7" t="n"/>
      <c r="AI2624" s="11" t="n"/>
      <c r="AK2624">
        <f>IF($D2624="","",IF(COUNTIF($D$2:$D2624,$D2624)=1,1,0))</f>
        <v/>
      </c>
      <c r="AL2624">
        <f>IF($AK2624=1,SUMPRODUCT(--($AO$2:$AO$3001&lt;$AO2624))+1,"")</f>
        <v/>
      </c>
      <c r="AM2624">
        <f>IF($D2624="","",IF(OR($R2624=TRUE(),$R2624="TRUE"),1,0))</f>
        <v/>
      </c>
      <c r="AN2624">
        <f>IF($D2624="","",IF($X2624="Yes",1,0))</f>
        <v/>
      </c>
      <c r="AO2624">
        <f>IF($AK2624=1,IFERROR(IF(VALUE($D2624)&lt;100000000,VALUE($D2624),1000000000),IFERROR(IF(VALUE(MID($D2624,2,20))&lt;100000000,VALUE(MID($D2624,2,20)),1000000000),1000000000))+ROW()/100000,"")</f>
        <v/>
      </c>
    </row>
    <row r="2625">
      <c r="F2625" s="11" t="n"/>
      <c r="N2625" s="7">
        <f>IF($D2625="","",M2625*V2625/100)</f>
        <v/>
      </c>
      <c r="O2625" s="7" t="n"/>
      <c r="U2625" s="7" t="n"/>
      <c r="V2625" s="7" t="n"/>
      <c r="Y2625">
        <f>IF($D2625="","",IF($AN2625=1,0,IF($AM2625=1,Settings!$C$6,Settings!$C$7))*100)</f>
        <v/>
      </c>
      <c r="Z2625" s="7">
        <f>IF($D2625="","",V2625*Y2625/100)</f>
        <v/>
      </c>
      <c r="AA2625" s="7">
        <f>IF($D2625="","",V2625-Z2625)</f>
        <v/>
      </c>
      <c r="AB2625" s="7">
        <f>IF($D2625="","",AA2625-N2625)</f>
        <v/>
      </c>
      <c r="AF2625" s="7" t="n"/>
      <c r="AI2625" s="11" t="n"/>
      <c r="AK2625">
        <f>IF($D2625="","",IF(COUNTIF($D$2:$D2625,$D2625)=1,1,0))</f>
        <v/>
      </c>
      <c r="AL2625">
        <f>IF($AK2625=1,SUMPRODUCT(--($AO$2:$AO$3001&lt;$AO2625))+1,"")</f>
        <v/>
      </c>
      <c r="AM2625">
        <f>IF($D2625="","",IF(OR($R2625=TRUE(),$R2625="TRUE"),1,0))</f>
        <v/>
      </c>
      <c r="AN2625">
        <f>IF($D2625="","",IF($X2625="Yes",1,0))</f>
        <v/>
      </c>
      <c r="AO2625">
        <f>IF($AK2625=1,IFERROR(IF(VALUE($D2625)&lt;100000000,VALUE($D2625),1000000000),IFERROR(IF(VALUE(MID($D2625,2,20))&lt;100000000,VALUE(MID($D2625,2,20)),1000000000),1000000000))+ROW()/100000,"")</f>
        <v/>
      </c>
    </row>
    <row r="2626">
      <c r="F2626" s="11" t="n"/>
      <c r="N2626" s="7">
        <f>IF($D2626="","",M2626*V2626/100)</f>
        <v/>
      </c>
      <c r="O2626" s="7" t="n"/>
      <c r="U2626" s="7" t="n"/>
      <c r="V2626" s="7" t="n"/>
      <c r="Y2626">
        <f>IF($D2626="","",IF($AN2626=1,0,IF($AM2626=1,Settings!$C$6,Settings!$C$7))*100)</f>
        <v/>
      </c>
      <c r="Z2626" s="7">
        <f>IF($D2626="","",V2626*Y2626/100)</f>
        <v/>
      </c>
      <c r="AA2626" s="7">
        <f>IF($D2626="","",V2626-Z2626)</f>
        <v/>
      </c>
      <c r="AB2626" s="7">
        <f>IF($D2626="","",AA2626-N2626)</f>
        <v/>
      </c>
      <c r="AF2626" s="7" t="n"/>
      <c r="AI2626" s="11" t="n"/>
      <c r="AK2626">
        <f>IF($D2626="","",IF(COUNTIF($D$2:$D2626,$D2626)=1,1,0))</f>
        <v/>
      </c>
      <c r="AL2626">
        <f>IF($AK2626=1,SUMPRODUCT(--($AO$2:$AO$3001&lt;$AO2626))+1,"")</f>
        <v/>
      </c>
      <c r="AM2626">
        <f>IF($D2626="","",IF(OR($R2626=TRUE(),$R2626="TRUE"),1,0))</f>
        <v/>
      </c>
      <c r="AN2626">
        <f>IF($D2626="","",IF($X2626="Yes",1,0))</f>
        <v/>
      </c>
      <c r="AO2626">
        <f>IF($AK2626=1,IFERROR(IF(VALUE($D2626)&lt;100000000,VALUE($D2626),1000000000),IFERROR(IF(VALUE(MID($D2626,2,20))&lt;100000000,VALUE(MID($D2626,2,20)),1000000000),1000000000))+ROW()/100000,"")</f>
        <v/>
      </c>
    </row>
    <row r="2627">
      <c r="F2627" s="11" t="n"/>
      <c r="N2627" s="7">
        <f>IF($D2627="","",M2627*V2627/100)</f>
        <v/>
      </c>
      <c r="O2627" s="7" t="n"/>
      <c r="U2627" s="7" t="n"/>
      <c r="V2627" s="7" t="n"/>
      <c r="Y2627">
        <f>IF($D2627="","",IF($AN2627=1,0,IF($AM2627=1,Settings!$C$6,Settings!$C$7))*100)</f>
        <v/>
      </c>
      <c r="Z2627" s="7">
        <f>IF($D2627="","",V2627*Y2627/100)</f>
        <v/>
      </c>
      <c r="AA2627" s="7">
        <f>IF($D2627="","",V2627-Z2627)</f>
        <v/>
      </c>
      <c r="AB2627" s="7">
        <f>IF($D2627="","",AA2627-N2627)</f>
        <v/>
      </c>
      <c r="AF2627" s="7" t="n"/>
      <c r="AI2627" s="11" t="n"/>
      <c r="AK2627">
        <f>IF($D2627="","",IF(COUNTIF($D$2:$D2627,$D2627)=1,1,0))</f>
        <v/>
      </c>
      <c r="AL2627">
        <f>IF($AK2627=1,SUMPRODUCT(--($AO$2:$AO$3001&lt;$AO2627))+1,"")</f>
        <v/>
      </c>
      <c r="AM2627">
        <f>IF($D2627="","",IF(OR($R2627=TRUE(),$R2627="TRUE"),1,0))</f>
        <v/>
      </c>
      <c r="AN2627">
        <f>IF($D2627="","",IF($X2627="Yes",1,0))</f>
        <v/>
      </c>
      <c r="AO2627">
        <f>IF($AK2627=1,IFERROR(IF(VALUE($D2627)&lt;100000000,VALUE($D2627),1000000000),IFERROR(IF(VALUE(MID($D2627,2,20))&lt;100000000,VALUE(MID($D2627,2,20)),1000000000),1000000000))+ROW()/100000,"")</f>
        <v/>
      </c>
    </row>
    <row r="2628">
      <c r="F2628" s="11" t="n"/>
      <c r="N2628" s="7">
        <f>IF($D2628="","",M2628*V2628/100)</f>
        <v/>
      </c>
      <c r="O2628" s="7" t="n"/>
      <c r="U2628" s="7" t="n"/>
      <c r="V2628" s="7" t="n"/>
      <c r="Y2628">
        <f>IF($D2628="","",IF($AN2628=1,0,IF($AM2628=1,Settings!$C$6,Settings!$C$7))*100)</f>
        <v/>
      </c>
      <c r="Z2628" s="7">
        <f>IF($D2628="","",V2628*Y2628/100)</f>
        <v/>
      </c>
      <c r="AA2628" s="7">
        <f>IF($D2628="","",V2628-Z2628)</f>
        <v/>
      </c>
      <c r="AB2628" s="7">
        <f>IF($D2628="","",AA2628-N2628)</f>
        <v/>
      </c>
      <c r="AF2628" s="7" t="n"/>
      <c r="AI2628" s="11" t="n"/>
      <c r="AK2628">
        <f>IF($D2628="","",IF(COUNTIF($D$2:$D2628,$D2628)=1,1,0))</f>
        <v/>
      </c>
      <c r="AL2628">
        <f>IF($AK2628=1,SUMPRODUCT(--($AO$2:$AO$3001&lt;$AO2628))+1,"")</f>
        <v/>
      </c>
      <c r="AM2628">
        <f>IF($D2628="","",IF(OR($R2628=TRUE(),$R2628="TRUE"),1,0))</f>
        <v/>
      </c>
      <c r="AN2628">
        <f>IF($D2628="","",IF($X2628="Yes",1,0))</f>
        <v/>
      </c>
      <c r="AO2628">
        <f>IF($AK2628=1,IFERROR(IF(VALUE($D2628)&lt;100000000,VALUE($D2628),1000000000),IFERROR(IF(VALUE(MID($D2628,2,20))&lt;100000000,VALUE(MID($D2628,2,20)),1000000000),1000000000))+ROW()/100000,"")</f>
        <v/>
      </c>
    </row>
    <row r="2629">
      <c r="F2629" s="11" t="n"/>
      <c r="N2629" s="7">
        <f>IF($D2629="","",M2629*V2629/100)</f>
        <v/>
      </c>
      <c r="O2629" s="7" t="n"/>
      <c r="U2629" s="7" t="n"/>
      <c r="V2629" s="7" t="n"/>
      <c r="Y2629">
        <f>IF($D2629="","",IF($AN2629=1,0,IF($AM2629=1,Settings!$C$6,Settings!$C$7))*100)</f>
        <v/>
      </c>
      <c r="Z2629" s="7">
        <f>IF($D2629="","",V2629*Y2629/100)</f>
        <v/>
      </c>
      <c r="AA2629" s="7">
        <f>IF($D2629="","",V2629-Z2629)</f>
        <v/>
      </c>
      <c r="AB2629" s="7">
        <f>IF($D2629="","",AA2629-N2629)</f>
        <v/>
      </c>
      <c r="AF2629" s="7" t="n"/>
      <c r="AI2629" s="11" t="n"/>
      <c r="AK2629">
        <f>IF($D2629="","",IF(COUNTIF($D$2:$D2629,$D2629)=1,1,0))</f>
        <v/>
      </c>
      <c r="AL2629">
        <f>IF($AK2629=1,SUMPRODUCT(--($AO$2:$AO$3001&lt;$AO2629))+1,"")</f>
        <v/>
      </c>
      <c r="AM2629">
        <f>IF($D2629="","",IF(OR($R2629=TRUE(),$R2629="TRUE"),1,0))</f>
        <v/>
      </c>
      <c r="AN2629">
        <f>IF($D2629="","",IF($X2629="Yes",1,0))</f>
        <v/>
      </c>
      <c r="AO2629">
        <f>IF($AK2629=1,IFERROR(IF(VALUE($D2629)&lt;100000000,VALUE($D2629),1000000000),IFERROR(IF(VALUE(MID($D2629,2,20))&lt;100000000,VALUE(MID($D2629,2,20)),1000000000),1000000000))+ROW()/100000,"")</f>
        <v/>
      </c>
    </row>
    <row r="2630">
      <c r="F2630" s="11" t="n"/>
      <c r="N2630" s="7">
        <f>IF($D2630="","",M2630*V2630/100)</f>
        <v/>
      </c>
      <c r="O2630" s="7" t="n"/>
      <c r="U2630" s="7" t="n"/>
      <c r="V2630" s="7" t="n"/>
      <c r="Y2630">
        <f>IF($D2630="","",IF($AN2630=1,0,IF($AM2630=1,Settings!$C$6,Settings!$C$7))*100)</f>
        <v/>
      </c>
      <c r="Z2630" s="7">
        <f>IF($D2630="","",V2630*Y2630/100)</f>
        <v/>
      </c>
      <c r="AA2630" s="7">
        <f>IF($D2630="","",V2630-Z2630)</f>
        <v/>
      </c>
      <c r="AB2630" s="7">
        <f>IF($D2630="","",AA2630-N2630)</f>
        <v/>
      </c>
      <c r="AF2630" s="7" t="n"/>
      <c r="AI2630" s="11" t="n"/>
      <c r="AK2630">
        <f>IF($D2630="","",IF(COUNTIF($D$2:$D2630,$D2630)=1,1,0))</f>
        <v/>
      </c>
      <c r="AL2630">
        <f>IF($AK2630=1,SUMPRODUCT(--($AO$2:$AO$3001&lt;$AO2630))+1,"")</f>
        <v/>
      </c>
      <c r="AM2630">
        <f>IF($D2630="","",IF(OR($R2630=TRUE(),$R2630="TRUE"),1,0))</f>
        <v/>
      </c>
      <c r="AN2630">
        <f>IF($D2630="","",IF($X2630="Yes",1,0))</f>
        <v/>
      </c>
      <c r="AO2630">
        <f>IF($AK2630=1,IFERROR(IF(VALUE($D2630)&lt;100000000,VALUE($D2630),1000000000),IFERROR(IF(VALUE(MID($D2630,2,20))&lt;100000000,VALUE(MID($D2630,2,20)),1000000000),1000000000))+ROW()/100000,"")</f>
        <v/>
      </c>
    </row>
    <row r="2631">
      <c r="F2631" s="11" t="n"/>
      <c r="N2631" s="7">
        <f>IF($D2631="","",M2631*V2631/100)</f>
        <v/>
      </c>
      <c r="O2631" s="7" t="n"/>
      <c r="U2631" s="7" t="n"/>
      <c r="V2631" s="7" t="n"/>
      <c r="Y2631">
        <f>IF($D2631="","",IF($AN2631=1,0,IF($AM2631=1,Settings!$C$6,Settings!$C$7))*100)</f>
        <v/>
      </c>
      <c r="Z2631" s="7">
        <f>IF($D2631="","",V2631*Y2631/100)</f>
        <v/>
      </c>
      <c r="AA2631" s="7">
        <f>IF($D2631="","",V2631-Z2631)</f>
        <v/>
      </c>
      <c r="AB2631" s="7">
        <f>IF($D2631="","",AA2631-N2631)</f>
        <v/>
      </c>
      <c r="AF2631" s="7" t="n"/>
      <c r="AI2631" s="11" t="n"/>
      <c r="AK2631">
        <f>IF($D2631="","",IF(COUNTIF($D$2:$D2631,$D2631)=1,1,0))</f>
        <v/>
      </c>
      <c r="AL2631">
        <f>IF($AK2631=1,SUMPRODUCT(--($AO$2:$AO$3001&lt;$AO2631))+1,"")</f>
        <v/>
      </c>
      <c r="AM2631">
        <f>IF($D2631="","",IF(OR($R2631=TRUE(),$R2631="TRUE"),1,0))</f>
        <v/>
      </c>
      <c r="AN2631">
        <f>IF($D2631="","",IF($X2631="Yes",1,0))</f>
        <v/>
      </c>
      <c r="AO2631">
        <f>IF($AK2631=1,IFERROR(IF(VALUE($D2631)&lt;100000000,VALUE($D2631),1000000000),IFERROR(IF(VALUE(MID($D2631,2,20))&lt;100000000,VALUE(MID($D2631,2,20)),1000000000),1000000000))+ROW()/100000,"")</f>
        <v/>
      </c>
    </row>
    <row r="2632">
      <c r="F2632" s="11" t="n"/>
      <c r="N2632" s="7">
        <f>IF($D2632="","",M2632*V2632/100)</f>
        <v/>
      </c>
      <c r="O2632" s="7" t="n"/>
      <c r="U2632" s="7" t="n"/>
      <c r="V2632" s="7" t="n"/>
      <c r="Y2632">
        <f>IF($D2632="","",IF($AN2632=1,0,IF($AM2632=1,Settings!$C$6,Settings!$C$7))*100)</f>
        <v/>
      </c>
      <c r="Z2632" s="7">
        <f>IF($D2632="","",V2632*Y2632/100)</f>
        <v/>
      </c>
      <c r="AA2632" s="7">
        <f>IF($D2632="","",V2632-Z2632)</f>
        <v/>
      </c>
      <c r="AB2632" s="7">
        <f>IF($D2632="","",AA2632-N2632)</f>
        <v/>
      </c>
      <c r="AF2632" s="7" t="n"/>
      <c r="AI2632" s="11" t="n"/>
      <c r="AK2632">
        <f>IF($D2632="","",IF(COUNTIF($D$2:$D2632,$D2632)=1,1,0))</f>
        <v/>
      </c>
      <c r="AL2632">
        <f>IF($AK2632=1,SUMPRODUCT(--($AO$2:$AO$3001&lt;$AO2632))+1,"")</f>
        <v/>
      </c>
      <c r="AM2632">
        <f>IF($D2632="","",IF(OR($R2632=TRUE(),$R2632="TRUE"),1,0))</f>
        <v/>
      </c>
      <c r="AN2632">
        <f>IF($D2632="","",IF($X2632="Yes",1,0))</f>
        <v/>
      </c>
      <c r="AO2632">
        <f>IF($AK2632=1,IFERROR(IF(VALUE($D2632)&lt;100000000,VALUE($D2632),1000000000),IFERROR(IF(VALUE(MID($D2632,2,20))&lt;100000000,VALUE(MID($D2632,2,20)),1000000000),1000000000))+ROW()/100000,"")</f>
        <v/>
      </c>
    </row>
    <row r="2633">
      <c r="F2633" s="11" t="n"/>
      <c r="N2633" s="7">
        <f>IF($D2633="","",M2633*V2633/100)</f>
        <v/>
      </c>
      <c r="O2633" s="7" t="n"/>
      <c r="U2633" s="7" t="n"/>
      <c r="V2633" s="7" t="n"/>
      <c r="Y2633">
        <f>IF($D2633="","",IF($AN2633=1,0,IF($AM2633=1,Settings!$C$6,Settings!$C$7))*100)</f>
        <v/>
      </c>
      <c r="Z2633" s="7">
        <f>IF($D2633="","",V2633*Y2633/100)</f>
        <v/>
      </c>
      <c r="AA2633" s="7">
        <f>IF($D2633="","",V2633-Z2633)</f>
        <v/>
      </c>
      <c r="AB2633" s="7">
        <f>IF($D2633="","",AA2633-N2633)</f>
        <v/>
      </c>
      <c r="AF2633" s="7" t="n"/>
      <c r="AI2633" s="11" t="n"/>
      <c r="AK2633">
        <f>IF($D2633="","",IF(COUNTIF($D$2:$D2633,$D2633)=1,1,0))</f>
        <v/>
      </c>
      <c r="AL2633">
        <f>IF($AK2633=1,SUMPRODUCT(--($AO$2:$AO$3001&lt;$AO2633))+1,"")</f>
        <v/>
      </c>
      <c r="AM2633">
        <f>IF($D2633="","",IF(OR($R2633=TRUE(),$R2633="TRUE"),1,0))</f>
        <v/>
      </c>
      <c r="AN2633">
        <f>IF($D2633="","",IF($X2633="Yes",1,0))</f>
        <v/>
      </c>
      <c r="AO2633">
        <f>IF($AK2633=1,IFERROR(IF(VALUE($D2633)&lt;100000000,VALUE($D2633),1000000000),IFERROR(IF(VALUE(MID($D2633,2,20))&lt;100000000,VALUE(MID($D2633,2,20)),1000000000),1000000000))+ROW()/100000,"")</f>
        <v/>
      </c>
    </row>
    <row r="2634">
      <c r="F2634" s="11" t="n"/>
      <c r="N2634" s="7">
        <f>IF($D2634="","",M2634*V2634/100)</f>
        <v/>
      </c>
      <c r="O2634" s="7" t="n"/>
      <c r="U2634" s="7" t="n"/>
      <c r="V2634" s="7" t="n"/>
      <c r="Y2634">
        <f>IF($D2634="","",IF($AN2634=1,0,IF($AM2634=1,Settings!$C$6,Settings!$C$7))*100)</f>
        <v/>
      </c>
      <c r="Z2634" s="7">
        <f>IF($D2634="","",V2634*Y2634/100)</f>
        <v/>
      </c>
      <c r="AA2634" s="7">
        <f>IF($D2634="","",V2634-Z2634)</f>
        <v/>
      </c>
      <c r="AB2634" s="7">
        <f>IF($D2634="","",AA2634-N2634)</f>
        <v/>
      </c>
      <c r="AF2634" s="7" t="n"/>
      <c r="AI2634" s="11" t="n"/>
      <c r="AK2634">
        <f>IF($D2634="","",IF(COUNTIF($D$2:$D2634,$D2634)=1,1,0))</f>
        <v/>
      </c>
      <c r="AL2634">
        <f>IF($AK2634=1,SUMPRODUCT(--($AO$2:$AO$3001&lt;$AO2634))+1,"")</f>
        <v/>
      </c>
      <c r="AM2634">
        <f>IF($D2634="","",IF(OR($R2634=TRUE(),$R2634="TRUE"),1,0))</f>
        <v/>
      </c>
      <c r="AN2634">
        <f>IF($D2634="","",IF($X2634="Yes",1,0))</f>
        <v/>
      </c>
      <c r="AO2634">
        <f>IF($AK2634=1,IFERROR(IF(VALUE($D2634)&lt;100000000,VALUE($D2634),1000000000),IFERROR(IF(VALUE(MID($D2634,2,20))&lt;100000000,VALUE(MID($D2634,2,20)),1000000000),1000000000))+ROW()/100000,"")</f>
        <v/>
      </c>
    </row>
    <row r="2635">
      <c r="F2635" s="11" t="n"/>
      <c r="N2635" s="7">
        <f>IF($D2635="","",M2635*V2635/100)</f>
        <v/>
      </c>
      <c r="O2635" s="7" t="n"/>
      <c r="U2635" s="7" t="n"/>
      <c r="V2635" s="7" t="n"/>
      <c r="Y2635">
        <f>IF($D2635="","",IF($AN2635=1,0,IF($AM2635=1,Settings!$C$6,Settings!$C$7))*100)</f>
        <v/>
      </c>
      <c r="Z2635" s="7">
        <f>IF($D2635="","",V2635*Y2635/100)</f>
        <v/>
      </c>
      <c r="AA2635" s="7">
        <f>IF($D2635="","",V2635-Z2635)</f>
        <v/>
      </c>
      <c r="AB2635" s="7">
        <f>IF($D2635="","",AA2635-N2635)</f>
        <v/>
      </c>
      <c r="AF2635" s="7" t="n"/>
      <c r="AI2635" s="11" t="n"/>
      <c r="AK2635">
        <f>IF($D2635="","",IF(COUNTIF($D$2:$D2635,$D2635)=1,1,0))</f>
        <v/>
      </c>
      <c r="AL2635">
        <f>IF($AK2635=1,SUMPRODUCT(--($AO$2:$AO$3001&lt;$AO2635))+1,"")</f>
        <v/>
      </c>
      <c r="AM2635">
        <f>IF($D2635="","",IF(OR($R2635=TRUE(),$R2635="TRUE"),1,0))</f>
        <v/>
      </c>
      <c r="AN2635">
        <f>IF($D2635="","",IF($X2635="Yes",1,0))</f>
        <v/>
      </c>
      <c r="AO2635">
        <f>IF($AK2635=1,IFERROR(IF(VALUE($D2635)&lt;100000000,VALUE($D2635),1000000000),IFERROR(IF(VALUE(MID($D2635,2,20))&lt;100000000,VALUE(MID($D2635,2,20)),1000000000),1000000000))+ROW()/100000,"")</f>
        <v/>
      </c>
    </row>
    <row r="2636">
      <c r="F2636" s="11" t="n"/>
      <c r="N2636" s="7">
        <f>IF($D2636="","",M2636*V2636/100)</f>
        <v/>
      </c>
      <c r="O2636" s="7" t="n"/>
      <c r="U2636" s="7" t="n"/>
      <c r="V2636" s="7" t="n"/>
      <c r="Y2636">
        <f>IF($D2636="","",IF($AN2636=1,0,IF($AM2636=1,Settings!$C$6,Settings!$C$7))*100)</f>
        <v/>
      </c>
      <c r="Z2636" s="7">
        <f>IF($D2636="","",V2636*Y2636/100)</f>
        <v/>
      </c>
      <c r="AA2636" s="7">
        <f>IF($D2636="","",V2636-Z2636)</f>
        <v/>
      </c>
      <c r="AB2636" s="7">
        <f>IF($D2636="","",AA2636-N2636)</f>
        <v/>
      </c>
      <c r="AF2636" s="7" t="n"/>
      <c r="AI2636" s="11" t="n"/>
      <c r="AK2636">
        <f>IF($D2636="","",IF(COUNTIF($D$2:$D2636,$D2636)=1,1,0))</f>
        <v/>
      </c>
      <c r="AL2636">
        <f>IF($AK2636=1,SUMPRODUCT(--($AO$2:$AO$3001&lt;$AO2636))+1,"")</f>
        <v/>
      </c>
      <c r="AM2636">
        <f>IF($D2636="","",IF(OR($R2636=TRUE(),$R2636="TRUE"),1,0))</f>
        <v/>
      </c>
      <c r="AN2636">
        <f>IF($D2636="","",IF($X2636="Yes",1,0))</f>
        <v/>
      </c>
      <c r="AO2636">
        <f>IF($AK2636=1,IFERROR(IF(VALUE($D2636)&lt;100000000,VALUE($D2636),1000000000),IFERROR(IF(VALUE(MID($D2636,2,20))&lt;100000000,VALUE(MID($D2636,2,20)),1000000000),1000000000))+ROW()/100000,"")</f>
        <v/>
      </c>
    </row>
    <row r="2637">
      <c r="F2637" s="11" t="n"/>
      <c r="N2637" s="7">
        <f>IF($D2637="","",M2637*V2637/100)</f>
        <v/>
      </c>
      <c r="O2637" s="7" t="n"/>
      <c r="U2637" s="7" t="n"/>
      <c r="V2637" s="7" t="n"/>
      <c r="Y2637">
        <f>IF($D2637="","",IF($AN2637=1,0,IF($AM2637=1,Settings!$C$6,Settings!$C$7))*100)</f>
        <v/>
      </c>
      <c r="Z2637" s="7">
        <f>IF($D2637="","",V2637*Y2637/100)</f>
        <v/>
      </c>
      <c r="AA2637" s="7">
        <f>IF($D2637="","",V2637-Z2637)</f>
        <v/>
      </c>
      <c r="AB2637" s="7">
        <f>IF($D2637="","",AA2637-N2637)</f>
        <v/>
      </c>
      <c r="AF2637" s="7" t="n"/>
      <c r="AI2637" s="11" t="n"/>
      <c r="AK2637">
        <f>IF($D2637="","",IF(COUNTIF($D$2:$D2637,$D2637)=1,1,0))</f>
        <v/>
      </c>
      <c r="AL2637">
        <f>IF($AK2637=1,SUMPRODUCT(--($AO$2:$AO$3001&lt;$AO2637))+1,"")</f>
        <v/>
      </c>
      <c r="AM2637">
        <f>IF($D2637="","",IF(OR($R2637=TRUE(),$R2637="TRUE"),1,0))</f>
        <v/>
      </c>
      <c r="AN2637">
        <f>IF($D2637="","",IF($X2637="Yes",1,0))</f>
        <v/>
      </c>
      <c r="AO2637">
        <f>IF($AK2637=1,IFERROR(IF(VALUE($D2637)&lt;100000000,VALUE($D2637),1000000000),IFERROR(IF(VALUE(MID($D2637,2,20))&lt;100000000,VALUE(MID($D2637,2,20)),1000000000),1000000000))+ROW()/100000,"")</f>
        <v/>
      </c>
    </row>
    <row r="2638">
      <c r="F2638" s="11" t="n"/>
      <c r="N2638" s="7">
        <f>IF($D2638="","",M2638*V2638/100)</f>
        <v/>
      </c>
      <c r="O2638" s="7" t="n"/>
      <c r="U2638" s="7" t="n"/>
      <c r="V2638" s="7" t="n"/>
      <c r="Y2638">
        <f>IF($D2638="","",IF($AN2638=1,0,IF($AM2638=1,Settings!$C$6,Settings!$C$7))*100)</f>
        <v/>
      </c>
      <c r="Z2638" s="7">
        <f>IF($D2638="","",V2638*Y2638/100)</f>
        <v/>
      </c>
      <c r="AA2638" s="7">
        <f>IF($D2638="","",V2638-Z2638)</f>
        <v/>
      </c>
      <c r="AB2638" s="7">
        <f>IF($D2638="","",AA2638-N2638)</f>
        <v/>
      </c>
      <c r="AF2638" s="7" t="n"/>
      <c r="AI2638" s="11" t="n"/>
      <c r="AK2638">
        <f>IF($D2638="","",IF(COUNTIF($D$2:$D2638,$D2638)=1,1,0))</f>
        <v/>
      </c>
      <c r="AL2638">
        <f>IF($AK2638=1,SUMPRODUCT(--($AO$2:$AO$3001&lt;$AO2638))+1,"")</f>
        <v/>
      </c>
      <c r="AM2638">
        <f>IF($D2638="","",IF(OR($R2638=TRUE(),$R2638="TRUE"),1,0))</f>
        <v/>
      </c>
      <c r="AN2638">
        <f>IF($D2638="","",IF($X2638="Yes",1,0))</f>
        <v/>
      </c>
      <c r="AO2638">
        <f>IF($AK2638=1,IFERROR(IF(VALUE($D2638)&lt;100000000,VALUE($D2638),1000000000),IFERROR(IF(VALUE(MID($D2638,2,20))&lt;100000000,VALUE(MID($D2638,2,20)),1000000000),1000000000))+ROW()/100000,"")</f>
        <v/>
      </c>
    </row>
    <row r="2639">
      <c r="F2639" s="11" t="n"/>
      <c r="N2639" s="7">
        <f>IF($D2639="","",M2639*V2639/100)</f>
        <v/>
      </c>
      <c r="O2639" s="7" t="n"/>
      <c r="U2639" s="7" t="n"/>
      <c r="V2639" s="7" t="n"/>
      <c r="Y2639">
        <f>IF($D2639="","",IF($AN2639=1,0,IF($AM2639=1,Settings!$C$6,Settings!$C$7))*100)</f>
        <v/>
      </c>
      <c r="Z2639" s="7">
        <f>IF($D2639="","",V2639*Y2639/100)</f>
        <v/>
      </c>
      <c r="AA2639" s="7">
        <f>IF($D2639="","",V2639-Z2639)</f>
        <v/>
      </c>
      <c r="AB2639" s="7">
        <f>IF($D2639="","",AA2639-N2639)</f>
        <v/>
      </c>
      <c r="AF2639" s="7" t="n"/>
      <c r="AI2639" s="11" t="n"/>
      <c r="AK2639">
        <f>IF($D2639="","",IF(COUNTIF($D$2:$D2639,$D2639)=1,1,0))</f>
        <v/>
      </c>
      <c r="AL2639">
        <f>IF($AK2639=1,SUMPRODUCT(--($AO$2:$AO$3001&lt;$AO2639))+1,"")</f>
        <v/>
      </c>
      <c r="AM2639">
        <f>IF($D2639="","",IF(OR($R2639=TRUE(),$R2639="TRUE"),1,0))</f>
        <v/>
      </c>
      <c r="AN2639">
        <f>IF($D2639="","",IF($X2639="Yes",1,0))</f>
        <v/>
      </c>
      <c r="AO2639">
        <f>IF($AK2639=1,IFERROR(IF(VALUE($D2639)&lt;100000000,VALUE($D2639),1000000000),IFERROR(IF(VALUE(MID($D2639,2,20))&lt;100000000,VALUE(MID($D2639,2,20)),1000000000),1000000000))+ROW()/100000,"")</f>
        <v/>
      </c>
    </row>
    <row r="2640">
      <c r="F2640" s="11" t="n"/>
      <c r="N2640" s="7">
        <f>IF($D2640="","",M2640*V2640/100)</f>
        <v/>
      </c>
      <c r="O2640" s="7" t="n"/>
      <c r="U2640" s="7" t="n"/>
      <c r="V2640" s="7" t="n"/>
      <c r="Y2640">
        <f>IF($D2640="","",IF($AN2640=1,0,IF($AM2640=1,Settings!$C$6,Settings!$C$7))*100)</f>
        <v/>
      </c>
      <c r="Z2640" s="7">
        <f>IF($D2640="","",V2640*Y2640/100)</f>
        <v/>
      </c>
      <c r="AA2640" s="7">
        <f>IF($D2640="","",V2640-Z2640)</f>
        <v/>
      </c>
      <c r="AB2640" s="7">
        <f>IF($D2640="","",AA2640-N2640)</f>
        <v/>
      </c>
      <c r="AF2640" s="7" t="n"/>
      <c r="AI2640" s="11" t="n"/>
      <c r="AK2640">
        <f>IF($D2640="","",IF(COUNTIF($D$2:$D2640,$D2640)=1,1,0))</f>
        <v/>
      </c>
      <c r="AL2640">
        <f>IF($AK2640=1,SUMPRODUCT(--($AO$2:$AO$3001&lt;$AO2640))+1,"")</f>
        <v/>
      </c>
      <c r="AM2640">
        <f>IF($D2640="","",IF(OR($R2640=TRUE(),$R2640="TRUE"),1,0))</f>
        <v/>
      </c>
      <c r="AN2640">
        <f>IF($D2640="","",IF($X2640="Yes",1,0))</f>
        <v/>
      </c>
      <c r="AO2640">
        <f>IF($AK2640=1,IFERROR(IF(VALUE($D2640)&lt;100000000,VALUE($D2640),1000000000),IFERROR(IF(VALUE(MID($D2640,2,20))&lt;100000000,VALUE(MID($D2640,2,20)),1000000000),1000000000))+ROW()/100000,"")</f>
        <v/>
      </c>
    </row>
    <row r="2641">
      <c r="F2641" s="11" t="n"/>
      <c r="N2641" s="7">
        <f>IF($D2641="","",M2641*V2641/100)</f>
        <v/>
      </c>
      <c r="O2641" s="7" t="n"/>
      <c r="U2641" s="7" t="n"/>
      <c r="V2641" s="7" t="n"/>
      <c r="Y2641">
        <f>IF($D2641="","",IF($AN2641=1,0,IF($AM2641=1,Settings!$C$6,Settings!$C$7))*100)</f>
        <v/>
      </c>
      <c r="Z2641" s="7">
        <f>IF($D2641="","",V2641*Y2641/100)</f>
        <v/>
      </c>
      <c r="AA2641" s="7">
        <f>IF($D2641="","",V2641-Z2641)</f>
        <v/>
      </c>
      <c r="AB2641" s="7">
        <f>IF($D2641="","",AA2641-N2641)</f>
        <v/>
      </c>
      <c r="AF2641" s="7" t="n"/>
      <c r="AI2641" s="11" t="n"/>
      <c r="AK2641">
        <f>IF($D2641="","",IF(COUNTIF($D$2:$D2641,$D2641)=1,1,0))</f>
        <v/>
      </c>
      <c r="AL2641">
        <f>IF($AK2641=1,SUMPRODUCT(--($AO$2:$AO$3001&lt;$AO2641))+1,"")</f>
        <v/>
      </c>
      <c r="AM2641">
        <f>IF($D2641="","",IF(OR($R2641=TRUE(),$R2641="TRUE"),1,0))</f>
        <v/>
      </c>
      <c r="AN2641">
        <f>IF($D2641="","",IF($X2641="Yes",1,0))</f>
        <v/>
      </c>
      <c r="AO2641">
        <f>IF($AK2641=1,IFERROR(IF(VALUE($D2641)&lt;100000000,VALUE($D2641),1000000000),IFERROR(IF(VALUE(MID($D2641,2,20))&lt;100000000,VALUE(MID($D2641,2,20)),1000000000),1000000000))+ROW()/100000,"")</f>
        <v/>
      </c>
    </row>
    <row r="2642">
      <c r="F2642" s="11" t="n"/>
      <c r="N2642" s="7">
        <f>IF($D2642="","",M2642*V2642/100)</f>
        <v/>
      </c>
      <c r="O2642" s="7" t="n"/>
      <c r="U2642" s="7" t="n"/>
      <c r="V2642" s="7" t="n"/>
      <c r="Y2642">
        <f>IF($D2642="","",IF($AN2642=1,0,IF($AM2642=1,Settings!$C$6,Settings!$C$7))*100)</f>
        <v/>
      </c>
      <c r="Z2642" s="7">
        <f>IF($D2642="","",V2642*Y2642/100)</f>
        <v/>
      </c>
      <c r="AA2642" s="7">
        <f>IF($D2642="","",V2642-Z2642)</f>
        <v/>
      </c>
      <c r="AB2642" s="7">
        <f>IF($D2642="","",AA2642-N2642)</f>
        <v/>
      </c>
      <c r="AF2642" s="7" t="n"/>
      <c r="AI2642" s="11" t="n"/>
      <c r="AK2642">
        <f>IF($D2642="","",IF(COUNTIF($D$2:$D2642,$D2642)=1,1,0))</f>
        <v/>
      </c>
      <c r="AL2642">
        <f>IF($AK2642=1,SUMPRODUCT(--($AO$2:$AO$3001&lt;$AO2642))+1,"")</f>
        <v/>
      </c>
      <c r="AM2642">
        <f>IF($D2642="","",IF(OR($R2642=TRUE(),$R2642="TRUE"),1,0))</f>
        <v/>
      </c>
      <c r="AN2642">
        <f>IF($D2642="","",IF($X2642="Yes",1,0))</f>
        <v/>
      </c>
      <c r="AO2642">
        <f>IF($AK2642=1,IFERROR(IF(VALUE($D2642)&lt;100000000,VALUE($D2642),1000000000),IFERROR(IF(VALUE(MID($D2642,2,20))&lt;100000000,VALUE(MID($D2642,2,20)),1000000000),1000000000))+ROW()/100000,"")</f>
        <v/>
      </c>
    </row>
    <row r="2643">
      <c r="F2643" s="11" t="n"/>
      <c r="N2643" s="7">
        <f>IF($D2643="","",M2643*V2643/100)</f>
        <v/>
      </c>
      <c r="O2643" s="7" t="n"/>
      <c r="U2643" s="7" t="n"/>
      <c r="V2643" s="7" t="n"/>
      <c r="Y2643">
        <f>IF($D2643="","",IF($AN2643=1,0,IF($AM2643=1,Settings!$C$6,Settings!$C$7))*100)</f>
        <v/>
      </c>
      <c r="Z2643" s="7">
        <f>IF($D2643="","",V2643*Y2643/100)</f>
        <v/>
      </c>
      <c r="AA2643" s="7">
        <f>IF($D2643="","",V2643-Z2643)</f>
        <v/>
      </c>
      <c r="AB2643" s="7">
        <f>IF($D2643="","",AA2643-N2643)</f>
        <v/>
      </c>
      <c r="AF2643" s="7" t="n"/>
      <c r="AI2643" s="11" t="n"/>
      <c r="AK2643">
        <f>IF($D2643="","",IF(COUNTIF($D$2:$D2643,$D2643)=1,1,0))</f>
        <v/>
      </c>
      <c r="AL2643">
        <f>IF($AK2643=1,SUMPRODUCT(--($AO$2:$AO$3001&lt;$AO2643))+1,"")</f>
        <v/>
      </c>
      <c r="AM2643">
        <f>IF($D2643="","",IF(OR($R2643=TRUE(),$R2643="TRUE"),1,0))</f>
        <v/>
      </c>
      <c r="AN2643">
        <f>IF($D2643="","",IF($X2643="Yes",1,0))</f>
        <v/>
      </c>
      <c r="AO2643">
        <f>IF($AK2643=1,IFERROR(IF(VALUE($D2643)&lt;100000000,VALUE($D2643),1000000000),IFERROR(IF(VALUE(MID($D2643,2,20))&lt;100000000,VALUE(MID($D2643,2,20)),1000000000),1000000000))+ROW()/100000,"")</f>
        <v/>
      </c>
    </row>
    <row r="2644">
      <c r="F2644" s="11" t="n"/>
      <c r="N2644" s="7">
        <f>IF($D2644="","",M2644*V2644/100)</f>
        <v/>
      </c>
      <c r="O2644" s="7" t="n"/>
      <c r="U2644" s="7" t="n"/>
      <c r="V2644" s="7" t="n"/>
      <c r="Y2644">
        <f>IF($D2644="","",IF($AN2644=1,0,IF($AM2644=1,Settings!$C$6,Settings!$C$7))*100)</f>
        <v/>
      </c>
      <c r="Z2644" s="7">
        <f>IF($D2644="","",V2644*Y2644/100)</f>
        <v/>
      </c>
      <c r="AA2644" s="7">
        <f>IF($D2644="","",V2644-Z2644)</f>
        <v/>
      </c>
      <c r="AB2644" s="7">
        <f>IF($D2644="","",AA2644-N2644)</f>
        <v/>
      </c>
      <c r="AF2644" s="7" t="n"/>
      <c r="AI2644" s="11" t="n"/>
      <c r="AK2644">
        <f>IF($D2644="","",IF(COUNTIF($D$2:$D2644,$D2644)=1,1,0))</f>
        <v/>
      </c>
      <c r="AL2644">
        <f>IF($AK2644=1,SUMPRODUCT(--($AO$2:$AO$3001&lt;$AO2644))+1,"")</f>
        <v/>
      </c>
      <c r="AM2644">
        <f>IF($D2644="","",IF(OR($R2644=TRUE(),$R2644="TRUE"),1,0))</f>
        <v/>
      </c>
      <c r="AN2644">
        <f>IF($D2644="","",IF($X2644="Yes",1,0))</f>
        <v/>
      </c>
      <c r="AO2644">
        <f>IF($AK2644=1,IFERROR(IF(VALUE($D2644)&lt;100000000,VALUE($D2644),1000000000),IFERROR(IF(VALUE(MID($D2644,2,20))&lt;100000000,VALUE(MID($D2644,2,20)),1000000000),1000000000))+ROW()/100000,"")</f>
        <v/>
      </c>
    </row>
    <row r="2645">
      <c r="F2645" s="11" t="n"/>
      <c r="N2645" s="7">
        <f>IF($D2645="","",M2645*V2645/100)</f>
        <v/>
      </c>
      <c r="O2645" s="7" t="n"/>
      <c r="U2645" s="7" t="n"/>
      <c r="V2645" s="7" t="n"/>
      <c r="Y2645">
        <f>IF($D2645="","",IF($AN2645=1,0,IF($AM2645=1,Settings!$C$6,Settings!$C$7))*100)</f>
        <v/>
      </c>
      <c r="Z2645" s="7">
        <f>IF($D2645="","",V2645*Y2645/100)</f>
        <v/>
      </c>
      <c r="AA2645" s="7">
        <f>IF($D2645="","",V2645-Z2645)</f>
        <v/>
      </c>
      <c r="AB2645" s="7">
        <f>IF($D2645="","",AA2645-N2645)</f>
        <v/>
      </c>
      <c r="AF2645" s="7" t="n"/>
      <c r="AI2645" s="11" t="n"/>
      <c r="AK2645">
        <f>IF($D2645="","",IF(COUNTIF($D$2:$D2645,$D2645)=1,1,0))</f>
        <v/>
      </c>
      <c r="AL2645">
        <f>IF($AK2645=1,SUMPRODUCT(--($AO$2:$AO$3001&lt;$AO2645))+1,"")</f>
        <v/>
      </c>
      <c r="AM2645">
        <f>IF($D2645="","",IF(OR($R2645=TRUE(),$R2645="TRUE"),1,0))</f>
        <v/>
      </c>
      <c r="AN2645">
        <f>IF($D2645="","",IF($X2645="Yes",1,0))</f>
        <v/>
      </c>
      <c r="AO2645">
        <f>IF($AK2645=1,IFERROR(IF(VALUE($D2645)&lt;100000000,VALUE($D2645),1000000000),IFERROR(IF(VALUE(MID($D2645,2,20))&lt;100000000,VALUE(MID($D2645,2,20)),1000000000),1000000000))+ROW()/100000,"")</f>
        <v/>
      </c>
    </row>
    <row r="2646">
      <c r="F2646" s="11" t="n"/>
      <c r="N2646" s="7">
        <f>IF($D2646="","",M2646*V2646/100)</f>
        <v/>
      </c>
      <c r="O2646" s="7" t="n"/>
      <c r="U2646" s="7" t="n"/>
      <c r="V2646" s="7" t="n"/>
      <c r="Y2646">
        <f>IF($D2646="","",IF($AN2646=1,0,IF($AM2646=1,Settings!$C$6,Settings!$C$7))*100)</f>
        <v/>
      </c>
      <c r="Z2646" s="7">
        <f>IF($D2646="","",V2646*Y2646/100)</f>
        <v/>
      </c>
      <c r="AA2646" s="7">
        <f>IF($D2646="","",V2646-Z2646)</f>
        <v/>
      </c>
      <c r="AB2646" s="7">
        <f>IF($D2646="","",AA2646-N2646)</f>
        <v/>
      </c>
      <c r="AF2646" s="7" t="n"/>
      <c r="AI2646" s="11" t="n"/>
      <c r="AK2646">
        <f>IF($D2646="","",IF(COUNTIF($D$2:$D2646,$D2646)=1,1,0))</f>
        <v/>
      </c>
      <c r="AL2646">
        <f>IF($AK2646=1,SUMPRODUCT(--($AO$2:$AO$3001&lt;$AO2646))+1,"")</f>
        <v/>
      </c>
      <c r="AM2646">
        <f>IF($D2646="","",IF(OR($R2646=TRUE(),$R2646="TRUE"),1,0))</f>
        <v/>
      </c>
      <c r="AN2646">
        <f>IF($D2646="","",IF($X2646="Yes",1,0))</f>
        <v/>
      </c>
      <c r="AO2646">
        <f>IF($AK2646=1,IFERROR(IF(VALUE($D2646)&lt;100000000,VALUE($D2646),1000000000),IFERROR(IF(VALUE(MID($D2646,2,20))&lt;100000000,VALUE(MID($D2646,2,20)),1000000000),1000000000))+ROW()/100000,"")</f>
        <v/>
      </c>
    </row>
    <row r="2647">
      <c r="F2647" s="11" t="n"/>
      <c r="N2647" s="7">
        <f>IF($D2647="","",M2647*V2647/100)</f>
        <v/>
      </c>
      <c r="O2647" s="7" t="n"/>
      <c r="U2647" s="7" t="n"/>
      <c r="V2647" s="7" t="n"/>
      <c r="Y2647">
        <f>IF($D2647="","",IF($AN2647=1,0,IF($AM2647=1,Settings!$C$6,Settings!$C$7))*100)</f>
        <v/>
      </c>
      <c r="Z2647" s="7">
        <f>IF($D2647="","",V2647*Y2647/100)</f>
        <v/>
      </c>
      <c r="AA2647" s="7">
        <f>IF($D2647="","",V2647-Z2647)</f>
        <v/>
      </c>
      <c r="AB2647" s="7">
        <f>IF($D2647="","",AA2647-N2647)</f>
        <v/>
      </c>
      <c r="AF2647" s="7" t="n"/>
      <c r="AI2647" s="11" t="n"/>
      <c r="AK2647">
        <f>IF($D2647="","",IF(COUNTIF($D$2:$D2647,$D2647)=1,1,0))</f>
        <v/>
      </c>
      <c r="AL2647">
        <f>IF($AK2647=1,SUMPRODUCT(--($AO$2:$AO$3001&lt;$AO2647))+1,"")</f>
        <v/>
      </c>
      <c r="AM2647">
        <f>IF($D2647="","",IF(OR($R2647=TRUE(),$R2647="TRUE"),1,0))</f>
        <v/>
      </c>
      <c r="AN2647">
        <f>IF($D2647="","",IF($X2647="Yes",1,0))</f>
        <v/>
      </c>
      <c r="AO2647">
        <f>IF($AK2647=1,IFERROR(IF(VALUE($D2647)&lt;100000000,VALUE($D2647),1000000000),IFERROR(IF(VALUE(MID($D2647,2,20))&lt;100000000,VALUE(MID($D2647,2,20)),1000000000),1000000000))+ROW()/100000,"")</f>
        <v/>
      </c>
    </row>
    <row r="2648">
      <c r="F2648" s="11" t="n"/>
      <c r="N2648" s="7">
        <f>IF($D2648="","",M2648*V2648/100)</f>
        <v/>
      </c>
      <c r="O2648" s="7" t="n"/>
      <c r="U2648" s="7" t="n"/>
      <c r="V2648" s="7" t="n"/>
      <c r="Y2648">
        <f>IF($D2648="","",IF($AN2648=1,0,IF($AM2648=1,Settings!$C$6,Settings!$C$7))*100)</f>
        <v/>
      </c>
      <c r="Z2648" s="7">
        <f>IF($D2648="","",V2648*Y2648/100)</f>
        <v/>
      </c>
      <c r="AA2648" s="7">
        <f>IF($D2648="","",V2648-Z2648)</f>
        <v/>
      </c>
      <c r="AB2648" s="7">
        <f>IF($D2648="","",AA2648-N2648)</f>
        <v/>
      </c>
      <c r="AF2648" s="7" t="n"/>
      <c r="AI2648" s="11" t="n"/>
      <c r="AK2648">
        <f>IF($D2648="","",IF(COUNTIF($D$2:$D2648,$D2648)=1,1,0))</f>
        <v/>
      </c>
      <c r="AL2648">
        <f>IF($AK2648=1,SUMPRODUCT(--($AO$2:$AO$3001&lt;$AO2648))+1,"")</f>
        <v/>
      </c>
      <c r="AM2648">
        <f>IF($D2648="","",IF(OR($R2648=TRUE(),$R2648="TRUE"),1,0))</f>
        <v/>
      </c>
      <c r="AN2648">
        <f>IF($D2648="","",IF($X2648="Yes",1,0))</f>
        <v/>
      </c>
      <c r="AO2648">
        <f>IF($AK2648=1,IFERROR(IF(VALUE($D2648)&lt;100000000,VALUE($D2648),1000000000),IFERROR(IF(VALUE(MID($D2648,2,20))&lt;100000000,VALUE(MID($D2648,2,20)),1000000000),1000000000))+ROW()/100000,"")</f>
        <v/>
      </c>
    </row>
    <row r="2649">
      <c r="F2649" s="11" t="n"/>
      <c r="N2649" s="7">
        <f>IF($D2649="","",M2649*V2649/100)</f>
        <v/>
      </c>
      <c r="O2649" s="7" t="n"/>
      <c r="U2649" s="7" t="n"/>
      <c r="V2649" s="7" t="n"/>
      <c r="Y2649">
        <f>IF($D2649="","",IF($AN2649=1,0,IF($AM2649=1,Settings!$C$6,Settings!$C$7))*100)</f>
        <v/>
      </c>
      <c r="Z2649" s="7">
        <f>IF($D2649="","",V2649*Y2649/100)</f>
        <v/>
      </c>
      <c r="AA2649" s="7">
        <f>IF($D2649="","",V2649-Z2649)</f>
        <v/>
      </c>
      <c r="AB2649" s="7">
        <f>IF($D2649="","",AA2649-N2649)</f>
        <v/>
      </c>
      <c r="AF2649" s="7" t="n"/>
      <c r="AI2649" s="11" t="n"/>
      <c r="AK2649">
        <f>IF($D2649="","",IF(COUNTIF($D$2:$D2649,$D2649)=1,1,0))</f>
        <v/>
      </c>
      <c r="AL2649">
        <f>IF($AK2649=1,SUMPRODUCT(--($AO$2:$AO$3001&lt;$AO2649))+1,"")</f>
        <v/>
      </c>
      <c r="AM2649">
        <f>IF($D2649="","",IF(OR($R2649=TRUE(),$R2649="TRUE"),1,0))</f>
        <v/>
      </c>
      <c r="AN2649">
        <f>IF($D2649="","",IF($X2649="Yes",1,0))</f>
        <v/>
      </c>
      <c r="AO2649">
        <f>IF($AK2649=1,IFERROR(IF(VALUE($D2649)&lt;100000000,VALUE($D2649),1000000000),IFERROR(IF(VALUE(MID($D2649,2,20))&lt;100000000,VALUE(MID($D2649,2,20)),1000000000),1000000000))+ROW()/100000,"")</f>
        <v/>
      </c>
    </row>
    <row r="2650">
      <c r="F2650" s="11" t="n"/>
      <c r="N2650" s="7">
        <f>IF($D2650="","",M2650*V2650/100)</f>
        <v/>
      </c>
      <c r="O2650" s="7" t="n"/>
      <c r="U2650" s="7" t="n"/>
      <c r="V2650" s="7" t="n"/>
      <c r="Y2650">
        <f>IF($D2650="","",IF($AN2650=1,0,IF($AM2650=1,Settings!$C$6,Settings!$C$7))*100)</f>
        <v/>
      </c>
      <c r="Z2650" s="7">
        <f>IF($D2650="","",V2650*Y2650/100)</f>
        <v/>
      </c>
      <c r="AA2650" s="7">
        <f>IF($D2650="","",V2650-Z2650)</f>
        <v/>
      </c>
      <c r="AB2650" s="7">
        <f>IF($D2650="","",AA2650-N2650)</f>
        <v/>
      </c>
      <c r="AF2650" s="7" t="n"/>
      <c r="AI2650" s="11" t="n"/>
      <c r="AK2650">
        <f>IF($D2650="","",IF(COUNTIF($D$2:$D2650,$D2650)=1,1,0))</f>
        <v/>
      </c>
      <c r="AL2650">
        <f>IF($AK2650=1,SUMPRODUCT(--($AO$2:$AO$3001&lt;$AO2650))+1,"")</f>
        <v/>
      </c>
      <c r="AM2650">
        <f>IF($D2650="","",IF(OR($R2650=TRUE(),$R2650="TRUE"),1,0))</f>
        <v/>
      </c>
      <c r="AN2650">
        <f>IF($D2650="","",IF($X2650="Yes",1,0))</f>
        <v/>
      </c>
      <c r="AO2650">
        <f>IF($AK2650=1,IFERROR(IF(VALUE($D2650)&lt;100000000,VALUE($D2650),1000000000),IFERROR(IF(VALUE(MID($D2650,2,20))&lt;100000000,VALUE(MID($D2650,2,20)),1000000000),1000000000))+ROW()/100000,"")</f>
        <v/>
      </c>
    </row>
    <row r="2651">
      <c r="F2651" s="11" t="n"/>
      <c r="N2651" s="7">
        <f>IF($D2651="","",M2651*V2651/100)</f>
        <v/>
      </c>
      <c r="O2651" s="7" t="n"/>
      <c r="U2651" s="7" t="n"/>
      <c r="V2651" s="7" t="n"/>
      <c r="Y2651">
        <f>IF($D2651="","",IF($AN2651=1,0,IF($AM2651=1,Settings!$C$6,Settings!$C$7))*100)</f>
        <v/>
      </c>
      <c r="Z2651" s="7">
        <f>IF($D2651="","",V2651*Y2651/100)</f>
        <v/>
      </c>
      <c r="AA2651" s="7">
        <f>IF($D2651="","",V2651-Z2651)</f>
        <v/>
      </c>
      <c r="AB2651" s="7">
        <f>IF($D2651="","",AA2651-N2651)</f>
        <v/>
      </c>
      <c r="AF2651" s="7" t="n"/>
      <c r="AI2651" s="11" t="n"/>
      <c r="AK2651">
        <f>IF($D2651="","",IF(COUNTIF($D$2:$D2651,$D2651)=1,1,0))</f>
        <v/>
      </c>
      <c r="AL2651">
        <f>IF($AK2651=1,SUMPRODUCT(--($AO$2:$AO$3001&lt;$AO2651))+1,"")</f>
        <v/>
      </c>
      <c r="AM2651">
        <f>IF($D2651="","",IF(OR($R2651=TRUE(),$R2651="TRUE"),1,0))</f>
        <v/>
      </c>
      <c r="AN2651">
        <f>IF($D2651="","",IF($X2651="Yes",1,0))</f>
        <v/>
      </c>
      <c r="AO2651">
        <f>IF($AK2651=1,IFERROR(IF(VALUE($D2651)&lt;100000000,VALUE($D2651),1000000000),IFERROR(IF(VALUE(MID($D2651,2,20))&lt;100000000,VALUE(MID($D2651,2,20)),1000000000),1000000000))+ROW()/100000,"")</f>
        <v/>
      </c>
    </row>
    <row r="2652">
      <c r="F2652" s="11" t="n"/>
      <c r="N2652" s="7">
        <f>IF($D2652="","",M2652*V2652/100)</f>
        <v/>
      </c>
      <c r="O2652" s="7" t="n"/>
      <c r="U2652" s="7" t="n"/>
      <c r="V2652" s="7" t="n"/>
      <c r="Y2652">
        <f>IF($D2652="","",IF($AN2652=1,0,IF($AM2652=1,Settings!$C$6,Settings!$C$7))*100)</f>
        <v/>
      </c>
      <c r="Z2652" s="7">
        <f>IF($D2652="","",V2652*Y2652/100)</f>
        <v/>
      </c>
      <c r="AA2652" s="7">
        <f>IF($D2652="","",V2652-Z2652)</f>
        <v/>
      </c>
      <c r="AB2652" s="7">
        <f>IF($D2652="","",AA2652-N2652)</f>
        <v/>
      </c>
      <c r="AF2652" s="7" t="n"/>
      <c r="AI2652" s="11" t="n"/>
      <c r="AK2652">
        <f>IF($D2652="","",IF(COUNTIF($D$2:$D2652,$D2652)=1,1,0))</f>
        <v/>
      </c>
      <c r="AL2652">
        <f>IF($AK2652=1,SUMPRODUCT(--($AO$2:$AO$3001&lt;$AO2652))+1,"")</f>
        <v/>
      </c>
      <c r="AM2652">
        <f>IF($D2652="","",IF(OR($R2652=TRUE(),$R2652="TRUE"),1,0))</f>
        <v/>
      </c>
      <c r="AN2652">
        <f>IF($D2652="","",IF($X2652="Yes",1,0))</f>
        <v/>
      </c>
      <c r="AO2652">
        <f>IF($AK2652=1,IFERROR(IF(VALUE($D2652)&lt;100000000,VALUE($D2652),1000000000),IFERROR(IF(VALUE(MID($D2652,2,20))&lt;100000000,VALUE(MID($D2652,2,20)),1000000000),1000000000))+ROW()/100000,"")</f>
        <v/>
      </c>
    </row>
    <row r="2653">
      <c r="F2653" s="11" t="n"/>
      <c r="N2653" s="7">
        <f>IF($D2653="","",M2653*V2653/100)</f>
        <v/>
      </c>
      <c r="O2653" s="7" t="n"/>
      <c r="U2653" s="7" t="n"/>
      <c r="V2653" s="7" t="n"/>
      <c r="Y2653">
        <f>IF($D2653="","",IF($AN2653=1,0,IF($AM2653=1,Settings!$C$6,Settings!$C$7))*100)</f>
        <v/>
      </c>
      <c r="Z2653" s="7">
        <f>IF($D2653="","",V2653*Y2653/100)</f>
        <v/>
      </c>
      <c r="AA2653" s="7">
        <f>IF($D2653="","",V2653-Z2653)</f>
        <v/>
      </c>
      <c r="AB2653" s="7">
        <f>IF($D2653="","",AA2653-N2653)</f>
        <v/>
      </c>
      <c r="AF2653" s="7" t="n"/>
      <c r="AI2653" s="11" t="n"/>
      <c r="AK2653">
        <f>IF($D2653="","",IF(COUNTIF($D$2:$D2653,$D2653)=1,1,0))</f>
        <v/>
      </c>
      <c r="AL2653">
        <f>IF($AK2653=1,SUMPRODUCT(--($AO$2:$AO$3001&lt;$AO2653))+1,"")</f>
        <v/>
      </c>
      <c r="AM2653">
        <f>IF($D2653="","",IF(OR($R2653=TRUE(),$R2653="TRUE"),1,0))</f>
        <v/>
      </c>
      <c r="AN2653">
        <f>IF($D2653="","",IF($X2653="Yes",1,0))</f>
        <v/>
      </c>
      <c r="AO2653">
        <f>IF($AK2653=1,IFERROR(IF(VALUE($D2653)&lt;100000000,VALUE($D2653),1000000000),IFERROR(IF(VALUE(MID($D2653,2,20))&lt;100000000,VALUE(MID($D2653,2,20)),1000000000),1000000000))+ROW()/100000,"")</f>
        <v/>
      </c>
    </row>
    <row r="2654">
      <c r="F2654" s="11" t="n"/>
      <c r="N2654" s="7">
        <f>IF($D2654="","",M2654*V2654/100)</f>
        <v/>
      </c>
      <c r="O2654" s="7" t="n"/>
      <c r="U2654" s="7" t="n"/>
      <c r="V2654" s="7" t="n"/>
      <c r="Y2654">
        <f>IF($D2654="","",IF($AN2654=1,0,IF($AM2654=1,Settings!$C$6,Settings!$C$7))*100)</f>
        <v/>
      </c>
      <c r="Z2654" s="7">
        <f>IF($D2654="","",V2654*Y2654/100)</f>
        <v/>
      </c>
      <c r="AA2654" s="7">
        <f>IF($D2654="","",V2654-Z2654)</f>
        <v/>
      </c>
      <c r="AB2654" s="7">
        <f>IF($D2654="","",AA2654-N2654)</f>
        <v/>
      </c>
      <c r="AF2654" s="7" t="n"/>
      <c r="AI2654" s="11" t="n"/>
      <c r="AK2654">
        <f>IF($D2654="","",IF(COUNTIF($D$2:$D2654,$D2654)=1,1,0))</f>
        <v/>
      </c>
      <c r="AL2654">
        <f>IF($AK2654=1,SUMPRODUCT(--($AO$2:$AO$3001&lt;$AO2654))+1,"")</f>
        <v/>
      </c>
      <c r="AM2654">
        <f>IF($D2654="","",IF(OR($R2654=TRUE(),$R2654="TRUE"),1,0))</f>
        <v/>
      </c>
      <c r="AN2654">
        <f>IF($D2654="","",IF($X2654="Yes",1,0))</f>
        <v/>
      </c>
      <c r="AO2654">
        <f>IF($AK2654=1,IFERROR(IF(VALUE($D2654)&lt;100000000,VALUE($D2654),1000000000),IFERROR(IF(VALUE(MID($D2654,2,20))&lt;100000000,VALUE(MID($D2654,2,20)),1000000000),1000000000))+ROW()/100000,"")</f>
        <v/>
      </c>
    </row>
    <row r="2655">
      <c r="F2655" s="11" t="n"/>
      <c r="N2655" s="7">
        <f>IF($D2655="","",M2655*V2655/100)</f>
        <v/>
      </c>
      <c r="O2655" s="7" t="n"/>
      <c r="U2655" s="7" t="n"/>
      <c r="V2655" s="7" t="n"/>
      <c r="Y2655">
        <f>IF($D2655="","",IF($AN2655=1,0,IF($AM2655=1,Settings!$C$6,Settings!$C$7))*100)</f>
        <v/>
      </c>
      <c r="Z2655" s="7">
        <f>IF($D2655="","",V2655*Y2655/100)</f>
        <v/>
      </c>
      <c r="AA2655" s="7">
        <f>IF($D2655="","",V2655-Z2655)</f>
        <v/>
      </c>
      <c r="AB2655" s="7">
        <f>IF($D2655="","",AA2655-N2655)</f>
        <v/>
      </c>
      <c r="AF2655" s="7" t="n"/>
      <c r="AI2655" s="11" t="n"/>
      <c r="AK2655">
        <f>IF($D2655="","",IF(COUNTIF($D$2:$D2655,$D2655)=1,1,0))</f>
        <v/>
      </c>
      <c r="AL2655">
        <f>IF($AK2655=1,SUMPRODUCT(--($AO$2:$AO$3001&lt;$AO2655))+1,"")</f>
        <v/>
      </c>
      <c r="AM2655">
        <f>IF($D2655="","",IF(OR($R2655=TRUE(),$R2655="TRUE"),1,0))</f>
        <v/>
      </c>
      <c r="AN2655">
        <f>IF($D2655="","",IF($X2655="Yes",1,0))</f>
        <v/>
      </c>
      <c r="AO2655">
        <f>IF($AK2655=1,IFERROR(IF(VALUE($D2655)&lt;100000000,VALUE($D2655),1000000000),IFERROR(IF(VALUE(MID($D2655,2,20))&lt;100000000,VALUE(MID($D2655,2,20)),1000000000),1000000000))+ROW()/100000,"")</f>
        <v/>
      </c>
    </row>
    <row r="2656">
      <c r="F2656" s="11" t="n"/>
      <c r="N2656" s="7">
        <f>IF($D2656="","",M2656*V2656/100)</f>
        <v/>
      </c>
      <c r="O2656" s="7" t="n"/>
      <c r="U2656" s="7" t="n"/>
      <c r="V2656" s="7" t="n"/>
      <c r="Y2656">
        <f>IF($D2656="","",IF($AN2656=1,0,IF($AM2656=1,Settings!$C$6,Settings!$C$7))*100)</f>
        <v/>
      </c>
      <c r="Z2656" s="7">
        <f>IF($D2656="","",V2656*Y2656/100)</f>
        <v/>
      </c>
      <c r="AA2656" s="7">
        <f>IF($D2656="","",V2656-Z2656)</f>
        <v/>
      </c>
      <c r="AB2656" s="7">
        <f>IF($D2656="","",AA2656-N2656)</f>
        <v/>
      </c>
      <c r="AF2656" s="7" t="n"/>
      <c r="AI2656" s="11" t="n"/>
      <c r="AK2656">
        <f>IF($D2656="","",IF(COUNTIF($D$2:$D2656,$D2656)=1,1,0))</f>
        <v/>
      </c>
      <c r="AL2656">
        <f>IF($AK2656=1,SUMPRODUCT(--($AO$2:$AO$3001&lt;$AO2656))+1,"")</f>
        <v/>
      </c>
      <c r="AM2656">
        <f>IF($D2656="","",IF(OR($R2656=TRUE(),$R2656="TRUE"),1,0))</f>
        <v/>
      </c>
      <c r="AN2656">
        <f>IF($D2656="","",IF($X2656="Yes",1,0))</f>
        <v/>
      </c>
      <c r="AO2656">
        <f>IF($AK2656=1,IFERROR(IF(VALUE($D2656)&lt;100000000,VALUE($D2656),1000000000),IFERROR(IF(VALUE(MID($D2656,2,20))&lt;100000000,VALUE(MID($D2656,2,20)),1000000000),1000000000))+ROW()/100000,"")</f>
        <v/>
      </c>
    </row>
    <row r="2657">
      <c r="F2657" s="11" t="n"/>
      <c r="N2657" s="7">
        <f>IF($D2657="","",M2657*V2657/100)</f>
        <v/>
      </c>
      <c r="O2657" s="7" t="n"/>
      <c r="U2657" s="7" t="n"/>
      <c r="V2657" s="7" t="n"/>
      <c r="Y2657">
        <f>IF($D2657="","",IF($AN2657=1,0,IF($AM2657=1,Settings!$C$6,Settings!$C$7))*100)</f>
        <v/>
      </c>
      <c r="Z2657" s="7">
        <f>IF($D2657="","",V2657*Y2657/100)</f>
        <v/>
      </c>
      <c r="AA2657" s="7">
        <f>IF($D2657="","",V2657-Z2657)</f>
        <v/>
      </c>
      <c r="AB2657" s="7">
        <f>IF($D2657="","",AA2657-N2657)</f>
        <v/>
      </c>
      <c r="AF2657" s="7" t="n"/>
      <c r="AI2657" s="11" t="n"/>
      <c r="AK2657">
        <f>IF($D2657="","",IF(COUNTIF($D$2:$D2657,$D2657)=1,1,0))</f>
        <v/>
      </c>
      <c r="AL2657">
        <f>IF($AK2657=1,SUMPRODUCT(--($AO$2:$AO$3001&lt;$AO2657))+1,"")</f>
        <v/>
      </c>
      <c r="AM2657">
        <f>IF($D2657="","",IF(OR($R2657=TRUE(),$R2657="TRUE"),1,0))</f>
        <v/>
      </c>
      <c r="AN2657">
        <f>IF($D2657="","",IF($X2657="Yes",1,0))</f>
        <v/>
      </c>
      <c r="AO2657">
        <f>IF($AK2657=1,IFERROR(IF(VALUE($D2657)&lt;100000000,VALUE($D2657),1000000000),IFERROR(IF(VALUE(MID($D2657,2,20))&lt;100000000,VALUE(MID($D2657,2,20)),1000000000),1000000000))+ROW()/100000,"")</f>
        <v/>
      </c>
    </row>
    <row r="2658">
      <c r="F2658" s="11" t="n"/>
      <c r="N2658" s="7">
        <f>IF($D2658="","",M2658*V2658/100)</f>
        <v/>
      </c>
      <c r="O2658" s="7" t="n"/>
      <c r="U2658" s="7" t="n"/>
      <c r="V2658" s="7" t="n"/>
      <c r="Y2658">
        <f>IF($D2658="","",IF($AN2658=1,0,IF($AM2658=1,Settings!$C$6,Settings!$C$7))*100)</f>
        <v/>
      </c>
      <c r="Z2658" s="7">
        <f>IF($D2658="","",V2658*Y2658/100)</f>
        <v/>
      </c>
      <c r="AA2658" s="7">
        <f>IF($D2658="","",V2658-Z2658)</f>
        <v/>
      </c>
      <c r="AB2658" s="7">
        <f>IF($D2658="","",AA2658-N2658)</f>
        <v/>
      </c>
      <c r="AF2658" s="7" t="n"/>
      <c r="AI2658" s="11" t="n"/>
      <c r="AK2658">
        <f>IF($D2658="","",IF(COUNTIF($D$2:$D2658,$D2658)=1,1,0))</f>
        <v/>
      </c>
      <c r="AL2658">
        <f>IF($AK2658=1,SUMPRODUCT(--($AO$2:$AO$3001&lt;$AO2658))+1,"")</f>
        <v/>
      </c>
      <c r="AM2658">
        <f>IF($D2658="","",IF(OR($R2658=TRUE(),$R2658="TRUE"),1,0))</f>
        <v/>
      </c>
      <c r="AN2658">
        <f>IF($D2658="","",IF($X2658="Yes",1,0))</f>
        <v/>
      </c>
      <c r="AO2658">
        <f>IF($AK2658=1,IFERROR(IF(VALUE($D2658)&lt;100000000,VALUE($D2658),1000000000),IFERROR(IF(VALUE(MID($D2658,2,20))&lt;100000000,VALUE(MID($D2658,2,20)),1000000000),1000000000))+ROW()/100000,"")</f>
        <v/>
      </c>
    </row>
    <row r="2659">
      <c r="F2659" s="11" t="n"/>
      <c r="N2659" s="7">
        <f>IF($D2659="","",M2659*V2659/100)</f>
        <v/>
      </c>
      <c r="O2659" s="7" t="n"/>
      <c r="U2659" s="7" t="n"/>
      <c r="V2659" s="7" t="n"/>
      <c r="Y2659">
        <f>IF($D2659="","",IF($AN2659=1,0,IF($AM2659=1,Settings!$C$6,Settings!$C$7))*100)</f>
        <v/>
      </c>
      <c r="Z2659" s="7">
        <f>IF($D2659="","",V2659*Y2659/100)</f>
        <v/>
      </c>
      <c r="AA2659" s="7">
        <f>IF($D2659="","",V2659-Z2659)</f>
        <v/>
      </c>
      <c r="AB2659" s="7">
        <f>IF($D2659="","",AA2659-N2659)</f>
        <v/>
      </c>
      <c r="AF2659" s="7" t="n"/>
      <c r="AI2659" s="11" t="n"/>
      <c r="AK2659">
        <f>IF($D2659="","",IF(COUNTIF($D$2:$D2659,$D2659)=1,1,0))</f>
        <v/>
      </c>
      <c r="AL2659">
        <f>IF($AK2659=1,SUMPRODUCT(--($AO$2:$AO$3001&lt;$AO2659))+1,"")</f>
        <v/>
      </c>
      <c r="AM2659">
        <f>IF($D2659="","",IF(OR($R2659=TRUE(),$R2659="TRUE"),1,0))</f>
        <v/>
      </c>
      <c r="AN2659">
        <f>IF($D2659="","",IF($X2659="Yes",1,0))</f>
        <v/>
      </c>
      <c r="AO2659">
        <f>IF($AK2659=1,IFERROR(IF(VALUE($D2659)&lt;100000000,VALUE($D2659),1000000000),IFERROR(IF(VALUE(MID($D2659,2,20))&lt;100000000,VALUE(MID($D2659,2,20)),1000000000),1000000000))+ROW()/100000,"")</f>
        <v/>
      </c>
    </row>
    <row r="2660">
      <c r="F2660" s="11" t="n"/>
      <c r="N2660" s="7">
        <f>IF($D2660="","",M2660*V2660/100)</f>
        <v/>
      </c>
      <c r="O2660" s="7" t="n"/>
      <c r="U2660" s="7" t="n"/>
      <c r="V2660" s="7" t="n"/>
      <c r="Y2660">
        <f>IF($D2660="","",IF($AN2660=1,0,IF($AM2660=1,Settings!$C$6,Settings!$C$7))*100)</f>
        <v/>
      </c>
      <c r="Z2660" s="7">
        <f>IF($D2660="","",V2660*Y2660/100)</f>
        <v/>
      </c>
      <c r="AA2660" s="7">
        <f>IF($D2660="","",V2660-Z2660)</f>
        <v/>
      </c>
      <c r="AB2660" s="7">
        <f>IF($D2660="","",AA2660-N2660)</f>
        <v/>
      </c>
      <c r="AF2660" s="7" t="n"/>
      <c r="AI2660" s="11" t="n"/>
      <c r="AK2660">
        <f>IF($D2660="","",IF(COUNTIF($D$2:$D2660,$D2660)=1,1,0))</f>
        <v/>
      </c>
      <c r="AL2660">
        <f>IF($AK2660=1,SUMPRODUCT(--($AO$2:$AO$3001&lt;$AO2660))+1,"")</f>
        <v/>
      </c>
      <c r="AM2660">
        <f>IF($D2660="","",IF(OR($R2660=TRUE(),$R2660="TRUE"),1,0))</f>
        <v/>
      </c>
      <c r="AN2660">
        <f>IF($D2660="","",IF($X2660="Yes",1,0))</f>
        <v/>
      </c>
      <c r="AO2660">
        <f>IF($AK2660=1,IFERROR(IF(VALUE($D2660)&lt;100000000,VALUE($D2660),1000000000),IFERROR(IF(VALUE(MID($D2660,2,20))&lt;100000000,VALUE(MID($D2660,2,20)),1000000000),1000000000))+ROW()/100000,"")</f>
        <v/>
      </c>
    </row>
    <row r="2661">
      <c r="F2661" s="11" t="n"/>
      <c r="N2661" s="7">
        <f>IF($D2661="","",M2661*V2661/100)</f>
        <v/>
      </c>
      <c r="O2661" s="7" t="n"/>
      <c r="U2661" s="7" t="n"/>
      <c r="V2661" s="7" t="n"/>
      <c r="Y2661">
        <f>IF($D2661="","",IF($AN2661=1,0,IF($AM2661=1,Settings!$C$6,Settings!$C$7))*100)</f>
        <v/>
      </c>
      <c r="Z2661" s="7">
        <f>IF($D2661="","",V2661*Y2661/100)</f>
        <v/>
      </c>
      <c r="AA2661" s="7">
        <f>IF($D2661="","",V2661-Z2661)</f>
        <v/>
      </c>
      <c r="AB2661" s="7">
        <f>IF($D2661="","",AA2661-N2661)</f>
        <v/>
      </c>
      <c r="AF2661" s="7" t="n"/>
      <c r="AI2661" s="11" t="n"/>
      <c r="AK2661">
        <f>IF($D2661="","",IF(COUNTIF($D$2:$D2661,$D2661)=1,1,0))</f>
        <v/>
      </c>
      <c r="AL2661">
        <f>IF($AK2661=1,SUMPRODUCT(--($AO$2:$AO$3001&lt;$AO2661))+1,"")</f>
        <v/>
      </c>
      <c r="AM2661">
        <f>IF($D2661="","",IF(OR($R2661=TRUE(),$R2661="TRUE"),1,0))</f>
        <v/>
      </c>
      <c r="AN2661">
        <f>IF($D2661="","",IF($X2661="Yes",1,0))</f>
        <v/>
      </c>
      <c r="AO2661">
        <f>IF($AK2661=1,IFERROR(IF(VALUE($D2661)&lt;100000000,VALUE($D2661),1000000000),IFERROR(IF(VALUE(MID($D2661,2,20))&lt;100000000,VALUE(MID($D2661,2,20)),1000000000),1000000000))+ROW()/100000,"")</f>
        <v/>
      </c>
    </row>
    <row r="2662">
      <c r="F2662" s="11" t="n"/>
      <c r="N2662" s="7">
        <f>IF($D2662="","",M2662*V2662/100)</f>
        <v/>
      </c>
      <c r="O2662" s="7" t="n"/>
      <c r="U2662" s="7" t="n"/>
      <c r="V2662" s="7" t="n"/>
      <c r="Y2662">
        <f>IF($D2662="","",IF($AN2662=1,0,IF($AM2662=1,Settings!$C$6,Settings!$C$7))*100)</f>
        <v/>
      </c>
      <c r="Z2662" s="7">
        <f>IF($D2662="","",V2662*Y2662/100)</f>
        <v/>
      </c>
      <c r="AA2662" s="7">
        <f>IF($D2662="","",V2662-Z2662)</f>
        <v/>
      </c>
      <c r="AB2662" s="7">
        <f>IF($D2662="","",AA2662-N2662)</f>
        <v/>
      </c>
      <c r="AF2662" s="7" t="n"/>
      <c r="AI2662" s="11" t="n"/>
      <c r="AK2662">
        <f>IF($D2662="","",IF(COUNTIF($D$2:$D2662,$D2662)=1,1,0))</f>
        <v/>
      </c>
      <c r="AL2662">
        <f>IF($AK2662=1,SUMPRODUCT(--($AO$2:$AO$3001&lt;$AO2662))+1,"")</f>
        <v/>
      </c>
      <c r="AM2662">
        <f>IF($D2662="","",IF(OR($R2662=TRUE(),$R2662="TRUE"),1,0))</f>
        <v/>
      </c>
      <c r="AN2662">
        <f>IF($D2662="","",IF($X2662="Yes",1,0))</f>
        <v/>
      </c>
      <c r="AO2662">
        <f>IF($AK2662=1,IFERROR(IF(VALUE($D2662)&lt;100000000,VALUE($D2662),1000000000),IFERROR(IF(VALUE(MID($D2662,2,20))&lt;100000000,VALUE(MID($D2662,2,20)),1000000000),1000000000))+ROW()/100000,"")</f>
        <v/>
      </c>
    </row>
    <row r="2663">
      <c r="F2663" s="11" t="n"/>
      <c r="N2663" s="7">
        <f>IF($D2663="","",M2663*V2663/100)</f>
        <v/>
      </c>
      <c r="O2663" s="7" t="n"/>
      <c r="U2663" s="7" t="n"/>
      <c r="V2663" s="7" t="n"/>
      <c r="Y2663">
        <f>IF($D2663="","",IF($AN2663=1,0,IF($AM2663=1,Settings!$C$6,Settings!$C$7))*100)</f>
        <v/>
      </c>
      <c r="Z2663" s="7">
        <f>IF($D2663="","",V2663*Y2663/100)</f>
        <v/>
      </c>
      <c r="AA2663" s="7">
        <f>IF($D2663="","",V2663-Z2663)</f>
        <v/>
      </c>
      <c r="AB2663" s="7">
        <f>IF($D2663="","",AA2663-N2663)</f>
        <v/>
      </c>
      <c r="AF2663" s="7" t="n"/>
      <c r="AI2663" s="11" t="n"/>
      <c r="AK2663">
        <f>IF($D2663="","",IF(COUNTIF($D$2:$D2663,$D2663)=1,1,0))</f>
        <v/>
      </c>
      <c r="AL2663">
        <f>IF($AK2663=1,SUMPRODUCT(--($AO$2:$AO$3001&lt;$AO2663))+1,"")</f>
        <v/>
      </c>
      <c r="AM2663">
        <f>IF($D2663="","",IF(OR($R2663=TRUE(),$R2663="TRUE"),1,0))</f>
        <v/>
      </c>
      <c r="AN2663">
        <f>IF($D2663="","",IF($X2663="Yes",1,0))</f>
        <v/>
      </c>
      <c r="AO2663">
        <f>IF($AK2663=1,IFERROR(IF(VALUE($D2663)&lt;100000000,VALUE($D2663),1000000000),IFERROR(IF(VALUE(MID($D2663,2,20))&lt;100000000,VALUE(MID($D2663,2,20)),1000000000),1000000000))+ROW()/100000,"")</f>
        <v/>
      </c>
    </row>
    <row r="2664">
      <c r="F2664" s="11" t="n"/>
      <c r="N2664" s="7">
        <f>IF($D2664="","",M2664*V2664/100)</f>
        <v/>
      </c>
      <c r="O2664" s="7" t="n"/>
      <c r="U2664" s="7" t="n"/>
      <c r="V2664" s="7" t="n"/>
      <c r="Y2664">
        <f>IF($D2664="","",IF($AN2664=1,0,IF($AM2664=1,Settings!$C$6,Settings!$C$7))*100)</f>
        <v/>
      </c>
      <c r="Z2664" s="7">
        <f>IF($D2664="","",V2664*Y2664/100)</f>
        <v/>
      </c>
      <c r="AA2664" s="7">
        <f>IF($D2664="","",V2664-Z2664)</f>
        <v/>
      </c>
      <c r="AB2664" s="7">
        <f>IF($D2664="","",AA2664-N2664)</f>
        <v/>
      </c>
      <c r="AF2664" s="7" t="n"/>
      <c r="AI2664" s="11" t="n"/>
      <c r="AK2664">
        <f>IF($D2664="","",IF(COUNTIF($D$2:$D2664,$D2664)=1,1,0))</f>
        <v/>
      </c>
      <c r="AL2664">
        <f>IF($AK2664=1,SUMPRODUCT(--($AO$2:$AO$3001&lt;$AO2664))+1,"")</f>
        <v/>
      </c>
      <c r="AM2664">
        <f>IF($D2664="","",IF(OR($R2664=TRUE(),$R2664="TRUE"),1,0))</f>
        <v/>
      </c>
      <c r="AN2664">
        <f>IF($D2664="","",IF($X2664="Yes",1,0))</f>
        <v/>
      </c>
      <c r="AO2664">
        <f>IF($AK2664=1,IFERROR(IF(VALUE($D2664)&lt;100000000,VALUE($D2664),1000000000),IFERROR(IF(VALUE(MID($D2664,2,20))&lt;100000000,VALUE(MID($D2664,2,20)),1000000000),1000000000))+ROW()/100000,"")</f>
        <v/>
      </c>
    </row>
    <row r="2665">
      <c r="F2665" s="11" t="n"/>
      <c r="N2665" s="7">
        <f>IF($D2665="","",M2665*V2665/100)</f>
        <v/>
      </c>
      <c r="O2665" s="7" t="n"/>
      <c r="U2665" s="7" t="n"/>
      <c r="V2665" s="7" t="n"/>
      <c r="Y2665">
        <f>IF($D2665="","",IF($AN2665=1,0,IF($AM2665=1,Settings!$C$6,Settings!$C$7))*100)</f>
        <v/>
      </c>
      <c r="Z2665" s="7">
        <f>IF($D2665="","",V2665*Y2665/100)</f>
        <v/>
      </c>
      <c r="AA2665" s="7">
        <f>IF($D2665="","",V2665-Z2665)</f>
        <v/>
      </c>
      <c r="AB2665" s="7">
        <f>IF($D2665="","",AA2665-N2665)</f>
        <v/>
      </c>
      <c r="AF2665" s="7" t="n"/>
      <c r="AI2665" s="11" t="n"/>
      <c r="AK2665">
        <f>IF($D2665="","",IF(COUNTIF($D$2:$D2665,$D2665)=1,1,0))</f>
        <v/>
      </c>
      <c r="AL2665">
        <f>IF($AK2665=1,SUMPRODUCT(--($AO$2:$AO$3001&lt;$AO2665))+1,"")</f>
        <v/>
      </c>
      <c r="AM2665">
        <f>IF($D2665="","",IF(OR($R2665=TRUE(),$R2665="TRUE"),1,0))</f>
        <v/>
      </c>
      <c r="AN2665">
        <f>IF($D2665="","",IF($X2665="Yes",1,0))</f>
        <v/>
      </c>
      <c r="AO2665">
        <f>IF($AK2665=1,IFERROR(IF(VALUE($D2665)&lt;100000000,VALUE($D2665),1000000000),IFERROR(IF(VALUE(MID($D2665,2,20))&lt;100000000,VALUE(MID($D2665,2,20)),1000000000),1000000000))+ROW()/100000,"")</f>
        <v/>
      </c>
    </row>
    <row r="2666">
      <c r="F2666" s="11" t="n"/>
      <c r="N2666" s="7">
        <f>IF($D2666="","",M2666*V2666/100)</f>
        <v/>
      </c>
      <c r="O2666" s="7" t="n"/>
      <c r="U2666" s="7" t="n"/>
      <c r="V2666" s="7" t="n"/>
      <c r="Y2666">
        <f>IF($D2666="","",IF($AN2666=1,0,IF($AM2666=1,Settings!$C$6,Settings!$C$7))*100)</f>
        <v/>
      </c>
      <c r="Z2666" s="7">
        <f>IF($D2666="","",V2666*Y2666/100)</f>
        <v/>
      </c>
      <c r="AA2666" s="7">
        <f>IF($D2666="","",V2666-Z2666)</f>
        <v/>
      </c>
      <c r="AB2666" s="7">
        <f>IF($D2666="","",AA2666-N2666)</f>
        <v/>
      </c>
      <c r="AF2666" s="7" t="n"/>
      <c r="AI2666" s="11" t="n"/>
      <c r="AK2666">
        <f>IF($D2666="","",IF(COUNTIF($D$2:$D2666,$D2666)=1,1,0))</f>
        <v/>
      </c>
      <c r="AL2666">
        <f>IF($AK2666=1,SUMPRODUCT(--($AO$2:$AO$3001&lt;$AO2666))+1,"")</f>
        <v/>
      </c>
      <c r="AM2666">
        <f>IF($D2666="","",IF(OR($R2666=TRUE(),$R2666="TRUE"),1,0))</f>
        <v/>
      </c>
      <c r="AN2666">
        <f>IF($D2666="","",IF($X2666="Yes",1,0))</f>
        <v/>
      </c>
      <c r="AO2666">
        <f>IF($AK2666=1,IFERROR(IF(VALUE($D2666)&lt;100000000,VALUE($D2666),1000000000),IFERROR(IF(VALUE(MID($D2666,2,20))&lt;100000000,VALUE(MID($D2666,2,20)),1000000000),1000000000))+ROW()/100000,"")</f>
        <v/>
      </c>
    </row>
    <row r="2667">
      <c r="F2667" s="11" t="n"/>
      <c r="N2667" s="7">
        <f>IF($D2667="","",M2667*V2667/100)</f>
        <v/>
      </c>
      <c r="O2667" s="7" t="n"/>
      <c r="U2667" s="7" t="n"/>
      <c r="V2667" s="7" t="n"/>
      <c r="Y2667">
        <f>IF($D2667="","",IF($AN2667=1,0,IF($AM2667=1,Settings!$C$6,Settings!$C$7))*100)</f>
        <v/>
      </c>
      <c r="Z2667" s="7">
        <f>IF($D2667="","",V2667*Y2667/100)</f>
        <v/>
      </c>
      <c r="AA2667" s="7">
        <f>IF($D2667="","",V2667-Z2667)</f>
        <v/>
      </c>
      <c r="AB2667" s="7">
        <f>IF($D2667="","",AA2667-N2667)</f>
        <v/>
      </c>
      <c r="AF2667" s="7" t="n"/>
      <c r="AI2667" s="11" t="n"/>
      <c r="AK2667">
        <f>IF($D2667="","",IF(COUNTIF($D$2:$D2667,$D2667)=1,1,0))</f>
        <v/>
      </c>
      <c r="AL2667">
        <f>IF($AK2667=1,SUMPRODUCT(--($AO$2:$AO$3001&lt;$AO2667))+1,"")</f>
        <v/>
      </c>
      <c r="AM2667">
        <f>IF($D2667="","",IF(OR($R2667=TRUE(),$R2667="TRUE"),1,0))</f>
        <v/>
      </c>
      <c r="AN2667">
        <f>IF($D2667="","",IF($X2667="Yes",1,0))</f>
        <v/>
      </c>
      <c r="AO2667">
        <f>IF($AK2667=1,IFERROR(IF(VALUE($D2667)&lt;100000000,VALUE($D2667),1000000000),IFERROR(IF(VALUE(MID($D2667,2,20))&lt;100000000,VALUE(MID($D2667,2,20)),1000000000),1000000000))+ROW()/100000,"")</f>
        <v/>
      </c>
    </row>
    <row r="2668">
      <c r="F2668" s="11" t="n"/>
      <c r="N2668" s="7">
        <f>IF($D2668="","",M2668*V2668/100)</f>
        <v/>
      </c>
      <c r="O2668" s="7" t="n"/>
      <c r="U2668" s="7" t="n"/>
      <c r="V2668" s="7" t="n"/>
      <c r="Y2668">
        <f>IF($D2668="","",IF($AN2668=1,0,IF($AM2668=1,Settings!$C$6,Settings!$C$7))*100)</f>
        <v/>
      </c>
      <c r="Z2668" s="7">
        <f>IF($D2668="","",V2668*Y2668/100)</f>
        <v/>
      </c>
      <c r="AA2668" s="7">
        <f>IF($D2668="","",V2668-Z2668)</f>
        <v/>
      </c>
      <c r="AB2668" s="7">
        <f>IF($D2668="","",AA2668-N2668)</f>
        <v/>
      </c>
      <c r="AF2668" s="7" t="n"/>
      <c r="AI2668" s="11" t="n"/>
      <c r="AK2668">
        <f>IF($D2668="","",IF(COUNTIF($D$2:$D2668,$D2668)=1,1,0))</f>
        <v/>
      </c>
      <c r="AL2668">
        <f>IF($AK2668=1,SUMPRODUCT(--($AO$2:$AO$3001&lt;$AO2668))+1,"")</f>
        <v/>
      </c>
      <c r="AM2668">
        <f>IF($D2668="","",IF(OR($R2668=TRUE(),$R2668="TRUE"),1,0))</f>
        <v/>
      </c>
      <c r="AN2668">
        <f>IF($D2668="","",IF($X2668="Yes",1,0))</f>
        <v/>
      </c>
      <c r="AO2668">
        <f>IF($AK2668=1,IFERROR(IF(VALUE($D2668)&lt;100000000,VALUE($D2668),1000000000),IFERROR(IF(VALUE(MID($D2668,2,20))&lt;100000000,VALUE(MID($D2668,2,20)),1000000000),1000000000))+ROW()/100000,"")</f>
        <v/>
      </c>
    </row>
    <row r="2669">
      <c r="F2669" s="11" t="n"/>
      <c r="N2669" s="7">
        <f>IF($D2669="","",M2669*V2669/100)</f>
        <v/>
      </c>
      <c r="O2669" s="7" t="n"/>
      <c r="U2669" s="7" t="n"/>
      <c r="V2669" s="7" t="n"/>
      <c r="Y2669">
        <f>IF($D2669="","",IF($AN2669=1,0,IF($AM2669=1,Settings!$C$6,Settings!$C$7))*100)</f>
        <v/>
      </c>
      <c r="Z2669" s="7">
        <f>IF($D2669="","",V2669*Y2669/100)</f>
        <v/>
      </c>
      <c r="AA2669" s="7">
        <f>IF($D2669="","",V2669-Z2669)</f>
        <v/>
      </c>
      <c r="AB2669" s="7">
        <f>IF($D2669="","",AA2669-N2669)</f>
        <v/>
      </c>
      <c r="AF2669" s="7" t="n"/>
      <c r="AI2669" s="11" t="n"/>
      <c r="AK2669">
        <f>IF($D2669="","",IF(COUNTIF($D$2:$D2669,$D2669)=1,1,0))</f>
        <v/>
      </c>
      <c r="AL2669">
        <f>IF($AK2669=1,SUMPRODUCT(--($AO$2:$AO$3001&lt;$AO2669))+1,"")</f>
        <v/>
      </c>
      <c r="AM2669">
        <f>IF($D2669="","",IF(OR($R2669=TRUE(),$R2669="TRUE"),1,0))</f>
        <v/>
      </c>
      <c r="AN2669">
        <f>IF($D2669="","",IF($X2669="Yes",1,0))</f>
        <v/>
      </c>
      <c r="AO2669">
        <f>IF($AK2669=1,IFERROR(IF(VALUE($D2669)&lt;100000000,VALUE($D2669),1000000000),IFERROR(IF(VALUE(MID($D2669,2,20))&lt;100000000,VALUE(MID($D2669,2,20)),1000000000),1000000000))+ROW()/100000,"")</f>
        <v/>
      </c>
    </row>
    <row r="2670">
      <c r="F2670" s="11" t="n"/>
      <c r="N2670" s="7">
        <f>IF($D2670="","",M2670*V2670/100)</f>
        <v/>
      </c>
      <c r="O2670" s="7" t="n"/>
      <c r="U2670" s="7" t="n"/>
      <c r="V2670" s="7" t="n"/>
      <c r="Y2670">
        <f>IF($D2670="","",IF($AN2670=1,0,IF($AM2670=1,Settings!$C$6,Settings!$C$7))*100)</f>
        <v/>
      </c>
      <c r="Z2670" s="7">
        <f>IF($D2670="","",V2670*Y2670/100)</f>
        <v/>
      </c>
      <c r="AA2670" s="7">
        <f>IF($D2670="","",V2670-Z2670)</f>
        <v/>
      </c>
      <c r="AB2670" s="7">
        <f>IF($D2670="","",AA2670-N2670)</f>
        <v/>
      </c>
      <c r="AF2670" s="7" t="n"/>
      <c r="AI2670" s="11" t="n"/>
      <c r="AK2670">
        <f>IF($D2670="","",IF(COUNTIF($D$2:$D2670,$D2670)=1,1,0))</f>
        <v/>
      </c>
      <c r="AL2670">
        <f>IF($AK2670=1,SUMPRODUCT(--($AO$2:$AO$3001&lt;$AO2670))+1,"")</f>
        <v/>
      </c>
      <c r="AM2670">
        <f>IF($D2670="","",IF(OR($R2670=TRUE(),$R2670="TRUE"),1,0))</f>
        <v/>
      </c>
      <c r="AN2670">
        <f>IF($D2670="","",IF($X2670="Yes",1,0))</f>
        <v/>
      </c>
      <c r="AO2670">
        <f>IF($AK2670=1,IFERROR(IF(VALUE($D2670)&lt;100000000,VALUE($D2670),1000000000),IFERROR(IF(VALUE(MID($D2670,2,20))&lt;100000000,VALUE(MID($D2670,2,20)),1000000000),1000000000))+ROW()/100000,"")</f>
        <v/>
      </c>
    </row>
    <row r="2671">
      <c r="F2671" s="11" t="n"/>
      <c r="N2671" s="7">
        <f>IF($D2671="","",M2671*V2671/100)</f>
        <v/>
      </c>
      <c r="O2671" s="7" t="n"/>
      <c r="U2671" s="7" t="n"/>
      <c r="V2671" s="7" t="n"/>
      <c r="Y2671">
        <f>IF($D2671="","",IF($AN2671=1,0,IF($AM2671=1,Settings!$C$6,Settings!$C$7))*100)</f>
        <v/>
      </c>
      <c r="Z2671" s="7">
        <f>IF($D2671="","",V2671*Y2671/100)</f>
        <v/>
      </c>
      <c r="AA2671" s="7">
        <f>IF($D2671="","",V2671-Z2671)</f>
        <v/>
      </c>
      <c r="AB2671" s="7">
        <f>IF($D2671="","",AA2671-N2671)</f>
        <v/>
      </c>
      <c r="AF2671" s="7" t="n"/>
      <c r="AI2671" s="11" t="n"/>
      <c r="AK2671">
        <f>IF($D2671="","",IF(COUNTIF($D$2:$D2671,$D2671)=1,1,0))</f>
        <v/>
      </c>
      <c r="AL2671">
        <f>IF($AK2671=1,SUMPRODUCT(--($AO$2:$AO$3001&lt;$AO2671))+1,"")</f>
        <v/>
      </c>
      <c r="AM2671">
        <f>IF($D2671="","",IF(OR($R2671=TRUE(),$R2671="TRUE"),1,0))</f>
        <v/>
      </c>
      <c r="AN2671">
        <f>IF($D2671="","",IF($X2671="Yes",1,0))</f>
        <v/>
      </c>
      <c r="AO2671">
        <f>IF($AK2671=1,IFERROR(IF(VALUE($D2671)&lt;100000000,VALUE($D2671),1000000000),IFERROR(IF(VALUE(MID($D2671,2,20))&lt;100000000,VALUE(MID($D2671,2,20)),1000000000),1000000000))+ROW()/100000,"")</f>
        <v/>
      </c>
    </row>
    <row r="2672">
      <c r="F2672" s="11" t="n"/>
      <c r="N2672" s="7">
        <f>IF($D2672="","",M2672*V2672/100)</f>
        <v/>
      </c>
      <c r="O2672" s="7" t="n"/>
      <c r="U2672" s="7" t="n"/>
      <c r="V2672" s="7" t="n"/>
      <c r="Y2672">
        <f>IF($D2672="","",IF($AN2672=1,0,IF($AM2672=1,Settings!$C$6,Settings!$C$7))*100)</f>
        <v/>
      </c>
      <c r="Z2672" s="7">
        <f>IF($D2672="","",V2672*Y2672/100)</f>
        <v/>
      </c>
      <c r="AA2672" s="7">
        <f>IF($D2672="","",V2672-Z2672)</f>
        <v/>
      </c>
      <c r="AB2672" s="7">
        <f>IF($D2672="","",AA2672-N2672)</f>
        <v/>
      </c>
      <c r="AF2672" s="7" t="n"/>
      <c r="AI2672" s="11" t="n"/>
      <c r="AK2672">
        <f>IF($D2672="","",IF(COUNTIF($D$2:$D2672,$D2672)=1,1,0))</f>
        <v/>
      </c>
      <c r="AL2672">
        <f>IF($AK2672=1,SUMPRODUCT(--($AO$2:$AO$3001&lt;$AO2672))+1,"")</f>
        <v/>
      </c>
      <c r="AM2672">
        <f>IF($D2672="","",IF(OR($R2672=TRUE(),$R2672="TRUE"),1,0))</f>
        <v/>
      </c>
      <c r="AN2672">
        <f>IF($D2672="","",IF($X2672="Yes",1,0))</f>
        <v/>
      </c>
      <c r="AO2672">
        <f>IF($AK2672=1,IFERROR(IF(VALUE($D2672)&lt;100000000,VALUE($D2672),1000000000),IFERROR(IF(VALUE(MID($D2672,2,20))&lt;100000000,VALUE(MID($D2672,2,20)),1000000000),1000000000))+ROW()/100000,"")</f>
        <v/>
      </c>
    </row>
    <row r="2673">
      <c r="F2673" s="11" t="n"/>
      <c r="N2673" s="7">
        <f>IF($D2673="","",M2673*V2673/100)</f>
        <v/>
      </c>
      <c r="O2673" s="7" t="n"/>
      <c r="U2673" s="7" t="n"/>
      <c r="V2673" s="7" t="n"/>
      <c r="Y2673">
        <f>IF($D2673="","",IF($AN2673=1,0,IF($AM2673=1,Settings!$C$6,Settings!$C$7))*100)</f>
        <v/>
      </c>
      <c r="Z2673" s="7">
        <f>IF($D2673="","",V2673*Y2673/100)</f>
        <v/>
      </c>
      <c r="AA2673" s="7">
        <f>IF($D2673="","",V2673-Z2673)</f>
        <v/>
      </c>
      <c r="AB2673" s="7">
        <f>IF($D2673="","",AA2673-N2673)</f>
        <v/>
      </c>
      <c r="AF2673" s="7" t="n"/>
      <c r="AI2673" s="11" t="n"/>
      <c r="AK2673">
        <f>IF($D2673="","",IF(COUNTIF($D$2:$D2673,$D2673)=1,1,0))</f>
        <v/>
      </c>
      <c r="AL2673">
        <f>IF($AK2673=1,SUMPRODUCT(--($AO$2:$AO$3001&lt;$AO2673))+1,"")</f>
        <v/>
      </c>
      <c r="AM2673">
        <f>IF($D2673="","",IF(OR($R2673=TRUE(),$R2673="TRUE"),1,0))</f>
        <v/>
      </c>
      <c r="AN2673">
        <f>IF($D2673="","",IF($X2673="Yes",1,0))</f>
        <v/>
      </c>
      <c r="AO2673">
        <f>IF($AK2673=1,IFERROR(IF(VALUE($D2673)&lt;100000000,VALUE($D2673),1000000000),IFERROR(IF(VALUE(MID($D2673,2,20))&lt;100000000,VALUE(MID($D2673,2,20)),1000000000),1000000000))+ROW()/100000,"")</f>
        <v/>
      </c>
    </row>
    <row r="2674">
      <c r="F2674" s="11" t="n"/>
      <c r="N2674" s="7">
        <f>IF($D2674="","",M2674*V2674/100)</f>
        <v/>
      </c>
      <c r="O2674" s="7" t="n"/>
      <c r="U2674" s="7" t="n"/>
      <c r="V2674" s="7" t="n"/>
      <c r="Y2674">
        <f>IF($D2674="","",IF($AN2674=1,0,IF($AM2674=1,Settings!$C$6,Settings!$C$7))*100)</f>
        <v/>
      </c>
      <c r="Z2674" s="7">
        <f>IF($D2674="","",V2674*Y2674/100)</f>
        <v/>
      </c>
      <c r="AA2674" s="7">
        <f>IF($D2674="","",V2674-Z2674)</f>
        <v/>
      </c>
      <c r="AB2674" s="7">
        <f>IF($D2674="","",AA2674-N2674)</f>
        <v/>
      </c>
      <c r="AF2674" s="7" t="n"/>
      <c r="AI2674" s="11" t="n"/>
      <c r="AK2674">
        <f>IF($D2674="","",IF(COUNTIF($D$2:$D2674,$D2674)=1,1,0))</f>
        <v/>
      </c>
      <c r="AL2674">
        <f>IF($AK2674=1,SUMPRODUCT(--($AO$2:$AO$3001&lt;$AO2674))+1,"")</f>
        <v/>
      </c>
      <c r="AM2674">
        <f>IF($D2674="","",IF(OR($R2674=TRUE(),$R2674="TRUE"),1,0))</f>
        <v/>
      </c>
      <c r="AN2674">
        <f>IF($D2674="","",IF($X2674="Yes",1,0))</f>
        <v/>
      </c>
      <c r="AO2674">
        <f>IF($AK2674=1,IFERROR(IF(VALUE($D2674)&lt;100000000,VALUE($D2674),1000000000),IFERROR(IF(VALUE(MID($D2674,2,20))&lt;100000000,VALUE(MID($D2674,2,20)),1000000000),1000000000))+ROW()/100000,"")</f>
        <v/>
      </c>
    </row>
    <row r="2675">
      <c r="F2675" s="11" t="n"/>
      <c r="N2675" s="7">
        <f>IF($D2675="","",M2675*V2675/100)</f>
        <v/>
      </c>
      <c r="O2675" s="7" t="n"/>
      <c r="U2675" s="7" t="n"/>
      <c r="V2675" s="7" t="n"/>
      <c r="Y2675">
        <f>IF($D2675="","",IF($AN2675=1,0,IF($AM2675=1,Settings!$C$6,Settings!$C$7))*100)</f>
        <v/>
      </c>
      <c r="Z2675" s="7">
        <f>IF($D2675="","",V2675*Y2675/100)</f>
        <v/>
      </c>
      <c r="AA2675" s="7">
        <f>IF($D2675="","",V2675-Z2675)</f>
        <v/>
      </c>
      <c r="AB2675" s="7">
        <f>IF($D2675="","",AA2675-N2675)</f>
        <v/>
      </c>
      <c r="AF2675" s="7" t="n"/>
      <c r="AI2675" s="11" t="n"/>
      <c r="AK2675">
        <f>IF($D2675="","",IF(COUNTIF($D$2:$D2675,$D2675)=1,1,0))</f>
        <v/>
      </c>
      <c r="AL2675">
        <f>IF($AK2675=1,SUMPRODUCT(--($AO$2:$AO$3001&lt;$AO2675))+1,"")</f>
        <v/>
      </c>
      <c r="AM2675">
        <f>IF($D2675="","",IF(OR($R2675=TRUE(),$R2675="TRUE"),1,0))</f>
        <v/>
      </c>
      <c r="AN2675">
        <f>IF($D2675="","",IF($X2675="Yes",1,0))</f>
        <v/>
      </c>
      <c r="AO2675">
        <f>IF($AK2675=1,IFERROR(IF(VALUE($D2675)&lt;100000000,VALUE($D2675),1000000000),IFERROR(IF(VALUE(MID($D2675,2,20))&lt;100000000,VALUE(MID($D2675,2,20)),1000000000),1000000000))+ROW()/100000,"")</f>
        <v/>
      </c>
    </row>
    <row r="2676">
      <c r="F2676" s="11" t="n"/>
      <c r="N2676" s="7">
        <f>IF($D2676="","",M2676*V2676/100)</f>
        <v/>
      </c>
      <c r="O2676" s="7" t="n"/>
      <c r="U2676" s="7" t="n"/>
      <c r="V2676" s="7" t="n"/>
      <c r="Y2676">
        <f>IF($D2676="","",IF($AN2676=1,0,IF($AM2676=1,Settings!$C$6,Settings!$C$7))*100)</f>
        <v/>
      </c>
      <c r="Z2676" s="7">
        <f>IF($D2676="","",V2676*Y2676/100)</f>
        <v/>
      </c>
      <c r="AA2676" s="7">
        <f>IF($D2676="","",V2676-Z2676)</f>
        <v/>
      </c>
      <c r="AB2676" s="7">
        <f>IF($D2676="","",AA2676-N2676)</f>
        <v/>
      </c>
      <c r="AF2676" s="7" t="n"/>
      <c r="AI2676" s="11" t="n"/>
      <c r="AK2676">
        <f>IF($D2676="","",IF(COUNTIF($D$2:$D2676,$D2676)=1,1,0))</f>
        <v/>
      </c>
      <c r="AL2676">
        <f>IF($AK2676=1,SUMPRODUCT(--($AO$2:$AO$3001&lt;$AO2676))+1,"")</f>
        <v/>
      </c>
      <c r="AM2676">
        <f>IF($D2676="","",IF(OR($R2676=TRUE(),$R2676="TRUE"),1,0))</f>
        <v/>
      </c>
      <c r="AN2676">
        <f>IF($D2676="","",IF($X2676="Yes",1,0))</f>
        <v/>
      </c>
      <c r="AO2676">
        <f>IF($AK2676=1,IFERROR(IF(VALUE($D2676)&lt;100000000,VALUE($D2676),1000000000),IFERROR(IF(VALUE(MID($D2676,2,20))&lt;100000000,VALUE(MID($D2676,2,20)),1000000000),1000000000))+ROW()/100000,"")</f>
        <v/>
      </c>
    </row>
    <row r="2677">
      <c r="F2677" s="11" t="n"/>
      <c r="N2677" s="7">
        <f>IF($D2677="","",M2677*V2677/100)</f>
        <v/>
      </c>
      <c r="O2677" s="7" t="n"/>
      <c r="U2677" s="7" t="n"/>
      <c r="V2677" s="7" t="n"/>
      <c r="Y2677">
        <f>IF($D2677="","",IF($AN2677=1,0,IF($AM2677=1,Settings!$C$6,Settings!$C$7))*100)</f>
        <v/>
      </c>
      <c r="Z2677" s="7">
        <f>IF($D2677="","",V2677*Y2677/100)</f>
        <v/>
      </c>
      <c r="AA2677" s="7">
        <f>IF($D2677="","",V2677-Z2677)</f>
        <v/>
      </c>
      <c r="AB2677" s="7">
        <f>IF($D2677="","",AA2677-N2677)</f>
        <v/>
      </c>
      <c r="AF2677" s="7" t="n"/>
      <c r="AI2677" s="11" t="n"/>
      <c r="AK2677">
        <f>IF($D2677="","",IF(COUNTIF($D$2:$D2677,$D2677)=1,1,0))</f>
        <v/>
      </c>
      <c r="AL2677">
        <f>IF($AK2677=1,SUMPRODUCT(--($AO$2:$AO$3001&lt;$AO2677))+1,"")</f>
        <v/>
      </c>
      <c r="AM2677">
        <f>IF($D2677="","",IF(OR($R2677=TRUE(),$R2677="TRUE"),1,0))</f>
        <v/>
      </c>
      <c r="AN2677">
        <f>IF($D2677="","",IF($X2677="Yes",1,0))</f>
        <v/>
      </c>
      <c r="AO2677">
        <f>IF($AK2677=1,IFERROR(IF(VALUE($D2677)&lt;100000000,VALUE($D2677),1000000000),IFERROR(IF(VALUE(MID($D2677,2,20))&lt;100000000,VALUE(MID($D2677,2,20)),1000000000),1000000000))+ROW()/100000,"")</f>
        <v/>
      </c>
    </row>
    <row r="2678">
      <c r="F2678" s="11" t="n"/>
      <c r="N2678" s="7">
        <f>IF($D2678="","",M2678*V2678/100)</f>
        <v/>
      </c>
      <c r="O2678" s="7" t="n"/>
      <c r="U2678" s="7" t="n"/>
      <c r="V2678" s="7" t="n"/>
      <c r="Y2678">
        <f>IF($D2678="","",IF($AN2678=1,0,IF($AM2678=1,Settings!$C$6,Settings!$C$7))*100)</f>
        <v/>
      </c>
      <c r="Z2678" s="7">
        <f>IF($D2678="","",V2678*Y2678/100)</f>
        <v/>
      </c>
      <c r="AA2678" s="7">
        <f>IF($D2678="","",V2678-Z2678)</f>
        <v/>
      </c>
      <c r="AB2678" s="7">
        <f>IF($D2678="","",AA2678-N2678)</f>
        <v/>
      </c>
      <c r="AF2678" s="7" t="n"/>
      <c r="AI2678" s="11" t="n"/>
      <c r="AK2678">
        <f>IF($D2678="","",IF(COUNTIF($D$2:$D2678,$D2678)=1,1,0))</f>
        <v/>
      </c>
      <c r="AL2678">
        <f>IF($AK2678=1,SUMPRODUCT(--($AO$2:$AO$3001&lt;$AO2678))+1,"")</f>
        <v/>
      </c>
      <c r="AM2678">
        <f>IF($D2678="","",IF(OR($R2678=TRUE(),$R2678="TRUE"),1,0))</f>
        <v/>
      </c>
      <c r="AN2678">
        <f>IF($D2678="","",IF($X2678="Yes",1,0))</f>
        <v/>
      </c>
      <c r="AO2678">
        <f>IF($AK2678=1,IFERROR(IF(VALUE($D2678)&lt;100000000,VALUE($D2678),1000000000),IFERROR(IF(VALUE(MID($D2678,2,20))&lt;100000000,VALUE(MID($D2678,2,20)),1000000000),1000000000))+ROW()/100000,"")</f>
        <v/>
      </c>
    </row>
    <row r="2679">
      <c r="F2679" s="11" t="n"/>
      <c r="N2679" s="7">
        <f>IF($D2679="","",M2679*V2679/100)</f>
        <v/>
      </c>
      <c r="O2679" s="7" t="n"/>
      <c r="U2679" s="7" t="n"/>
      <c r="V2679" s="7" t="n"/>
      <c r="Y2679">
        <f>IF($D2679="","",IF($AN2679=1,0,IF($AM2679=1,Settings!$C$6,Settings!$C$7))*100)</f>
        <v/>
      </c>
      <c r="Z2679" s="7">
        <f>IF($D2679="","",V2679*Y2679/100)</f>
        <v/>
      </c>
      <c r="AA2679" s="7">
        <f>IF($D2679="","",V2679-Z2679)</f>
        <v/>
      </c>
      <c r="AB2679" s="7">
        <f>IF($D2679="","",AA2679-N2679)</f>
        <v/>
      </c>
      <c r="AF2679" s="7" t="n"/>
      <c r="AI2679" s="11" t="n"/>
      <c r="AK2679">
        <f>IF($D2679="","",IF(COUNTIF($D$2:$D2679,$D2679)=1,1,0))</f>
        <v/>
      </c>
      <c r="AL2679">
        <f>IF($AK2679=1,SUMPRODUCT(--($AO$2:$AO$3001&lt;$AO2679))+1,"")</f>
        <v/>
      </c>
      <c r="AM2679">
        <f>IF($D2679="","",IF(OR($R2679=TRUE(),$R2679="TRUE"),1,0))</f>
        <v/>
      </c>
      <c r="AN2679">
        <f>IF($D2679="","",IF($X2679="Yes",1,0))</f>
        <v/>
      </c>
      <c r="AO2679">
        <f>IF($AK2679=1,IFERROR(IF(VALUE($D2679)&lt;100000000,VALUE($D2679),1000000000),IFERROR(IF(VALUE(MID($D2679,2,20))&lt;100000000,VALUE(MID($D2679,2,20)),1000000000),1000000000))+ROW()/100000,"")</f>
        <v/>
      </c>
    </row>
    <row r="2680">
      <c r="F2680" s="11" t="n"/>
      <c r="N2680" s="7">
        <f>IF($D2680="","",M2680*V2680/100)</f>
        <v/>
      </c>
      <c r="O2680" s="7" t="n"/>
      <c r="U2680" s="7" t="n"/>
      <c r="V2680" s="7" t="n"/>
      <c r="Y2680">
        <f>IF($D2680="","",IF($AN2680=1,0,IF($AM2680=1,Settings!$C$6,Settings!$C$7))*100)</f>
        <v/>
      </c>
      <c r="Z2680" s="7">
        <f>IF($D2680="","",V2680*Y2680/100)</f>
        <v/>
      </c>
      <c r="AA2680" s="7">
        <f>IF($D2680="","",V2680-Z2680)</f>
        <v/>
      </c>
      <c r="AB2680" s="7">
        <f>IF($D2680="","",AA2680-N2680)</f>
        <v/>
      </c>
      <c r="AF2680" s="7" t="n"/>
      <c r="AI2680" s="11" t="n"/>
      <c r="AK2680">
        <f>IF($D2680="","",IF(COUNTIF($D$2:$D2680,$D2680)=1,1,0))</f>
        <v/>
      </c>
      <c r="AL2680">
        <f>IF($AK2680=1,SUMPRODUCT(--($AO$2:$AO$3001&lt;$AO2680))+1,"")</f>
        <v/>
      </c>
      <c r="AM2680">
        <f>IF($D2680="","",IF(OR($R2680=TRUE(),$R2680="TRUE"),1,0))</f>
        <v/>
      </c>
      <c r="AN2680">
        <f>IF($D2680="","",IF($X2680="Yes",1,0))</f>
        <v/>
      </c>
      <c r="AO2680">
        <f>IF($AK2680=1,IFERROR(IF(VALUE($D2680)&lt;100000000,VALUE($D2680),1000000000),IFERROR(IF(VALUE(MID($D2680,2,20))&lt;100000000,VALUE(MID($D2680,2,20)),1000000000),1000000000))+ROW()/100000,"")</f>
        <v/>
      </c>
    </row>
    <row r="2681">
      <c r="F2681" s="11" t="n"/>
      <c r="N2681" s="7">
        <f>IF($D2681="","",M2681*V2681/100)</f>
        <v/>
      </c>
      <c r="O2681" s="7" t="n"/>
      <c r="U2681" s="7" t="n"/>
      <c r="V2681" s="7" t="n"/>
      <c r="Y2681">
        <f>IF($D2681="","",IF($AN2681=1,0,IF($AM2681=1,Settings!$C$6,Settings!$C$7))*100)</f>
        <v/>
      </c>
      <c r="Z2681" s="7">
        <f>IF($D2681="","",V2681*Y2681/100)</f>
        <v/>
      </c>
      <c r="AA2681" s="7">
        <f>IF($D2681="","",V2681-Z2681)</f>
        <v/>
      </c>
      <c r="AB2681" s="7">
        <f>IF($D2681="","",AA2681-N2681)</f>
        <v/>
      </c>
      <c r="AF2681" s="7" t="n"/>
      <c r="AI2681" s="11" t="n"/>
      <c r="AK2681">
        <f>IF($D2681="","",IF(COUNTIF($D$2:$D2681,$D2681)=1,1,0))</f>
        <v/>
      </c>
      <c r="AL2681">
        <f>IF($AK2681=1,SUMPRODUCT(--($AO$2:$AO$3001&lt;$AO2681))+1,"")</f>
        <v/>
      </c>
      <c r="AM2681">
        <f>IF($D2681="","",IF(OR($R2681=TRUE(),$R2681="TRUE"),1,0))</f>
        <v/>
      </c>
      <c r="AN2681">
        <f>IF($D2681="","",IF($X2681="Yes",1,0))</f>
        <v/>
      </c>
      <c r="AO2681">
        <f>IF($AK2681=1,IFERROR(IF(VALUE($D2681)&lt;100000000,VALUE($D2681),1000000000),IFERROR(IF(VALUE(MID($D2681,2,20))&lt;100000000,VALUE(MID($D2681,2,20)),1000000000),1000000000))+ROW()/100000,"")</f>
        <v/>
      </c>
    </row>
    <row r="2682">
      <c r="F2682" s="11" t="n"/>
      <c r="N2682" s="7">
        <f>IF($D2682="","",M2682*V2682/100)</f>
        <v/>
      </c>
      <c r="O2682" s="7" t="n"/>
      <c r="U2682" s="7" t="n"/>
      <c r="V2682" s="7" t="n"/>
      <c r="Y2682">
        <f>IF($D2682="","",IF($AN2682=1,0,IF($AM2682=1,Settings!$C$6,Settings!$C$7))*100)</f>
        <v/>
      </c>
      <c r="Z2682" s="7">
        <f>IF($D2682="","",V2682*Y2682/100)</f>
        <v/>
      </c>
      <c r="AA2682" s="7">
        <f>IF($D2682="","",V2682-Z2682)</f>
        <v/>
      </c>
      <c r="AB2682" s="7">
        <f>IF($D2682="","",AA2682-N2682)</f>
        <v/>
      </c>
      <c r="AF2682" s="7" t="n"/>
      <c r="AI2682" s="11" t="n"/>
      <c r="AK2682">
        <f>IF($D2682="","",IF(COUNTIF($D$2:$D2682,$D2682)=1,1,0))</f>
        <v/>
      </c>
      <c r="AL2682">
        <f>IF($AK2682=1,SUMPRODUCT(--($AO$2:$AO$3001&lt;$AO2682))+1,"")</f>
        <v/>
      </c>
      <c r="AM2682">
        <f>IF($D2682="","",IF(OR($R2682=TRUE(),$R2682="TRUE"),1,0))</f>
        <v/>
      </c>
      <c r="AN2682">
        <f>IF($D2682="","",IF($X2682="Yes",1,0))</f>
        <v/>
      </c>
      <c r="AO2682">
        <f>IF($AK2682=1,IFERROR(IF(VALUE($D2682)&lt;100000000,VALUE($D2682),1000000000),IFERROR(IF(VALUE(MID($D2682,2,20))&lt;100000000,VALUE(MID($D2682,2,20)),1000000000),1000000000))+ROW()/100000,"")</f>
        <v/>
      </c>
    </row>
    <row r="2683">
      <c r="F2683" s="11" t="n"/>
      <c r="N2683" s="7">
        <f>IF($D2683="","",M2683*V2683/100)</f>
        <v/>
      </c>
      <c r="O2683" s="7" t="n"/>
      <c r="U2683" s="7" t="n"/>
      <c r="V2683" s="7" t="n"/>
      <c r="Y2683">
        <f>IF($D2683="","",IF($AN2683=1,0,IF($AM2683=1,Settings!$C$6,Settings!$C$7))*100)</f>
        <v/>
      </c>
      <c r="Z2683" s="7">
        <f>IF($D2683="","",V2683*Y2683/100)</f>
        <v/>
      </c>
      <c r="AA2683" s="7">
        <f>IF($D2683="","",V2683-Z2683)</f>
        <v/>
      </c>
      <c r="AB2683" s="7">
        <f>IF($D2683="","",AA2683-N2683)</f>
        <v/>
      </c>
      <c r="AF2683" s="7" t="n"/>
      <c r="AI2683" s="11" t="n"/>
      <c r="AK2683">
        <f>IF($D2683="","",IF(COUNTIF($D$2:$D2683,$D2683)=1,1,0))</f>
        <v/>
      </c>
      <c r="AL2683">
        <f>IF($AK2683=1,SUMPRODUCT(--($AO$2:$AO$3001&lt;$AO2683))+1,"")</f>
        <v/>
      </c>
      <c r="AM2683">
        <f>IF($D2683="","",IF(OR($R2683=TRUE(),$R2683="TRUE"),1,0))</f>
        <v/>
      </c>
      <c r="AN2683">
        <f>IF($D2683="","",IF($X2683="Yes",1,0))</f>
        <v/>
      </c>
      <c r="AO2683">
        <f>IF($AK2683=1,IFERROR(IF(VALUE($D2683)&lt;100000000,VALUE($D2683),1000000000),IFERROR(IF(VALUE(MID($D2683,2,20))&lt;100000000,VALUE(MID($D2683,2,20)),1000000000),1000000000))+ROW()/100000,"")</f>
        <v/>
      </c>
    </row>
    <row r="2684">
      <c r="F2684" s="11" t="n"/>
      <c r="N2684" s="7">
        <f>IF($D2684="","",M2684*V2684/100)</f>
        <v/>
      </c>
      <c r="O2684" s="7" t="n"/>
      <c r="U2684" s="7" t="n"/>
      <c r="V2684" s="7" t="n"/>
      <c r="Y2684">
        <f>IF($D2684="","",IF($AN2684=1,0,IF($AM2684=1,Settings!$C$6,Settings!$C$7))*100)</f>
        <v/>
      </c>
      <c r="Z2684" s="7">
        <f>IF($D2684="","",V2684*Y2684/100)</f>
        <v/>
      </c>
      <c r="AA2684" s="7">
        <f>IF($D2684="","",V2684-Z2684)</f>
        <v/>
      </c>
      <c r="AB2684" s="7">
        <f>IF($D2684="","",AA2684-N2684)</f>
        <v/>
      </c>
      <c r="AF2684" s="7" t="n"/>
      <c r="AI2684" s="11" t="n"/>
      <c r="AK2684">
        <f>IF($D2684="","",IF(COUNTIF($D$2:$D2684,$D2684)=1,1,0))</f>
        <v/>
      </c>
      <c r="AL2684">
        <f>IF($AK2684=1,SUMPRODUCT(--($AO$2:$AO$3001&lt;$AO2684))+1,"")</f>
        <v/>
      </c>
      <c r="AM2684">
        <f>IF($D2684="","",IF(OR($R2684=TRUE(),$R2684="TRUE"),1,0))</f>
        <v/>
      </c>
      <c r="AN2684">
        <f>IF($D2684="","",IF($X2684="Yes",1,0))</f>
        <v/>
      </c>
      <c r="AO2684">
        <f>IF($AK2684=1,IFERROR(IF(VALUE($D2684)&lt;100000000,VALUE($D2684),1000000000),IFERROR(IF(VALUE(MID($D2684,2,20))&lt;100000000,VALUE(MID($D2684,2,20)),1000000000),1000000000))+ROW()/100000,"")</f>
        <v/>
      </c>
    </row>
    <row r="2685">
      <c r="F2685" s="11" t="n"/>
      <c r="N2685" s="7">
        <f>IF($D2685="","",M2685*V2685/100)</f>
        <v/>
      </c>
      <c r="O2685" s="7" t="n"/>
      <c r="U2685" s="7" t="n"/>
      <c r="V2685" s="7" t="n"/>
      <c r="Y2685">
        <f>IF($D2685="","",IF($AN2685=1,0,IF($AM2685=1,Settings!$C$6,Settings!$C$7))*100)</f>
        <v/>
      </c>
      <c r="Z2685" s="7">
        <f>IF($D2685="","",V2685*Y2685/100)</f>
        <v/>
      </c>
      <c r="AA2685" s="7">
        <f>IF($D2685="","",V2685-Z2685)</f>
        <v/>
      </c>
      <c r="AB2685" s="7">
        <f>IF($D2685="","",AA2685-N2685)</f>
        <v/>
      </c>
      <c r="AF2685" s="7" t="n"/>
      <c r="AI2685" s="11" t="n"/>
      <c r="AK2685">
        <f>IF($D2685="","",IF(COUNTIF($D$2:$D2685,$D2685)=1,1,0))</f>
        <v/>
      </c>
      <c r="AL2685">
        <f>IF($AK2685=1,SUMPRODUCT(--($AO$2:$AO$3001&lt;$AO2685))+1,"")</f>
        <v/>
      </c>
      <c r="AM2685">
        <f>IF($D2685="","",IF(OR($R2685=TRUE(),$R2685="TRUE"),1,0))</f>
        <v/>
      </c>
      <c r="AN2685">
        <f>IF($D2685="","",IF($X2685="Yes",1,0))</f>
        <v/>
      </c>
      <c r="AO2685">
        <f>IF($AK2685=1,IFERROR(IF(VALUE($D2685)&lt;100000000,VALUE($D2685),1000000000),IFERROR(IF(VALUE(MID($D2685,2,20))&lt;100000000,VALUE(MID($D2685,2,20)),1000000000),1000000000))+ROW()/100000,"")</f>
        <v/>
      </c>
    </row>
    <row r="2686">
      <c r="F2686" s="11" t="n"/>
      <c r="N2686" s="7">
        <f>IF($D2686="","",M2686*V2686/100)</f>
        <v/>
      </c>
      <c r="O2686" s="7" t="n"/>
      <c r="U2686" s="7" t="n"/>
      <c r="V2686" s="7" t="n"/>
      <c r="Y2686">
        <f>IF($D2686="","",IF($AN2686=1,0,IF($AM2686=1,Settings!$C$6,Settings!$C$7))*100)</f>
        <v/>
      </c>
      <c r="Z2686" s="7">
        <f>IF($D2686="","",V2686*Y2686/100)</f>
        <v/>
      </c>
      <c r="AA2686" s="7">
        <f>IF($D2686="","",V2686-Z2686)</f>
        <v/>
      </c>
      <c r="AB2686" s="7">
        <f>IF($D2686="","",AA2686-N2686)</f>
        <v/>
      </c>
      <c r="AF2686" s="7" t="n"/>
      <c r="AI2686" s="11" t="n"/>
      <c r="AK2686">
        <f>IF($D2686="","",IF(COUNTIF($D$2:$D2686,$D2686)=1,1,0))</f>
        <v/>
      </c>
      <c r="AL2686">
        <f>IF($AK2686=1,SUMPRODUCT(--($AO$2:$AO$3001&lt;$AO2686))+1,"")</f>
        <v/>
      </c>
      <c r="AM2686">
        <f>IF($D2686="","",IF(OR($R2686=TRUE(),$R2686="TRUE"),1,0))</f>
        <v/>
      </c>
      <c r="AN2686">
        <f>IF($D2686="","",IF($X2686="Yes",1,0))</f>
        <v/>
      </c>
      <c r="AO2686">
        <f>IF($AK2686=1,IFERROR(IF(VALUE($D2686)&lt;100000000,VALUE($D2686),1000000000),IFERROR(IF(VALUE(MID($D2686,2,20))&lt;100000000,VALUE(MID($D2686,2,20)),1000000000),1000000000))+ROW()/100000,"")</f>
        <v/>
      </c>
    </row>
    <row r="2687">
      <c r="F2687" s="11" t="n"/>
      <c r="N2687" s="7">
        <f>IF($D2687="","",M2687*V2687/100)</f>
        <v/>
      </c>
      <c r="O2687" s="7" t="n"/>
      <c r="U2687" s="7" t="n"/>
      <c r="V2687" s="7" t="n"/>
      <c r="Y2687">
        <f>IF($D2687="","",IF($AN2687=1,0,IF($AM2687=1,Settings!$C$6,Settings!$C$7))*100)</f>
        <v/>
      </c>
      <c r="Z2687" s="7">
        <f>IF($D2687="","",V2687*Y2687/100)</f>
        <v/>
      </c>
      <c r="AA2687" s="7">
        <f>IF($D2687="","",V2687-Z2687)</f>
        <v/>
      </c>
      <c r="AB2687" s="7">
        <f>IF($D2687="","",AA2687-N2687)</f>
        <v/>
      </c>
      <c r="AF2687" s="7" t="n"/>
      <c r="AI2687" s="11" t="n"/>
      <c r="AK2687">
        <f>IF($D2687="","",IF(COUNTIF($D$2:$D2687,$D2687)=1,1,0))</f>
        <v/>
      </c>
      <c r="AL2687">
        <f>IF($AK2687=1,SUMPRODUCT(--($AO$2:$AO$3001&lt;$AO2687))+1,"")</f>
        <v/>
      </c>
      <c r="AM2687">
        <f>IF($D2687="","",IF(OR($R2687=TRUE(),$R2687="TRUE"),1,0))</f>
        <v/>
      </c>
      <c r="AN2687">
        <f>IF($D2687="","",IF($X2687="Yes",1,0))</f>
        <v/>
      </c>
      <c r="AO2687">
        <f>IF($AK2687=1,IFERROR(IF(VALUE($D2687)&lt;100000000,VALUE($D2687),1000000000),IFERROR(IF(VALUE(MID($D2687,2,20))&lt;100000000,VALUE(MID($D2687,2,20)),1000000000),1000000000))+ROW()/100000,"")</f>
        <v/>
      </c>
    </row>
    <row r="2688">
      <c r="F2688" s="11" t="n"/>
      <c r="N2688" s="7">
        <f>IF($D2688="","",M2688*V2688/100)</f>
        <v/>
      </c>
      <c r="O2688" s="7" t="n"/>
      <c r="U2688" s="7" t="n"/>
      <c r="V2688" s="7" t="n"/>
      <c r="Y2688">
        <f>IF($D2688="","",IF($AN2688=1,0,IF($AM2688=1,Settings!$C$6,Settings!$C$7))*100)</f>
        <v/>
      </c>
      <c r="Z2688" s="7">
        <f>IF($D2688="","",V2688*Y2688/100)</f>
        <v/>
      </c>
      <c r="AA2688" s="7">
        <f>IF($D2688="","",V2688-Z2688)</f>
        <v/>
      </c>
      <c r="AB2688" s="7">
        <f>IF($D2688="","",AA2688-N2688)</f>
        <v/>
      </c>
      <c r="AF2688" s="7" t="n"/>
      <c r="AI2688" s="11" t="n"/>
      <c r="AK2688">
        <f>IF($D2688="","",IF(COUNTIF($D$2:$D2688,$D2688)=1,1,0))</f>
        <v/>
      </c>
      <c r="AL2688">
        <f>IF($AK2688=1,SUMPRODUCT(--($AO$2:$AO$3001&lt;$AO2688))+1,"")</f>
        <v/>
      </c>
      <c r="AM2688">
        <f>IF($D2688="","",IF(OR($R2688=TRUE(),$R2688="TRUE"),1,0))</f>
        <v/>
      </c>
      <c r="AN2688">
        <f>IF($D2688="","",IF($X2688="Yes",1,0))</f>
        <v/>
      </c>
      <c r="AO2688">
        <f>IF($AK2688=1,IFERROR(IF(VALUE($D2688)&lt;100000000,VALUE($D2688),1000000000),IFERROR(IF(VALUE(MID($D2688,2,20))&lt;100000000,VALUE(MID($D2688,2,20)),1000000000),1000000000))+ROW()/100000,"")</f>
        <v/>
      </c>
    </row>
    <row r="2689">
      <c r="F2689" s="11" t="n"/>
      <c r="N2689" s="7">
        <f>IF($D2689="","",M2689*V2689/100)</f>
        <v/>
      </c>
      <c r="O2689" s="7" t="n"/>
      <c r="U2689" s="7" t="n"/>
      <c r="V2689" s="7" t="n"/>
      <c r="Y2689">
        <f>IF($D2689="","",IF($AN2689=1,0,IF($AM2689=1,Settings!$C$6,Settings!$C$7))*100)</f>
        <v/>
      </c>
      <c r="Z2689" s="7">
        <f>IF($D2689="","",V2689*Y2689/100)</f>
        <v/>
      </c>
      <c r="AA2689" s="7">
        <f>IF($D2689="","",V2689-Z2689)</f>
        <v/>
      </c>
      <c r="AB2689" s="7">
        <f>IF($D2689="","",AA2689-N2689)</f>
        <v/>
      </c>
      <c r="AF2689" s="7" t="n"/>
      <c r="AI2689" s="11" t="n"/>
      <c r="AK2689">
        <f>IF($D2689="","",IF(COUNTIF($D$2:$D2689,$D2689)=1,1,0))</f>
        <v/>
      </c>
      <c r="AL2689">
        <f>IF($AK2689=1,SUMPRODUCT(--($AO$2:$AO$3001&lt;$AO2689))+1,"")</f>
        <v/>
      </c>
      <c r="AM2689">
        <f>IF($D2689="","",IF(OR($R2689=TRUE(),$R2689="TRUE"),1,0))</f>
        <v/>
      </c>
      <c r="AN2689">
        <f>IF($D2689="","",IF($X2689="Yes",1,0))</f>
        <v/>
      </c>
      <c r="AO2689">
        <f>IF($AK2689=1,IFERROR(IF(VALUE($D2689)&lt;100000000,VALUE($D2689),1000000000),IFERROR(IF(VALUE(MID($D2689,2,20))&lt;100000000,VALUE(MID($D2689,2,20)),1000000000),1000000000))+ROW()/100000,"")</f>
        <v/>
      </c>
    </row>
    <row r="2690">
      <c r="F2690" s="11" t="n"/>
      <c r="N2690" s="7">
        <f>IF($D2690="","",M2690*V2690/100)</f>
        <v/>
      </c>
      <c r="O2690" s="7" t="n"/>
      <c r="U2690" s="7" t="n"/>
      <c r="V2690" s="7" t="n"/>
      <c r="Y2690">
        <f>IF($D2690="","",IF($AN2690=1,0,IF($AM2690=1,Settings!$C$6,Settings!$C$7))*100)</f>
        <v/>
      </c>
      <c r="Z2690" s="7">
        <f>IF($D2690="","",V2690*Y2690/100)</f>
        <v/>
      </c>
      <c r="AA2690" s="7">
        <f>IF($D2690="","",V2690-Z2690)</f>
        <v/>
      </c>
      <c r="AB2690" s="7">
        <f>IF($D2690="","",AA2690-N2690)</f>
        <v/>
      </c>
      <c r="AF2690" s="7" t="n"/>
      <c r="AI2690" s="11" t="n"/>
      <c r="AK2690">
        <f>IF($D2690="","",IF(COUNTIF($D$2:$D2690,$D2690)=1,1,0))</f>
        <v/>
      </c>
      <c r="AL2690">
        <f>IF($AK2690=1,SUMPRODUCT(--($AO$2:$AO$3001&lt;$AO2690))+1,"")</f>
        <v/>
      </c>
      <c r="AM2690">
        <f>IF($D2690="","",IF(OR($R2690=TRUE(),$R2690="TRUE"),1,0))</f>
        <v/>
      </c>
      <c r="AN2690">
        <f>IF($D2690="","",IF($X2690="Yes",1,0))</f>
        <v/>
      </c>
      <c r="AO2690">
        <f>IF($AK2690=1,IFERROR(IF(VALUE($D2690)&lt;100000000,VALUE($D2690),1000000000),IFERROR(IF(VALUE(MID($D2690,2,20))&lt;100000000,VALUE(MID($D2690,2,20)),1000000000),1000000000))+ROW()/100000,"")</f>
        <v/>
      </c>
    </row>
    <row r="2691">
      <c r="F2691" s="11" t="n"/>
      <c r="N2691" s="7">
        <f>IF($D2691="","",M2691*V2691/100)</f>
        <v/>
      </c>
      <c r="O2691" s="7" t="n"/>
      <c r="U2691" s="7" t="n"/>
      <c r="V2691" s="7" t="n"/>
      <c r="Y2691">
        <f>IF($D2691="","",IF($AN2691=1,0,IF($AM2691=1,Settings!$C$6,Settings!$C$7))*100)</f>
        <v/>
      </c>
      <c r="Z2691" s="7">
        <f>IF($D2691="","",V2691*Y2691/100)</f>
        <v/>
      </c>
      <c r="AA2691" s="7">
        <f>IF($D2691="","",V2691-Z2691)</f>
        <v/>
      </c>
      <c r="AB2691" s="7">
        <f>IF($D2691="","",AA2691-N2691)</f>
        <v/>
      </c>
      <c r="AF2691" s="7" t="n"/>
      <c r="AI2691" s="11" t="n"/>
      <c r="AK2691">
        <f>IF($D2691="","",IF(COUNTIF($D$2:$D2691,$D2691)=1,1,0))</f>
        <v/>
      </c>
      <c r="AL2691">
        <f>IF($AK2691=1,SUMPRODUCT(--($AO$2:$AO$3001&lt;$AO2691))+1,"")</f>
        <v/>
      </c>
      <c r="AM2691">
        <f>IF($D2691="","",IF(OR($R2691=TRUE(),$R2691="TRUE"),1,0))</f>
        <v/>
      </c>
      <c r="AN2691">
        <f>IF($D2691="","",IF($X2691="Yes",1,0))</f>
        <v/>
      </c>
      <c r="AO2691">
        <f>IF($AK2691=1,IFERROR(IF(VALUE($D2691)&lt;100000000,VALUE($D2691),1000000000),IFERROR(IF(VALUE(MID($D2691,2,20))&lt;100000000,VALUE(MID($D2691,2,20)),1000000000),1000000000))+ROW()/100000,"")</f>
        <v/>
      </c>
    </row>
    <row r="2692">
      <c r="F2692" s="11" t="n"/>
      <c r="N2692" s="7">
        <f>IF($D2692="","",M2692*V2692/100)</f>
        <v/>
      </c>
      <c r="O2692" s="7" t="n"/>
      <c r="U2692" s="7" t="n"/>
      <c r="V2692" s="7" t="n"/>
      <c r="Y2692">
        <f>IF($D2692="","",IF($AN2692=1,0,IF($AM2692=1,Settings!$C$6,Settings!$C$7))*100)</f>
        <v/>
      </c>
      <c r="Z2692" s="7">
        <f>IF($D2692="","",V2692*Y2692/100)</f>
        <v/>
      </c>
      <c r="AA2692" s="7">
        <f>IF($D2692="","",V2692-Z2692)</f>
        <v/>
      </c>
      <c r="AB2692" s="7">
        <f>IF($D2692="","",AA2692-N2692)</f>
        <v/>
      </c>
      <c r="AF2692" s="7" t="n"/>
      <c r="AI2692" s="11" t="n"/>
      <c r="AK2692">
        <f>IF($D2692="","",IF(COUNTIF($D$2:$D2692,$D2692)=1,1,0))</f>
        <v/>
      </c>
      <c r="AL2692">
        <f>IF($AK2692=1,SUMPRODUCT(--($AO$2:$AO$3001&lt;$AO2692))+1,"")</f>
        <v/>
      </c>
      <c r="AM2692">
        <f>IF($D2692="","",IF(OR($R2692=TRUE(),$R2692="TRUE"),1,0))</f>
        <v/>
      </c>
      <c r="AN2692">
        <f>IF($D2692="","",IF($X2692="Yes",1,0))</f>
        <v/>
      </c>
      <c r="AO2692">
        <f>IF($AK2692=1,IFERROR(IF(VALUE($D2692)&lt;100000000,VALUE($D2692),1000000000),IFERROR(IF(VALUE(MID($D2692,2,20))&lt;100000000,VALUE(MID($D2692,2,20)),1000000000),1000000000))+ROW()/100000,"")</f>
        <v/>
      </c>
    </row>
    <row r="2693">
      <c r="F2693" s="11" t="n"/>
      <c r="N2693" s="7">
        <f>IF($D2693="","",M2693*V2693/100)</f>
        <v/>
      </c>
      <c r="O2693" s="7" t="n"/>
      <c r="U2693" s="7" t="n"/>
      <c r="V2693" s="7" t="n"/>
      <c r="Y2693">
        <f>IF($D2693="","",IF($AN2693=1,0,IF($AM2693=1,Settings!$C$6,Settings!$C$7))*100)</f>
        <v/>
      </c>
      <c r="Z2693" s="7">
        <f>IF($D2693="","",V2693*Y2693/100)</f>
        <v/>
      </c>
      <c r="AA2693" s="7">
        <f>IF($D2693="","",V2693-Z2693)</f>
        <v/>
      </c>
      <c r="AB2693" s="7">
        <f>IF($D2693="","",AA2693-N2693)</f>
        <v/>
      </c>
      <c r="AF2693" s="7" t="n"/>
      <c r="AI2693" s="11" t="n"/>
      <c r="AK2693">
        <f>IF($D2693="","",IF(COUNTIF($D$2:$D2693,$D2693)=1,1,0))</f>
        <v/>
      </c>
      <c r="AL2693">
        <f>IF($AK2693=1,SUMPRODUCT(--($AO$2:$AO$3001&lt;$AO2693))+1,"")</f>
        <v/>
      </c>
      <c r="AM2693">
        <f>IF($D2693="","",IF(OR($R2693=TRUE(),$R2693="TRUE"),1,0))</f>
        <v/>
      </c>
      <c r="AN2693">
        <f>IF($D2693="","",IF($X2693="Yes",1,0))</f>
        <v/>
      </c>
      <c r="AO2693">
        <f>IF($AK2693=1,IFERROR(IF(VALUE($D2693)&lt;100000000,VALUE($D2693),1000000000),IFERROR(IF(VALUE(MID($D2693,2,20))&lt;100000000,VALUE(MID($D2693,2,20)),1000000000),1000000000))+ROW()/100000,"")</f>
        <v/>
      </c>
    </row>
    <row r="2694">
      <c r="F2694" s="11" t="n"/>
      <c r="N2694" s="7">
        <f>IF($D2694="","",M2694*V2694/100)</f>
        <v/>
      </c>
      <c r="O2694" s="7" t="n"/>
      <c r="U2694" s="7" t="n"/>
      <c r="V2694" s="7" t="n"/>
      <c r="Y2694">
        <f>IF($D2694="","",IF($AN2694=1,0,IF($AM2694=1,Settings!$C$6,Settings!$C$7))*100)</f>
        <v/>
      </c>
      <c r="Z2694" s="7">
        <f>IF($D2694="","",V2694*Y2694/100)</f>
        <v/>
      </c>
      <c r="AA2694" s="7">
        <f>IF($D2694="","",V2694-Z2694)</f>
        <v/>
      </c>
      <c r="AB2694" s="7">
        <f>IF($D2694="","",AA2694-N2694)</f>
        <v/>
      </c>
      <c r="AF2694" s="7" t="n"/>
      <c r="AI2694" s="11" t="n"/>
      <c r="AK2694">
        <f>IF($D2694="","",IF(COUNTIF($D$2:$D2694,$D2694)=1,1,0))</f>
        <v/>
      </c>
      <c r="AL2694">
        <f>IF($AK2694=1,SUMPRODUCT(--($AO$2:$AO$3001&lt;$AO2694))+1,"")</f>
        <v/>
      </c>
      <c r="AM2694">
        <f>IF($D2694="","",IF(OR($R2694=TRUE(),$R2694="TRUE"),1,0))</f>
        <v/>
      </c>
      <c r="AN2694">
        <f>IF($D2694="","",IF($X2694="Yes",1,0))</f>
        <v/>
      </c>
      <c r="AO2694">
        <f>IF($AK2694=1,IFERROR(IF(VALUE($D2694)&lt;100000000,VALUE($D2694),1000000000),IFERROR(IF(VALUE(MID($D2694,2,20))&lt;100000000,VALUE(MID($D2694,2,20)),1000000000),1000000000))+ROW()/100000,"")</f>
        <v/>
      </c>
    </row>
    <row r="2695">
      <c r="F2695" s="11" t="n"/>
      <c r="N2695" s="7">
        <f>IF($D2695="","",M2695*V2695/100)</f>
        <v/>
      </c>
      <c r="O2695" s="7" t="n"/>
      <c r="U2695" s="7" t="n"/>
      <c r="V2695" s="7" t="n"/>
      <c r="Y2695">
        <f>IF($D2695="","",IF($AN2695=1,0,IF($AM2695=1,Settings!$C$6,Settings!$C$7))*100)</f>
        <v/>
      </c>
      <c r="Z2695" s="7">
        <f>IF($D2695="","",V2695*Y2695/100)</f>
        <v/>
      </c>
      <c r="AA2695" s="7">
        <f>IF($D2695="","",V2695-Z2695)</f>
        <v/>
      </c>
      <c r="AB2695" s="7">
        <f>IF($D2695="","",AA2695-N2695)</f>
        <v/>
      </c>
      <c r="AF2695" s="7" t="n"/>
      <c r="AI2695" s="11" t="n"/>
      <c r="AK2695">
        <f>IF($D2695="","",IF(COUNTIF($D$2:$D2695,$D2695)=1,1,0))</f>
        <v/>
      </c>
      <c r="AL2695">
        <f>IF($AK2695=1,SUMPRODUCT(--($AO$2:$AO$3001&lt;$AO2695))+1,"")</f>
        <v/>
      </c>
      <c r="AM2695">
        <f>IF($D2695="","",IF(OR($R2695=TRUE(),$R2695="TRUE"),1,0))</f>
        <v/>
      </c>
      <c r="AN2695">
        <f>IF($D2695="","",IF($X2695="Yes",1,0))</f>
        <v/>
      </c>
      <c r="AO2695">
        <f>IF($AK2695=1,IFERROR(IF(VALUE($D2695)&lt;100000000,VALUE($D2695),1000000000),IFERROR(IF(VALUE(MID($D2695,2,20))&lt;100000000,VALUE(MID($D2695,2,20)),1000000000),1000000000))+ROW()/100000,"")</f>
        <v/>
      </c>
    </row>
    <row r="2696">
      <c r="F2696" s="11" t="n"/>
      <c r="N2696" s="7">
        <f>IF($D2696="","",M2696*V2696/100)</f>
        <v/>
      </c>
      <c r="O2696" s="7" t="n"/>
      <c r="U2696" s="7" t="n"/>
      <c r="V2696" s="7" t="n"/>
      <c r="Y2696">
        <f>IF($D2696="","",IF($AN2696=1,0,IF($AM2696=1,Settings!$C$6,Settings!$C$7))*100)</f>
        <v/>
      </c>
      <c r="Z2696" s="7">
        <f>IF($D2696="","",V2696*Y2696/100)</f>
        <v/>
      </c>
      <c r="AA2696" s="7">
        <f>IF($D2696="","",V2696-Z2696)</f>
        <v/>
      </c>
      <c r="AB2696" s="7">
        <f>IF($D2696="","",AA2696-N2696)</f>
        <v/>
      </c>
      <c r="AF2696" s="7" t="n"/>
      <c r="AI2696" s="11" t="n"/>
      <c r="AK2696">
        <f>IF($D2696="","",IF(COUNTIF($D$2:$D2696,$D2696)=1,1,0))</f>
        <v/>
      </c>
      <c r="AL2696">
        <f>IF($AK2696=1,SUMPRODUCT(--($AO$2:$AO$3001&lt;$AO2696))+1,"")</f>
        <v/>
      </c>
      <c r="AM2696">
        <f>IF($D2696="","",IF(OR($R2696=TRUE(),$R2696="TRUE"),1,0))</f>
        <v/>
      </c>
      <c r="AN2696">
        <f>IF($D2696="","",IF($X2696="Yes",1,0))</f>
        <v/>
      </c>
      <c r="AO2696">
        <f>IF($AK2696=1,IFERROR(IF(VALUE($D2696)&lt;100000000,VALUE($D2696),1000000000),IFERROR(IF(VALUE(MID($D2696,2,20))&lt;100000000,VALUE(MID($D2696,2,20)),1000000000),1000000000))+ROW()/100000,"")</f>
        <v/>
      </c>
    </row>
    <row r="2697">
      <c r="F2697" s="11" t="n"/>
      <c r="N2697" s="7">
        <f>IF($D2697="","",M2697*V2697/100)</f>
        <v/>
      </c>
      <c r="O2697" s="7" t="n"/>
      <c r="U2697" s="7" t="n"/>
      <c r="V2697" s="7" t="n"/>
      <c r="Y2697">
        <f>IF($D2697="","",IF($AN2697=1,0,IF($AM2697=1,Settings!$C$6,Settings!$C$7))*100)</f>
        <v/>
      </c>
      <c r="Z2697" s="7">
        <f>IF($D2697="","",V2697*Y2697/100)</f>
        <v/>
      </c>
      <c r="AA2697" s="7">
        <f>IF($D2697="","",V2697-Z2697)</f>
        <v/>
      </c>
      <c r="AB2697" s="7">
        <f>IF($D2697="","",AA2697-N2697)</f>
        <v/>
      </c>
      <c r="AF2697" s="7" t="n"/>
      <c r="AI2697" s="11" t="n"/>
      <c r="AK2697">
        <f>IF($D2697="","",IF(COUNTIF($D$2:$D2697,$D2697)=1,1,0))</f>
        <v/>
      </c>
      <c r="AL2697">
        <f>IF($AK2697=1,SUMPRODUCT(--($AO$2:$AO$3001&lt;$AO2697))+1,"")</f>
        <v/>
      </c>
      <c r="AM2697">
        <f>IF($D2697="","",IF(OR($R2697=TRUE(),$R2697="TRUE"),1,0))</f>
        <v/>
      </c>
      <c r="AN2697">
        <f>IF($D2697="","",IF($X2697="Yes",1,0))</f>
        <v/>
      </c>
      <c r="AO2697">
        <f>IF($AK2697=1,IFERROR(IF(VALUE($D2697)&lt;100000000,VALUE($D2697),1000000000),IFERROR(IF(VALUE(MID($D2697,2,20))&lt;100000000,VALUE(MID($D2697,2,20)),1000000000),1000000000))+ROW()/100000,"")</f>
        <v/>
      </c>
    </row>
    <row r="2698">
      <c r="F2698" s="11" t="n"/>
      <c r="N2698" s="7">
        <f>IF($D2698="","",M2698*V2698/100)</f>
        <v/>
      </c>
      <c r="O2698" s="7" t="n"/>
      <c r="U2698" s="7" t="n"/>
      <c r="V2698" s="7" t="n"/>
      <c r="Y2698">
        <f>IF($D2698="","",IF($AN2698=1,0,IF($AM2698=1,Settings!$C$6,Settings!$C$7))*100)</f>
        <v/>
      </c>
      <c r="Z2698" s="7">
        <f>IF($D2698="","",V2698*Y2698/100)</f>
        <v/>
      </c>
      <c r="AA2698" s="7">
        <f>IF($D2698="","",V2698-Z2698)</f>
        <v/>
      </c>
      <c r="AB2698" s="7">
        <f>IF($D2698="","",AA2698-N2698)</f>
        <v/>
      </c>
      <c r="AF2698" s="7" t="n"/>
      <c r="AI2698" s="11" t="n"/>
      <c r="AK2698">
        <f>IF($D2698="","",IF(COUNTIF($D$2:$D2698,$D2698)=1,1,0))</f>
        <v/>
      </c>
      <c r="AL2698">
        <f>IF($AK2698=1,SUMPRODUCT(--($AO$2:$AO$3001&lt;$AO2698))+1,"")</f>
        <v/>
      </c>
      <c r="AM2698">
        <f>IF($D2698="","",IF(OR($R2698=TRUE(),$R2698="TRUE"),1,0))</f>
        <v/>
      </c>
      <c r="AN2698">
        <f>IF($D2698="","",IF($X2698="Yes",1,0))</f>
        <v/>
      </c>
      <c r="AO2698">
        <f>IF($AK2698=1,IFERROR(IF(VALUE($D2698)&lt;100000000,VALUE($D2698),1000000000),IFERROR(IF(VALUE(MID($D2698,2,20))&lt;100000000,VALUE(MID($D2698,2,20)),1000000000),1000000000))+ROW()/100000,"")</f>
        <v/>
      </c>
    </row>
    <row r="2699">
      <c r="F2699" s="11" t="n"/>
      <c r="N2699" s="7">
        <f>IF($D2699="","",M2699*V2699/100)</f>
        <v/>
      </c>
      <c r="O2699" s="7" t="n"/>
      <c r="U2699" s="7" t="n"/>
      <c r="V2699" s="7" t="n"/>
      <c r="Y2699">
        <f>IF($D2699="","",IF($AN2699=1,0,IF($AM2699=1,Settings!$C$6,Settings!$C$7))*100)</f>
        <v/>
      </c>
      <c r="Z2699" s="7">
        <f>IF($D2699="","",V2699*Y2699/100)</f>
        <v/>
      </c>
      <c r="AA2699" s="7">
        <f>IF($D2699="","",V2699-Z2699)</f>
        <v/>
      </c>
      <c r="AB2699" s="7">
        <f>IF($D2699="","",AA2699-N2699)</f>
        <v/>
      </c>
      <c r="AF2699" s="7" t="n"/>
      <c r="AI2699" s="11" t="n"/>
      <c r="AK2699">
        <f>IF($D2699="","",IF(COUNTIF($D$2:$D2699,$D2699)=1,1,0))</f>
        <v/>
      </c>
      <c r="AL2699">
        <f>IF($AK2699=1,SUMPRODUCT(--($AO$2:$AO$3001&lt;$AO2699))+1,"")</f>
        <v/>
      </c>
      <c r="AM2699">
        <f>IF($D2699="","",IF(OR($R2699=TRUE(),$R2699="TRUE"),1,0))</f>
        <v/>
      </c>
      <c r="AN2699">
        <f>IF($D2699="","",IF($X2699="Yes",1,0))</f>
        <v/>
      </c>
      <c r="AO2699">
        <f>IF($AK2699=1,IFERROR(IF(VALUE($D2699)&lt;100000000,VALUE($D2699),1000000000),IFERROR(IF(VALUE(MID($D2699,2,20))&lt;100000000,VALUE(MID($D2699,2,20)),1000000000),1000000000))+ROW()/100000,"")</f>
        <v/>
      </c>
    </row>
    <row r="2700">
      <c r="F2700" s="11" t="n"/>
      <c r="N2700" s="7">
        <f>IF($D2700="","",M2700*V2700/100)</f>
        <v/>
      </c>
      <c r="O2700" s="7" t="n"/>
      <c r="U2700" s="7" t="n"/>
      <c r="V2700" s="7" t="n"/>
      <c r="Y2700">
        <f>IF($D2700="","",IF($AN2700=1,0,IF($AM2700=1,Settings!$C$6,Settings!$C$7))*100)</f>
        <v/>
      </c>
      <c r="Z2700" s="7">
        <f>IF($D2700="","",V2700*Y2700/100)</f>
        <v/>
      </c>
      <c r="AA2700" s="7">
        <f>IF($D2700="","",V2700-Z2700)</f>
        <v/>
      </c>
      <c r="AB2700" s="7">
        <f>IF($D2700="","",AA2700-N2700)</f>
        <v/>
      </c>
      <c r="AF2700" s="7" t="n"/>
      <c r="AI2700" s="11" t="n"/>
      <c r="AK2700">
        <f>IF($D2700="","",IF(COUNTIF($D$2:$D2700,$D2700)=1,1,0))</f>
        <v/>
      </c>
      <c r="AL2700">
        <f>IF($AK2700=1,SUMPRODUCT(--($AO$2:$AO$3001&lt;$AO2700))+1,"")</f>
        <v/>
      </c>
      <c r="AM2700">
        <f>IF($D2700="","",IF(OR($R2700=TRUE(),$R2700="TRUE"),1,0))</f>
        <v/>
      </c>
      <c r="AN2700">
        <f>IF($D2700="","",IF($X2700="Yes",1,0))</f>
        <v/>
      </c>
      <c r="AO2700">
        <f>IF($AK2700=1,IFERROR(IF(VALUE($D2700)&lt;100000000,VALUE($D2700),1000000000),IFERROR(IF(VALUE(MID($D2700,2,20))&lt;100000000,VALUE(MID($D2700,2,20)),1000000000),1000000000))+ROW()/100000,"")</f>
        <v/>
      </c>
    </row>
    <row r="2701">
      <c r="F2701" s="11" t="n"/>
      <c r="N2701" s="7">
        <f>IF($D2701="","",M2701*V2701/100)</f>
        <v/>
      </c>
      <c r="O2701" s="7" t="n"/>
      <c r="U2701" s="7" t="n"/>
      <c r="V2701" s="7" t="n"/>
      <c r="Y2701">
        <f>IF($D2701="","",IF($AN2701=1,0,IF($AM2701=1,Settings!$C$6,Settings!$C$7))*100)</f>
        <v/>
      </c>
      <c r="Z2701" s="7">
        <f>IF($D2701="","",V2701*Y2701/100)</f>
        <v/>
      </c>
      <c r="AA2701" s="7">
        <f>IF($D2701="","",V2701-Z2701)</f>
        <v/>
      </c>
      <c r="AB2701" s="7">
        <f>IF($D2701="","",AA2701-N2701)</f>
        <v/>
      </c>
      <c r="AF2701" s="7" t="n"/>
      <c r="AI2701" s="11" t="n"/>
      <c r="AK2701">
        <f>IF($D2701="","",IF(COUNTIF($D$2:$D2701,$D2701)=1,1,0))</f>
        <v/>
      </c>
      <c r="AL2701">
        <f>IF($AK2701=1,SUMPRODUCT(--($AO$2:$AO$3001&lt;$AO2701))+1,"")</f>
        <v/>
      </c>
      <c r="AM2701">
        <f>IF($D2701="","",IF(OR($R2701=TRUE(),$R2701="TRUE"),1,0))</f>
        <v/>
      </c>
      <c r="AN2701">
        <f>IF($D2701="","",IF($X2701="Yes",1,0))</f>
        <v/>
      </c>
      <c r="AO2701">
        <f>IF($AK2701=1,IFERROR(IF(VALUE($D2701)&lt;100000000,VALUE($D2701),1000000000),IFERROR(IF(VALUE(MID($D2701,2,20))&lt;100000000,VALUE(MID($D2701,2,20)),1000000000),1000000000))+ROW()/100000,"")</f>
        <v/>
      </c>
    </row>
    <row r="2702">
      <c r="F2702" s="11" t="n"/>
      <c r="N2702" s="7">
        <f>IF($D2702="","",M2702*V2702/100)</f>
        <v/>
      </c>
      <c r="O2702" s="7" t="n"/>
      <c r="U2702" s="7" t="n"/>
      <c r="V2702" s="7" t="n"/>
      <c r="Y2702">
        <f>IF($D2702="","",IF($AN2702=1,0,IF($AM2702=1,Settings!$C$6,Settings!$C$7))*100)</f>
        <v/>
      </c>
      <c r="Z2702" s="7">
        <f>IF($D2702="","",V2702*Y2702/100)</f>
        <v/>
      </c>
      <c r="AA2702" s="7">
        <f>IF($D2702="","",V2702-Z2702)</f>
        <v/>
      </c>
      <c r="AB2702" s="7">
        <f>IF($D2702="","",AA2702-N2702)</f>
        <v/>
      </c>
      <c r="AF2702" s="7" t="n"/>
      <c r="AI2702" s="11" t="n"/>
      <c r="AK2702">
        <f>IF($D2702="","",IF(COUNTIF($D$2:$D2702,$D2702)=1,1,0))</f>
        <v/>
      </c>
      <c r="AL2702">
        <f>IF($AK2702=1,SUMPRODUCT(--($AO$2:$AO$3001&lt;$AO2702))+1,"")</f>
        <v/>
      </c>
      <c r="AM2702">
        <f>IF($D2702="","",IF(OR($R2702=TRUE(),$R2702="TRUE"),1,0))</f>
        <v/>
      </c>
      <c r="AN2702">
        <f>IF($D2702="","",IF($X2702="Yes",1,0))</f>
        <v/>
      </c>
      <c r="AO2702">
        <f>IF($AK2702=1,IFERROR(IF(VALUE($D2702)&lt;100000000,VALUE($D2702),1000000000),IFERROR(IF(VALUE(MID($D2702,2,20))&lt;100000000,VALUE(MID($D2702,2,20)),1000000000),1000000000))+ROW()/100000,"")</f>
        <v/>
      </c>
    </row>
    <row r="2703">
      <c r="F2703" s="11" t="n"/>
      <c r="N2703" s="7">
        <f>IF($D2703="","",M2703*V2703/100)</f>
        <v/>
      </c>
      <c r="O2703" s="7" t="n"/>
      <c r="U2703" s="7" t="n"/>
      <c r="V2703" s="7" t="n"/>
      <c r="Y2703">
        <f>IF($D2703="","",IF($AN2703=1,0,IF($AM2703=1,Settings!$C$6,Settings!$C$7))*100)</f>
        <v/>
      </c>
      <c r="Z2703" s="7">
        <f>IF($D2703="","",V2703*Y2703/100)</f>
        <v/>
      </c>
      <c r="AA2703" s="7">
        <f>IF($D2703="","",V2703-Z2703)</f>
        <v/>
      </c>
      <c r="AB2703" s="7">
        <f>IF($D2703="","",AA2703-N2703)</f>
        <v/>
      </c>
      <c r="AF2703" s="7" t="n"/>
      <c r="AI2703" s="11" t="n"/>
      <c r="AK2703">
        <f>IF($D2703="","",IF(COUNTIF($D$2:$D2703,$D2703)=1,1,0))</f>
        <v/>
      </c>
      <c r="AL2703">
        <f>IF($AK2703=1,SUMPRODUCT(--($AO$2:$AO$3001&lt;$AO2703))+1,"")</f>
        <v/>
      </c>
      <c r="AM2703">
        <f>IF($D2703="","",IF(OR($R2703=TRUE(),$R2703="TRUE"),1,0))</f>
        <v/>
      </c>
      <c r="AN2703">
        <f>IF($D2703="","",IF($X2703="Yes",1,0))</f>
        <v/>
      </c>
      <c r="AO2703">
        <f>IF($AK2703=1,IFERROR(IF(VALUE($D2703)&lt;100000000,VALUE($D2703),1000000000),IFERROR(IF(VALUE(MID($D2703,2,20))&lt;100000000,VALUE(MID($D2703,2,20)),1000000000),1000000000))+ROW()/100000,"")</f>
        <v/>
      </c>
    </row>
    <row r="2704">
      <c r="F2704" s="11" t="n"/>
      <c r="N2704" s="7">
        <f>IF($D2704="","",M2704*V2704/100)</f>
        <v/>
      </c>
      <c r="O2704" s="7" t="n"/>
      <c r="U2704" s="7" t="n"/>
      <c r="V2704" s="7" t="n"/>
      <c r="Y2704">
        <f>IF($D2704="","",IF($AN2704=1,0,IF($AM2704=1,Settings!$C$6,Settings!$C$7))*100)</f>
        <v/>
      </c>
      <c r="Z2704" s="7">
        <f>IF($D2704="","",V2704*Y2704/100)</f>
        <v/>
      </c>
      <c r="AA2704" s="7">
        <f>IF($D2704="","",V2704-Z2704)</f>
        <v/>
      </c>
      <c r="AB2704" s="7">
        <f>IF($D2704="","",AA2704-N2704)</f>
        <v/>
      </c>
      <c r="AF2704" s="7" t="n"/>
      <c r="AI2704" s="11" t="n"/>
      <c r="AK2704">
        <f>IF($D2704="","",IF(COUNTIF($D$2:$D2704,$D2704)=1,1,0))</f>
        <v/>
      </c>
      <c r="AL2704">
        <f>IF($AK2704=1,SUMPRODUCT(--($AO$2:$AO$3001&lt;$AO2704))+1,"")</f>
        <v/>
      </c>
      <c r="AM2704">
        <f>IF($D2704="","",IF(OR($R2704=TRUE(),$R2704="TRUE"),1,0))</f>
        <v/>
      </c>
      <c r="AN2704">
        <f>IF($D2704="","",IF($X2704="Yes",1,0))</f>
        <v/>
      </c>
      <c r="AO2704">
        <f>IF($AK2704=1,IFERROR(IF(VALUE($D2704)&lt;100000000,VALUE($D2704),1000000000),IFERROR(IF(VALUE(MID($D2704,2,20))&lt;100000000,VALUE(MID($D2704,2,20)),1000000000),1000000000))+ROW()/100000,"")</f>
        <v/>
      </c>
    </row>
    <row r="2705">
      <c r="F2705" s="11" t="n"/>
      <c r="N2705" s="7">
        <f>IF($D2705="","",M2705*V2705/100)</f>
        <v/>
      </c>
      <c r="O2705" s="7" t="n"/>
      <c r="U2705" s="7" t="n"/>
      <c r="V2705" s="7" t="n"/>
      <c r="Y2705">
        <f>IF($D2705="","",IF($AN2705=1,0,IF($AM2705=1,Settings!$C$6,Settings!$C$7))*100)</f>
        <v/>
      </c>
      <c r="Z2705" s="7">
        <f>IF($D2705="","",V2705*Y2705/100)</f>
        <v/>
      </c>
      <c r="AA2705" s="7">
        <f>IF($D2705="","",V2705-Z2705)</f>
        <v/>
      </c>
      <c r="AB2705" s="7">
        <f>IF($D2705="","",AA2705-N2705)</f>
        <v/>
      </c>
      <c r="AF2705" s="7" t="n"/>
      <c r="AI2705" s="11" t="n"/>
      <c r="AK2705">
        <f>IF($D2705="","",IF(COUNTIF($D$2:$D2705,$D2705)=1,1,0))</f>
        <v/>
      </c>
      <c r="AL2705">
        <f>IF($AK2705=1,SUMPRODUCT(--($AO$2:$AO$3001&lt;$AO2705))+1,"")</f>
        <v/>
      </c>
      <c r="AM2705">
        <f>IF($D2705="","",IF(OR($R2705=TRUE(),$R2705="TRUE"),1,0))</f>
        <v/>
      </c>
      <c r="AN2705">
        <f>IF($D2705="","",IF($X2705="Yes",1,0))</f>
        <v/>
      </c>
      <c r="AO2705">
        <f>IF($AK2705=1,IFERROR(IF(VALUE($D2705)&lt;100000000,VALUE($D2705),1000000000),IFERROR(IF(VALUE(MID($D2705,2,20))&lt;100000000,VALUE(MID($D2705,2,20)),1000000000),1000000000))+ROW()/100000,"")</f>
        <v/>
      </c>
    </row>
    <row r="2706">
      <c r="F2706" s="11" t="n"/>
      <c r="N2706" s="7">
        <f>IF($D2706="","",M2706*V2706/100)</f>
        <v/>
      </c>
      <c r="O2706" s="7" t="n"/>
      <c r="U2706" s="7" t="n"/>
      <c r="V2706" s="7" t="n"/>
      <c r="Y2706">
        <f>IF($D2706="","",IF($AN2706=1,0,IF($AM2706=1,Settings!$C$6,Settings!$C$7))*100)</f>
        <v/>
      </c>
      <c r="Z2706" s="7">
        <f>IF($D2706="","",V2706*Y2706/100)</f>
        <v/>
      </c>
      <c r="AA2706" s="7">
        <f>IF($D2706="","",V2706-Z2706)</f>
        <v/>
      </c>
      <c r="AB2706" s="7">
        <f>IF($D2706="","",AA2706-N2706)</f>
        <v/>
      </c>
      <c r="AF2706" s="7" t="n"/>
      <c r="AI2706" s="11" t="n"/>
      <c r="AK2706">
        <f>IF($D2706="","",IF(COUNTIF($D$2:$D2706,$D2706)=1,1,0))</f>
        <v/>
      </c>
      <c r="AL2706">
        <f>IF($AK2706=1,SUMPRODUCT(--($AO$2:$AO$3001&lt;$AO2706))+1,"")</f>
        <v/>
      </c>
      <c r="AM2706">
        <f>IF($D2706="","",IF(OR($R2706=TRUE(),$R2706="TRUE"),1,0))</f>
        <v/>
      </c>
      <c r="AN2706">
        <f>IF($D2706="","",IF($X2706="Yes",1,0))</f>
        <v/>
      </c>
      <c r="AO2706">
        <f>IF($AK2706=1,IFERROR(IF(VALUE($D2706)&lt;100000000,VALUE($D2706),1000000000),IFERROR(IF(VALUE(MID($D2706,2,20))&lt;100000000,VALUE(MID($D2706,2,20)),1000000000),1000000000))+ROW()/100000,"")</f>
        <v/>
      </c>
    </row>
    <row r="2707">
      <c r="F2707" s="11" t="n"/>
      <c r="N2707" s="7">
        <f>IF($D2707="","",M2707*V2707/100)</f>
        <v/>
      </c>
      <c r="O2707" s="7" t="n"/>
      <c r="U2707" s="7" t="n"/>
      <c r="V2707" s="7" t="n"/>
      <c r="Y2707">
        <f>IF($D2707="","",IF($AN2707=1,0,IF($AM2707=1,Settings!$C$6,Settings!$C$7))*100)</f>
        <v/>
      </c>
      <c r="Z2707" s="7">
        <f>IF($D2707="","",V2707*Y2707/100)</f>
        <v/>
      </c>
      <c r="AA2707" s="7">
        <f>IF($D2707="","",V2707-Z2707)</f>
        <v/>
      </c>
      <c r="AB2707" s="7">
        <f>IF($D2707="","",AA2707-N2707)</f>
        <v/>
      </c>
      <c r="AF2707" s="7" t="n"/>
      <c r="AI2707" s="11" t="n"/>
      <c r="AK2707">
        <f>IF($D2707="","",IF(COUNTIF($D$2:$D2707,$D2707)=1,1,0))</f>
        <v/>
      </c>
      <c r="AL2707">
        <f>IF($AK2707=1,SUMPRODUCT(--($AO$2:$AO$3001&lt;$AO2707))+1,"")</f>
        <v/>
      </c>
      <c r="AM2707">
        <f>IF($D2707="","",IF(OR($R2707=TRUE(),$R2707="TRUE"),1,0))</f>
        <v/>
      </c>
      <c r="AN2707">
        <f>IF($D2707="","",IF($X2707="Yes",1,0))</f>
        <v/>
      </c>
      <c r="AO2707">
        <f>IF($AK2707=1,IFERROR(IF(VALUE($D2707)&lt;100000000,VALUE($D2707),1000000000),IFERROR(IF(VALUE(MID($D2707,2,20))&lt;100000000,VALUE(MID($D2707,2,20)),1000000000),1000000000))+ROW()/100000,"")</f>
        <v/>
      </c>
    </row>
    <row r="2708">
      <c r="F2708" s="11" t="n"/>
      <c r="N2708" s="7">
        <f>IF($D2708="","",M2708*V2708/100)</f>
        <v/>
      </c>
      <c r="O2708" s="7" t="n"/>
      <c r="U2708" s="7" t="n"/>
      <c r="V2708" s="7" t="n"/>
      <c r="Y2708">
        <f>IF($D2708="","",IF($AN2708=1,0,IF($AM2708=1,Settings!$C$6,Settings!$C$7))*100)</f>
        <v/>
      </c>
      <c r="Z2708" s="7">
        <f>IF($D2708="","",V2708*Y2708/100)</f>
        <v/>
      </c>
      <c r="AA2708" s="7">
        <f>IF($D2708="","",V2708-Z2708)</f>
        <v/>
      </c>
      <c r="AB2708" s="7">
        <f>IF($D2708="","",AA2708-N2708)</f>
        <v/>
      </c>
      <c r="AF2708" s="7" t="n"/>
      <c r="AI2708" s="11" t="n"/>
      <c r="AK2708">
        <f>IF($D2708="","",IF(COUNTIF($D$2:$D2708,$D2708)=1,1,0))</f>
        <v/>
      </c>
      <c r="AL2708">
        <f>IF($AK2708=1,SUMPRODUCT(--($AO$2:$AO$3001&lt;$AO2708))+1,"")</f>
        <v/>
      </c>
      <c r="AM2708">
        <f>IF($D2708="","",IF(OR($R2708=TRUE(),$R2708="TRUE"),1,0))</f>
        <v/>
      </c>
      <c r="AN2708">
        <f>IF($D2708="","",IF($X2708="Yes",1,0))</f>
        <v/>
      </c>
      <c r="AO2708">
        <f>IF($AK2708=1,IFERROR(IF(VALUE($D2708)&lt;100000000,VALUE($D2708),1000000000),IFERROR(IF(VALUE(MID($D2708,2,20))&lt;100000000,VALUE(MID($D2708,2,20)),1000000000),1000000000))+ROW()/100000,"")</f>
        <v/>
      </c>
    </row>
    <row r="2709">
      <c r="F2709" s="11" t="n"/>
      <c r="N2709" s="7">
        <f>IF($D2709="","",M2709*V2709/100)</f>
        <v/>
      </c>
      <c r="O2709" s="7" t="n"/>
      <c r="U2709" s="7" t="n"/>
      <c r="V2709" s="7" t="n"/>
      <c r="Y2709">
        <f>IF($D2709="","",IF($AN2709=1,0,IF($AM2709=1,Settings!$C$6,Settings!$C$7))*100)</f>
        <v/>
      </c>
      <c r="Z2709" s="7">
        <f>IF($D2709="","",V2709*Y2709/100)</f>
        <v/>
      </c>
      <c r="AA2709" s="7">
        <f>IF($D2709="","",V2709-Z2709)</f>
        <v/>
      </c>
      <c r="AB2709" s="7">
        <f>IF($D2709="","",AA2709-N2709)</f>
        <v/>
      </c>
      <c r="AF2709" s="7" t="n"/>
      <c r="AI2709" s="11" t="n"/>
      <c r="AK2709">
        <f>IF($D2709="","",IF(COUNTIF($D$2:$D2709,$D2709)=1,1,0))</f>
        <v/>
      </c>
      <c r="AL2709">
        <f>IF($AK2709=1,SUMPRODUCT(--($AO$2:$AO$3001&lt;$AO2709))+1,"")</f>
        <v/>
      </c>
      <c r="AM2709">
        <f>IF($D2709="","",IF(OR($R2709=TRUE(),$R2709="TRUE"),1,0))</f>
        <v/>
      </c>
      <c r="AN2709">
        <f>IF($D2709="","",IF($X2709="Yes",1,0))</f>
        <v/>
      </c>
      <c r="AO2709">
        <f>IF($AK2709=1,IFERROR(IF(VALUE($D2709)&lt;100000000,VALUE($D2709),1000000000),IFERROR(IF(VALUE(MID($D2709,2,20))&lt;100000000,VALUE(MID($D2709,2,20)),1000000000),1000000000))+ROW()/100000,"")</f>
        <v/>
      </c>
    </row>
    <row r="2710">
      <c r="F2710" s="11" t="n"/>
      <c r="N2710" s="7">
        <f>IF($D2710="","",M2710*V2710/100)</f>
        <v/>
      </c>
      <c r="O2710" s="7" t="n"/>
      <c r="U2710" s="7" t="n"/>
      <c r="V2710" s="7" t="n"/>
      <c r="Y2710">
        <f>IF($D2710="","",IF($AN2710=1,0,IF($AM2710=1,Settings!$C$6,Settings!$C$7))*100)</f>
        <v/>
      </c>
      <c r="Z2710" s="7">
        <f>IF($D2710="","",V2710*Y2710/100)</f>
        <v/>
      </c>
      <c r="AA2710" s="7">
        <f>IF($D2710="","",V2710-Z2710)</f>
        <v/>
      </c>
      <c r="AB2710" s="7">
        <f>IF($D2710="","",AA2710-N2710)</f>
        <v/>
      </c>
      <c r="AF2710" s="7" t="n"/>
      <c r="AI2710" s="11" t="n"/>
      <c r="AK2710">
        <f>IF($D2710="","",IF(COUNTIF($D$2:$D2710,$D2710)=1,1,0))</f>
        <v/>
      </c>
      <c r="AL2710">
        <f>IF($AK2710=1,SUMPRODUCT(--($AO$2:$AO$3001&lt;$AO2710))+1,"")</f>
        <v/>
      </c>
      <c r="AM2710">
        <f>IF($D2710="","",IF(OR($R2710=TRUE(),$R2710="TRUE"),1,0))</f>
        <v/>
      </c>
      <c r="AN2710">
        <f>IF($D2710="","",IF($X2710="Yes",1,0))</f>
        <v/>
      </c>
      <c r="AO2710">
        <f>IF($AK2710=1,IFERROR(IF(VALUE($D2710)&lt;100000000,VALUE($D2710),1000000000),IFERROR(IF(VALUE(MID($D2710,2,20))&lt;100000000,VALUE(MID($D2710,2,20)),1000000000),1000000000))+ROW()/100000,"")</f>
        <v/>
      </c>
    </row>
    <row r="2711">
      <c r="F2711" s="11" t="n"/>
      <c r="N2711" s="7">
        <f>IF($D2711="","",M2711*V2711/100)</f>
        <v/>
      </c>
      <c r="O2711" s="7" t="n"/>
      <c r="U2711" s="7" t="n"/>
      <c r="V2711" s="7" t="n"/>
      <c r="Y2711">
        <f>IF($D2711="","",IF($AN2711=1,0,IF($AM2711=1,Settings!$C$6,Settings!$C$7))*100)</f>
        <v/>
      </c>
      <c r="Z2711" s="7">
        <f>IF($D2711="","",V2711*Y2711/100)</f>
        <v/>
      </c>
      <c r="AA2711" s="7">
        <f>IF($D2711="","",V2711-Z2711)</f>
        <v/>
      </c>
      <c r="AB2711" s="7">
        <f>IF($D2711="","",AA2711-N2711)</f>
        <v/>
      </c>
      <c r="AF2711" s="7" t="n"/>
      <c r="AI2711" s="11" t="n"/>
      <c r="AK2711">
        <f>IF($D2711="","",IF(COUNTIF($D$2:$D2711,$D2711)=1,1,0))</f>
        <v/>
      </c>
      <c r="AL2711">
        <f>IF($AK2711=1,SUMPRODUCT(--($AO$2:$AO$3001&lt;$AO2711))+1,"")</f>
        <v/>
      </c>
      <c r="AM2711">
        <f>IF($D2711="","",IF(OR($R2711=TRUE(),$R2711="TRUE"),1,0))</f>
        <v/>
      </c>
      <c r="AN2711">
        <f>IF($D2711="","",IF($X2711="Yes",1,0))</f>
        <v/>
      </c>
      <c r="AO2711">
        <f>IF($AK2711=1,IFERROR(IF(VALUE($D2711)&lt;100000000,VALUE($D2711),1000000000),IFERROR(IF(VALUE(MID($D2711,2,20))&lt;100000000,VALUE(MID($D2711,2,20)),1000000000),1000000000))+ROW()/100000,"")</f>
        <v/>
      </c>
    </row>
    <row r="2712">
      <c r="F2712" s="11" t="n"/>
      <c r="N2712" s="7">
        <f>IF($D2712="","",M2712*V2712/100)</f>
        <v/>
      </c>
      <c r="O2712" s="7" t="n"/>
      <c r="U2712" s="7" t="n"/>
      <c r="V2712" s="7" t="n"/>
      <c r="Y2712">
        <f>IF($D2712="","",IF($AN2712=1,0,IF($AM2712=1,Settings!$C$6,Settings!$C$7))*100)</f>
        <v/>
      </c>
      <c r="Z2712" s="7">
        <f>IF($D2712="","",V2712*Y2712/100)</f>
        <v/>
      </c>
      <c r="AA2712" s="7">
        <f>IF($D2712="","",V2712-Z2712)</f>
        <v/>
      </c>
      <c r="AB2712" s="7">
        <f>IF($D2712="","",AA2712-N2712)</f>
        <v/>
      </c>
      <c r="AF2712" s="7" t="n"/>
      <c r="AI2712" s="11" t="n"/>
      <c r="AK2712">
        <f>IF($D2712="","",IF(COUNTIF($D$2:$D2712,$D2712)=1,1,0))</f>
        <v/>
      </c>
      <c r="AL2712">
        <f>IF($AK2712=1,SUMPRODUCT(--($AO$2:$AO$3001&lt;$AO2712))+1,"")</f>
        <v/>
      </c>
      <c r="AM2712">
        <f>IF($D2712="","",IF(OR($R2712=TRUE(),$R2712="TRUE"),1,0))</f>
        <v/>
      </c>
      <c r="AN2712">
        <f>IF($D2712="","",IF($X2712="Yes",1,0))</f>
        <v/>
      </c>
      <c r="AO2712">
        <f>IF($AK2712=1,IFERROR(IF(VALUE($D2712)&lt;100000000,VALUE($D2712),1000000000),IFERROR(IF(VALUE(MID($D2712,2,20))&lt;100000000,VALUE(MID($D2712,2,20)),1000000000),1000000000))+ROW()/100000,"")</f>
        <v/>
      </c>
    </row>
    <row r="2713">
      <c r="F2713" s="11" t="n"/>
      <c r="N2713" s="7">
        <f>IF($D2713="","",M2713*V2713/100)</f>
        <v/>
      </c>
      <c r="O2713" s="7" t="n"/>
      <c r="U2713" s="7" t="n"/>
      <c r="V2713" s="7" t="n"/>
      <c r="Y2713">
        <f>IF($D2713="","",IF($AN2713=1,0,IF($AM2713=1,Settings!$C$6,Settings!$C$7))*100)</f>
        <v/>
      </c>
      <c r="Z2713" s="7">
        <f>IF($D2713="","",V2713*Y2713/100)</f>
        <v/>
      </c>
      <c r="AA2713" s="7">
        <f>IF($D2713="","",V2713-Z2713)</f>
        <v/>
      </c>
      <c r="AB2713" s="7">
        <f>IF($D2713="","",AA2713-N2713)</f>
        <v/>
      </c>
      <c r="AF2713" s="7" t="n"/>
      <c r="AI2713" s="11" t="n"/>
      <c r="AK2713">
        <f>IF($D2713="","",IF(COUNTIF($D$2:$D2713,$D2713)=1,1,0))</f>
        <v/>
      </c>
      <c r="AL2713">
        <f>IF($AK2713=1,SUMPRODUCT(--($AO$2:$AO$3001&lt;$AO2713))+1,"")</f>
        <v/>
      </c>
      <c r="AM2713">
        <f>IF($D2713="","",IF(OR($R2713=TRUE(),$R2713="TRUE"),1,0))</f>
        <v/>
      </c>
      <c r="AN2713">
        <f>IF($D2713="","",IF($X2713="Yes",1,0))</f>
        <v/>
      </c>
      <c r="AO2713">
        <f>IF($AK2713=1,IFERROR(IF(VALUE($D2713)&lt;100000000,VALUE($D2713),1000000000),IFERROR(IF(VALUE(MID($D2713,2,20))&lt;100000000,VALUE(MID($D2713,2,20)),1000000000),1000000000))+ROW()/100000,"")</f>
        <v/>
      </c>
    </row>
    <row r="2714">
      <c r="F2714" s="11" t="n"/>
      <c r="N2714" s="7">
        <f>IF($D2714="","",M2714*V2714/100)</f>
        <v/>
      </c>
      <c r="O2714" s="7" t="n"/>
      <c r="U2714" s="7" t="n"/>
      <c r="V2714" s="7" t="n"/>
      <c r="Y2714">
        <f>IF($D2714="","",IF($AN2714=1,0,IF($AM2714=1,Settings!$C$6,Settings!$C$7))*100)</f>
        <v/>
      </c>
      <c r="Z2714" s="7">
        <f>IF($D2714="","",V2714*Y2714/100)</f>
        <v/>
      </c>
      <c r="AA2714" s="7">
        <f>IF($D2714="","",V2714-Z2714)</f>
        <v/>
      </c>
      <c r="AB2714" s="7">
        <f>IF($D2714="","",AA2714-N2714)</f>
        <v/>
      </c>
      <c r="AF2714" s="7" t="n"/>
      <c r="AI2714" s="11" t="n"/>
      <c r="AK2714">
        <f>IF($D2714="","",IF(COUNTIF($D$2:$D2714,$D2714)=1,1,0))</f>
        <v/>
      </c>
      <c r="AL2714">
        <f>IF($AK2714=1,SUMPRODUCT(--($AO$2:$AO$3001&lt;$AO2714))+1,"")</f>
        <v/>
      </c>
      <c r="AM2714">
        <f>IF($D2714="","",IF(OR($R2714=TRUE(),$R2714="TRUE"),1,0))</f>
        <v/>
      </c>
      <c r="AN2714">
        <f>IF($D2714="","",IF($X2714="Yes",1,0))</f>
        <v/>
      </c>
      <c r="AO2714">
        <f>IF($AK2714=1,IFERROR(IF(VALUE($D2714)&lt;100000000,VALUE($D2714),1000000000),IFERROR(IF(VALUE(MID($D2714,2,20))&lt;100000000,VALUE(MID($D2714,2,20)),1000000000),1000000000))+ROW()/100000,"")</f>
        <v/>
      </c>
    </row>
    <row r="2715">
      <c r="F2715" s="11" t="n"/>
      <c r="N2715" s="7">
        <f>IF($D2715="","",M2715*V2715/100)</f>
        <v/>
      </c>
      <c r="O2715" s="7" t="n"/>
      <c r="U2715" s="7" t="n"/>
      <c r="V2715" s="7" t="n"/>
      <c r="Y2715">
        <f>IF($D2715="","",IF($AN2715=1,0,IF($AM2715=1,Settings!$C$6,Settings!$C$7))*100)</f>
        <v/>
      </c>
      <c r="Z2715" s="7">
        <f>IF($D2715="","",V2715*Y2715/100)</f>
        <v/>
      </c>
      <c r="AA2715" s="7">
        <f>IF($D2715="","",V2715-Z2715)</f>
        <v/>
      </c>
      <c r="AB2715" s="7">
        <f>IF($D2715="","",AA2715-N2715)</f>
        <v/>
      </c>
      <c r="AF2715" s="7" t="n"/>
      <c r="AI2715" s="11" t="n"/>
      <c r="AK2715">
        <f>IF($D2715="","",IF(COUNTIF($D$2:$D2715,$D2715)=1,1,0))</f>
        <v/>
      </c>
      <c r="AL2715">
        <f>IF($AK2715=1,SUMPRODUCT(--($AO$2:$AO$3001&lt;$AO2715))+1,"")</f>
        <v/>
      </c>
      <c r="AM2715">
        <f>IF($D2715="","",IF(OR($R2715=TRUE(),$R2715="TRUE"),1,0))</f>
        <v/>
      </c>
      <c r="AN2715">
        <f>IF($D2715="","",IF($X2715="Yes",1,0))</f>
        <v/>
      </c>
      <c r="AO2715">
        <f>IF($AK2715=1,IFERROR(IF(VALUE($D2715)&lt;100000000,VALUE($D2715),1000000000),IFERROR(IF(VALUE(MID($D2715,2,20))&lt;100000000,VALUE(MID($D2715,2,20)),1000000000),1000000000))+ROW()/100000,"")</f>
        <v/>
      </c>
    </row>
    <row r="2716">
      <c r="F2716" s="11" t="n"/>
      <c r="N2716" s="7">
        <f>IF($D2716="","",M2716*V2716/100)</f>
        <v/>
      </c>
      <c r="O2716" s="7" t="n"/>
      <c r="U2716" s="7" t="n"/>
      <c r="V2716" s="7" t="n"/>
      <c r="Y2716">
        <f>IF($D2716="","",IF($AN2716=1,0,IF($AM2716=1,Settings!$C$6,Settings!$C$7))*100)</f>
        <v/>
      </c>
      <c r="Z2716" s="7">
        <f>IF($D2716="","",V2716*Y2716/100)</f>
        <v/>
      </c>
      <c r="AA2716" s="7">
        <f>IF($D2716="","",V2716-Z2716)</f>
        <v/>
      </c>
      <c r="AB2716" s="7">
        <f>IF($D2716="","",AA2716-N2716)</f>
        <v/>
      </c>
      <c r="AF2716" s="7" t="n"/>
      <c r="AI2716" s="11" t="n"/>
      <c r="AK2716">
        <f>IF($D2716="","",IF(COUNTIF($D$2:$D2716,$D2716)=1,1,0))</f>
        <v/>
      </c>
      <c r="AL2716">
        <f>IF($AK2716=1,SUMPRODUCT(--($AO$2:$AO$3001&lt;$AO2716))+1,"")</f>
        <v/>
      </c>
      <c r="AM2716">
        <f>IF($D2716="","",IF(OR($R2716=TRUE(),$R2716="TRUE"),1,0))</f>
        <v/>
      </c>
      <c r="AN2716">
        <f>IF($D2716="","",IF($X2716="Yes",1,0))</f>
        <v/>
      </c>
      <c r="AO2716">
        <f>IF($AK2716=1,IFERROR(IF(VALUE($D2716)&lt;100000000,VALUE($D2716),1000000000),IFERROR(IF(VALUE(MID($D2716,2,20))&lt;100000000,VALUE(MID($D2716,2,20)),1000000000),1000000000))+ROW()/100000,"")</f>
        <v/>
      </c>
    </row>
    <row r="2717">
      <c r="F2717" s="11" t="n"/>
      <c r="N2717" s="7">
        <f>IF($D2717="","",M2717*V2717/100)</f>
        <v/>
      </c>
      <c r="O2717" s="7" t="n"/>
      <c r="U2717" s="7" t="n"/>
      <c r="V2717" s="7" t="n"/>
      <c r="Y2717">
        <f>IF($D2717="","",IF($AN2717=1,0,IF($AM2717=1,Settings!$C$6,Settings!$C$7))*100)</f>
        <v/>
      </c>
      <c r="Z2717" s="7">
        <f>IF($D2717="","",V2717*Y2717/100)</f>
        <v/>
      </c>
      <c r="AA2717" s="7">
        <f>IF($D2717="","",V2717-Z2717)</f>
        <v/>
      </c>
      <c r="AB2717" s="7">
        <f>IF($D2717="","",AA2717-N2717)</f>
        <v/>
      </c>
      <c r="AF2717" s="7" t="n"/>
      <c r="AI2717" s="11" t="n"/>
      <c r="AK2717">
        <f>IF($D2717="","",IF(COUNTIF($D$2:$D2717,$D2717)=1,1,0))</f>
        <v/>
      </c>
      <c r="AL2717">
        <f>IF($AK2717=1,SUMPRODUCT(--($AO$2:$AO$3001&lt;$AO2717))+1,"")</f>
        <v/>
      </c>
      <c r="AM2717">
        <f>IF($D2717="","",IF(OR($R2717=TRUE(),$R2717="TRUE"),1,0))</f>
        <v/>
      </c>
      <c r="AN2717">
        <f>IF($D2717="","",IF($X2717="Yes",1,0))</f>
        <v/>
      </c>
      <c r="AO2717">
        <f>IF($AK2717=1,IFERROR(IF(VALUE($D2717)&lt;100000000,VALUE($D2717),1000000000),IFERROR(IF(VALUE(MID($D2717,2,20))&lt;100000000,VALUE(MID($D2717,2,20)),1000000000),1000000000))+ROW()/100000,"")</f>
        <v/>
      </c>
    </row>
    <row r="2718">
      <c r="F2718" s="11" t="n"/>
      <c r="N2718" s="7">
        <f>IF($D2718="","",M2718*V2718/100)</f>
        <v/>
      </c>
      <c r="O2718" s="7" t="n"/>
      <c r="U2718" s="7" t="n"/>
      <c r="V2718" s="7" t="n"/>
      <c r="Y2718">
        <f>IF($D2718="","",IF($AN2718=1,0,IF($AM2718=1,Settings!$C$6,Settings!$C$7))*100)</f>
        <v/>
      </c>
      <c r="Z2718" s="7">
        <f>IF($D2718="","",V2718*Y2718/100)</f>
        <v/>
      </c>
      <c r="AA2718" s="7">
        <f>IF($D2718="","",V2718-Z2718)</f>
        <v/>
      </c>
      <c r="AB2718" s="7">
        <f>IF($D2718="","",AA2718-N2718)</f>
        <v/>
      </c>
      <c r="AF2718" s="7" t="n"/>
      <c r="AI2718" s="11" t="n"/>
      <c r="AK2718">
        <f>IF($D2718="","",IF(COUNTIF($D$2:$D2718,$D2718)=1,1,0))</f>
        <v/>
      </c>
      <c r="AL2718">
        <f>IF($AK2718=1,SUMPRODUCT(--($AO$2:$AO$3001&lt;$AO2718))+1,"")</f>
        <v/>
      </c>
      <c r="AM2718">
        <f>IF($D2718="","",IF(OR($R2718=TRUE(),$R2718="TRUE"),1,0))</f>
        <v/>
      </c>
      <c r="AN2718">
        <f>IF($D2718="","",IF($X2718="Yes",1,0))</f>
        <v/>
      </c>
      <c r="AO2718">
        <f>IF($AK2718=1,IFERROR(IF(VALUE($D2718)&lt;100000000,VALUE($D2718),1000000000),IFERROR(IF(VALUE(MID($D2718,2,20))&lt;100000000,VALUE(MID($D2718,2,20)),1000000000),1000000000))+ROW()/100000,"")</f>
        <v/>
      </c>
    </row>
    <row r="2719">
      <c r="F2719" s="11" t="n"/>
      <c r="N2719" s="7">
        <f>IF($D2719="","",M2719*V2719/100)</f>
        <v/>
      </c>
      <c r="O2719" s="7" t="n"/>
      <c r="U2719" s="7" t="n"/>
      <c r="V2719" s="7" t="n"/>
      <c r="Y2719">
        <f>IF($D2719="","",IF($AN2719=1,0,IF($AM2719=1,Settings!$C$6,Settings!$C$7))*100)</f>
        <v/>
      </c>
      <c r="Z2719" s="7">
        <f>IF($D2719="","",V2719*Y2719/100)</f>
        <v/>
      </c>
      <c r="AA2719" s="7">
        <f>IF($D2719="","",V2719-Z2719)</f>
        <v/>
      </c>
      <c r="AB2719" s="7">
        <f>IF($D2719="","",AA2719-N2719)</f>
        <v/>
      </c>
      <c r="AF2719" s="7" t="n"/>
      <c r="AI2719" s="11" t="n"/>
      <c r="AK2719">
        <f>IF($D2719="","",IF(COUNTIF($D$2:$D2719,$D2719)=1,1,0))</f>
        <v/>
      </c>
      <c r="AL2719">
        <f>IF($AK2719=1,SUMPRODUCT(--($AO$2:$AO$3001&lt;$AO2719))+1,"")</f>
        <v/>
      </c>
      <c r="AM2719">
        <f>IF($D2719="","",IF(OR($R2719=TRUE(),$R2719="TRUE"),1,0))</f>
        <v/>
      </c>
      <c r="AN2719">
        <f>IF($D2719="","",IF($X2719="Yes",1,0))</f>
        <v/>
      </c>
      <c r="AO2719">
        <f>IF($AK2719=1,IFERROR(IF(VALUE($D2719)&lt;100000000,VALUE($D2719),1000000000),IFERROR(IF(VALUE(MID($D2719,2,20))&lt;100000000,VALUE(MID($D2719,2,20)),1000000000),1000000000))+ROW()/100000,"")</f>
        <v/>
      </c>
    </row>
    <row r="2720">
      <c r="F2720" s="11" t="n"/>
      <c r="N2720" s="7">
        <f>IF($D2720="","",M2720*V2720/100)</f>
        <v/>
      </c>
      <c r="O2720" s="7" t="n"/>
      <c r="U2720" s="7" t="n"/>
      <c r="V2720" s="7" t="n"/>
      <c r="Y2720">
        <f>IF($D2720="","",IF($AN2720=1,0,IF($AM2720=1,Settings!$C$6,Settings!$C$7))*100)</f>
        <v/>
      </c>
      <c r="Z2720" s="7">
        <f>IF($D2720="","",V2720*Y2720/100)</f>
        <v/>
      </c>
      <c r="AA2720" s="7">
        <f>IF($D2720="","",V2720-Z2720)</f>
        <v/>
      </c>
      <c r="AB2720" s="7">
        <f>IF($D2720="","",AA2720-N2720)</f>
        <v/>
      </c>
      <c r="AF2720" s="7" t="n"/>
      <c r="AI2720" s="11" t="n"/>
      <c r="AK2720">
        <f>IF($D2720="","",IF(COUNTIF($D$2:$D2720,$D2720)=1,1,0))</f>
        <v/>
      </c>
      <c r="AL2720">
        <f>IF($AK2720=1,SUMPRODUCT(--($AO$2:$AO$3001&lt;$AO2720))+1,"")</f>
        <v/>
      </c>
      <c r="AM2720">
        <f>IF($D2720="","",IF(OR($R2720=TRUE(),$R2720="TRUE"),1,0))</f>
        <v/>
      </c>
      <c r="AN2720">
        <f>IF($D2720="","",IF($X2720="Yes",1,0))</f>
        <v/>
      </c>
      <c r="AO2720">
        <f>IF($AK2720=1,IFERROR(IF(VALUE($D2720)&lt;100000000,VALUE($D2720),1000000000),IFERROR(IF(VALUE(MID($D2720,2,20))&lt;100000000,VALUE(MID($D2720,2,20)),1000000000),1000000000))+ROW()/100000,"")</f>
        <v/>
      </c>
    </row>
    <row r="2721">
      <c r="F2721" s="11" t="n"/>
      <c r="N2721" s="7">
        <f>IF($D2721="","",M2721*V2721/100)</f>
        <v/>
      </c>
      <c r="O2721" s="7" t="n"/>
      <c r="U2721" s="7" t="n"/>
      <c r="V2721" s="7" t="n"/>
      <c r="Y2721">
        <f>IF($D2721="","",IF($AN2721=1,0,IF($AM2721=1,Settings!$C$6,Settings!$C$7))*100)</f>
        <v/>
      </c>
      <c r="Z2721" s="7">
        <f>IF($D2721="","",V2721*Y2721/100)</f>
        <v/>
      </c>
      <c r="AA2721" s="7">
        <f>IF($D2721="","",V2721-Z2721)</f>
        <v/>
      </c>
      <c r="AB2721" s="7">
        <f>IF($D2721="","",AA2721-N2721)</f>
        <v/>
      </c>
      <c r="AF2721" s="7" t="n"/>
      <c r="AI2721" s="11" t="n"/>
      <c r="AK2721">
        <f>IF($D2721="","",IF(COUNTIF($D$2:$D2721,$D2721)=1,1,0))</f>
        <v/>
      </c>
      <c r="AL2721">
        <f>IF($AK2721=1,SUMPRODUCT(--($AO$2:$AO$3001&lt;$AO2721))+1,"")</f>
        <v/>
      </c>
      <c r="AM2721">
        <f>IF($D2721="","",IF(OR($R2721=TRUE(),$R2721="TRUE"),1,0))</f>
        <v/>
      </c>
      <c r="AN2721">
        <f>IF($D2721="","",IF($X2721="Yes",1,0))</f>
        <v/>
      </c>
      <c r="AO2721">
        <f>IF($AK2721=1,IFERROR(IF(VALUE($D2721)&lt;100000000,VALUE($D2721),1000000000),IFERROR(IF(VALUE(MID($D2721,2,20))&lt;100000000,VALUE(MID($D2721,2,20)),1000000000),1000000000))+ROW()/100000,"")</f>
        <v/>
      </c>
    </row>
    <row r="2722">
      <c r="F2722" s="11" t="n"/>
      <c r="N2722" s="7">
        <f>IF($D2722="","",M2722*V2722/100)</f>
        <v/>
      </c>
      <c r="O2722" s="7" t="n"/>
      <c r="U2722" s="7" t="n"/>
      <c r="V2722" s="7" t="n"/>
      <c r="Y2722">
        <f>IF($D2722="","",IF($AN2722=1,0,IF($AM2722=1,Settings!$C$6,Settings!$C$7))*100)</f>
        <v/>
      </c>
      <c r="Z2722" s="7">
        <f>IF($D2722="","",V2722*Y2722/100)</f>
        <v/>
      </c>
      <c r="AA2722" s="7">
        <f>IF($D2722="","",V2722-Z2722)</f>
        <v/>
      </c>
      <c r="AB2722" s="7">
        <f>IF($D2722="","",AA2722-N2722)</f>
        <v/>
      </c>
      <c r="AF2722" s="7" t="n"/>
      <c r="AI2722" s="11" t="n"/>
      <c r="AK2722">
        <f>IF($D2722="","",IF(COUNTIF($D$2:$D2722,$D2722)=1,1,0))</f>
        <v/>
      </c>
      <c r="AL2722">
        <f>IF($AK2722=1,SUMPRODUCT(--($AO$2:$AO$3001&lt;$AO2722))+1,"")</f>
        <v/>
      </c>
      <c r="AM2722">
        <f>IF($D2722="","",IF(OR($R2722=TRUE(),$R2722="TRUE"),1,0))</f>
        <v/>
      </c>
      <c r="AN2722">
        <f>IF($D2722="","",IF($X2722="Yes",1,0))</f>
        <v/>
      </c>
      <c r="AO2722">
        <f>IF($AK2722=1,IFERROR(IF(VALUE($D2722)&lt;100000000,VALUE($D2722),1000000000),IFERROR(IF(VALUE(MID($D2722,2,20))&lt;100000000,VALUE(MID($D2722,2,20)),1000000000),1000000000))+ROW()/100000,"")</f>
        <v/>
      </c>
    </row>
    <row r="2723">
      <c r="F2723" s="11" t="n"/>
      <c r="N2723" s="7">
        <f>IF($D2723="","",M2723*V2723/100)</f>
        <v/>
      </c>
      <c r="O2723" s="7" t="n"/>
      <c r="U2723" s="7" t="n"/>
      <c r="V2723" s="7" t="n"/>
      <c r="Y2723">
        <f>IF($D2723="","",IF($AN2723=1,0,IF($AM2723=1,Settings!$C$6,Settings!$C$7))*100)</f>
        <v/>
      </c>
      <c r="Z2723" s="7">
        <f>IF($D2723="","",V2723*Y2723/100)</f>
        <v/>
      </c>
      <c r="AA2723" s="7">
        <f>IF($D2723="","",V2723-Z2723)</f>
        <v/>
      </c>
      <c r="AB2723" s="7">
        <f>IF($D2723="","",AA2723-N2723)</f>
        <v/>
      </c>
      <c r="AF2723" s="7" t="n"/>
      <c r="AI2723" s="11" t="n"/>
      <c r="AK2723">
        <f>IF($D2723="","",IF(COUNTIF($D$2:$D2723,$D2723)=1,1,0))</f>
        <v/>
      </c>
      <c r="AL2723">
        <f>IF($AK2723=1,SUMPRODUCT(--($AO$2:$AO$3001&lt;$AO2723))+1,"")</f>
        <v/>
      </c>
      <c r="AM2723">
        <f>IF($D2723="","",IF(OR($R2723=TRUE(),$R2723="TRUE"),1,0))</f>
        <v/>
      </c>
      <c r="AN2723">
        <f>IF($D2723="","",IF($X2723="Yes",1,0))</f>
        <v/>
      </c>
      <c r="AO2723">
        <f>IF($AK2723=1,IFERROR(IF(VALUE($D2723)&lt;100000000,VALUE($D2723),1000000000),IFERROR(IF(VALUE(MID($D2723,2,20))&lt;100000000,VALUE(MID($D2723,2,20)),1000000000),1000000000))+ROW()/100000,"")</f>
        <v/>
      </c>
    </row>
    <row r="2724">
      <c r="F2724" s="11" t="n"/>
      <c r="N2724" s="7">
        <f>IF($D2724="","",M2724*V2724/100)</f>
        <v/>
      </c>
      <c r="O2724" s="7" t="n"/>
      <c r="U2724" s="7" t="n"/>
      <c r="V2724" s="7" t="n"/>
      <c r="Y2724">
        <f>IF($D2724="","",IF($AN2724=1,0,IF($AM2724=1,Settings!$C$6,Settings!$C$7))*100)</f>
        <v/>
      </c>
      <c r="Z2724" s="7">
        <f>IF($D2724="","",V2724*Y2724/100)</f>
        <v/>
      </c>
      <c r="AA2724" s="7">
        <f>IF($D2724="","",V2724-Z2724)</f>
        <v/>
      </c>
      <c r="AB2724" s="7">
        <f>IF($D2724="","",AA2724-N2724)</f>
        <v/>
      </c>
      <c r="AF2724" s="7" t="n"/>
      <c r="AI2724" s="11" t="n"/>
      <c r="AK2724">
        <f>IF($D2724="","",IF(COUNTIF($D$2:$D2724,$D2724)=1,1,0))</f>
        <v/>
      </c>
      <c r="AL2724">
        <f>IF($AK2724=1,SUMPRODUCT(--($AO$2:$AO$3001&lt;$AO2724))+1,"")</f>
        <v/>
      </c>
      <c r="AM2724">
        <f>IF($D2724="","",IF(OR($R2724=TRUE(),$R2724="TRUE"),1,0))</f>
        <v/>
      </c>
      <c r="AN2724">
        <f>IF($D2724="","",IF($X2724="Yes",1,0))</f>
        <v/>
      </c>
      <c r="AO2724">
        <f>IF($AK2724=1,IFERROR(IF(VALUE($D2724)&lt;100000000,VALUE($D2724),1000000000),IFERROR(IF(VALUE(MID($D2724,2,20))&lt;100000000,VALUE(MID($D2724,2,20)),1000000000),1000000000))+ROW()/100000,"")</f>
        <v/>
      </c>
    </row>
    <row r="2725">
      <c r="F2725" s="11" t="n"/>
      <c r="N2725" s="7">
        <f>IF($D2725="","",M2725*V2725/100)</f>
        <v/>
      </c>
      <c r="O2725" s="7" t="n"/>
      <c r="U2725" s="7" t="n"/>
      <c r="V2725" s="7" t="n"/>
      <c r="Y2725">
        <f>IF($D2725="","",IF($AN2725=1,0,IF($AM2725=1,Settings!$C$6,Settings!$C$7))*100)</f>
        <v/>
      </c>
      <c r="Z2725" s="7">
        <f>IF($D2725="","",V2725*Y2725/100)</f>
        <v/>
      </c>
      <c r="AA2725" s="7">
        <f>IF($D2725="","",V2725-Z2725)</f>
        <v/>
      </c>
      <c r="AB2725" s="7">
        <f>IF($D2725="","",AA2725-N2725)</f>
        <v/>
      </c>
      <c r="AF2725" s="7" t="n"/>
      <c r="AI2725" s="11" t="n"/>
      <c r="AK2725">
        <f>IF($D2725="","",IF(COUNTIF($D$2:$D2725,$D2725)=1,1,0))</f>
        <v/>
      </c>
      <c r="AL2725">
        <f>IF($AK2725=1,SUMPRODUCT(--($AO$2:$AO$3001&lt;$AO2725))+1,"")</f>
        <v/>
      </c>
      <c r="AM2725">
        <f>IF($D2725="","",IF(OR($R2725=TRUE(),$R2725="TRUE"),1,0))</f>
        <v/>
      </c>
      <c r="AN2725">
        <f>IF($D2725="","",IF($X2725="Yes",1,0))</f>
        <v/>
      </c>
      <c r="AO2725">
        <f>IF($AK2725=1,IFERROR(IF(VALUE($D2725)&lt;100000000,VALUE($D2725),1000000000),IFERROR(IF(VALUE(MID($D2725,2,20))&lt;100000000,VALUE(MID($D2725,2,20)),1000000000),1000000000))+ROW()/100000,"")</f>
        <v/>
      </c>
    </row>
    <row r="2726">
      <c r="F2726" s="11" t="n"/>
      <c r="N2726" s="7">
        <f>IF($D2726="","",M2726*V2726/100)</f>
        <v/>
      </c>
      <c r="O2726" s="7" t="n"/>
      <c r="U2726" s="7" t="n"/>
      <c r="V2726" s="7" t="n"/>
      <c r="Y2726">
        <f>IF($D2726="","",IF($AN2726=1,0,IF($AM2726=1,Settings!$C$6,Settings!$C$7))*100)</f>
        <v/>
      </c>
      <c r="Z2726" s="7">
        <f>IF($D2726="","",V2726*Y2726/100)</f>
        <v/>
      </c>
      <c r="AA2726" s="7">
        <f>IF($D2726="","",V2726-Z2726)</f>
        <v/>
      </c>
      <c r="AB2726" s="7">
        <f>IF($D2726="","",AA2726-N2726)</f>
        <v/>
      </c>
      <c r="AF2726" s="7" t="n"/>
      <c r="AI2726" s="11" t="n"/>
      <c r="AK2726">
        <f>IF($D2726="","",IF(COUNTIF($D$2:$D2726,$D2726)=1,1,0))</f>
        <v/>
      </c>
      <c r="AL2726">
        <f>IF($AK2726=1,SUMPRODUCT(--($AO$2:$AO$3001&lt;$AO2726))+1,"")</f>
        <v/>
      </c>
      <c r="AM2726">
        <f>IF($D2726="","",IF(OR($R2726=TRUE(),$R2726="TRUE"),1,0))</f>
        <v/>
      </c>
      <c r="AN2726">
        <f>IF($D2726="","",IF($X2726="Yes",1,0))</f>
        <v/>
      </c>
      <c r="AO2726">
        <f>IF($AK2726=1,IFERROR(IF(VALUE($D2726)&lt;100000000,VALUE($D2726),1000000000),IFERROR(IF(VALUE(MID($D2726,2,20))&lt;100000000,VALUE(MID($D2726,2,20)),1000000000),1000000000))+ROW()/100000,"")</f>
        <v/>
      </c>
    </row>
    <row r="2727">
      <c r="F2727" s="11" t="n"/>
      <c r="N2727" s="7">
        <f>IF($D2727="","",M2727*V2727/100)</f>
        <v/>
      </c>
      <c r="O2727" s="7" t="n"/>
      <c r="U2727" s="7" t="n"/>
      <c r="V2727" s="7" t="n"/>
      <c r="Y2727">
        <f>IF($D2727="","",IF($AN2727=1,0,IF($AM2727=1,Settings!$C$6,Settings!$C$7))*100)</f>
        <v/>
      </c>
      <c r="Z2727" s="7">
        <f>IF($D2727="","",V2727*Y2727/100)</f>
        <v/>
      </c>
      <c r="AA2727" s="7">
        <f>IF($D2727="","",V2727-Z2727)</f>
        <v/>
      </c>
      <c r="AB2727" s="7">
        <f>IF($D2727="","",AA2727-N2727)</f>
        <v/>
      </c>
      <c r="AF2727" s="7" t="n"/>
      <c r="AI2727" s="11" t="n"/>
      <c r="AK2727">
        <f>IF($D2727="","",IF(COUNTIF($D$2:$D2727,$D2727)=1,1,0))</f>
        <v/>
      </c>
      <c r="AL2727">
        <f>IF($AK2727=1,SUMPRODUCT(--($AO$2:$AO$3001&lt;$AO2727))+1,"")</f>
        <v/>
      </c>
      <c r="AM2727">
        <f>IF($D2727="","",IF(OR($R2727=TRUE(),$R2727="TRUE"),1,0))</f>
        <v/>
      </c>
      <c r="AN2727">
        <f>IF($D2727="","",IF($X2727="Yes",1,0))</f>
        <v/>
      </c>
      <c r="AO2727">
        <f>IF($AK2727=1,IFERROR(IF(VALUE($D2727)&lt;100000000,VALUE($D2727),1000000000),IFERROR(IF(VALUE(MID($D2727,2,20))&lt;100000000,VALUE(MID($D2727,2,20)),1000000000),1000000000))+ROW()/100000,"")</f>
        <v/>
      </c>
    </row>
    <row r="2728">
      <c r="F2728" s="11" t="n"/>
      <c r="N2728" s="7">
        <f>IF($D2728="","",M2728*V2728/100)</f>
        <v/>
      </c>
      <c r="O2728" s="7" t="n"/>
      <c r="U2728" s="7" t="n"/>
      <c r="V2728" s="7" t="n"/>
      <c r="Y2728">
        <f>IF($D2728="","",IF($AN2728=1,0,IF($AM2728=1,Settings!$C$6,Settings!$C$7))*100)</f>
        <v/>
      </c>
      <c r="Z2728" s="7">
        <f>IF($D2728="","",V2728*Y2728/100)</f>
        <v/>
      </c>
      <c r="AA2728" s="7">
        <f>IF($D2728="","",V2728-Z2728)</f>
        <v/>
      </c>
      <c r="AB2728" s="7">
        <f>IF($D2728="","",AA2728-N2728)</f>
        <v/>
      </c>
      <c r="AF2728" s="7" t="n"/>
      <c r="AI2728" s="11" t="n"/>
      <c r="AK2728">
        <f>IF($D2728="","",IF(COUNTIF($D$2:$D2728,$D2728)=1,1,0))</f>
        <v/>
      </c>
      <c r="AL2728">
        <f>IF($AK2728=1,SUMPRODUCT(--($AO$2:$AO$3001&lt;$AO2728))+1,"")</f>
        <v/>
      </c>
      <c r="AM2728">
        <f>IF($D2728="","",IF(OR($R2728=TRUE(),$R2728="TRUE"),1,0))</f>
        <v/>
      </c>
      <c r="AN2728">
        <f>IF($D2728="","",IF($X2728="Yes",1,0))</f>
        <v/>
      </c>
      <c r="AO2728">
        <f>IF($AK2728=1,IFERROR(IF(VALUE($D2728)&lt;100000000,VALUE($D2728),1000000000),IFERROR(IF(VALUE(MID($D2728,2,20))&lt;100000000,VALUE(MID($D2728,2,20)),1000000000),1000000000))+ROW()/100000,"")</f>
        <v/>
      </c>
    </row>
    <row r="2729">
      <c r="F2729" s="11" t="n"/>
      <c r="N2729" s="7">
        <f>IF($D2729="","",M2729*V2729/100)</f>
        <v/>
      </c>
      <c r="O2729" s="7" t="n"/>
      <c r="U2729" s="7" t="n"/>
      <c r="V2729" s="7" t="n"/>
      <c r="Y2729">
        <f>IF($D2729="","",IF($AN2729=1,0,IF($AM2729=1,Settings!$C$6,Settings!$C$7))*100)</f>
        <v/>
      </c>
      <c r="Z2729" s="7">
        <f>IF($D2729="","",V2729*Y2729/100)</f>
        <v/>
      </c>
      <c r="AA2729" s="7">
        <f>IF($D2729="","",V2729-Z2729)</f>
        <v/>
      </c>
      <c r="AB2729" s="7">
        <f>IF($D2729="","",AA2729-N2729)</f>
        <v/>
      </c>
      <c r="AF2729" s="7" t="n"/>
      <c r="AI2729" s="11" t="n"/>
      <c r="AK2729">
        <f>IF($D2729="","",IF(COUNTIF($D$2:$D2729,$D2729)=1,1,0))</f>
        <v/>
      </c>
      <c r="AL2729">
        <f>IF($AK2729=1,SUMPRODUCT(--($AO$2:$AO$3001&lt;$AO2729))+1,"")</f>
        <v/>
      </c>
      <c r="AM2729">
        <f>IF($D2729="","",IF(OR($R2729=TRUE(),$R2729="TRUE"),1,0))</f>
        <v/>
      </c>
      <c r="AN2729">
        <f>IF($D2729="","",IF($X2729="Yes",1,0))</f>
        <v/>
      </c>
      <c r="AO2729">
        <f>IF($AK2729=1,IFERROR(IF(VALUE($D2729)&lt;100000000,VALUE($D2729),1000000000),IFERROR(IF(VALUE(MID($D2729,2,20))&lt;100000000,VALUE(MID($D2729,2,20)),1000000000),1000000000))+ROW()/100000,"")</f>
        <v/>
      </c>
    </row>
    <row r="2730">
      <c r="F2730" s="11" t="n"/>
      <c r="N2730" s="7">
        <f>IF($D2730="","",M2730*V2730/100)</f>
        <v/>
      </c>
      <c r="O2730" s="7" t="n"/>
      <c r="U2730" s="7" t="n"/>
      <c r="V2730" s="7" t="n"/>
      <c r="Y2730">
        <f>IF($D2730="","",IF($AN2730=1,0,IF($AM2730=1,Settings!$C$6,Settings!$C$7))*100)</f>
        <v/>
      </c>
      <c r="Z2730" s="7">
        <f>IF($D2730="","",V2730*Y2730/100)</f>
        <v/>
      </c>
      <c r="AA2730" s="7">
        <f>IF($D2730="","",V2730-Z2730)</f>
        <v/>
      </c>
      <c r="AB2730" s="7">
        <f>IF($D2730="","",AA2730-N2730)</f>
        <v/>
      </c>
      <c r="AF2730" s="7" t="n"/>
      <c r="AI2730" s="11" t="n"/>
      <c r="AK2730">
        <f>IF($D2730="","",IF(COUNTIF($D$2:$D2730,$D2730)=1,1,0))</f>
        <v/>
      </c>
      <c r="AL2730">
        <f>IF($AK2730=1,SUMPRODUCT(--($AO$2:$AO$3001&lt;$AO2730))+1,"")</f>
        <v/>
      </c>
      <c r="AM2730">
        <f>IF($D2730="","",IF(OR($R2730=TRUE(),$R2730="TRUE"),1,0))</f>
        <v/>
      </c>
      <c r="AN2730">
        <f>IF($D2730="","",IF($X2730="Yes",1,0))</f>
        <v/>
      </c>
      <c r="AO2730">
        <f>IF($AK2730=1,IFERROR(IF(VALUE($D2730)&lt;100000000,VALUE($D2730),1000000000),IFERROR(IF(VALUE(MID($D2730,2,20))&lt;100000000,VALUE(MID($D2730,2,20)),1000000000),1000000000))+ROW()/100000,"")</f>
        <v/>
      </c>
    </row>
    <row r="2731">
      <c r="F2731" s="11" t="n"/>
      <c r="N2731" s="7">
        <f>IF($D2731="","",M2731*V2731/100)</f>
        <v/>
      </c>
      <c r="O2731" s="7" t="n"/>
      <c r="U2731" s="7" t="n"/>
      <c r="V2731" s="7" t="n"/>
      <c r="Y2731">
        <f>IF($D2731="","",IF($AN2731=1,0,IF($AM2731=1,Settings!$C$6,Settings!$C$7))*100)</f>
        <v/>
      </c>
      <c r="Z2731" s="7">
        <f>IF($D2731="","",V2731*Y2731/100)</f>
        <v/>
      </c>
      <c r="AA2731" s="7">
        <f>IF($D2731="","",V2731-Z2731)</f>
        <v/>
      </c>
      <c r="AB2731" s="7">
        <f>IF($D2731="","",AA2731-N2731)</f>
        <v/>
      </c>
      <c r="AF2731" s="7" t="n"/>
      <c r="AI2731" s="11" t="n"/>
      <c r="AK2731">
        <f>IF($D2731="","",IF(COUNTIF($D$2:$D2731,$D2731)=1,1,0))</f>
        <v/>
      </c>
      <c r="AL2731">
        <f>IF($AK2731=1,SUMPRODUCT(--($AO$2:$AO$3001&lt;$AO2731))+1,"")</f>
        <v/>
      </c>
      <c r="AM2731">
        <f>IF($D2731="","",IF(OR($R2731=TRUE(),$R2731="TRUE"),1,0))</f>
        <v/>
      </c>
      <c r="AN2731">
        <f>IF($D2731="","",IF($X2731="Yes",1,0))</f>
        <v/>
      </c>
      <c r="AO2731">
        <f>IF($AK2731=1,IFERROR(IF(VALUE($D2731)&lt;100000000,VALUE($D2731),1000000000),IFERROR(IF(VALUE(MID($D2731,2,20))&lt;100000000,VALUE(MID($D2731,2,20)),1000000000),1000000000))+ROW()/100000,"")</f>
        <v/>
      </c>
    </row>
    <row r="2732">
      <c r="F2732" s="11" t="n"/>
      <c r="N2732" s="7">
        <f>IF($D2732="","",M2732*V2732/100)</f>
        <v/>
      </c>
      <c r="O2732" s="7" t="n"/>
      <c r="U2732" s="7" t="n"/>
      <c r="V2732" s="7" t="n"/>
      <c r="Y2732">
        <f>IF($D2732="","",IF($AN2732=1,0,IF($AM2732=1,Settings!$C$6,Settings!$C$7))*100)</f>
        <v/>
      </c>
      <c r="Z2732" s="7">
        <f>IF($D2732="","",V2732*Y2732/100)</f>
        <v/>
      </c>
      <c r="AA2732" s="7">
        <f>IF($D2732="","",V2732-Z2732)</f>
        <v/>
      </c>
      <c r="AB2732" s="7">
        <f>IF($D2732="","",AA2732-N2732)</f>
        <v/>
      </c>
      <c r="AF2732" s="7" t="n"/>
      <c r="AI2732" s="11" t="n"/>
      <c r="AK2732">
        <f>IF($D2732="","",IF(COUNTIF($D$2:$D2732,$D2732)=1,1,0))</f>
        <v/>
      </c>
      <c r="AL2732">
        <f>IF($AK2732=1,SUMPRODUCT(--($AO$2:$AO$3001&lt;$AO2732))+1,"")</f>
        <v/>
      </c>
      <c r="AM2732">
        <f>IF($D2732="","",IF(OR($R2732=TRUE(),$R2732="TRUE"),1,0))</f>
        <v/>
      </c>
      <c r="AN2732">
        <f>IF($D2732="","",IF($X2732="Yes",1,0))</f>
        <v/>
      </c>
      <c r="AO2732">
        <f>IF($AK2732=1,IFERROR(IF(VALUE($D2732)&lt;100000000,VALUE($D2732),1000000000),IFERROR(IF(VALUE(MID($D2732,2,20))&lt;100000000,VALUE(MID($D2732,2,20)),1000000000),1000000000))+ROW()/100000,"")</f>
        <v/>
      </c>
    </row>
    <row r="2733">
      <c r="F2733" s="11" t="n"/>
      <c r="N2733" s="7">
        <f>IF($D2733="","",M2733*V2733/100)</f>
        <v/>
      </c>
      <c r="O2733" s="7" t="n"/>
      <c r="U2733" s="7" t="n"/>
      <c r="V2733" s="7" t="n"/>
      <c r="Y2733">
        <f>IF($D2733="","",IF($AN2733=1,0,IF($AM2733=1,Settings!$C$6,Settings!$C$7))*100)</f>
        <v/>
      </c>
      <c r="Z2733" s="7">
        <f>IF($D2733="","",V2733*Y2733/100)</f>
        <v/>
      </c>
      <c r="AA2733" s="7">
        <f>IF($D2733="","",V2733-Z2733)</f>
        <v/>
      </c>
      <c r="AB2733" s="7">
        <f>IF($D2733="","",AA2733-N2733)</f>
        <v/>
      </c>
      <c r="AF2733" s="7" t="n"/>
      <c r="AI2733" s="11" t="n"/>
      <c r="AK2733">
        <f>IF($D2733="","",IF(COUNTIF($D$2:$D2733,$D2733)=1,1,0))</f>
        <v/>
      </c>
      <c r="AL2733">
        <f>IF($AK2733=1,SUMPRODUCT(--($AO$2:$AO$3001&lt;$AO2733))+1,"")</f>
        <v/>
      </c>
      <c r="AM2733">
        <f>IF($D2733="","",IF(OR($R2733=TRUE(),$R2733="TRUE"),1,0))</f>
        <v/>
      </c>
      <c r="AN2733">
        <f>IF($D2733="","",IF($X2733="Yes",1,0))</f>
        <v/>
      </c>
      <c r="AO2733">
        <f>IF($AK2733=1,IFERROR(IF(VALUE($D2733)&lt;100000000,VALUE($D2733),1000000000),IFERROR(IF(VALUE(MID($D2733,2,20))&lt;100000000,VALUE(MID($D2733,2,20)),1000000000),1000000000))+ROW()/100000,"")</f>
        <v/>
      </c>
    </row>
    <row r="2734">
      <c r="F2734" s="11" t="n"/>
      <c r="N2734" s="7">
        <f>IF($D2734="","",M2734*V2734/100)</f>
        <v/>
      </c>
      <c r="O2734" s="7" t="n"/>
      <c r="U2734" s="7" t="n"/>
      <c r="V2734" s="7" t="n"/>
      <c r="Y2734">
        <f>IF($D2734="","",IF($AN2734=1,0,IF($AM2734=1,Settings!$C$6,Settings!$C$7))*100)</f>
        <v/>
      </c>
      <c r="Z2734" s="7">
        <f>IF($D2734="","",V2734*Y2734/100)</f>
        <v/>
      </c>
      <c r="AA2734" s="7">
        <f>IF($D2734="","",V2734-Z2734)</f>
        <v/>
      </c>
      <c r="AB2734" s="7">
        <f>IF($D2734="","",AA2734-N2734)</f>
        <v/>
      </c>
      <c r="AF2734" s="7" t="n"/>
      <c r="AI2734" s="11" t="n"/>
      <c r="AK2734">
        <f>IF($D2734="","",IF(COUNTIF($D$2:$D2734,$D2734)=1,1,0))</f>
        <v/>
      </c>
      <c r="AL2734">
        <f>IF($AK2734=1,SUMPRODUCT(--($AO$2:$AO$3001&lt;$AO2734))+1,"")</f>
        <v/>
      </c>
      <c r="AM2734">
        <f>IF($D2734="","",IF(OR($R2734=TRUE(),$R2734="TRUE"),1,0))</f>
        <v/>
      </c>
      <c r="AN2734">
        <f>IF($D2734="","",IF($X2734="Yes",1,0))</f>
        <v/>
      </c>
      <c r="AO2734">
        <f>IF($AK2734=1,IFERROR(IF(VALUE($D2734)&lt;100000000,VALUE($D2734),1000000000),IFERROR(IF(VALUE(MID($D2734,2,20))&lt;100000000,VALUE(MID($D2734,2,20)),1000000000),1000000000))+ROW()/100000,"")</f>
        <v/>
      </c>
    </row>
    <row r="2735">
      <c r="F2735" s="11" t="n"/>
      <c r="N2735" s="7">
        <f>IF($D2735="","",M2735*V2735/100)</f>
        <v/>
      </c>
      <c r="O2735" s="7" t="n"/>
      <c r="U2735" s="7" t="n"/>
      <c r="V2735" s="7" t="n"/>
      <c r="Y2735">
        <f>IF($D2735="","",IF($AN2735=1,0,IF($AM2735=1,Settings!$C$6,Settings!$C$7))*100)</f>
        <v/>
      </c>
      <c r="Z2735" s="7">
        <f>IF($D2735="","",V2735*Y2735/100)</f>
        <v/>
      </c>
      <c r="AA2735" s="7">
        <f>IF($D2735="","",V2735-Z2735)</f>
        <v/>
      </c>
      <c r="AB2735" s="7">
        <f>IF($D2735="","",AA2735-N2735)</f>
        <v/>
      </c>
      <c r="AF2735" s="7" t="n"/>
      <c r="AI2735" s="11" t="n"/>
      <c r="AK2735">
        <f>IF($D2735="","",IF(COUNTIF($D$2:$D2735,$D2735)=1,1,0))</f>
        <v/>
      </c>
      <c r="AL2735">
        <f>IF($AK2735=1,SUMPRODUCT(--($AO$2:$AO$3001&lt;$AO2735))+1,"")</f>
        <v/>
      </c>
      <c r="AM2735">
        <f>IF($D2735="","",IF(OR($R2735=TRUE(),$R2735="TRUE"),1,0))</f>
        <v/>
      </c>
      <c r="AN2735">
        <f>IF($D2735="","",IF($X2735="Yes",1,0))</f>
        <v/>
      </c>
      <c r="AO2735">
        <f>IF($AK2735=1,IFERROR(IF(VALUE($D2735)&lt;100000000,VALUE($D2735),1000000000),IFERROR(IF(VALUE(MID($D2735,2,20))&lt;100000000,VALUE(MID($D2735,2,20)),1000000000),1000000000))+ROW()/100000,"")</f>
        <v/>
      </c>
    </row>
    <row r="2736">
      <c r="F2736" s="11" t="n"/>
      <c r="N2736" s="7">
        <f>IF($D2736="","",M2736*V2736/100)</f>
        <v/>
      </c>
      <c r="O2736" s="7" t="n"/>
      <c r="U2736" s="7" t="n"/>
      <c r="V2736" s="7" t="n"/>
      <c r="Y2736">
        <f>IF($D2736="","",IF($AN2736=1,0,IF($AM2736=1,Settings!$C$6,Settings!$C$7))*100)</f>
        <v/>
      </c>
      <c r="Z2736" s="7">
        <f>IF($D2736="","",V2736*Y2736/100)</f>
        <v/>
      </c>
      <c r="AA2736" s="7">
        <f>IF($D2736="","",V2736-Z2736)</f>
        <v/>
      </c>
      <c r="AB2736" s="7">
        <f>IF($D2736="","",AA2736-N2736)</f>
        <v/>
      </c>
      <c r="AF2736" s="7" t="n"/>
      <c r="AI2736" s="11" t="n"/>
      <c r="AK2736">
        <f>IF($D2736="","",IF(COUNTIF($D$2:$D2736,$D2736)=1,1,0))</f>
        <v/>
      </c>
      <c r="AL2736">
        <f>IF($AK2736=1,SUMPRODUCT(--($AO$2:$AO$3001&lt;$AO2736))+1,"")</f>
        <v/>
      </c>
      <c r="AM2736">
        <f>IF($D2736="","",IF(OR($R2736=TRUE(),$R2736="TRUE"),1,0))</f>
        <v/>
      </c>
      <c r="AN2736">
        <f>IF($D2736="","",IF($X2736="Yes",1,0))</f>
        <v/>
      </c>
      <c r="AO2736">
        <f>IF($AK2736=1,IFERROR(IF(VALUE($D2736)&lt;100000000,VALUE($D2736),1000000000),IFERROR(IF(VALUE(MID($D2736,2,20))&lt;100000000,VALUE(MID($D2736,2,20)),1000000000),1000000000))+ROW()/100000,"")</f>
        <v/>
      </c>
    </row>
    <row r="2737">
      <c r="F2737" s="11" t="n"/>
      <c r="N2737" s="7">
        <f>IF($D2737="","",M2737*V2737/100)</f>
        <v/>
      </c>
      <c r="O2737" s="7" t="n"/>
      <c r="U2737" s="7" t="n"/>
      <c r="V2737" s="7" t="n"/>
      <c r="Y2737">
        <f>IF($D2737="","",IF($AN2737=1,0,IF($AM2737=1,Settings!$C$6,Settings!$C$7))*100)</f>
        <v/>
      </c>
      <c r="Z2737" s="7">
        <f>IF($D2737="","",V2737*Y2737/100)</f>
        <v/>
      </c>
      <c r="AA2737" s="7">
        <f>IF($D2737="","",V2737-Z2737)</f>
        <v/>
      </c>
      <c r="AB2737" s="7">
        <f>IF($D2737="","",AA2737-N2737)</f>
        <v/>
      </c>
      <c r="AF2737" s="7" t="n"/>
      <c r="AI2737" s="11" t="n"/>
      <c r="AK2737">
        <f>IF($D2737="","",IF(COUNTIF($D$2:$D2737,$D2737)=1,1,0))</f>
        <v/>
      </c>
      <c r="AL2737">
        <f>IF($AK2737=1,SUMPRODUCT(--($AO$2:$AO$3001&lt;$AO2737))+1,"")</f>
        <v/>
      </c>
      <c r="AM2737">
        <f>IF($D2737="","",IF(OR($R2737=TRUE(),$R2737="TRUE"),1,0))</f>
        <v/>
      </c>
      <c r="AN2737">
        <f>IF($D2737="","",IF($X2737="Yes",1,0))</f>
        <v/>
      </c>
      <c r="AO2737">
        <f>IF($AK2737=1,IFERROR(IF(VALUE($D2737)&lt;100000000,VALUE($D2737),1000000000),IFERROR(IF(VALUE(MID($D2737,2,20))&lt;100000000,VALUE(MID($D2737,2,20)),1000000000),1000000000))+ROW()/100000,"")</f>
        <v/>
      </c>
    </row>
    <row r="2738">
      <c r="F2738" s="11" t="n"/>
      <c r="N2738" s="7">
        <f>IF($D2738="","",M2738*V2738/100)</f>
        <v/>
      </c>
      <c r="O2738" s="7" t="n"/>
      <c r="U2738" s="7" t="n"/>
      <c r="V2738" s="7" t="n"/>
      <c r="Y2738">
        <f>IF($D2738="","",IF($AN2738=1,0,IF($AM2738=1,Settings!$C$6,Settings!$C$7))*100)</f>
        <v/>
      </c>
      <c r="Z2738" s="7">
        <f>IF($D2738="","",V2738*Y2738/100)</f>
        <v/>
      </c>
      <c r="AA2738" s="7">
        <f>IF($D2738="","",V2738-Z2738)</f>
        <v/>
      </c>
      <c r="AB2738" s="7">
        <f>IF($D2738="","",AA2738-N2738)</f>
        <v/>
      </c>
      <c r="AF2738" s="7" t="n"/>
      <c r="AI2738" s="11" t="n"/>
      <c r="AK2738">
        <f>IF($D2738="","",IF(COUNTIF($D$2:$D2738,$D2738)=1,1,0))</f>
        <v/>
      </c>
      <c r="AL2738">
        <f>IF($AK2738=1,SUMPRODUCT(--($AO$2:$AO$3001&lt;$AO2738))+1,"")</f>
        <v/>
      </c>
      <c r="AM2738">
        <f>IF($D2738="","",IF(OR($R2738=TRUE(),$R2738="TRUE"),1,0))</f>
        <v/>
      </c>
      <c r="AN2738">
        <f>IF($D2738="","",IF($X2738="Yes",1,0))</f>
        <v/>
      </c>
      <c r="AO2738">
        <f>IF($AK2738=1,IFERROR(IF(VALUE($D2738)&lt;100000000,VALUE($D2738),1000000000),IFERROR(IF(VALUE(MID($D2738,2,20))&lt;100000000,VALUE(MID($D2738,2,20)),1000000000),1000000000))+ROW()/100000,"")</f>
        <v/>
      </c>
    </row>
    <row r="2739">
      <c r="F2739" s="11" t="n"/>
      <c r="N2739" s="7">
        <f>IF($D2739="","",M2739*V2739/100)</f>
        <v/>
      </c>
      <c r="O2739" s="7" t="n"/>
      <c r="U2739" s="7" t="n"/>
      <c r="V2739" s="7" t="n"/>
      <c r="Y2739">
        <f>IF($D2739="","",IF($AN2739=1,0,IF($AM2739=1,Settings!$C$6,Settings!$C$7))*100)</f>
        <v/>
      </c>
      <c r="Z2739" s="7">
        <f>IF($D2739="","",V2739*Y2739/100)</f>
        <v/>
      </c>
      <c r="AA2739" s="7">
        <f>IF($D2739="","",V2739-Z2739)</f>
        <v/>
      </c>
      <c r="AB2739" s="7">
        <f>IF($D2739="","",AA2739-N2739)</f>
        <v/>
      </c>
      <c r="AF2739" s="7" t="n"/>
      <c r="AI2739" s="11" t="n"/>
      <c r="AK2739">
        <f>IF($D2739="","",IF(COUNTIF($D$2:$D2739,$D2739)=1,1,0))</f>
        <v/>
      </c>
      <c r="AL2739">
        <f>IF($AK2739=1,SUMPRODUCT(--($AO$2:$AO$3001&lt;$AO2739))+1,"")</f>
        <v/>
      </c>
      <c r="AM2739">
        <f>IF($D2739="","",IF(OR($R2739=TRUE(),$R2739="TRUE"),1,0))</f>
        <v/>
      </c>
      <c r="AN2739">
        <f>IF($D2739="","",IF($X2739="Yes",1,0))</f>
        <v/>
      </c>
      <c r="AO2739">
        <f>IF($AK2739=1,IFERROR(IF(VALUE($D2739)&lt;100000000,VALUE($D2739),1000000000),IFERROR(IF(VALUE(MID($D2739,2,20))&lt;100000000,VALUE(MID($D2739,2,20)),1000000000),1000000000))+ROW()/100000,"")</f>
        <v/>
      </c>
    </row>
    <row r="2740">
      <c r="F2740" s="11" t="n"/>
      <c r="N2740" s="7">
        <f>IF($D2740="","",M2740*V2740/100)</f>
        <v/>
      </c>
      <c r="O2740" s="7" t="n"/>
      <c r="U2740" s="7" t="n"/>
      <c r="V2740" s="7" t="n"/>
      <c r="Y2740">
        <f>IF($D2740="","",IF($AN2740=1,0,IF($AM2740=1,Settings!$C$6,Settings!$C$7))*100)</f>
        <v/>
      </c>
      <c r="Z2740" s="7">
        <f>IF($D2740="","",V2740*Y2740/100)</f>
        <v/>
      </c>
      <c r="AA2740" s="7">
        <f>IF($D2740="","",V2740-Z2740)</f>
        <v/>
      </c>
      <c r="AB2740" s="7">
        <f>IF($D2740="","",AA2740-N2740)</f>
        <v/>
      </c>
      <c r="AF2740" s="7" t="n"/>
      <c r="AI2740" s="11" t="n"/>
      <c r="AK2740">
        <f>IF($D2740="","",IF(COUNTIF($D$2:$D2740,$D2740)=1,1,0))</f>
        <v/>
      </c>
      <c r="AL2740">
        <f>IF($AK2740=1,SUMPRODUCT(--($AO$2:$AO$3001&lt;$AO2740))+1,"")</f>
        <v/>
      </c>
      <c r="AM2740">
        <f>IF($D2740="","",IF(OR($R2740=TRUE(),$R2740="TRUE"),1,0))</f>
        <v/>
      </c>
      <c r="AN2740">
        <f>IF($D2740="","",IF($X2740="Yes",1,0))</f>
        <v/>
      </c>
      <c r="AO2740">
        <f>IF($AK2740=1,IFERROR(IF(VALUE($D2740)&lt;100000000,VALUE($D2740),1000000000),IFERROR(IF(VALUE(MID($D2740,2,20))&lt;100000000,VALUE(MID($D2740,2,20)),1000000000),1000000000))+ROW()/100000,"")</f>
        <v/>
      </c>
    </row>
    <row r="2741">
      <c r="F2741" s="11" t="n"/>
      <c r="N2741" s="7">
        <f>IF($D2741="","",M2741*V2741/100)</f>
        <v/>
      </c>
      <c r="O2741" s="7" t="n"/>
      <c r="U2741" s="7" t="n"/>
      <c r="V2741" s="7" t="n"/>
      <c r="Y2741">
        <f>IF($D2741="","",IF($AN2741=1,0,IF($AM2741=1,Settings!$C$6,Settings!$C$7))*100)</f>
        <v/>
      </c>
      <c r="Z2741" s="7">
        <f>IF($D2741="","",V2741*Y2741/100)</f>
        <v/>
      </c>
      <c r="AA2741" s="7">
        <f>IF($D2741="","",V2741-Z2741)</f>
        <v/>
      </c>
      <c r="AB2741" s="7">
        <f>IF($D2741="","",AA2741-N2741)</f>
        <v/>
      </c>
      <c r="AF2741" s="7" t="n"/>
      <c r="AI2741" s="11" t="n"/>
      <c r="AK2741">
        <f>IF($D2741="","",IF(COUNTIF($D$2:$D2741,$D2741)=1,1,0))</f>
        <v/>
      </c>
      <c r="AL2741">
        <f>IF($AK2741=1,SUMPRODUCT(--($AO$2:$AO$3001&lt;$AO2741))+1,"")</f>
        <v/>
      </c>
      <c r="AM2741">
        <f>IF($D2741="","",IF(OR($R2741=TRUE(),$R2741="TRUE"),1,0))</f>
        <v/>
      </c>
      <c r="AN2741">
        <f>IF($D2741="","",IF($X2741="Yes",1,0))</f>
        <v/>
      </c>
      <c r="AO2741">
        <f>IF($AK2741=1,IFERROR(IF(VALUE($D2741)&lt;100000000,VALUE($D2741),1000000000),IFERROR(IF(VALUE(MID($D2741,2,20))&lt;100000000,VALUE(MID($D2741,2,20)),1000000000),1000000000))+ROW()/100000,"")</f>
        <v/>
      </c>
    </row>
    <row r="2742">
      <c r="F2742" s="11" t="n"/>
      <c r="N2742" s="7">
        <f>IF($D2742="","",M2742*V2742/100)</f>
        <v/>
      </c>
      <c r="O2742" s="7" t="n"/>
      <c r="U2742" s="7" t="n"/>
      <c r="V2742" s="7" t="n"/>
      <c r="Y2742">
        <f>IF($D2742="","",IF($AN2742=1,0,IF($AM2742=1,Settings!$C$6,Settings!$C$7))*100)</f>
        <v/>
      </c>
      <c r="Z2742" s="7">
        <f>IF($D2742="","",V2742*Y2742/100)</f>
        <v/>
      </c>
      <c r="AA2742" s="7">
        <f>IF($D2742="","",V2742-Z2742)</f>
        <v/>
      </c>
      <c r="AB2742" s="7">
        <f>IF($D2742="","",AA2742-N2742)</f>
        <v/>
      </c>
      <c r="AF2742" s="7" t="n"/>
      <c r="AI2742" s="11" t="n"/>
      <c r="AK2742">
        <f>IF($D2742="","",IF(COUNTIF($D$2:$D2742,$D2742)=1,1,0))</f>
        <v/>
      </c>
      <c r="AL2742">
        <f>IF($AK2742=1,SUMPRODUCT(--($AO$2:$AO$3001&lt;$AO2742))+1,"")</f>
        <v/>
      </c>
      <c r="AM2742">
        <f>IF($D2742="","",IF(OR($R2742=TRUE(),$R2742="TRUE"),1,0))</f>
        <v/>
      </c>
      <c r="AN2742">
        <f>IF($D2742="","",IF($X2742="Yes",1,0))</f>
        <v/>
      </c>
      <c r="AO2742">
        <f>IF($AK2742=1,IFERROR(IF(VALUE($D2742)&lt;100000000,VALUE($D2742),1000000000),IFERROR(IF(VALUE(MID($D2742,2,20))&lt;100000000,VALUE(MID($D2742,2,20)),1000000000),1000000000))+ROW()/100000,"")</f>
        <v/>
      </c>
    </row>
    <row r="2743">
      <c r="F2743" s="11" t="n"/>
      <c r="N2743" s="7">
        <f>IF($D2743="","",M2743*V2743/100)</f>
        <v/>
      </c>
      <c r="O2743" s="7" t="n"/>
      <c r="U2743" s="7" t="n"/>
      <c r="V2743" s="7" t="n"/>
      <c r="Y2743">
        <f>IF($D2743="","",IF($AN2743=1,0,IF($AM2743=1,Settings!$C$6,Settings!$C$7))*100)</f>
        <v/>
      </c>
      <c r="Z2743" s="7">
        <f>IF($D2743="","",V2743*Y2743/100)</f>
        <v/>
      </c>
      <c r="AA2743" s="7">
        <f>IF($D2743="","",V2743-Z2743)</f>
        <v/>
      </c>
      <c r="AB2743" s="7">
        <f>IF($D2743="","",AA2743-N2743)</f>
        <v/>
      </c>
      <c r="AF2743" s="7" t="n"/>
      <c r="AI2743" s="11" t="n"/>
      <c r="AK2743">
        <f>IF($D2743="","",IF(COUNTIF($D$2:$D2743,$D2743)=1,1,0))</f>
        <v/>
      </c>
      <c r="AL2743">
        <f>IF($AK2743=1,SUMPRODUCT(--($AO$2:$AO$3001&lt;$AO2743))+1,"")</f>
        <v/>
      </c>
      <c r="AM2743">
        <f>IF($D2743="","",IF(OR($R2743=TRUE(),$R2743="TRUE"),1,0))</f>
        <v/>
      </c>
      <c r="AN2743">
        <f>IF($D2743="","",IF($X2743="Yes",1,0))</f>
        <v/>
      </c>
      <c r="AO2743">
        <f>IF($AK2743=1,IFERROR(IF(VALUE($D2743)&lt;100000000,VALUE($D2743),1000000000),IFERROR(IF(VALUE(MID($D2743,2,20))&lt;100000000,VALUE(MID($D2743,2,20)),1000000000),1000000000))+ROW()/100000,"")</f>
        <v/>
      </c>
    </row>
    <row r="2744">
      <c r="F2744" s="11" t="n"/>
      <c r="N2744" s="7">
        <f>IF($D2744="","",M2744*V2744/100)</f>
        <v/>
      </c>
      <c r="O2744" s="7" t="n"/>
      <c r="U2744" s="7" t="n"/>
      <c r="V2744" s="7" t="n"/>
      <c r="Y2744">
        <f>IF($D2744="","",IF($AN2744=1,0,IF($AM2744=1,Settings!$C$6,Settings!$C$7))*100)</f>
        <v/>
      </c>
      <c r="Z2744" s="7">
        <f>IF($D2744="","",V2744*Y2744/100)</f>
        <v/>
      </c>
      <c r="AA2744" s="7">
        <f>IF($D2744="","",V2744-Z2744)</f>
        <v/>
      </c>
      <c r="AB2744" s="7">
        <f>IF($D2744="","",AA2744-N2744)</f>
        <v/>
      </c>
      <c r="AF2744" s="7" t="n"/>
      <c r="AI2744" s="11" t="n"/>
      <c r="AK2744">
        <f>IF($D2744="","",IF(COUNTIF($D$2:$D2744,$D2744)=1,1,0))</f>
        <v/>
      </c>
      <c r="AL2744">
        <f>IF($AK2744=1,SUMPRODUCT(--($AO$2:$AO$3001&lt;$AO2744))+1,"")</f>
        <v/>
      </c>
      <c r="AM2744">
        <f>IF($D2744="","",IF(OR($R2744=TRUE(),$R2744="TRUE"),1,0))</f>
        <v/>
      </c>
      <c r="AN2744">
        <f>IF($D2744="","",IF($X2744="Yes",1,0))</f>
        <v/>
      </c>
      <c r="AO2744">
        <f>IF($AK2744=1,IFERROR(IF(VALUE($D2744)&lt;100000000,VALUE($D2744),1000000000),IFERROR(IF(VALUE(MID($D2744,2,20))&lt;100000000,VALUE(MID($D2744,2,20)),1000000000),1000000000))+ROW()/100000,"")</f>
        <v/>
      </c>
    </row>
    <row r="2745">
      <c r="F2745" s="11" t="n"/>
      <c r="N2745" s="7">
        <f>IF($D2745="","",M2745*V2745/100)</f>
        <v/>
      </c>
      <c r="O2745" s="7" t="n"/>
      <c r="U2745" s="7" t="n"/>
      <c r="V2745" s="7" t="n"/>
      <c r="Y2745">
        <f>IF($D2745="","",IF($AN2745=1,0,IF($AM2745=1,Settings!$C$6,Settings!$C$7))*100)</f>
        <v/>
      </c>
      <c r="Z2745" s="7">
        <f>IF($D2745="","",V2745*Y2745/100)</f>
        <v/>
      </c>
      <c r="AA2745" s="7">
        <f>IF($D2745="","",V2745-Z2745)</f>
        <v/>
      </c>
      <c r="AB2745" s="7">
        <f>IF($D2745="","",AA2745-N2745)</f>
        <v/>
      </c>
      <c r="AF2745" s="7" t="n"/>
      <c r="AI2745" s="11" t="n"/>
      <c r="AK2745">
        <f>IF($D2745="","",IF(COUNTIF($D$2:$D2745,$D2745)=1,1,0))</f>
        <v/>
      </c>
      <c r="AL2745">
        <f>IF($AK2745=1,SUMPRODUCT(--($AO$2:$AO$3001&lt;$AO2745))+1,"")</f>
        <v/>
      </c>
      <c r="AM2745">
        <f>IF($D2745="","",IF(OR($R2745=TRUE(),$R2745="TRUE"),1,0))</f>
        <v/>
      </c>
      <c r="AN2745">
        <f>IF($D2745="","",IF($X2745="Yes",1,0))</f>
        <v/>
      </c>
      <c r="AO2745">
        <f>IF($AK2745=1,IFERROR(IF(VALUE($D2745)&lt;100000000,VALUE($D2745),1000000000),IFERROR(IF(VALUE(MID($D2745,2,20))&lt;100000000,VALUE(MID($D2745,2,20)),1000000000),1000000000))+ROW()/100000,"")</f>
        <v/>
      </c>
    </row>
    <row r="2746">
      <c r="F2746" s="11" t="n"/>
      <c r="N2746" s="7">
        <f>IF($D2746="","",M2746*V2746/100)</f>
        <v/>
      </c>
      <c r="O2746" s="7" t="n"/>
      <c r="U2746" s="7" t="n"/>
      <c r="V2746" s="7" t="n"/>
      <c r="Y2746">
        <f>IF($D2746="","",IF($AN2746=1,0,IF($AM2746=1,Settings!$C$6,Settings!$C$7))*100)</f>
        <v/>
      </c>
      <c r="Z2746" s="7">
        <f>IF($D2746="","",V2746*Y2746/100)</f>
        <v/>
      </c>
      <c r="AA2746" s="7">
        <f>IF($D2746="","",V2746-Z2746)</f>
        <v/>
      </c>
      <c r="AB2746" s="7">
        <f>IF($D2746="","",AA2746-N2746)</f>
        <v/>
      </c>
      <c r="AF2746" s="7" t="n"/>
      <c r="AI2746" s="11" t="n"/>
      <c r="AK2746">
        <f>IF($D2746="","",IF(COUNTIF($D$2:$D2746,$D2746)=1,1,0))</f>
        <v/>
      </c>
      <c r="AL2746">
        <f>IF($AK2746=1,SUMPRODUCT(--($AO$2:$AO$3001&lt;$AO2746))+1,"")</f>
        <v/>
      </c>
      <c r="AM2746">
        <f>IF($D2746="","",IF(OR($R2746=TRUE(),$R2746="TRUE"),1,0))</f>
        <v/>
      </c>
      <c r="AN2746">
        <f>IF($D2746="","",IF($X2746="Yes",1,0))</f>
        <v/>
      </c>
      <c r="AO2746">
        <f>IF($AK2746=1,IFERROR(IF(VALUE($D2746)&lt;100000000,VALUE($D2746),1000000000),IFERROR(IF(VALUE(MID($D2746,2,20))&lt;100000000,VALUE(MID($D2746,2,20)),1000000000),1000000000))+ROW()/100000,"")</f>
        <v/>
      </c>
    </row>
    <row r="2747">
      <c r="F2747" s="11" t="n"/>
      <c r="N2747" s="7">
        <f>IF($D2747="","",M2747*V2747/100)</f>
        <v/>
      </c>
      <c r="O2747" s="7" t="n"/>
      <c r="U2747" s="7" t="n"/>
      <c r="V2747" s="7" t="n"/>
      <c r="Y2747">
        <f>IF($D2747="","",IF($AN2747=1,0,IF($AM2747=1,Settings!$C$6,Settings!$C$7))*100)</f>
        <v/>
      </c>
      <c r="Z2747" s="7">
        <f>IF($D2747="","",V2747*Y2747/100)</f>
        <v/>
      </c>
      <c r="AA2747" s="7">
        <f>IF($D2747="","",V2747-Z2747)</f>
        <v/>
      </c>
      <c r="AB2747" s="7">
        <f>IF($D2747="","",AA2747-N2747)</f>
        <v/>
      </c>
      <c r="AF2747" s="7" t="n"/>
      <c r="AI2747" s="11" t="n"/>
      <c r="AK2747">
        <f>IF($D2747="","",IF(COUNTIF($D$2:$D2747,$D2747)=1,1,0))</f>
        <v/>
      </c>
      <c r="AL2747">
        <f>IF($AK2747=1,SUMPRODUCT(--($AO$2:$AO$3001&lt;$AO2747))+1,"")</f>
        <v/>
      </c>
      <c r="AM2747">
        <f>IF($D2747="","",IF(OR($R2747=TRUE(),$R2747="TRUE"),1,0))</f>
        <v/>
      </c>
      <c r="AN2747">
        <f>IF($D2747="","",IF($X2747="Yes",1,0))</f>
        <v/>
      </c>
      <c r="AO2747">
        <f>IF($AK2747=1,IFERROR(IF(VALUE($D2747)&lt;100000000,VALUE($D2747),1000000000),IFERROR(IF(VALUE(MID($D2747,2,20))&lt;100000000,VALUE(MID($D2747,2,20)),1000000000),1000000000))+ROW()/100000,"")</f>
        <v/>
      </c>
    </row>
    <row r="2748">
      <c r="F2748" s="11" t="n"/>
      <c r="N2748" s="7">
        <f>IF($D2748="","",M2748*V2748/100)</f>
        <v/>
      </c>
      <c r="O2748" s="7" t="n"/>
      <c r="U2748" s="7" t="n"/>
      <c r="V2748" s="7" t="n"/>
      <c r="Y2748">
        <f>IF($D2748="","",IF($AN2748=1,0,IF($AM2748=1,Settings!$C$6,Settings!$C$7))*100)</f>
        <v/>
      </c>
      <c r="Z2748" s="7">
        <f>IF($D2748="","",V2748*Y2748/100)</f>
        <v/>
      </c>
      <c r="AA2748" s="7">
        <f>IF($D2748="","",V2748-Z2748)</f>
        <v/>
      </c>
      <c r="AB2748" s="7">
        <f>IF($D2748="","",AA2748-N2748)</f>
        <v/>
      </c>
      <c r="AF2748" s="7" t="n"/>
      <c r="AI2748" s="11" t="n"/>
      <c r="AK2748">
        <f>IF($D2748="","",IF(COUNTIF($D$2:$D2748,$D2748)=1,1,0))</f>
        <v/>
      </c>
      <c r="AL2748">
        <f>IF($AK2748=1,SUMPRODUCT(--($AO$2:$AO$3001&lt;$AO2748))+1,"")</f>
        <v/>
      </c>
      <c r="AM2748">
        <f>IF($D2748="","",IF(OR($R2748=TRUE(),$R2748="TRUE"),1,0))</f>
        <v/>
      </c>
      <c r="AN2748">
        <f>IF($D2748="","",IF($X2748="Yes",1,0))</f>
        <v/>
      </c>
      <c r="AO2748">
        <f>IF($AK2748=1,IFERROR(IF(VALUE($D2748)&lt;100000000,VALUE($D2748),1000000000),IFERROR(IF(VALUE(MID($D2748,2,20))&lt;100000000,VALUE(MID($D2748,2,20)),1000000000),1000000000))+ROW()/100000,"")</f>
        <v/>
      </c>
    </row>
    <row r="2749">
      <c r="F2749" s="11" t="n"/>
      <c r="N2749" s="7">
        <f>IF($D2749="","",M2749*V2749/100)</f>
        <v/>
      </c>
      <c r="O2749" s="7" t="n"/>
      <c r="U2749" s="7" t="n"/>
      <c r="V2749" s="7" t="n"/>
      <c r="Y2749">
        <f>IF($D2749="","",IF($AN2749=1,0,IF($AM2749=1,Settings!$C$6,Settings!$C$7))*100)</f>
        <v/>
      </c>
      <c r="Z2749" s="7">
        <f>IF($D2749="","",V2749*Y2749/100)</f>
        <v/>
      </c>
      <c r="AA2749" s="7">
        <f>IF($D2749="","",V2749-Z2749)</f>
        <v/>
      </c>
      <c r="AB2749" s="7">
        <f>IF($D2749="","",AA2749-N2749)</f>
        <v/>
      </c>
      <c r="AF2749" s="7" t="n"/>
      <c r="AI2749" s="11" t="n"/>
      <c r="AK2749">
        <f>IF($D2749="","",IF(COUNTIF($D$2:$D2749,$D2749)=1,1,0))</f>
        <v/>
      </c>
      <c r="AL2749">
        <f>IF($AK2749=1,SUMPRODUCT(--($AO$2:$AO$3001&lt;$AO2749))+1,"")</f>
        <v/>
      </c>
      <c r="AM2749">
        <f>IF($D2749="","",IF(OR($R2749=TRUE(),$R2749="TRUE"),1,0))</f>
        <v/>
      </c>
      <c r="AN2749">
        <f>IF($D2749="","",IF($X2749="Yes",1,0))</f>
        <v/>
      </c>
      <c r="AO2749">
        <f>IF($AK2749=1,IFERROR(IF(VALUE($D2749)&lt;100000000,VALUE($D2749),1000000000),IFERROR(IF(VALUE(MID($D2749,2,20))&lt;100000000,VALUE(MID($D2749,2,20)),1000000000),1000000000))+ROW()/100000,"")</f>
        <v/>
      </c>
    </row>
    <row r="2750">
      <c r="F2750" s="11" t="n"/>
      <c r="N2750" s="7">
        <f>IF($D2750="","",M2750*V2750/100)</f>
        <v/>
      </c>
      <c r="O2750" s="7" t="n"/>
      <c r="U2750" s="7" t="n"/>
      <c r="V2750" s="7" t="n"/>
      <c r="Y2750">
        <f>IF($D2750="","",IF($AN2750=1,0,IF($AM2750=1,Settings!$C$6,Settings!$C$7))*100)</f>
        <v/>
      </c>
      <c r="Z2750" s="7">
        <f>IF($D2750="","",V2750*Y2750/100)</f>
        <v/>
      </c>
      <c r="AA2750" s="7">
        <f>IF($D2750="","",V2750-Z2750)</f>
        <v/>
      </c>
      <c r="AB2750" s="7">
        <f>IF($D2750="","",AA2750-N2750)</f>
        <v/>
      </c>
      <c r="AF2750" s="7" t="n"/>
      <c r="AI2750" s="11" t="n"/>
      <c r="AK2750">
        <f>IF($D2750="","",IF(COUNTIF($D$2:$D2750,$D2750)=1,1,0))</f>
        <v/>
      </c>
      <c r="AL2750">
        <f>IF($AK2750=1,SUMPRODUCT(--($AO$2:$AO$3001&lt;$AO2750))+1,"")</f>
        <v/>
      </c>
      <c r="AM2750">
        <f>IF($D2750="","",IF(OR($R2750=TRUE(),$R2750="TRUE"),1,0))</f>
        <v/>
      </c>
      <c r="AN2750">
        <f>IF($D2750="","",IF($X2750="Yes",1,0))</f>
        <v/>
      </c>
      <c r="AO2750">
        <f>IF($AK2750=1,IFERROR(IF(VALUE($D2750)&lt;100000000,VALUE($D2750),1000000000),IFERROR(IF(VALUE(MID($D2750,2,20))&lt;100000000,VALUE(MID($D2750,2,20)),1000000000),1000000000))+ROW()/100000,"")</f>
        <v/>
      </c>
    </row>
    <row r="2751">
      <c r="F2751" s="11" t="n"/>
      <c r="N2751" s="7">
        <f>IF($D2751="","",M2751*V2751/100)</f>
        <v/>
      </c>
      <c r="O2751" s="7" t="n"/>
      <c r="U2751" s="7" t="n"/>
      <c r="V2751" s="7" t="n"/>
      <c r="Y2751">
        <f>IF($D2751="","",IF($AN2751=1,0,IF($AM2751=1,Settings!$C$6,Settings!$C$7))*100)</f>
        <v/>
      </c>
      <c r="Z2751" s="7">
        <f>IF($D2751="","",V2751*Y2751/100)</f>
        <v/>
      </c>
      <c r="AA2751" s="7">
        <f>IF($D2751="","",V2751-Z2751)</f>
        <v/>
      </c>
      <c r="AB2751" s="7">
        <f>IF($D2751="","",AA2751-N2751)</f>
        <v/>
      </c>
      <c r="AF2751" s="7" t="n"/>
      <c r="AI2751" s="11" t="n"/>
      <c r="AK2751">
        <f>IF($D2751="","",IF(COUNTIF($D$2:$D2751,$D2751)=1,1,0))</f>
        <v/>
      </c>
      <c r="AL2751">
        <f>IF($AK2751=1,SUMPRODUCT(--($AO$2:$AO$3001&lt;$AO2751))+1,"")</f>
        <v/>
      </c>
      <c r="AM2751">
        <f>IF($D2751="","",IF(OR($R2751=TRUE(),$R2751="TRUE"),1,0))</f>
        <v/>
      </c>
      <c r="AN2751">
        <f>IF($D2751="","",IF($X2751="Yes",1,0))</f>
        <v/>
      </c>
      <c r="AO2751">
        <f>IF($AK2751=1,IFERROR(IF(VALUE($D2751)&lt;100000000,VALUE($D2751),1000000000),IFERROR(IF(VALUE(MID($D2751,2,20))&lt;100000000,VALUE(MID($D2751,2,20)),1000000000),1000000000))+ROW()/100000,"")</f>
        <v/>
      </c>
    </row>
    <row r="2752">
      <c r="F2752" s="11" t="n"/>
      <c r="N2752" s="7">
        <f>IF($D2752="","",M2752*V2752/100)</f>
        <v/>
      </c>
      <c r="O2752" s="7" t="n"/>
      <c r="U2752" s="7" t="n"/>
      <c r="V2752" s="7" t="n"/>
      <c r="Y2752">
        <f>IF($D2752="","",IF($AN2752=1,0,IF($AM2752=1,Settings!$C$6,Settings!$C$7))*100)</f>
        <v/>
      </c>
      <c r="Z2752" s="7">
        <f>IF($D2752="","",V2752*Y2752/100)</f>
        <v/>
      </c>
      <c r="AA2752" s="7">
        <f>IF($D2752="","",V2752-Z2752)</f>
        <v/>
      </c>
      <c r="AB2752" s="7">
        <f>IF($D2752="","",AA2752-N2752)</f>
        <v/>
      </c>
      <c r="AF2752" s="7" t="n"/>
      <c r="AI2752" s="11" t="n"/>
      <c r="AK2752">
        <f>IF($D2752="","",IF(COUNTIF($D$2:$D2752,$D2752)=1,1,0))</f>
        <v/>
      </c>
      <c r="AL2752">
        <f>IF($AK2752=1,SUMPRODUCT(--($AO$2:$AO$3001&lt;$AO2752))+1,"")</f>
        <v/>
      </c>
      <c r="AM2752">
        <f>IF($D2752="","",IF(OR($R2752=TRUE(),$R2752="TRUE"),1,0))</f>
        <v/>
      </c>
      <c r="AN2752">
        <f>IF($D2752="","",IF($X2752="Yes",1,0))</f>
        <v/>
      </c>
      <c r="AO2752">
        <f>IF($AK2752=1,IFERROR(IF(VALUE($D2752)&lt;100000000,VALUE($D2752),1000000000),IFERROR(IF(VALUE(MID($D2752,2,20))&lt;100000000,VALUE(MID($D2752,2,20)),1000000000),1000000000))+ROW()/100000,"")</f>
        <v/>
      </c>
    </row>
    <row r="2753">
      <c r="F2753" s="11" t="n"/>
      <c r="N2753" s="7">
        <f>IF($D2753="","",M2753*V2753/100)</f>
        <v/>
      </c>
      <c r="O2753" s="7" t="n"/>
      <c r="U2753" s="7" t="n"/>
      <c r="V2753" s="7" t="n"/>
      <c r="Y2753">
        <f>IF($D2753="","",IF($AN2753=1,0,IF($AM2753=1,Settings!$C$6,Settings!$C$7))*100)</f>
        <v/>
      </c>
      <c r="Z2753" s="7">
        <f>IF($D2753="","",V2753*Y2753/100)</f>
        <v/>
      </c>
      <c r="AA2753" s="7">
        <f>IF($D2753="","",V2753-Z2753)</f>
        <v/>
      </c>
      <c r="AB2753" s="7">
        <f>IF($D2753="","",AA2753-N2753)</f>
        <v/>
      </c>
      <c r="AF2753" s="7" t="n"/>
      <c r="AI2753" s="11" t="n"/>
      <c r="AK2753">
        <f>IF($D2753="","",IF(COUNTIF($D$2:$D2753,$D2753)=1,1,0))</f>
        <v/>
      </c>
      <c r="AL2753">
        <f>IF($AK2753=1,SUMPRODUCT(--($AO$2:$AO$3001&lt;$AO2753))+1,"")</f>
        <v/>
      </c>
      <c r="AM2753">
        <f>IF($D2753="","",IF(OR($R2753=TRUE(),$R2753="TRUE"),1,0))</f>
        <v/>
      </c>
      <c r="AN2753">
        <f>IF($D2753="","",IF($X2753="Yes",1,0))</f>
        <v/>
      </c>
      <c r="AO2753">
        <f>IF($AK2753=1,IFERROR(IF(VALUE($D2753)&lt;100000000,VALUE($D2753),1000000000),IFERROR(IF(VALUE(MID($D2753,2,20))&lt;100000000,VALUE(MID($D2753,2,20)),1000000000),1000000000))+ROW()/100000,"")</f>
        <v/>
      </c>
    </row>
    <row r="2754">
      <c r="F2754" s="11" t="n"/>
      <c r="N2754" s="7">
        <f>IF($D2754="","",M2754*V2754/100)</f>
        <v/>
      </c>
      <c r="O2754" s="7" t="n"/>
      <c r="U2754" s="7" t="n"/>
      <c r="V2754" s="7" t="n"/>
      <c r="Y2754">
        <f>IF($D2754="","",IF($AN2754=1,0,IF($AM2754=1,Settings!$C$6,Settings!$C$7))*100)</f>
        <v/>
      </c>
      <c r="Z2754" s="7">
        <f>IF($D2754="","",V2754*Y2754/100)</f>
        <v/>
      </c>
      <c r="AA2754" s="7">
        <f>IF($D2754="","",V2754-Z2754)</f>
        <v/>
      </c>
      <c r="AB2754" s="7">
        <f>IF($D2754="","",AA2754-N2754)</f>
        <v/>
      </c>
      <c r="AF2754" s="7" t="n"/>
      <c r="AI2754" s="11" t="n"/>
      <c r="AK2754">
        <f>IF($D2754="","",IF(COUNTIF($D$2:$D2754,$D2754)=1,1,0))</f>
        <v/>
      </c>
      <c r="AL2754">
        <f>IF($AK2754=1,SUMPRODUCT(--($AO$2:$AO$3001&lt;$AO2754))+1,"")</f>
        <v/>
      </c>
      <c r="AM2754">
        <f>IF($D2754="","",IF(OR($R2754=TRUE(),$R2754="TRUE"),1,0))</f>
        <v/>
      </c>
      <c r="AN2754">
        <f>IF($D2754="","",IF($X2754="Yes",1,0))</f>
        <v/>
      </c>
      <c r="AO2754">
        <f>IF($AK2754=1,IFERROR(IF(VALUE($D2754)&lt;100000000,VALUE($D2754),1000000000),IFERROR(IF(VALUE(MID($D2754,2,20))&lt;100000000,VALUE(MID($D2754,2,20)),1000000000),1000000000))+ROW()/100000,"")</f>
        <v/>
      </c>
    </row>
    <row r="2755">
      <c r="F2755" s="11" t="n"/>
      <c r="N2755" s="7">
        <f>IF($D2755="","",M2755*V2755/100)</f>
        <v/>
      </c>
      <c r="O2755" s="7" t="n"/>
      <c r="U2755" s="7" t="n"/>
      <c r="V2755" s="7" t="n"/>
      <c r="Y2755">
        <f>IF($D2755="","",IF($AN2755=1,0,IF($AM2755=1,Settings!$C$6,Settings!$C$7))*100)</f>
        <v/>
      </c>
      <c r="Z2755" s="7">
        <f>IF($D2755="","",V2755*Y2755/100)</f>
        <v/>
      </c>
      <c r="AA2755" s="7">
        <f>IF($D2755="","",V2755-Z2755)</f>
        <v/>
      </c>
      <c r="AB2755" s="7">
        <f>IF($D2755="","",AA2755-N2755)</f>
        <v/>
      </c>
      <c r="AF2755" s="7" t="n"/>
      <c r="AI2755" s="11" t="n"/>
      <c r="AK2755">
        <f>IF($D2755="","",IF(COUNTIF($D$2:$D2755,$D2755)=1,1,0))</f>
        <v/>
      </c>
      <c r="AL2755">
        <f>IF($AK2755=1,SUMPRODUCT(--($AO$2:$AO$3001&lt;$AO2755))+1,"")</f>
        <v/>
      </c>
      <c r="AM2755">
        <f>IF($D2755="","",IF(OR($R2755=TRUE(),$R2755="TRUE"),1,0))</f>
        <v/>
      </c>
      <c r="AN2755">
        <f>IF($D2755="","",IF($X2755="Yes",1,0))</f>
        <v/>
      </c>
      <c r="AO2755">
        <f>IF($AK2755=1,IFERROR(IF(VALUE($D2755)&lt;100000000,VALUE($D2755),1000000000),IFERROR(IF(VALUE(MID($D2755,2,20))&lt;100000000,VALUE(MID($D2755,2,20)),1000000000),1000000000))+ROW()/100000,"")</f>
        <v/>
      </c>
    </row>
    <row r="2756">
      <c r="F2756" s="11" t="n"/>
      <c r="N2756" s="7">
        <f>IF($D2756="","",M2756*V2756/100)</f>
        <v/>
      </c>
      <c r="O2756" s="7" t="n"/>
      <c r="U2756" s="7" t="n"/>
      <c r="V2756" s="7" t="n"/>
      <c r="Y2756">
        <f>IF($D2756="","",IF($AN2756=1,0,IF($AM2756=1,Settings!$C$6,Settings!$C$7))*100)</f>
        <v/>
      </c>
      <c r="Z2756" s="7">
        <f>IF($D2756="","",V2756*Y2756/100)</f>
        <v/>
      </c>
      <c r="AA2756" s="7">
        <f>IF($D2756="","",V2756-Z2756)</f>
        <v/>
      </c>
      <c r="AB2756" s="7">
        <f>IF($D2756="","",AA2756-N2756)</f>
        <v/>
      </c>
      <c r="AF2756" s="7" t="n"/>
      <c r="AI2756" s="11" t="n"/>
      <c r="AK2756">
        <f>IF($D2756="","",IF(COUNTIF($D$2:$D2756,$D2756)=1,1,0))</f>
        <v/>
      </c>
      <c r="AL2756">
        <f>IF($AK2756=1,SUMPRODUCT(--($AO$2:$AO$3001&lt;$AO2756))+1,"")</f>
        <v/>
      </c>
      <c r="AM2756">
        <f>IF($D2756="","",IF(OR($R2756=TRUE(),$R2756="TRUE"),1,0))</f>
        <v/>
      </c>
      <c r="AN2756">
        <f>IF($D2756="","",IF($X2756="Yes",1,0))</f>
        <v/>
      </c>
      <c r="AO2756">
        <f>IF($AK2756=1,IFERROR(IF(VALUE($D2756)&lt;100000000,VALUE($D2756),1000000000),IFERROR(IF(VALUE(MID($D2756,2,20))&lt;100000000,VALUE(MID($D2756,2,20)),1000000000),1000000000))+ROW()/100000,"")</f>
        <v/>
      </c>
    </row>
    <row r="2757">
      <c r="F2757" s="11" t="n"/>
      <c r="N2757" s="7">
        <f>IF($D2757="","",M2757*V2757/100)</f>
        <v/>
      </c>
      <c r="O2757" s="7" t="n"/>
      <c r="U2757" s="7" t="n"/>
      <c r="V2757" s="7" t="n"/>
      <c r="Y2757">
        <f>IF($D2757="","",IF($AN2757=1,0,IF($AM2757=1,Settings!$C$6,Settings!$C$7))*100)</f>
        <v/>
      </c>
      <c r="Z2757" s="7">
        <f>IF($D2757="","",V2757*Y2757/100)</f>
        <v/>
      </c>
      <c r="AA2757" s="7">
        <f>IF($D2757="","",V2757-Z2757)</f>
        <v/>
      </c>
      <c r="AB2757" s="7">
        <f>IF($D2757="","",AA2757-N2757)</f>
        <v/>
      </c>
      <c r="AF2757" s="7" t="n"/>
      <c r="AI2757" s="11" t="n"/>
      <c r="AK2757">
        <f>IF($D2757="","",IF(COUNTIF($D$2:$D2757,$D2757)=1,1,0))</f>
        <v/>
      </c>
      <c r="AL2757">
        <f>IF($AK2757=1,SUMPRODUCT(--($AO$2:$AO$3001&lt;$AO2757))+1,"")</f>
        <v/>
      </c>
      <c r="AM2757">
        <f>IF($D2757="","",IF(OR($R2757=TRUE(),$R2757="TRUE"),1,0))</f>
        <v/>
      </c>
      <c r="AN2757">
        <f>IF($D2757="","",IF($X2757="Yes",1,0))</f>
        <v/>
      </c>
      <c r="AO2757">
        <f>IF($AK2757=1,IFERROR(IF(VALUE($D2757)&lt;100000000,VALUE($D2757),1000000000),IFERROR(IF(VALUE(MID($D2757,2,20))&lt;100000000,VALUE(MID($D2757,2,20)),1000000000),1000000000))+ROW()/100000,"")</f>
        <v/>
      </c>
    </row>
    <row r="2758">
      <c r="F2758" s="11" t="n"/>
      <c r="N2758" s="7">
        <f>IF($D2758="","",M2758*V2758/100)</f>
        <v/>
      </c>
      <c r="O2758" s="7" t="n"/>
      <c r="U2758" s="7" t="n"/>
      <c r="V2758" s="7" t="n"/>
      <c r="Y2758">
        <f>IF($D2758="","",IF($AN2758=1,0,IF($AM2758=1,Settings!$C$6,Settings!$C$7))*100)</f>
        <v/>
      </c>
      <c r="Z2758" s="7">
        <f>IF($D2758="","",V2758*Y2758/100)</f>
        <v/>
      </c>
      <c r="AA2758" s="7">
        <f>IF($D2758="","",V2758-Z2758)</f>
        <v/>
      </c>
      <c r="AB2758" s="7">
        <f>IF($D2758="","",AA2758-N2758)</f>
        <v/>
      </c>
      <c r="AF2758" s="7" t="n"/>
      <c r="AI2758" s="11" t="n"/>
      <c r="AK2758">
        <f>IF($D2758="","",IF(COUNTIF($D$2:$D2758,$D2758)=1,1,0))</f>
        <v/>
      </c>
      <c r="AL2758">
        <f>IF($AK2758=1,SUMPRODUCT(--($AO$2:$AO$3001&lt;$AO2758))+1,"")</f>
        <v/>
      </c>
      <c r="AM2758">
        <f>IF($D2758="","",IF(OR($R2758=TRUE(),$R2758="TRUE"),1,0))</f>
        <v/>
      </c>
      <c r="AN2758">
        <f>IF($D2758="","",IF($X2758="Yes",1,0))</f>
        <v/>
      </c>
      <c r="AO2758">
        <f>IF($AK2758=1,IFERROR(IF(VALUE($D2758)&lt;100000000,VALUE($D2758),1000000000),IFERROR(IF(VALUE(MID($D2758,2,20))&lt;100000000,VALUE(MID($D2758,2,20)),1000000000),1000000000))+ROW()/100000,"")</f>
        <v/>
      </c>
    </row>
    <row r="2759">
      <c r="F2759" s="11" t="n"/>
      <c r="N2759" s="7">
        <f>IF($D2759="","",M2759*V2759/100)</f>
        <v/>
      </c>
      <c r="O2759" s="7" t="n"/>
      <c r="U2759" s="7" t="n"/>
      <c r="V2759" s="7" t="n"/>
      <c r="Y2759">
        <f>IF($D2759="","",IF($AN2759=1,0,IF($AM2759=1,Settings!$C$6,Settings!$C$7))*100)</f>
        <v/>
      </c>
      <c r="Z2759" s="7">
        <f>IF($D2759="","",V2759*Y2759/100)</f>
        <v/>
      </c>
      <c r="AA2759" s="7">
        <f>IF($D2759="","",V2759-Z2759)</f>
        <v/>
      </c>
      <c r="AB2759" s="7">
        <f>IF($D2759="","",AA2759-N2759)</f>
        <v/>
      </c>
      <c r="AF2759" s="7" t="n"/>
      <c r="AI2759" s="11" t="n"/>
      <c r="AK2759">
        <f>IF($D2759="","",IF(COUNTIF($D$2:$D2759,$D2759)=1,1,0))</f>
        <v/>
      </c>
      <c r="AL2759">
        <f>IF($AK2759=1,SUMPRODUCT(--($AO$2:$AO$3001&lt;$AO2759))+1,"")</f>
        <v/>
      </c>
      <c r="AM2759">
        <f>IF($D2759="","",IF(OR($R2759=TRUE(),$R2759="TRUE"),1,0))</f>
        <v/>
      </c>
      <c r="AN2759">
        <f>IF($D2759="","",IF($X2759="Yes",1,0))</f>
        <v/>
      </c>
      <c r="AO2759">
        <f>IF($AK2759=1,IFERROR(IF(VALUE($D2759)&lt;100000000,VALUE($D2759),1000000000),IFERROR(IF(VALUE(MID($D2759,2,20))&lt;100000000,VALUE(MID($D2759,2,20)),1000000000),1000000000))+ROW()/100000,"")</f>
        <v/>
      </c>
    </row>
    <row r="2760">
      <c r="F2760" s="11" t="n"/>
      <c r="N2760" s="7">
        <f>IF($D2760="","",M2760*V2760/100)</f>
        <v/>
      </c>
      <c r="O2760" s="7" t="n"/>
      <c r="U2760" s="7" t="n"/>
      <c r="V2760" s="7" t="n"/>
      <c r="Y2760">
        <f>IF($D2760="","",IF($AN2760=1,0,IF($AM2760=1,Settings!$C$6,Settings!$C$7))*100)</f>
        <v/>
      </c>
      <c r="Z2760" s="7">
        <f>IF($D2760="","",V2760*Y2760/100)</f>
        <v/>
      </c>
      <c r="AA2760" s="7">
        <f>IF($D2760="","",V2760-Z2760)</f>
        <v/>
      </c>
      <c r="AB2760" s="7">
        <f>IF($D2760="","",AA2760-N2760)</f>
        <v/>
      </c>
      <c r="AF2760" s="7" t="n"/>
      <c r="AI2760" s="11" t="n"/>
      <c r="AK2760">
        <f>IF($D2760="","",IF(COUNTIF($D$2:$D2760,$D2760)=1,1,0))</f>
        <v/>
      </c>
      <c r="AL2760">
        <f>IF($AK2760=1,SUMPRODUCT(--($AO$2:$AO$3001&lt;$AO2760))+1,"")</f>
        <v/>
      </c>
      <c r="AM2760">
        <f>IF($D2760="","",IF(OR($R2760=TRUE(),$R2760="TRUE"),1,0))</f>
        <v/>
      </c>
      <c r="AN2760">
        <f>IF($D2760="","",IF($X2760="Yes",1,0))</f>
        <v/>
      </c>
      <c r="AO2760">
        <f>IF($AK2760=1,IFERROR(IF(VALUE($D2760)&lt;100000000,VALUE($D2760),1000000000),IFERROR(IF(VALUE(MID($D2760,2,20))&lt;100000000,VALUE(MID($D2760,2,20)),1000000000),1000000000))+ROW()/100000,"")</f>
        <v/>
      </c>
    </row>
    <row r="2761">
      <c r="F2761" s="11" t="n"/>
      <c r="N2761" s="7">
        <f>IF($D2761="","",M2761*V2761/100)</f>
        <v/>
      </c>
      <c r="O2761" s="7" t="n"/>
      <c r="U2761" s="7" t="n"/>
      <c r="V2761" s="7" t="n"/>
      <c r="Y2761">
        <f>IF($D2761="","",IF($AN2761=1,0,IF($AM2761=1,Settings!$C$6,Settings!$C$7))*100)</f>
        <v/>
      </c>
      <c r="Z2761" s="7">
        <f>IF($D2761="","",V2761*Y2761/100)</f>
        <v/>
      </c>
      <c r="AA2761" s="7">
        <f>IF($D2761="","",V2761-Z2761)</f>
        <v/>
      </c>
      <c r="AB2761" s="7">
        <f>IF($D2761="","",AA2761-N2761)</f>
        <v/>
      </c>
      <c r="AF2761" s="7" t="n"/>
      <c r="AI2761" s="11" t="n"/>
      <c r="AK2761">
        <f>IF($D2761="","",IF(COUNTIF($D$2:$D2761,$D2761)=1,1,0))</f>
        <v/>
      </c>
      <c r="AL2761">
        <f>IF($AK2761=1,SUMPRODUCT(--($AO$2:$AO$3001&lt;$AO2761))+1,"")</f>
        <v/>
      </c>
      <c r="AM2761">
        <f>IF($D2761="","",IF(OR($R2761=TRUE(),$R2761="TRUE"),1,0))</f>
        <v/>
      </c>
      <c r="AN2761">
        <f>IF($D2761="","",IF($X2761="Yes",1,0))</f>
        <v/>
      </c>
      <c r="AO2761">
        <f>IF($AK2761=1,IFERROR(IF(VALUE($D2761)&lt;100000000,VALUE($D2761),1000000000),IFERROR(IF(VALUE(MID($D2761,2,20))&lt;100000000,VALUE(MID($D2761,2,20)),1000000000),1000000000))+ROW()/100000,"")</f>
        <v/>
      </c>
    </row>
    <row r="2762">
      <c r="F2762" s="11" t="n"/>
      <c r="N2762" s="7">
        <f>IF($D2762="","",M2762*V2762/100)</f>
        <v/>
      </c>
      <c r="O2762" s="7" t="n"/>
      <c r="U2762" s="7" t="n"/>
      <c r="V2762" s="7" t="n"/>
      <c r="Y2762">
        <f>IF($D2762="","",IF($AN2762=1,0,IF($AM2762=1,Settings!$C$6,Settings!$C$7))*100)</f>
        <v/>
      </c>
      <c r="Z2762" s="7">
        <f>IF($D2762="","",V2762*Y2762/100)</f>
        <v/>
      </c>
      <c r="AA2762" s="7">
        <f>IF($D2762="","",V2762-Z2762)</f>
        <v/>
      </c>
      <c r="AB2762" s="7">
        <f>IF($D2762="","",AA2762-N2762)</f>
        <v/>
      </c>
      <c r="AF2762" s="7" t="n"/>
      <c r="AI2762" s="11" t="n"/>
      <c r="AK2762">
        <f>IF($D2762="","",IF(COUNTIF($D$2:$D2762,$D2762)=1,1,0))</f>
        <v/>
      </c>
      <c r="AL2762">
        <f>IF($AK2762=1,SUMPRODUCT(--($AO$2:$AO$3001&lt;$AO2762))+1,"")</f>
        <v/>
      </c>
      <c r="AM2762">
        <f>IF($D2762="","",IF(OR($R2762=TRUE(),$R2762="TRUE"),1,0))</f>
        <v/>
      </c>
      <c r="AN2762">
        <f>IF($D2762="","",IF($X2762="Yes",1,0))</f>
        <v/>
      </c>
      <c r="AO2762">
        <f>IF($AK2762=1,IFERROR(IF(VALUE($D2762)&lt;100000000,VALUE($D2762),1000000000),IFERROR(IF(VALUE(MID($D2762,2,20))&lt;100000000,VALUE(MID($D2762,2,20)),1000000000),1000000000))+ROW()/100000,"")</f>
        <v/>
      </c>
    </row>
    <row r="2763">
      <c r="F2763" s="11" t="n"/>
      <c r="N2763" s="7">
        <f>IF($D2763="","",M2763*V2763/100)</f>
        <v/>
      </c>
      <c r="O2763" s="7" t="n"/>
      <c r="U2763" s="7" t="n"/>
      <c r="V2763" s="7" t="n"/>
      <c r="Y2763">
        <f>IF($D2763="","",IF($AN2763=1,0,IF($AM2763=1,Settings!$C$6,Settings!$C$7))*100)</f>
        <v/>
      </c>
      <c r="Z2763" s="7">
        <f>IF($D2763="","",V2763*Y2763/100)</f>
        <v/>
      </c>
      <c r="AA2763" s="7">
        <f>IF($D2763="","",V2763-Z2763)</f>
        <v/>
      </c>
      <c r="AB2763" s="7">
        <f>IF($D2763="","",AA2763-N2763)</f>
        <v/>
      </c>
      <c r="AF2763" s="7" t="n"/>
      <c r="AI2763" s="11" t="n"/>
      <c r="AK2763">
        <f>IF($D2763="","",IF(COUNTIF($D$2:$D2763,$D2763)=1,1,0))</f>
        <v/>
      </c>
      <c r="AL2763">
        <f>IF($AK2763=1,SUMPRODUCT(--($AO$2:$AO$3001&lt;$AO2763))+1,"")</f>
        <v/>
      </c>
      <c r="AM2763">
        <f>IF($D2763="","",IF(OR($R2763=TRUE(),$R2763="TRUE"),1,0))</f>
        <v/>
      </c>
      <c r="AN2763">
        <f>IF($D2763="","",IF($X2763="Yes",1,0))</f>
        <v/>
      </c>
      <c r="AO2763">
        <f>IF($AK2763=1,IFERROR(IF(VALUE($D2763)&lt;100000000,VALUE($D2763),1000000000),IFERROR(IF(VALUE(MID($D2763,2,20))&lt;100000000,VALUE(MID($D2763,2,20)),1000000000),1000000000))+ROW()/100000,"")</f>
        <v/>
      </c>
    </row>
    <row r="2764">
      <c r="F2764" s="11" t="n"/>
      <c r="N2764" s="7">
        <f>IF($D2764="","",M2764*V2764/100)</f>
        <v/>
      </c>
      <c r="O2764" s="7" t="n"/>
      <c r="U2764" s="7" t="n"/>
      <c r="V2764" s="7" t="n"/>
      <c r="Y2764">
        <f>IF($D2764="","",IF($AN2764=1,0,IF($AM2764=1,Settings!$C$6,Settings!$C$7))*100)</f>
        <v/>
      </c>
      <c r="Z2764" s="7">
        <f>IF($D2764="","",V2764*Y2764/100)</f>
        <v/>
      </c>
      <c r="AA2764" s="7">
        <f>IF($D2764="","",V2764-Z2764)</f>
        <v/>
      </c>
      <c r="AB2764" s="7">
        <f>IF($D2764="","",AA2764-N2764)</f>
        <v/>
      </c>
      <c r="AF2764" s="7" t="n"/>
      <c r="AI2764" s="11" t="n"/>
      <c r="AK2764">
        <f>IF($D2764="","",IF(COUNTIF($D$2:$D2764,$D2764)=1,1,0))</f>
        <v/>
      </c>
      <c r="AL2764">
        <f>IF($AK2764=1,SUMPRODUCT(--($AO$2:$AO$3001&lt;$AO2764))+1,"")</f>
        <v/>
      </c>
      <c r="AM2764">
        <f>IF($D2764="","",IF(OR($R2764=TRUE(),$R2764="TRUE"),1,0))</f>
        <v/>
      </c>
      <c r="AN2764">
        <f>IF($D2764="","",IF($X2764="Yes",1,0))</f>
        <v/>
      </c>
      <c r="AO2764">
        <f>IF($AK2764=1,IFERROR(IF(VALUE($D2764)&lt;100000000,VALUE($D2764),1000000000),IFERROR(IF(VALUE(MID($D2764,2,20))&lt;100000000,VALUE(MID($D2764,2,20)),1000000000),1000000000))+ROW()/100000,"")</f>
        <v/>
      </c>
    </row>
    <row r="2765">
      <c r="F2765" s="11" t="n"/>
      <c r="N2765" s="7">
        <f>IF($D2765="","",M2765*V2765/100)</f>
        <v/>
      </c>
      <c r="O2765" s="7" t="n"/>
      <c r="U2765" s="7" t="n"/>
      <c r="V2765" s="7" t="n"/>
      <c r="Y2765">
        <f>IF($D2765="","",IF($AN2765=1,0,IF($AM2765=1,Settings!$C$6,Settings!$C$7))*100)</f>
        <v/>
      </c>
      <c r="Z2765" s="7">
        <f>IF($D2765="","",V2765*Y2765/100)</f>
        <v/>
      </c>
      <c r="AA2765" s="7">
        <f>IF($D2765="","",V2765-Z2765)</f>
        <v/>
      </c>
      <c r="AB2765" s="7">
        <f>IF($D2765="","",AA2765-N2765)</f>
        <v/>
      </c>
      <c r="AF2765" s="7" t="n"/>
      <c r="AI2765" s="11" t="n"/>
      <c r="AK2765">
        <f>IF($D2765="","",IF(COUNTIF($D$2:$D2765,$D2765)=1,1,0))</f>
        <v/>
      </c>
      <c r="AL2765">
        <f>IF($AK2765=1,SUMPRODUCT(--($AO$2:$AO$3001&lt;$AO2765))+1,"")</f>
        <v/>
      </c>
      <c r="AM2765">
        <f>IF($D2765="","",IF(OR($R2765=TRUE(),$R2765="TRUE"),1,0))</f>
        <v/>
      </c>
      <c r="AN2765">
        <f>IF($D2765="","",IF($X2765="Yes",1,0))</f>
        <v/>
      </c>
      <c r="AO2765">
        <f>IF($AK2765=1,IFERROR(IF(VALUE($D2765)&lt;100000000,VALUE($D2765),1000000000),IFERROR(IF(VALUE(MID($D2765,2,20))&lt;100000000,VALUE(MID($D2765,2,20)),1000000000),1000000000))+ROW()/100000,"")</f>
        <v/>
      </c>
    </row>
    <row r="2766">
      <c r="F2766" s="11" t="n"/>
      <c r="N2766" s="7">
        <f>IF($D2766="","",M2766*V2766/100)</f>
        <v/>
      </c>
      <c r="O2766" s="7" t="n"/>
      <c r="U2766" s="7" t="n"/>
      <c r="V2766" s="7" t="n"/>
      <c r="Y2766">
        <f>IF($D2766="","",IF($AN2766=1,0,IF($AM2766=1,Settings!$C$6,Settings!$C$7))*100)</f>
        <v/>
      </c>
      <c r="Z2766" s="7">
        <f>IF($D2766="","",V2766*Y2766/100)</f>
        <v/>
      </c>
      <c r="AA2766" s="7">
        <f>IF($D2766="","",V2766-Z2766)</f>
        <v/>
      </c>
      <c r="AB2766" s="7">
        <f>IF($D2766="","",AA2766-N2766)</f>
        <v/>
      </c>
      <c r="AF2766" s="7" t="n"/>
      <c r="AI2766" s="11" t="n"/>
      <c r="AK2766">
        <f>IF($D2766="","",IF(COUNTIF($D$2:$D2766,$D2766)=1,1,0))</f>
        <v/>
      </c>
      <c r="AL2766">
        <f>IF($AK2766=1,SUMPRODUCT(--($AO$2:$AO$3001&lt;$AO2766))+1,"")</f>
        <v/>
      </c>
      <c r="AM2766">
        <f>IF($D2766="","",IF(OR($R2766=TRUE(),$R2766="TRUE"),1,0))</f>
        <v/>
      </c>
      <c r="AN2766">
        <f>IF($D2766="","",IF($X2766="Yes",1,0))</f>
        <v/>
      </c>
      <c r="AO2766">
        <f>IF($AK2766=1,IFERROR(IF(VALUE($D2766)&lt;100000000,VALUE($D2766),1000000000),IFERROR(IF(VALUE(MID($D2766,2,20))&lt;100000000,VALUE(MID($D2766,2,20)),1000000000),1000000000))+ROW()/100000,"")</f>
        <v/>
      </c>
    </row>
    <row r="2767">
      <c r="F2767" s="11" t="n"/>
      <c r="N2767" s="7">
        <f>IF($D2767="","",M2767*V2767/100)</f>
        <v/>
      </c>
      <c r="O2767" s="7" t="n"/>
      <c r="U2767" s="7" t="n"/>
      <c r="V2767" s="7" t="n"/>
      <c r="Y2767">
        <f>IF($D2767="","",IF($AN2767=1,0,IF($AM2767=1,Settings!$C$6,Settings!$C$7))*100)</f>
        <v/>
      </c>
      <c r="Z2767" s="7">
        <f>IF($D2767="","",V2767*Y2767/100)</f>
        <v/>
      </c>
      <c r="AA2767" s="7">
        <f>IF($D2767="","",V2767-Z2767)</f>
        <v/>
      </c>
      <c r="AB2767" s="7">
        <f>IF($D2767="","",AA2767-N2767)</f>
        <v/>
      </c>
      <c r="AF2767" s="7" t="n"/>
      <c r="AI2767" s="11" t="n"/>
      <c r="AK2767">
        <f>IF($D2767="","",IF(COUNTIF($D$2:$D2767,$D2767)=1,1,0))</f>
        <v/>
      </c>
      <c r="AL2767">
        <f>IF($AK2767=1,SUMPRODUCT(--($AO$2:$AO$3001&lt;$AO2767))+1,"")</f>
        <v/>
      </c>
      <c r="AM2767">
        <f>IF($D2767="","",IF(OR($R2767=TRUE(),$R2767="TRUE"),1,0))</f>
        <v/>
      </c>
      <c r="AN2767">
        <f>IF($D2767="","",IF($X2767="Yes",1,0))</f>
        <v/>
      </c>
      <c r="AO2767">
        <f>IF($AK2767=1,IFERROR(IF(VALUE($D2767)&lt;100000000,VALUE($D2767),1000000000),IFERROR(IF(VALUE(MID($D2767,2,20))&lt;100000000,VALUE(MID($D2767,2,20)),1000000000),1000000000))+ROW()/100000,"")</f>
        <v/>
      </c>
    </row>
    <row r="2768">
      <c r="F2768" s="11" t="n"/>
      <c r="N2768" s="7">
        <f>IF($D2768="","",M2768*V2768/100)</f>
        <v/>
      </c>
      <c r="O2768" s="7" t="n"/>
      <c r="U2768" s="7" t="n"/>
      <c r="V2768" s="7" t="n"/>
      <c r="Y2768">
        <f>IF($D2768="","",IF($AN2768=1,0,IF($AM2768=1,Settings!$C$6,Settings!$C$7))*100)</f>
        <v/>
      </c>
      <c r="Z2768" s="7">
        <f>IF($D2768="","",V2768*Y2768/100)</f>
        <v/>
      </c>
      <c r="AA2768" s="7">
        <f>IF($D2768="","",V2768-Z2768)</f>
        <v/>
      </c>
      <c r="AB2768" s="7">
        <f>IF($D2768="","",AA2768-N2768)</f>
        <v/>
      </c>
      <c r="AF2768" s="7" t="n"/>
      <c r="AI2768" s="11" t="n"/>
      <c r="AK2768">
        <f>IF($D2768="","",IF(COUNTIF($D$2:$D2768,$D2768)=1,1,0))</f>
        <v/>
      </c>
      <c r="AL2768">
        <f>IF($AK2768=1,SUMPRODUCT(--($AO$2:$AO$3001&lt;$AO2768))+1,"")</f>
        <v/>
      </c>
      <c r="AM2768">
        <f>IF($D2768="","",IF(OR($R2768=TRUE(),$R2768="TRUE"),1,0))</f>
        <v/>
      </c>
      <c r="AN2768">
        <f>IF($D2768="","",IF($X2768="Yes",1,0))</f>
        <v/>
      </c>
      <c r="AO2768">
        <f>IF($AK2768=1,IFERROR(IF(VALUE($D2768)&lt;100000000,VALUE($D2768),1000000000),IFERROR(IF(VALUE(MID($D2768,2,20))&lt;100000000,VALUE(MID($D2768,2,20)),1000000000),1000000000))+ROW()/100000,"")</f>
        <v/>
      </c>
    </row>
    <row r="2769">
      <c r="F2769" s="11" t="n"/>
      <c r="N2769" s="7">
        <f>IF($D2769="","",M2769*V2769/100)</f>
        <v/>
      </c>
      <c r="O2769" s="7" t="n"/>
      <c r="U2769" s="7" t="n"/>
      <c r="V2769" s="7" t="n"/>
      <c r="Y2769">
        <f>IF($D2769="","",IF($AN2769=1,0,IF($AM2769=1,Settings!$C$6,Settings!$C$7))*100)</f>
        <v/>
      </c>
      <c r="Z2769" s="7">
        <f>IF($D2769="","",V2769*Y2769/100)</f>
        <v/>
      </c>
      <c r="AA2769" s="7">
        <f>IF($D2769="","",V2769-Z2769)</f>
        <v/>
      </c>
      <c r="AB2769" s="7">
        <f>IF($D2769="","",AA2769-N2769)</f>
        <v/>
      </c>
      <c r="AF2769" s="7" t="n"/>
      <c r="AI2769" s="11" t="n"/>
      <c r="AK2769">
        <f>IF($D2769="","",IF(COUNTIF($D$2:$D2769,$D2769)=1,1,0))</f>
        <v/>
      </c>
      <c r="AL2769">
        <f>IF($AK2769=1,SUMPRODUCT(--($AO$2:$AO$3001&lt;$AO2769))+1,"")</f>
        <v/>
      </c>
      <c r="AM2769">
        <f>IF($D2769="","",IF(OR($R2769=TRUE(),$R2769="TRUE"),1,0))</f>
        <v/>
      </c>
      <c r="AN2769">
        <f>IF($D2769="","",IF($X2769="Yes",1,0))</f>
        <v/>
      </c>
      <c r="AO2769">
        <f>IF($AK2769=1,IFERROR(IF(VALUE($D2769)&lt;100000000,VALUE($D2769),1000000000),IFERROR(IF(VALUE(MID($D2769,2,20))&lt;100000000,VALUE(MID($D2769,2,20)),1000000000),1000000000))+ROW()/100000,"")</f>
        <v/>
      </c>
    </row>
    <row r="2770">
      <c r="F2770" s="11" t="n"/>
      <c r="N2770" s="7">
        <f>IF($D2770="","",M2770*V2770/100)</f>
        <v/>
      </c>
      <c r="O2770" s="7" t="n"/>
      <c r="U2770" s="7" t="n"/>
      <c r="V2770" s="7" t="n"/>
      <c r="Y2770">
        <f>IF($D2770="","",IF($AN2770=1,0,IF($AM2770=1,Settings!$C$6,Settings!$C$7))*100)</f>
        <v/>
      </c>
      <c r="Z2770" s="7">
        <f>IF($D2770="","",V2770*Y2770/100)</f>
        <v/>
      </c>
      <c r="AA2770" s="7">
        <f>IF($D2770="","",V2770-Z2770)</f>
        <v/>
      </c>
      <c r="AB2770" s="7">
        <f>IF($D2770="","",AA2770-N2770)</f>
        <v/>
      </c>
      <c r="AF2770" s="7" t="n"/>
      <c r="AI2770" s="11" t="n"/>
      <c r="AK2770">
        <f>IF($D2770="","",IF(COUNTIF($D$2:$D2770,$D2770)=1,1,0))</f>
        <v/>
      </c>
      <c r="AL2770">
        <f>IF($AK2770=1,SUMPRODUCT(--($AO$2:$AO$3001&lt;$AO2770))+1,"")</f>
        <v/>
      </c>
      <c r="AM2770">
        <f>IF($D2770="","",IF(OR($R2770=TRUE(),$R2770="TRUE"),1,0))</f>
        <v/>
      </c>
      <c r="AN2770">
        <f>IF($D2770="","",IF($X2770="Yes",1,0))</f>
        <v/>
      </c>
      <c r="AO2770">
        <f>IF($AK2770=1,IFERROR(IF(VALUE($D2770)&lt;100000000,VALUE($D2770),1000000000),IFERROR(IF(VALUE(MID($D2770,2,20))&lt;100000000,VALUE(MID($D2770,2,20)),1000000000),1000000000))+ROW()/100000,"")</f>
        <v/>
      </c>
    </row>
    <row r="2771">
      <c r="F2771" s="11" t="n"/>
      <c r="N2771" s="7">
        <f>IF($D2771="","",M2771*V2771/100)</f>
        <v/>
      </c>
      <c r="O2771" s="7" t="n"/>
      <c r="U2771" s="7" t="n"/>
      <c r="V2771" s="7" t="n"/>
      <c r="Y2771">
        <f>IF($D2771="","",IF($AN2771=1,0,IF($AM2771=1,Settings!$C$6,Settings!$C$7))*100)</f>
        <v/>
      </c>
      <c r="Z2771" s="7">
        <f>IF($D2771="","",V2771*Y2771/100)</f>
        <v/>
      </c>
      <c r="AA2771" s="7">
        <f>IF($D2771="","",V2771-Z2771)</f>
        <v/>
      </c>
      <c r="AB2771" s="7">
        <f>IF($D2771="","",AA2771-N2771)</f>
        <v/>
      </c>
      <c r="AF2771" s="7" t="n"/>
      <c r="AI2771" s="11" t="n"/>
      <c r="AK2771">
        <f>IF($D2771="","",IF(COUNTIF($D$2:$D2771,$D2771)=1,1,0))</f>
        <v/>
      </c>
      <c r="AL2771">
        <f>IF($AK2771=1,SUMPRODUCT(--($AO$2:$AO$3001&lt;$AO2771))+1,"")</f>
        <v/>
      </c>
      <c r="AM2771">
        <f>IF($D2771="","",IF(OR($R2771=TRUE(),$R2771="TRUE"),1,0))</f>
        <v/>
      </c>
      <c r="AN2771">
        <f>IF($D2771="","",IF($X2771="Yes",1,0))</f>
        <v/>
      </c>
      <c r="AO2771">
        <f>IF($AK2771=1,IFERROR(IF(VALUE($D2771)&lt;100000000,VALUE($D2771),1000000000),IFERROR(IF(VALUE(MID($D2771,2,20))&lt;100000000,VALUE(MID($D2771,2,20)),1000000000),1000000000))+ROW()/100000,"")</f>
        <v/>
      </c>
    </row>
    <row r="2772">
      <c r="F2772" s="11" t="n"/>
      <c r="N2772" s="7">
        <f>IF($D2772="","",M2772*V2772/100)</f>
        <v/>
      </c>
      <c r="O2772" s="7" t="n"/>
      <c r="U2772" s="7" t="n"/>
      <c r="V2772" s="7" t="n"/>
      <c r="Y2772">
        <f>IF($D2772="","",IF($AN2772=1,0,IF($AM2772=1,Settings!$C$6,Settings!$C$7))*100)</f>
        <v/>
      </c>
      <c r="Z2772" s="7">
        <f>IF($D2772="","",V2772*Y2772/100)</f>
        <v/>
      </c>
      <c r="AA2772" s="7">
        <f>IF($D2772="","",V2772-Z2772)</f>
        <v/>
      </c>
      <c r="AB2772" s="7">
        <f>IF($D2772="","",AA2772-N2772)</f>
        <v/>
      </c>
      <c r="AF2772" s="7" t="n"/>
      <c r="AI2772" s="11" t="n"/>
      <c r="AK2772">
        <f>IF($D2772="","",IF(COUNTIF($D$2:$D2772,$D2772)=1,1,0))</f>
        <v/>
      </c>
      <c r="AL2772">
        <f>IF($AK2772=1,SUMPRODUCT(--($AO$2:$AO$3001&lt;$AO2772))+1,"")</f>
        <v/>
      </c>
      <c r="AM2772">
        <f>IF($D2772="","",IF(OR($R2772=TRUE(),$R2772="TRUE"),1,0))</f>
        <v/>
      </c>
      <c r="AN2772">
        <f>IF($D2772="","",IF($X2772="Yes",1,0))</f>
        <v/>
      </c>
      <c r="AO2772">
        <f>IF($AK2772=1,IFERROR(IF(VALUE($D2772)&lt;100000000,VALUE($D2772),1000000000),IFERROR(IF(VALUE(MID($D2772,2,20))&lt;100000000,VALUE(MID($D2772,2,20)),1000000000),1000000000))+ROW()/100000,"")</f>
        <v/>
      </c>
    </row>
    <row r="2773">
      <c r="F2773" s="11" t="n"/>
      <c r="N2773" s="7">
        <f>IF($D2773="","",M2773*V2773/100)</f>
        <v/>
      </c>
      <c r="O2773" s="7" t="n"/>
      <c r="U2773" s="7" t="n"/>
      <c r="V2773" s="7" t="n"/>
      <c r="Y2773">
        <f>IF($D2773="","",IF($AN2773=1,0,IF($AM2773=1,Settings!$C$6,Settings!$C$7))*100)</f>
        <v/>
      </c>
      <c r="Z2773" s="7">
        <f>IF($D2773="","",V2773*Y2773/100)</f>
        <v/>
      </c>
      <c r="AA2773" s="7">
        <f>IF($D2773="","",V2773-Z2773)</f>
        <v/>
      </c>
      <c r="AB2773" s="7">
        <f>IF($D2773="","",AA2773-N2773)</f>
        <v/>
      </c>
      <c r="AF2773" s="7" t="n"/>
      <c r="AI2773" s="11" t="n"/>
      <c r="AK2773">
        <f>IF($D2773="","",IF(COUNTIF($D$2:$D2773,$D2773)=1,1,0))</f>
        <v/>
      </c>
      <c r="AL2773">
        <f>IF($AK2773=1,SUMPRODUCT(--($AO$2:$AO$3001&lt;$AO2773))+1,"")</f>
        <v/>
      </c>
      <c r="AM2773">
        <f>IF($D2773="","",IF(OR($R2773=TRUE(),$R2773="TRUE"),1,0))</f>
        <v/>
      </c>
      <c r="AN2773">
        <f>IF($D2773="","",IF($X2773="Yes",1,0))</f>
        <v/>
      </c>
      <c r="AO2773">
        <f>IF($AK2773=1,IFERROR(IF(VALUE($D2773)&lt;100000000,VALUE($D2773),1000000000),IFERROR(IF(VALUE(MID($D2773,2,20))&lt;100000000,VALUE(MID($D2773,2,20)),1000000000),1000000000))+ROW()/100000,"")</f>
        <v/>
      </c>
    </row>
    <row r="2774">
      <c r="F2774" s="11" t="n"/>
      <c r="N2774" s="7">
        <f>IF($D2774="","",M2774*V2774/100)</f>
        <v/>
      </c>
      <c r="O2774" s="7" t="n"/>
      <c r="U2774" s="7" t="n"/>
      <c r="V2774" s="7" t="n"/>
      <c r="Y2774">
        <f>IF($D2774="","",IF($AN2774=1,0,IF($AM2774=1,Settings!$C$6,Settings!$C$7))*100)</f>
        <v/>
      </c>
      <c r="Z2774" s="7">
        <f>IF($D2774="","",V2774*Y2774/100)</f>
        <v/>
      </c>
      <c r="AA2774" s="7">
        <f>IF($D2774="","",V2774-Z2774)</f>
        <v/>
      </c>
      <c r="AB2774" s="7">
        <f>IF($D2774="","",AA2774-N2774)</f>
        <v/>
      </c>
      <c r="AF2774" s="7" t="n"/>
      <c r="AI2774" s="11" t="n"/>
      <c r="AK2774">
        <f>IF($D2774="","",IF(COUNTIF($D$2:$D2774,$D2774)=1,1,0))</f>
        <v/>
      </c>
      <c r="AL2774">
        <f>IF($AK2774=1,SUMPRODUCT(--($AO$2:$AO$3001&lt;$AO2774))+1,"")</f>
        <v/>
      </c>
      <c r="AM2774">
        <f>IF($D2774="","",IF(OR($R2774=TRUE(),$R2774="TRUE"),1,0))</f>
        <v/>
      </c>
      <c r="AN2774">
        <f>IF($D2774="","",IF($X2774="Yes",1,0))</f>
        <v/>
      </c>
      <c r="AO2774">
        <f>IF($AK2774=1,IFERROR(IF(VALUE($D2774)&lt;100000000,VALUE($D2774),1000000000),IFERROR(IF(VALUE(MID($D2774,2,20))&lt;100000000,VALUE(MID($D2774,2,20)),1000000000),1000000000))+ROW()/100000,"")</f>
        <v/>
      </c>
    </row>
    <row r="2775">
      <c r="F2775" s="11" t="n"/>
      <c r="N2775" s="7">
        <f>IF($D2775="","",M2775*V2775/100)</f>
        <v/>
      </c>
      <c r="O2775" s="7" t="n"/>
      <c r="U2775" s="7" t="n"/>
      <c r="V2775" s="7" t="n"/>
      <c r="Y2775">
        <f>IF($D2775="","",IF($AN2775=1,0,IF($AM2775=1,Settings!$C$6,Settings!$C$7))*100)</f>
        <v/>
      </c>
      <c r="Z2775" s="7">
        <f>IF($D2775="","",V2775*Y2775/100)</f>
        <v/>
      </c>
      <c r="AA2775" s="7">
        <f>IF($D2775="","",V2775-Z2775)</f>
        <v/>
      </c>
      <c r="AB2775" s="7">
        <f>IF($D2775="","",AA2775-N2775)</f>
        <v/>
      </c>
      <c r="AF2775" s="7" t="n"/>
      <c r="AI2775" s="11" t="n"/>
      <c r="AK2775">
        <f>IF($D2775="","",IF(COUNTIF($D$2:$D2775,$D2775)=1,1,0))</f>
        <v/>
      </c>
      <c r="AL2775">
        <f>IF($AK2775=1,SUMPRODUCT(--($AO$2:$AO$3001&lt;$AO2775))+1,"")</f>
        <v/>
      </c>
      <c r="AM2775">
        <f>IF($D2775="","",IF(OR($R2775=TRUE(),$R2775="TRUE"),1,0))</f>
        <v/>
      </c>
      <c r="AN2775">
        <f>IF($D2775="","",IF($X2775="Yes",1,0))</f>
        <v/>
      </c>
      <c r="AO2775">
        <f>IF($AK2775=1,IFERROR(IF(VALUE($D2775)&lt;100000000,VALUE($D2775),1000000000),IFERROR(IF(VALUE(MID($D2775,2,20))&lt;100000000,VALUE(MID($D2775,2,20)),1000000000),1000000000))+ROW()/100000,"")</f>
        <v/>
      </c>
    </row>
    <row r="2776">
      <c r="F2776" s="11" t="n"/>
      <c r="N2776" s="7">
        <f>IF($D2776="","",M2776*V2776/100)</f>
        <v/>
      </c>
      <c r="O2776" s="7" t="n"/>
      <c r="U2776" s="7" t="n"/>
      <c r="V2776" s="7" t="n"/>
      <c r="Y2776">
        <f>IF($D2776="","",IF($AN2776=1,0,IF($AM2776=1,Settings!$C$6,Settings!$C$7))*100)</f>
        <v/>
      </c>
      <c r="Z2776" s="7">
        <f>IF($D2776="","",V2776*Y2776/100)</f>
        <v/>
      </c>
      <c r="AA2776" s="7">
        <f>IF($D2776="","",V2776-Z2776)</f>
        <v/>
      </c>
      <c r="AB2776" s="7">
        <f>IF($D2776="","",AA2776-N2776)</f>
        <v/>
      </c>
      <c r="AF2776" s="7" t="n"/>
      <c r="AI2776" s="11" t="n"/>
      <c r="AK2776">
        <f>IF($D2776="","",IF(COUNTIF($D$2:$D2776,$D2776)=1,1,0))</f>
        <v/>
      </c>
      <c r="AL2776">
        <f>IF($AK2776=1,SUMPRODUCT(--($AO$2:$AO$3001&lt;$AO2776))+1,"")</f>
        <v/>
      </c>
      <c r="AM2776">
        <f>IF($D2776="","",IF(OR($R2776=TRUE(),$R2776="TRUE"),1,0))</f>
        <v/>
      </c>
      <c r="AN2776">
        <f>IF($D2776="","",IF($X2776="Yes",1,0))</f>
        <v/>
      </c>
      <c r="AO2776">
        <f>IF($AK2776=1,IFERROR(IF(VALUE($D2776)&lt;100000000,VALUE($D2776),1000000000),IFERROR(IF(VALUE(MID($D2776,2,20))&lt;100000000,VALUE(MID($D2776,2,20)),1000000000),1000000000))+ROW()/100000,"")</f>
        <v/>
      </c>
    </row>
    <row r="2777">
      <c r="F2777" s="11" t="n"/>
      <c r="N2777" s="7">
        <f>IF($D2777="","",M2777*V2777/100)</f>
        <v/>
      </c>
      <c r="O2777" s="7" t="n"/>
      <c r="U2777" s="7" t="n"/>
      <c r="V2777" s="7" t="n"/>
      <c r="Y2777">
        <f>IF($D2777="","",IF($AN2777=1,0,IF($AM2777=1,Settings!$C$6,Settings!$C$7))*100)</f>
        <v/>
      </c>
      <c r="Z2777" s="7">
        <f>IF($D2777="","",V2777*Y2777/100)</f>
        <v/>
      </c>
      <c r="AA2777" s="7">
        <f>IF($D2777="","",V2777-Z2777)</f>
        <v/>
      </c>
      <c r="AB2777" s="7">
        <f>IF($D2777="","",AA2777-N2777)</f>
        <v/>
      </c>
      <c r="AF2777" s="7" t="n"/>
      <c r="AI2777" s="11" t="n"/>
      <c r="AK2777">
        <f>IF($D2777="","",IF(COUNTIF($D$2:$D2777,$D2777)=1,1,0))</f>
        <v/>
      </c>
      <c r="AL2777">
        <f>IF($AK2777=1,SUMPRODUCT(--($AO$2:$AO$3001&lt;$AO2777))+1,"")</f>
        <v/>
      </c>
      <c r="AM2777">
        <f>IF($D2777="","",IF(OR($R2777=TRUE(),$R2777="TRUE"),1,0))</f>
        <v/>
      </c>
      <c r="AN2777">
        <f>IF($D2777="","",IF($X2777="Yes",1,0))</f>
        <v/>
      </c>
      <c r="AO2777">
        <f>IF($AK2777=1,IFERROR(IF(VALUE($D2777)&lt;100000000,VALUE($D2777),1000000000),IFERROR(IF(VALUE(MID($D2777,2,20))&lt;100000000,VALUE(MID($D2777,2,20)),1000000000),1000000000))+ROW()/100000,"")</f>
        <v/>
      </c>
    </row>
    <row r="2778">
      <c r="F2778" s="11" t="n"/>
      <c r="N2778" s="7">
        <f>IF($D2778="","",M2778*V2778/100)</f>
        <v/>
      </c>
      <c r="O2778" s="7" t="n"/>
      <c r="U2778" s="7" t="n"/>
      <c r="V2778" s="7" t="n"/>
      <c r="Y2778">
        <f>IF($D2778="","",IF($AN2778=1,0,IF($AM2778=1,Settings!$C$6,Settings!$C$7))*100)</f>
        <v/>
      </c>
      <c r="Z2778" s="7">
        <f>IF($D2778="","",V2778*Y2778/100)</f>
        <v/>
      </c>
      <c r="AA2778" s="7">
        <f>IF($D2778="","",V2778-Z2778)</f>
        <v/>
      </c>
      <c r="AB2778" s="7">
        <f>IF($D2778="","",AA2778-N2778)</f>
        <v/>
      </c>
      <c r="AF2778" s="7" t="n"/>
      <c r="AI2778" s="11" t="n"/>
      <c r="AK2778">
        <f>IF($D2778="","",IF(COUNTIF($D$2:$D2778,$D2778)=1,1,0))</f>
        <v/>
      </c>
      <c r="AL2778">
        <f>IF($AK2778=1,SUMPRODUCT(--($AO$2:$AO$3001&lt;$AO2778))+1,"")</f>
        <v/>
      </c>
      <c r="AM2778">
        <f>IF($D2778="","",IF(OR($R2778=TRUE(),$R2778="TRUE"),1,0))</f>
        <v/>
      </c>
      <c r="AN2778">
        <f>IF($D2778="","",IF($X2778="Yes",1,0))</f>
        <v/>
      </c>
      <c r="AO2778">
        <f>IF($AK2778=1,IFERROR(IF(VALUE($D2778)&lt;100000000,VALUE($D2778),1000000000),IFERROR(IF(VALUE(MID($D2778,2,20))&lt;100000000,VALUE(MID($D2778,2,20)),1000000000),1000000000))+ROW()/100000,"")</f>
        <v/>
      </c>
    </row>
    <row r="2779">
      <c r="F2779" s="11" t="n"/>
      <c r="N2779" s="7">
        <f>IF($D2779="","",M2779*V2779/100)</f>
        <v/>
      </c>
      <c r="O2779" s="7" t="n"/>
      <c r="U2779" s="7" t="n"/>
      <c r="V2779" s="7" t="n"/>
      <c r="Y2779">
        <f>IF($D2779="","",IF($AN2779=1,0,IF($AM2779=1,Settings!$C$6,Settings!$C$7))*100)</f>
        <v/>
      </c>
      <c r="Z2779" s="7">
        <f>IF($D2779="","",V2779*Y2779/100)</f>
        <v/>
      </c>
      <c r="AA2779" s="7">
        <f>IF($D2779="","",V2779-Z2779)</f>
        <v/>
      </c>
      <c r="AB2779" s="7">
        <f>IF($D2779="","",AA2779-N2779)</f>
        <v/>
      </c>
      <c r="AF2779" s="7" t="n"/>
      <c r="AI2779" s="11" t="n"/>
      <c r="AK2779">
        <f>IF($D2779="","",IF(COUNTIF($D$2:$D2779,$D2779)=1,1,0))</f>
        <v/>
      </c>
      <c r="AL2779">
        <f>IF($AK2779=1,SUMPRODUCT(--($AO$2:$AO$3001&lt;$AO2779))+1,"")</f>
        <v/>
      </c>
      <c r="AM2779">
        <f>IF($D2779="","",IF(OR($R2779=TRUE(),$R2779="TRUE"),1,0))</f>
        <v/>
      </c>
      <c r="AN2779">
        <f>IF($D2779="","",IF($X2779="Yes",1,0))</f>
        <v/>
      </c>
      <c r="AO2779">
        <f>IF($AK2779=1,IFERROR(IF(VALUE($D2779)&lt;100000000,VALUE($D2779),1000000000),IFERROR(IF(VALUE(MID($D2779,2,20))&lt;100000000,VALUE(MID($D2779,2,20)),1000000000),1000000000))+ROW()/100000,"")</f>
        <v/>
      </c>
    </row>
    <row r="2780">
      <c r="F2780" s="11" t="n"/>
      <c r="N2780" s="7">
        <f>IF($D2780="","",M2780*V2780/100)</f>
        <v/>
      </c>
      <c r="O2780" s="7" t="n"/>
      <c r="U2780" s="7" t="n"/>
      <c r="V2780" s="7" t="n"/>
      <c r="Y2780">
        <f>IF($D2780="","",IF($AN2780=1,0,IF($AM2780=1,Settings!$C$6,Settings!$C$7))*100)</f>
        <v/>
      </c>
      <c r="Z2780" s="7">
        <f>IF($D2780="","",V2780*Y2780/100)</f>
        <v/>
      </c>
      <c r="AA2780" s="7">
        <f>IF($D2780="","",V2780-Z2780)</f>
        <v/>
      </c>
      <c r="AB2780" s="7">
        <f>IF($D2780="","",AA2780-N2780)</f>
        <v/>
      </c>
      <c r="AF2780" s="7" t="n"/>
      <c r="AI2780" s="11" t="n"/>
      <c r="AK2780">
        <f>IF($D2780="","",IF(COUNTIF($D$2:$D2780,$D2780)=1,1,0))</f>
        <v/>
      </c>
      <c r="AL2780">
        <f>IF($AK2780=1,SUMPRODUCT(--($AO$2:$AO$3001&lt;$AO2780))+1,"")</f>
        <v/>
      </c>
      <c r="AM2780">
        <f>IF($D2780="","",IF(OR($R2780=TRUE(),$R2780="TRUE"),1,0))</f>
        <v/>
      </c>
      <c r="AN2780">
        <f>IF($D2780="","",IF($X2780="Yes",1,0))</f>
        <v/>
      </c>
      <c r="AO2780">
        <f>IF($AK2780=1,IFERROR(IF(VALUE($D2780)&lt;100000000,VALUE($D2780),1000000000),IFERROR(IF(VALUE(MID($D2780,2,20))&lt;100000000,VALUE(MID($D2780,2,20)),1000000000),1000000000))+ROW()/100000,"")</f>
        <v/>
      </c>
    </row>
    <row r="2781">
      <c r="F2781" s="11" t="n"/>
      <c r="N2781" s="7">
        <f>IF($D2781="","",M2781*V2781/100)</f>
        <v/>
      </c>
      <c r="O2781" s="7" t="n"/>
      <c r="U2781" s="7" t="n"/>
      <c r="V2781" s="7" t="n"/>
      <c r="Y2781">
        <f>IF($D2781="","",IF($AN2781=1,0,IF($AM2781=1,Settings!$C$6,Settings!$C$7))*100)</f>
        <v/>
      </c>
      <c r="Z2781" s="7">
        <f>IF($D2781="","",V2781*Y2781/100)</f>
        <v/>
      </c>
      <c r="AA2781" s="7">
        <f>IF($D2781="","",V2781-Z2781)</f>
        <v/>
      </c>
      <c r="AB2781" s="7">
        <f>IF($D2781="","",AA2781-N2781)</f>
        <v/>
      </c>
      <c r="AF2781" s="7" t="n"/>
      <c r="AI2781" s="11" t="n"/>
      <c r="AK2781">
        <f>IF($D2781="","",IF(COUNTIF($D$2:$D2781,$D2781)=1,1,0))</f>
        <v/>
      </c>
      <c r="AL2781">
        <f>IF($AK2781=1,SUMPRODUCT(--($AO$2:$AO$3001&lt;$AO2781))+1,"")</f>
        <v/>
      </c>
      <c r="AM2781">
        <f>IF($D2781="","",IF(OR($R2781=TRUE(),$R2781="TRUE"),1,0))</f>
        <v/>
      </c>
      <c r="AN2781">
        <f>IF($D2781="","",IF($X2781="Yes",1,0))</f>
        <v/>
      </c>
      <c r="AO2781">
        <f>IF($AK2781=1,IFERROR(IF(VALUE($D2781)&lt;100000000,VALUE($D2781),1000000000),IFERROR(IF(VALUE(MID($D2781,2,20))&lt;100000000,VALUE(MID($D2781,2,20)),1000000000),1000000000))+ROW()/100000,"")</f>
        <v/>
      </c>
    </row>
    <row r="2782">
      <c r="F2782" s="11" t="n"/>
      <c r="N2782" s="7">
        <f>IF($D2782="","",M2782*V2782/100)</f>
        <v/>
      </c>
      <c r="O2782" s="7" t="n"/>
      <c r="U2782" s="7" t="n"/>
      <c r="V2782" s="7" t="n"/>
      <c r="Y2782">
        <f>IF($D2782="","",IF($AN2782=1,0,IF($AM2782=1,Settings!$C$6,Settings!$C$7))*100)</f>
        <v/>
      </c>
      <c r="Z2782" s="7">
        <f>IF($D2782="","",V2782*Y2782/100)</f>
        <v/>
      </c>
      <c r="AA2782" s="7">
        <f>IF($D2782="","",V2782-Z2782)</f>
        <v/>
      </c>
      <c r="AB2782" s="7">
        <f>IF($D2782="","",AA2782-N2782)</f>
        <v/>
      </c>
      <c r="AF2782" s="7" t="n"/>
      <c r="AI2782" s="11" t="n"/>
      <c r="AK2782">
        <f>IF($D2782="","",IF(COUNTIF($D$2:$D2782,$D2782)=1,1,0))</f>
        <v/>
      </c>
      <c r="AL2782">
        <f>IF($AK2782=1,SUMPRODUCT(--($AO$2:$AO$3001&lt;$AO2782))+1,"")</f>
        <v/>
      </c>
      <c r="AM2782">
        <f>IF($D2782="","",IF(OR($R2782=TRUE(),$R2782="TRUE"),1,0))</f>
        <v/>
      </c>
      <c r="AN2782">
        <f>IF($D2782="","",IF($X2782="Yes",1,0))</f>
        <v/>
      </c>
      <c r="AO2782">
        <f>IF($AK2782=1,IFERROR(IF(VALUE($D2782)&lt;100000000,VALUE($D2782),1000000000),IFERROR(IF(VALUE(MID($D2782,2,20))&lt;100000000,VALUE(MID($D2782,2,20)),1000000000),1000000000))+ROW()/100000,"")</f>
        <v/>
      </c>
    </row>
    <row r="2783">
      <c r="F2783" s="11" t="n"/>
      <c r="N2783" s="7">
        <f>IF($D2783="","",M2783*V2783/100)</f>
        <v/>
      </c>
      <c r="O2783" s="7" t="n"/>
      <c r="U2783" s="7" t="n"/>
      <c r="V2783" s="7" t="n"/>
      <c r="Y2783">
        <f>IF($D2783="","",IF($AN2783=1,0,IF($AM2783=1,Settings!$C$6,Settings!$C$7))*100)</f>
        <v/>
      </c>
      <c r="Z2783" s="7">
        <f>IF($D2783="","",V2783*Y2783/100)</f>
        <v/>
      </c>
      <c r="AA2783" s="7">
        <f>IF($D2783="","",V2783-Z2783)</f>
        <v/>
      </c>
      <c r="AB2783" s="7">
        <f>IF($D2783="","",AA2783-N2783)</f>
        <v/>
      </c>
      <c r="AF2783" s="7" t="n"/>
      <c r="AI2783" s="11" t="n"/>
      <c r="AK2783">
        <f>IF($D2783="","",IF(COUNTIF($D$2:$D2783,$D2783)=1,1,0))</f>
        <v/>
      </c>
      <c r="AL2783">
        <f>IF($AK2783=1,SUMPRODUCT(--($AO$2:$AO$3001&lt;$AO2783))+1,"")</f>
        <v/>
      </c>
      <c r="AM2783">
        <f>IF($D2783="","",IF(OR($R2783=TRUE(),$R2783="TRUE"),1,0))</f>
        <v/>
      </c>
      <c r="AN2783">
        <f>IF($D2783="","",IF($X2783="Yes",1,0))</f>
        <v/>
      </c>
      <c r="AO2783">
        <f>IF($AK2783=1,IFERROR(IF(VALUE($D2783)&lt;100000000,VALUE($D2783),1000000000),IFERROR(IF(VALUE(MID($D2783,2,20))&lt;100000000,VALUE(MID($D2783,2,20)),1000000000),1000000000))+ROW()/100000,"")</f>
        <v/>
      </c>
    </row>
    <row r="2784">
      <c r="F2784" s="11" t="n"/>
      <c r="N2784" s="7">
        <f>IF($D2784="","",M2784*V2784/100)</f>
        <v/>
      </c>
      <c r="O2784" s="7" t="n"/>
      <c r="U2784" s="7" t="n"/>
      <c r="V2784" s="7" t="n"/>
      <c r="Y2784">
        <f>IF($D2784="","",IF($AN2784=1,0,IF($AM2784=1,Settings!$C$6,Settings!$C$7))*100)</f>
        <v/>
      </c>
      <c r="Z2784" s="7">
        <f>IF($D2784="","",V2784*Y2784/100)</f>
        <v/>
      </c>
      <c r="AA2784" s="7">
        <f>IF($D2784="","",V2784-Z2784)</f>
        <v/>
      </c>
      <c r="AB2784" s="7">
        <f>IF($D2784="","",AA2784-N2784)</f>
        <v/>
      </c>
      <c r="AF2784" s="7" t="n"/>
      <c r="AI2784" s="11" t="n"/>
      <c r="AK2784">
        <f>IF($D2784="","",IF(COUNTIF($D$2:$D2784,$D2784)=1,1,0))</f>
        <v/>
      </c>
      <c r="AL2784">
        <f>IF($AK2784=1,SUMPRODUCT(--($AO$2:$AO$3001&lt;$AO2784))+1,"")</f>
        <v/>
      </c>
      <c r="AM2784">
        <f>IF($D2784="","",IF(OR($R2784=TRUE(),$R2784="TRUE"),1,0))</f>
        <v/>
      </c>
      <c r="AN2784">
        <f>IF($D2784="","",IF($X2784="Yes",1,0))</f>
        <v/>
      </c>
      <c r="AO2784">
        <f>IF($AK2784=1,IFERROR(IF(VALUE($D2784)&lt;100000000,VALUE($D2784),1000000000),IFERROR(IF(VALUE(MID($D2784,2,20))&lt;100000000,VALUE(MID($D2784,2,20)),1000000000),1000000000))+ROW()/100000,"")</f>
        <v/>
      </c>
    </row>
    <row r="2785">
      <c r="F2785" s="11" t="n"/>
      <c r="N2785" s="7">
        <f>IF($D2785="","",M2785*V2785/100)</f>
        <v/>
      </c>
      <c r="O2785" s="7" t="n"/>
      <c r="U2785" s="7" t="n"/>
      <c r="V2785" s="7" t="n"/>
      <c r="Y2785">
        <f>IF($D2785="","",IF($AN2785=1,0,IF($AM2785=1,Settings!$C$6,Settings!$C$7))*100)</f>
        <v/>
      </c>
      <c r="Z2785" s="7">
        <f>IF($D2785="","",V2785*Y2785/100)</f>
        <v/>
      </c>
      <c r="AA2785" s="7">
        <f>IF($D2785="","",V2785-Z2785)</f>
        <v/>
      </c>
      <c r="AB2785" s="7">
        <f>IF($D2785="","",AA2785-N2785)</f>
        <v/>
      </c>
      <c r="AF2785" s="7" t="n"/>
      <c r="AI2785" s="11" t="n"/>
      <c r="AK2785">
        <f>IF($D2785="","",IF(COUNTIF($D$2:$D2785,$D2785)=1,1,0))</f>
        <v/>
      </c>
      <c r="AL2785">
        <f>IF($AK2785=1,SUMPRODUCT(--($AO$2:$AO$3001&lt;$AO2785))+1,"")</f>
        <v/>
      </c>
      <c r="AM2785">
        <f>IF($D2785="","",IF(OR($R2785=TRUE(),$R2785="TRUE"),1,0))</f>
        <v/>
      </c>
      <c r="AN2785">
        <f>IF($D2785="","",IF($X2785="Yes",1,0))</f>
        <v/>
      </c>
      <c r="AO2785">
        <f>IF($AK2785=1,IFERROR(IF(VALUE($D2785)&lt;100000000,VALUE($D2785),1000000000),IFERROR(IF(VALUE(MID($D2785,2,20))&lt;100000000,VALUE(MID($D2785,2,20)),1000000000),1000000000))+ROW()/100000,"")</f>
        <v/>
      </c>
    </row>
    <row r="2786">
      <c r="F2786" s="11" t="n"/>
      <c r="N2786" s="7">
        <f>IF($D2786="","",M2786*V2786/100)</f>
        <v/>
      </c>
      <c r="O2786" s="7" t="n"/>
      <c r="U2786" s="7" t="n"/>
      <c r="V2786" s="7" t="n"/>
      <c r="Y2786">
        <f>IF($D2786="","",IF($AN2786=1,0,IF($AM2786=1,Settings!$C$6,Settings!$C$7))*100)</f>
        <v/>
      </c>
      <c r="Z2786" s="7">
        <f>IF($D2786="","",V2786*Y2786/100)</f>
        <v/>
      </c>
      <c r="AA2786" s="7">
        <f>IF($D2786="","",V2786-Z2786)</f>
        <v/>
      </c>
      <c r="AB2786" s="7">
        <f>IF($D2786="","",AA2786-N2786)</f>
        <v/>
      </c>
      <c r="AF2786" s="7" t="n"/>
      <c r="AI2786" s="11" t="n"/>
      <c r="AK2786">
        <f>IF($D2786="","",IF(COUNTIF($D$2:$D2786,$D2786)=1,1,0))</f>
        <v/>
      </c>
      <c r="AL2786">
        <f>IF($AK2786=1,SUMPRODUCT(--($AO$2:$AO$3001&lt;$AO2786))+1,"")</f>
        <v/>
      </c>
      <c r="AM2786">
        <f>IF($D2786="","",IF(OR($R2786=TRUE(),$R2786="TRUE"),1,0))</f>
        <v/>
      </c>
      <c r="AN2786">
        <f>IF($D2786="","",IF($X2786="Yes",1,0))</f>
        <v/>
      </c>
      <c r="AO2786">
        <f>IF($AK2786=1,IFERROR(IF(VALUE($D2786)&lt;100000000,VALUE($D2786),1000000000),IFERROR(IF(VALUE(MID($D2786,2,20))&lt;100000000,VALUE(MID($D2786,2,20)),1000000000),1000000000))+ROW()/100000,"")</f>
        <v/>
      </c>
    </row>
    <row r="2787">
      <c r="F2787" s="11" t="n"/>
      <c r="N2787" s="7">
        <f>IF($D2787="","",M2787*V2787/100)</f>
        <v/>
      </c>
      <c r="O2787" s="7" t="n"/>
      <c r="U2787" s="7" t="n"/>
      <c r="V2787" s="7" t="n"/>
      <c r="Y2787">
        <f>IF($D2787="","",IF($AN2787=1,0,IF($AM2787=1,Settings!$C$6,Settings!$C$7))*100)</f>
        <v/>
      </c>
      <c r="Z2787" s="7">
        <f>IF($D2787="","",V2787*Y2787/100)</f>
        <v/>
      </c>
      <c r="AA2787" s="7">
        <f>IF($D2787="","",V2787-Z2787)</f>
        <v/>
      </c>
      <c r="AB2787" s="7">
        <f>IF($D2787="","",AA2787-N2787)</f>
        <v/>
      </c>
      <c r="AF2787" s="7" t="n"/>
      <c r="AI2787" s="11" t="n"/>
      <c r="AK2787">
        <f>IF($D2787="","",IF(COUNTIF($D$2:$D2787,$D2787)=1,1,0))</f>
        <v/>
      </c>
      <c r="AL2787">
        <f>IF($AK2787=1,SUMPRODUCT(--($AO$2:$AO$3001&lt;$AO2787))+1,"")</f>
        <v/>
      </c>
      <c r="AM2787">
        <f>IF($D2787="","",IF(OR($R2787=TRUE(),$R2787="TRUE"),1,0))</f>
        <v/>
      </c>
      <c r="AN2787">
        <f>IF($D2787="","",IF($X2787="Yes",1,0))</f>
        <v/>
      </c>
      <c r="AO2787">
        <f>IF($AK2787=1,IFERROR(IF(VALUE($D2787)&lt;100000000,VALUE($D2787),1000000000),IFERROR(IF(VALUE(MID($D2787,2,20))&lt;100000000,VALUE(MID($D2787,2,20)),1000000000),1000000000))+ROW()/100000,"")</f>
        <v/>
      </c>
    </row>
    <row r="2788">
      <c r="F2788" s="11" t="n"/>
      <c r="N2788" s="7">
        <f>IF($D2788="","",M2788*V2788/100)</f>
        <v/>
      </c>
      <c r="O2788" s="7" t="n"/>
      <c r="U2788" s="7" t="n"/>
      <c r="V2788" s="7" t="n"/>
      <c r="Y2788">
        <f>IF($D2788="","",IF($AN2788=1,0,IF($AM2788=1,Settings!$C$6,Settings!$C$7))*100)</f>
        <v/>
      </c>
      <c r="Z2788" s="7">
        <f>IF($D2788="","",V2788*Y2788/100)</f>
        <v/>
      </c>
      <c r="AA2788" s="7">
        <f>IF($D2788="","",V2788-Z2788)</f>
        <v/>
      </c>
      <c r="AB2788" s="7">
        <f>IF($D2788="","",AA2788-N2788)</f>
        <v/>
      </c>
      <c r="AF2788" s="7" t="n"/>
      <c r="AI2788" s="11" t="n"/>
      <c r="AK2788">
        <f>IF($D2788="","",IF(COUNTIF($D$2:$D2788,$D2788)=1,1,0))</f>
        <v/>
      </c>
      <c r="AL2788">
        <f>IF($AK2788=1,SUMPRODUCT(--($AO$2:$AO$3001&lt;$AO2788))+1,"")</f>
        <v/>
      </c>
      <c r="AM2788">
        <f>IF($D2788="","",IF(OR($R2788=TRUE(),$R2788="TRUE"),1,0))</f>
        <v/>
      </c>
      <c r="AN2788">
        <f>IF($D2788="","",IF($X2788="Yes",1,0))</f>
        <v/>
      </c>
      <c r="AO2788">
        <f>IF($AK2788=1,IFERROR(IF(VALUE($D2788)&lt;100000000,VALUE($D2788),1000000000),IFERROR(IF(VALUE(MID($D2788,2,20))&lt;100000000,VALUE(MID($D2788,2,20)),1000000000),1000000000))+ROW()/100000,"")</f>
        <v/>
      </c>
    </row>
    <row r="2789">
      <c r="F2789" s="11" t="n"/>
      <c r="N2789" s="7">
        <f>IF($D2789="","",M2789*V2789/100)</f>
        <v/>
      </c>
      <c r="O2789" s="7" t="n"/>
      <c r="U2789" s="7" t="n"/>
      <c r="V2789" s="7" t="n"/>
      <c r="Y2789">
        <f>IF($D2789="","",IF($AN2789=1,0,IF($AM2789=1,Settings!$C$6,Settings!$C$7))*100)</f>
        <v/>
      </c>
      <c r="Z2789" s="7">
        <f>IF($D2789="","",V2789*Y2789/100)</f>
        <v/>
      </c>
      <c r="AA2789" s="7">
        <f>IF($D2789="","",V2789-Z2789)</f>
        <v/>
      </c>
      <c r="AB2789" s="7">
        <f>IF($D2789="","",AA2789-N2789)</f>
        <v/>
      </c>
      <c r="AF2789" s="7" t="n"/>
      <c r="AI2789" s="11" t="n"/>
      <c r="AK2789">
        <f>IF($D2789="","",IF(COUNTIF($D$2:$D2789,$D2789)=1,1,0))</f>
        <v/>
      </c>
      <c r="AL2789">
        <f>IF($AK2789=1,SUMPRODUCT(--($AO$2:$AO$3001&lt;$AO2789))+1,"")</f>
        <v/>
      </c>
      <c r="AM2789">
        <f>IF($D2789="","",IF(OR($R2789=TRUE(),$R2789="TRUE"),1,0))</f>
        <v/>
      </c>
      <c r="AN2789">
        <f>IF($D2789="","",IF($X2789="Yes",1,0))</f>
        <v/>
      </c>
      <c r="AO2789">
        <f>IF($AK2789=1,IFERROR(IF(VALUE($D2789)&lt;100000000,VALUE($D2789),1000000000),IFERROR(IF(VALUE(MID($D2789,2,20))&lt;100000000,VALUE(MID($D2789,2,20)),1000000000),1000000000))+ROW()/100000,"")</f>
        <v/>
      </c>
    </row>
    <row r="2790">
      <c r="F2790" s="11" t="n"/>
      <c r="N2790" s="7">
        <f>IF($D2790="","",M2790*V2790/100)</f>
        <v/>
      </c>
      <c r="O2790" s="7" t="n"/>
      <c r="U2790" s="7" t="n"/>
      <c r="V2790" s="7" t="n"/>
      <c r="Y2790">
        <f>IF($D2790="","",IF($AN2790=1,0,IF($AM2790=1,Settings!$C$6,Settings!$C$7))*100)</f>
        <v/>
      </c>
      <c r="Z2790" s="7">
        <f>IF($D2790="","",V2790*Y2790/100)</f>
        <v/>
      </c>
      <c r="AA2790" s="7">
        <f>IF($D2790="","",V2790-Z2790)</f>
        <v/>
      </c>
      <c r="AB2790" s="7">
        <f>IF($D2790="","",AA2790-N2790)</f>
        <v/>
      </c>
      <c r="AF2790" s="7" t="n"/>
      <c r="AI2790" s="11" t="n"/>
      <c r="AK2790">
        <f>IF($D2790="","",IF(COUNTIF($D$2:$D2790,$D2790)=1,1,0))</f>
        <v/>
      </c>
      <c r="AL2790">
        <f>IF($AK2790=1,SUMPRODUCT(--($AO$2:$AO$3001&lt;$AO2790))+1,"")</f>
        <v/>
      </c>
      <c r="AM2790">
        <f>IF($D2790="","",IF(OR($R2790=TRUE(),$R2790="TRUE"),1,0))</f>
        <v/>
      </c>
      <c r="AN2790">
        <f>IF($D2790="","",IF($X2790="Yes",1,0))</f>
        <v/>
      </c>
      <c r="AO2790">
        <f>IF($AK2790=1,IFERROR(IF(VALUE($D2790)&lt;100000000,VALUE($D2790),1000000000),IFERROR(IF(VALUE(MID($D2790,2,20))&lt;100000000,VALUE(MID($D2790,2,20)),1000000000),1000000000))+ROW()/100000,"")</f>
        <v/>
      </c>
    </row>
    <row r="2791">
      <c r="F2791" s="11" t="n"/>
      <c r="N2791" s="7">
        <f>IF($D2791="","",M2791*V2791/100)</f>
        <v/>
      </c>
      <c r="O2791" s="7" t="n"/>
      <c r="U2791" s="7" t="n"/>
      <c r="V2791" s="7" t="n"/>
      <c r="Y2791">
        <f>IF($D2791="","",IF($AN2791=1,0,IF($AM2791=1,Settings!$C$6,Settings!$C$7))*100)</f>
        <v/>
      </c>
      <c r="Z2791" s="7">
        <f>IF($D2791="","",V2791*Y2791/100)</f>
        <v/>
      </c>
      <c r="AA2791" s="7">
        <f>IF($D2791="","",V2791-Z2791)</f>
        <v/>
      </c>
      <c r="AB2791" s="7">
        <f>IF($D2791="","",AA2791-N2791)</f>
        <v/>
      </c>
      <c r="AF2791" s="7" t="n"/>
      <c r="AI2791" s="11" t="n"/>
      <c r="AK2791">
        <f>IF($D2791="","",IF(COUNTIF($D$2:$D2791,$D2791)=1,1,0))</f>
        <v/>
      </c>
      <c r="AL2791">
        <f>IF($AK2791=1,SUMPRODUCT(--($AO$2:$AO$3001&lt;$AO2791))+1,"")</f>
        <v/>
      </c>
      <c r="AM2791">
        <f>IF($D2791="","",IF(OR($R2791=TRUE(),$R2791="TRUE"),1,0))</f>
        <v/>
      </c>
      <c r="AN2791">
        <f>IF($D2791="","",IF($X2791="Yes",1,0))</f>
        <v/>
      </c>
      <c r="AO2791">
        <f>IF($AK2791=1,IFERROR(IF(VALUE($D2791)&lt;100000000,VALUE($D2791),1000000000),IFERROR(IF(VALUE(MID($D2791,2,20))&lt;100000000,VALUE(MID($D2791,2,20)),1000000000),1000000000))+ROW()/100000,"")</f>
        <v/>
      </c>
    </row>
    <row r="2792">
      <c r="F2792" s="11" t="n"/>
      <c r="N2792" s="7">
        <f>IF($D2792="","",M2792*V2792/100)</f>
        <v/>
      </c>
      <c r="O2792" s="7" t="n"/>
      <c r="U2792" s="7" t="n"/>
      <c r="V2792" s="7" t="n"/>
      <c r="Y2792">
        <f>IF($D2792="","",IF($AN2792=1,0,IF($AM2792=1,Settings!$C$6,Settings!$C$7))*100)</f>
        <v/>
      </c>
      <c r="Z2792" s="7">
        <f>IF($D2792="","",V2792*Y2792/100)</f>
        <v/>
      </c>
      <c r="AA2792" s="7">
        <f>IF($D2792="","",V2792-Z2792)</f>
        <v/>
      </c>
      <c r="AB2792" s="7">
        <f>IF($D2792="","",AA2792-N2792)</f>
        <v/>
      </c>
      <c r="AF2792" s="7" t="n"/>
      <c r="AI2792" s="11" t="n"/>
      <c r="AK2792">
        <f>IF($D2792="","",IF(COUNTIF($D$2:$D2792,$D2792)=1,1,0))</f>
        <v/>
      </c>
      <c r="AL2792">
        <f>IF($AK2792=1,SUMPRODUCT(--($AO$2:$AO$3001&lt;$AO2792))+1,"")</f>
        <v/>
      </c>
      <c r="AM2792">
        <f>IF($D2792="","",IF(OR($R2792=TRUE(),$R2792="TRUE"),1,0))</f>
        <v/>
      </c>
      <c r="AN2792">
        <f>IF($D2792="","",IF($X2792="Yes",1,0))</f>
        <v/>
      </c>
      <c r="AO2792">
        <f>IF($AK2792=1,IFERROR(IF(VALUE($D2792)&lt;100000000,VALUE($D2792),1000000000),IFERROR(IF(VALUE(MID($D2792,2,20))&lt;100000000,VALUE(MID($D2792,2,20)),1000000000),1000000000))+ROW()/100000,"")</f>
        <v/>
      </c>
    </row>
    <row r="2793">
      <c r="F2793" s="11" t="n"/>
      <c r="N2793" s="7">
        <f>IF($D2793="","",M2793*V2793/100)</f>
        <v/>
      </c>
      <c r="O2793" s="7" t="n"/>
      <c r="U2793" s="7" t="n"/>
      <c r="V2793" s="7" t="n"/>
      <c r="Y2793">
        <f>IF($D2793="","",IF($AN2793=1,0,IF($AM2793=1,Settings!$C$6,Settings!$C$7))*100)</f>
        <v/>
      </c>
      <c r="Z2793" s="7">
        <f>IF($D2793="","",V2793*Y2793/100)</f>
        <v/>
      </c>
      <c r="AA2793" s="7">
        <f>IF($D2793="","",V2793-Z2793)</f>
        <v/>
      </c>
      <c r="AB2793" s="7">
        <f>IF($D2793="","",AA2793-N2793)</f>
        <v/>
      </c>
      <c r="AF2793" s="7" t="n"/>
      <c r="AI2793" s="11" t="n"/>
      <c r="AK2793">
        <f>IF($D2793="","",IF(COUNTIF($D$2:$D2793,$D2793)=1,1,0))</f>
        <v/>
      </c>
      <c r="AL2793">
        <f>IF($AK2793=1,SUMPRODUCT(--($AO$2:$AO$3001&lt;$AO2793))+1,"")</f>
        <v/>
      </c>
      <c r="AM2793">
        <f>IF($D2793="","",IF(OR($R2793=TRUE(),$R2793="TRUE"),1,0))</f>
        <v/>
      </c>
      <c r="AN2793">
        <f>IF($D2793="","",IF($X2793="Yes",1,0))</f>
        <v/>
      </c>
      <c r="AO2793">
        <f>IF($AK2793=1,IFERROR(IF(VALUE($D2793)&lt;100000000,VALUE($D2793),1000000000),IFERROR(IF(VALUE(MID($D2793,2,20))&lt;100000000,VALUE(MID($D2793,2,20)),1000000000),1000000000))+ROW()/100000,"")</f>
        <v/>
      </c>
    </row>
    <row r="2794">
      <c r="F2794" s="11" t="n"/>
      <c r="N2794" s="7">
        <f>IF($D2794="","",M2794*V2794/100)</f>
        <v/>
      </c>
      <c r="O2794" s="7" t="n"/>
      <c r="U2794" s="7" t="n"/>
      <c r="V2794" s="7" t="n"/>
      <c r="Y2794">
        <f>IF($D2794="","",IF($AN2794=1,0,IF($AM2794=1,Settings!$C$6,Settings!$C$7))*100)</f>
        <v/>
      </c>
      <c r="Z2794" s="7">
        <f>IF($D2794="","",V2794*Y2794/100)</f>
        <v/>
      </c>
      <c r="AA2794" s="7">
        <f>IF($D2794="","",V2794-Z2794)</f>
        <v/>
      </c>
      <c r="AB2794" s="7">
        <f>IF($D2794="","",AA2794-N2794)</f>
        <v/>
      </c>
      <c r="AF2794" s="7" t="n"/>
      <c r="AI2794" s="11" t="n"/>
      <c r="AK2794">
        <f>IF($D2794="","",IF(COUNTIF($D$2:$D2794,$D2794)=1,1,0))</f>
        <v/>
      </c>
      <c r="AL2794">
        <f>IF($AK2794=1,SUMPRODUCT(--($AO$2:$AO$3001&lt;$AO2794))+1,"")</f>
        <v/>
      </c>
      <c r="AM2794">
        <f>IF($D2794="","",IF(OR($R2794=TRUE(),$R2794="TRUE"),1,0))</f>
        <v/>
      </c>
      <c r="AN2794">
        <f>IF($D2794="","",IF($X2794="Yes",1,0))</f>
        <v/>
      </c>
      <c r="AO2794">
        <f>IF($AK2794=1,IFERROR(IF(VALUE($D2794)&lt;100000000,VALUE($D2794),1000000000),IFERROR(IF(VALUE(MID($D2794,2,20))&lt;100000000,VALUE(MID($D2794,2,20)),1000000000),1000000000))+ROW()/100000,"")</f>
        <v/>
      </c>
    </row>
    <row r="2795">
      <c r="F2795" s="11" t="n"/>
      <c r="N2795" s="7">
        <f>IF($D2795="","",M2795*V2795/100)</f>
        <v/>
      </c>
      <c r="O2795" s="7" t="n"/>
      <c r="U2795" s="7" t="n"/>
      <c r="V2795" s="7" t="n"/>
      <c r="Y2795">
        <f>IF($D2795="","",IF($AN2795=1,0,IF($AM2795=1,Settings!$C$6,Settings!$C$7))*100)</f>
        <v/>
      </c>
      <c r="Z2795" s="7">
        <f>IF($D2795="","",V2795*Y2795/100)</f>
        <v/>
      </c>
      <c r="AA2795" s="7">
        <f>IF($D2795="","",V2795-Z2795)</f>
        <v/>
      </c>
      <c r="AB2795" s="7">
        <f>IF($D2795="","",AA2795-N2795)</f>
        <v/>
      </c>
      <c r="AF2795" s="7" t="n"/>
      <c r="AI2795" s="11" t="n"/>
      <c r="AK2795">
        <f>IF($D2795="","",IF(COUNTIF($D$2:$D2795,$D2795)=1,1,0))</f>
        <v/>
      </c>
      <c r="AL2795">
        <f>IF($AK2795=1,SUMPRODUCT(--($AO$2:$AO$3001&lt;$AO2795))+1,"")</f>
        <v/>
      </c>
      <c r="AM2795">
        <f>IF($D2795="","",IF(OR($R2795=TRUE(),$R2795="TRUE"),1,0))</f>
        <v/>
      </c>
      <c r="AN2795">
        <f>IF($D2795="","",IF($X2795="Yes",1,0))</f>
        <v/>
      </c>
      <c r="AO2795">
        <f>IF($AK2795=1,IFERROR(IF(VALUE($D2795)&lt;100000000,VALUE($D2795),1000000000),IFERROR(IF(VALUE(MID($D2795,2,20))&lt;100000000,VALUE(MID($D2795,2,20)),1000000000),1000000000))+ROW()/100000,"")</f>
        <v/>
      </c>
    </row>
    <row r="2796">
      <c r="F2796" s="11" t="n"/>
      <c r="N2796" s="7">
        <f>IF($D2796="","",M2796*V2796/100)</f>
        <v/>
      </c>
      <c r="O2796" s="7" t="n"/>
      <c r="U2796" s="7" t="n"/>
      <c r="V2796" s="7" t="n"/>
      <c r="Y2796">
        <f>IF($D2796="","",IF($AN2796=1,0,IF($AM2796=1,Settings!$C$6,Settings!$C$7))*100)</f>
        <v/>
      </c>
      <c r="Z2796" s="7">
        <f>IF($D2796="","",V2796*Y2796/100)</f>
        <v/>
      </c>
      <c r="AA2796" s="7">
        <f>IF($D2796="","",V2796-Z2796)</f>
        <v/>
      </c>
      <c r="AB2796" s="7">
        <f>IF($D2796="","",AA2796-N2796)</f>
        <v/>
      </c>
      <c r="AF2796" s="7" t="n"/>
      <c r="AI2796" s="11" t="n"/>
      <c r="AK2796">
        <f>IF($D2796="","",IF(COUNTIF($D$2:$D2796,$D2796)=1,1,0))</f>
        <v/>
      </c>
      <c r="AL2796">
        <f>IF($AK2796=1,SUMPRODUCT(--($AO$2:$AO$3001&lt;$AO2796))+1,"")</f>
        <v/>
      </c>
      <c r="AM2796">
        <f>IF($D2796="","",IF(OR($R2796=TRUE(),$R2796="TRUE"),1,0))</f>
        <v/>
      </c>
      <c r="AN2796">
        <f>IF($D2796="","",IF($X2796="Yes",1,0))</f>
        <v/>
      </c>
      <c r="AO2796">
        <f>IF($AK2796=1,IFERROR(IF(VALUE($D2796)&lt;100000000,VALUE($D2796),1000000000),IFERROR(IF(VALUE(MID($D2796,2,20))&lt;100000000,VALUE(MID($D2796,2,20)),1000000000),1000000000))+ROW()/100000,"")</f>
        <v/>
      </c>
    </row>
    <row r="2797">
      <c r="F2797" s="11" t="n"/>
      <c r="N2797" s="7">
        <f>IF($D2797="","",M2797*V2797/100)</f>
        <v/>
      </c>
      <c r="O2797" s="7" t="n"/>
      <c r="U2797" s="7" t="n"/>
      <c r="V2797" s="7" t="n"/>
      <c r="Y2797">
        <f>IF($D2797="","",IF($AN2797=1,0,IF($AM2797=1,Settings!$C$6,Settings!$C$7))*100)</f>
        <v/>
      </c>
      <c r="Z2797" s="7">
        <f>IF($D2797="","",V2797*Y2797/100)</f>
        <v/>
      </c>
      <c r="AA2797" s="7">
        <f>IF($D2797="","",V2797-Z2797)</f>
        <v/>
      </c>
      <c r="AB2797" s="7">
        <f>IF($D2797="","",AA2797-N2797)</f>
        <v/>
      </c>
      <c r="AF2797" s="7" t="n"/>
      <c r="AI2797" s="11" t="n"/>
      <c r="AK2797">
        <f>IF($D2797="","",IF(COUNTIF($D$2:$D2797,$D2797)=1,1,0))</f>
        <v/>
      </c>
      <c r="AL2797">
        <f>IF($AK2797=1,SUMPRODUCT(--($AO$2:$AO$3001&lt;$AO2797))+1,"")</f>
        <v/>
      </c>
      <c r="AM2797">
        <f>IF($D2797="","",IF(OR($R2797=TRUE(),$R2797="TRUE"),1,0))</f>
        <v/>
      </c>
      <c r="AN2797">
        <f>IF($D2797="","",IF($X2797="Yes",1,0))</f>
        <v/>
      </c>
      <c r="AO2797">
        <f>IF($AK2797=1,IFERROR(IF(VALUE($D2797)&lt;100000000,VALUE($D2797),1000000000),IFERROR(IF(VALUE(MID($D2797,2,20))&lt;100000000,VALUE(MID($D2797,2,20)),1000000000),1000000000))+ROW()/100000,"")</f>
        <v/>
      </c>
    </row>
    <row r="2798">
      <c r="F2798" s="11" t="n"/>
      <c r="N2798" s="7">
        <f>IF($D2798="","",M2798*V2798/100)</f>
        <v/>
      </c>
      <c r="O2798" s="7" t="n"/>
      <c r="U2798" s="7" t="n"/>
      <c r="V2798" s="7" t="n"/>
      <c r="Y2798">
        <f>IF($D2798="","",IF($AN2798=1,0,IF($AM2798=1,Settings!$C$6,Settings!$C$7))*100)</f>
        <v/>
      </c>
      <c r="Z2798" s="7">
        <f>IF($D2798="","",V2798*Y2798/100)</f>
        <v/>
      </c>
      <c r="AA2798" s="7">
        <f>IF($D2798="","",V2798-Z2798)</f>
        <v/>
      </c>
      <c r="AB2798" s="7">
        <f>IF($D2798="","",AA2798-N2798)</f>
        <v/>
      </c>
      <c r="AF2798" s="7" t="n"/>
      <c r="AI2798" s="11" t="n"/>
      <c r="AK2798">
        <f>IF($D2798="","",IF(COUNTIF($D$2:$D2798,$D2798)=1,1,0))</f>
        <v/>
      </c>
      <c r="AL2798">
        <f>IF($AK2798=1,SUMPRODUCT(--($AO$2:$AO$3001&lt;$AO2798))+1,"")</f>
        <v/>
      </c>
      <c r="AM2798">
        <f>IF($D2798="","",IF(OR($R2798=TRUE(),$R2798="TRUE"),1,0))</f>
        <v/>
      </c>
      <c r="AN2798">
        <f>IF($D2798="","",IF($X2798="Yes",1,0))</f>
        <v/>
      </c>
      <c r="AO2798">
        <f>IF($AK2798=1,IFERROR(IF(VALUE($D2798)&lt;100000000,VALUE($D2798),1000000000),IFERROR(IF(VALUE(MID($D2798,2,20))&lt;100000000,VALUE(MID($D2798,2,20)),1000000000),1000000000))+ROW()/100000,"")</f>
        <v/>
      </c>
    </row>
    <row r="2799">
      <c r="F2799" s="11" t="n"/>
      <c r="N2799" s="7">
        <f>IF($D2799="","",M2799*V2799/100)</f>
        <v/>
      </c>
      <c r="O2799" s="7" t="n"/>
      <c r="U2799" s="7" t="n"/>
      <c r="V2799" s="7" t="n"/>
      <c r="Y2799">
        <f>IF($D2799="","",IF($AN2799=1,0,IF($AM2799=1,Settings!$C$6,Settings!$C$7))*100)</f>
        <v/>
      </c>
      <c r="Z2799" s="7">
        <f>IF($D2799="","",V2799*Y2799/100)</f>
        <v/>
      </c>
      <c r="AA2799" s="7">
        <f>IF($D2799="","",V2799-Z2799)</f>
        <v/>
      </c>
      <c r="AB2799" s="7">
        <f>IF($D2799="","",AA2799-N2799)</f>
        <v/>
      </c>
      <c r="AF2799" s="7" t="n"/>
      <c r="AI2799" s="11" t="n"/>
      <c r="AK2799">
        <f>IF($D2799="","",IF(COUNTIF($D$2:$D2799,$D2799)=1,1,0))</f>
        <v/>
      </c>
      <c r="AL2799">
        <f>IF($AK2799=1,SUMPRODUCT(--($AO$2:$AO$3001&lt;$AO2799))+1,"")</f>
        <v/>
      </c>
      <c r="AM2799">
        <f>IF($D2799="","",IF(OR($R2799=TRUE(),$R2799="TRUE"),1,0))</f>
        <v/>
      </c>
      <c r="AN2799">
        <f>IF($D2799="","",IF($X2799="Yes",1,0))</f>
        <v/>
      </c>
      <c r="AO2799">
        <f>IF($AK2799=1,IFERROR(IF(VALUE($D2799)&lt;100000000,VALUE($D2799),1000000000),IFERROR(IF(VALUE(MID($D2799,2,20))&lt;100000000,VALUE(MID($D2799,2,20)),1000000000),1000000000))+ROW()/100000,"")</f>
        <v/>
      </c>
    </row>
    <row r="2800">
      <c r="F2800" s="11" t="n"/>
      <c r="N2800" s="7">
        <f>IF($D2800="","",M2800*V2800/100)</f>
        <v/>
      </c>
      <c r="O2800" s="7" t="n"/>
      <c r="U2800" s="7" t="n"/>
      <c r="V2800" s="7" t="n"/>
      <c r="Y2800">
        <f>IF($D2800="","",IF($AN2800=1,0,IF($AM2800=1,Settings!$C$6,Settings!$C$7))*100)</f>
        <v/>
      </c>
      <c r="Z2800" s="7">
        <f>IF($D2800="","",V2800*Y2800/100)</f>
        <v/>
      </c>
      <c r="AA2800" s="7">
        <f>IF($D2800="","",V2800-Z2800)</f>
        <v/>
      </c>
      <c r="AB2800" s="7">
        <f>IF($D2800="","",AA2800-N2800)</f>
        <v/>
      </c>
      <c r="AF2800" s="7" t="n"/>
      <c r="AI2800" s="11" t="n"/>
      <c r="AK2800">
        <f>IF($D2800="","",IF(COUNTIF($D$2:$D2800,$D2800)=1,1,0))</f>
        <v/>
      </c>
      <c r="AL2800">
        <f>IF($AK2800=1,SUMPRODUCT(--($AO$2:$AO$3001&lt;$AO2800))+1,"")</f>
        <v/>
      </c>
      <c r="AM2800">
        <f>IF($D2800="","",IF(OR($R2800=TRUE(),$R2800="TRUE"),1,0))</f>
        <v/>
      </c>
      <c r="AN2800">
        <f>IF($D2800="","",IF($X2800="Yes",1,0))</f>
        <v/>
      </c>
      <c r="AO2800">
        <f>IF($AK2800=1,IFERROR(IF(VALUE($D2800)&lt;100000000,VALUE($D2800),1000000000),IFERROR(IF(VALUE(MID($D2800,2,20))&lt;100000000,VALUE(MID($D2800,2,20)),1000000000),1000000000))+ROW()/100000,"")</f>
        <v/>
      </c>
    </row>
    <row r="2801">
      <c r="F2801" s="11" t="n"/>
      <c r="N2801" s="7">
        <f>IF($D2801="","",M2801*V2801/100)</f>
        <v/>
      </c>
      <c r="O2801" s="7" t="n"/>
      <c r="U2801" s="7" t="n"/>
      <c r="V2801" s="7" t="n"/>
      <c r="Y2801">
        <f>IF($D2801="","",IF($AN2801=1,0,IF($AM2801=1,Settings!$C$6,Settings!$C$7))*100)</f>
        <v/>
      </c>
      <c r="Z2801" s="7">
        <f>IF($D2801="","",V2801*Y2801/100)</f>
        <v/>
      </c>
      <c r="AA2801" s="7">
        <f>IF($D2801="","",V2801-Z2801)</f>
        <v/>
      </c>
      <c r="AB2801" s="7">
        <f>IF($D2801="","",AA2801-N2801)</f>
        <v/>
      </c>
      <c r="AF2801" s="7" t="n"/>
      <c r="AI2801" s="11" t="n"/>
      <c r="AK2801">
        <f>IF($D2801="","",IF(COUNTIF($D$2:$D2801,$D2801)=1,1,0))</f>
        <v/>
      </c>
      <c r="AL2801">
        <f>IF($AK2801=1,SUMPRODUCT(--($AO$2:$AO$3001&lt;$AO2801))+1,"")</f>
        <v/>
      </c>
      <c r="AM2801">
        <f>IF($D2801="","",IF(OR($R2801=TRUE(),$R2801="TRUE"),1,0))</f>
        <v/>
      </c>
      <c r="AN2801">
        <f>IF($D2801="","",IF($X2801="Yes",1,0))</f>
        <v/>
      </c>
      <c r="AO2801">
        <f>IF($AK2801=1,IFERROR(IF(VALUE($D2801)&lt;100000000,VALUE($D2801),1000000000),IFERROR(IF(VALUE(MID($D2801,2,20))&lt;100000000,VALUE(MID($D2801,2,20)),1000000000),1000000000))+ROW()/100000,"")</f>
        <v/>
      </c>
    </row>
    <row r="2802">
      <c r="F2802" s="11" t="n"/>
      <c r="N2802" s="7">
        <f>IF($D2802="","",M2802*V2802/100)</f>
        <v/>
      </c>
      <c r="O2802" s="7" t="n"/>
      <c r="U2802" s="7" t="n"/>
      <c r="V2802" s="7" t="n"/>
      <c r="Y2802">
        <f>IF($D2802="","",IF($AN2802=1,0,IF($AM2802=1,Settings!$C$6,Settings!$C$7))*100)</f>
        <v/>
      </c>
      <c r="Z2802" s="7">
        <f>IF($D2802="","",V2802*Y2802/100)</f>
        <v/>
      </c>
      <c r="AA2802" s="7">
        <f>IF($D2802="","",V2802-Z2802)</f>
        <v/>
      </c>
      <c r="AB2802" s="7">
        <f>IF($D2802="","",AA2802-N2802)</f>
        <v/>
      </c>
      <c r="AF2802" s="7" t="n"/>
      <c r="AI2802" s="11" t="n"/>
      <c r="AK2802">
        <f>IF($D2802="","",IF(COUNTIF($D$2:$D2802,$D2802)=1,1,0))</f>
        <v/>
      </c>
      <c r="AL2802">
        <f>IF($AK2802=1,SUMPRODUCT(--($AO$2:$AO$3001&lt;$AO2802))+1,"")</f>
        <v/>
      </c>
      <c r="AM2802">
        <f>IF($D2802="","",IF(OR($R2802=TRUE(),$R2802="TRUE"),1,0))</f>
        <v/>
      </c>
      <c r="AN2802">
        <f>IF($D2802="","",IF($X2802="Yes",1,0))</f>
        <v/>
      </c>
      <c r="AO2802">
        <f>IF($AK2802=1,IFERROR(IF(VALUE($D2802)&lt;100000000,VALUE($D2802),1000000000),IFERROR(IF(VALUE(MID($D2802,2,20))&lt;100000000,VALUE(MID($D2802,2,20)),1000000000),1000000000))+ROW()/100000,"")</f>
        <v/>
      </c>
    </row>
    <row r="2803">
      <c r="F2803" s="11" t="n"/>
      <c r="N2803" s="7">
        <f>IF($D2803="","",M2803*V2803/100)</f>
        <v/>
      </c>
      <c r="O2803" s="7" t="n"/>
      <c r="U2803" s="7" t="n"/>
      <c r="V2803" s="7" t="n"/>
      <c r="Y2803">
        <f>IF($D2803="","",IF($AN2803=1,0,IF($AM2803=1,Settings!$C$6,Settings!$C$7))*100)</f>
        <v/>
      </c>
      <c r="Z2803" s="7">
        <f>IF($D2803="","",V2803*Y2803/100)</f>
        <v/>
      </c>
      <c r="AA2803" s="7">
        <f>IF($D2803="","",V2803-Z2803)</f>
        <v/>
      </c>
      <c r="AB2803" s="7">
        <f>IF($D2803="","",AA2803-N2803)</f>
        <v/>
      </c>
      <c r="AF2803" s="7" t="n"/>
      <c r="AI2803" s="11" t="n"/>
      <c r="AK2803">
        <f>IF($D2803="","",IF(COUNTIF($D$2:$D2803,$D2803)=1,1,0))</f>
        <v/>
      </c>
      <c r="AL2803">
        <f>IF($AK2803=1,SUMPRODUCT(--($AO$2:$AO$3001&lt;$AO2803))+1,"")</f>
        <v/>
      </c>
      <c r="AM2803">
        <f>IF($D2803="","",IF(OR($R2803=TRUE(),$R2803="TRUE"),1,0))</f>
        <v/>
      </c>
      <c r="AN2803">
        <f>IF($D2803="","",IF($X2803="Yes",1,0))</f>
        <v/>
      </c>
      <c r="AO2803">
        <f>IF($AK2803=1,IFERROR(IF(VALUE($D2803)&lt;100000000,VALUE($D2803),1000000000),IFERROR(IF(VALUE(MID($D2803,2,20))&lt;100000000,VALUE(MID($D2803,2,20)),1000000000),1000000000))+ROW()/100000,"")</f>
        <v/>
      </c>
    </row>
    <row r="2804">
      <c r="F2804" s="11" t="n"/>
      <c r="N2804" s="7">
        <f>IF($D2804="","",M2804*V2804/100)</f>
        <v/>
      </c>
      <c r="O2804" s="7" t="n"/>
      <c r="U2804" s="7" t="n"/>
      <c r="V2804" s="7" t="n"/>
      <c r="Y2804">
        <f>IF($D2804="","",IF($AN2804=1,0,IF($AM2804=1,Settings!$C$6,Settings!$C$7))*100)</f>
        <v/>
      </c>
      <c r="Z2804" s="7">
        <f>IF($D2804="","",V2804*Y2804/100)</f>
        <v/>
      </c>
      <c r="AA2804" s="7">
        <f>IF($D2804="","",V2804-Z2804)</f>
        <v/>
      </c>
      <c r="AB2804" s="7">
        <f>IF($D2804="","",AA2804-N2804)</f>
        <v/>
      </c>
      <c r="AF2804" s="7" t="n"/>
      <c r="AI2804" s="11" t="n"/>
      <c r="AK2804">
        <f>IF($D2804="","",IF(COUNTIF($D$2:$D2804,$D2804)=1,1,0))</f>
        <v/>
      </c>
      <c r="AL2804">
        <f>IF($AK2804=1,SUMPRODUCT(--($AO$2:$AO$3001&lt;$AO2804))+1,"")</f>
        <v/>
      </c>
      <c r="AM2804">
        <f>IF($D2804="","",IF(OR($R2804=TRUE(),$R2804="TRUE"),1,0))</f>
        <v/>
      </c>
      <c r="AN2804">
        <f>IF($D2804="","",IF($X2804="Yes",1,0))</f>
        <v/>
      </c>
      <c r="AO2804">
        <f>IF($AK2804=1,IFERROR(IF(VALUE($D2804)&lt;100000000,VALUE($D2804),1000000000),IFERROR(IF(VALUE(MID($D2804,2,20))&lt;100000000,VALUE(MID($D2804,2,20)),1000000000),1000000000))+ROW()/100000,"")</f>
        <v/>
      </c>
    </row>
    <row r="2805">
      <c r="F2805" s="11" t="n"/>
      <c r="N2805" s="7">
        <f>IF($D2805="","",M2805*V2805/100)</f>
        <v/>
      </c>
      <c r="O2805" s="7" t="n"/>
      <c r="U2805" s="7" t="n"/>
      <c r="V2805" s="7" t="n"/>
      <c r="Y2805">
        <f>IF($D2805="","",IF($AN2805=1,0,IF($AM2805=1,Settings!$C$6,Settings!$C$7))*100)</f>
        <v/>
      </c>
      <c r="Z2805" s="7">
        <f>IF($D2805="","",V2805*Y2805/100)</f>
        <v/>
      </c>
      <c r="AA2805" s="7">
        <f>IF($D2805="","",V2805-Z2805)</f>
        <v/>
      </c>
      <c r="AB2805" s="7">
        <f>IF($D2805="","",AA2805-N2805)</f>
        <v/>
      </c>
      <c r="AF2805" s="7" t="n"/>
      <c r="AI2805" s="11" t="n"/>
      <c r="AK2805">
        <f>IF($D2805="","",IF(COUNTIF($D$2:$D2805,$D2805)=1,1,0))</f>
        <v/>
      </c>
      <c r="AL2805">
        <f>IF($AK2805=1,SUMPRODUCT(--($AO$2:$AO$3001&lt;$AO2805))+1,"")</f>
        <v/>
      </c>
      <c r="AM2805">
        <f>IF($D2805="","",IF(OR($R2805=TRUE(),$R2805="TRUE"),1,0))</f>
        <v/>
      </c>
      <c r="AN2805">
        <f>IF($D2805="","",IF($X2805="Yes",1,0))</f>
        <v/>
      </c>
      <c r="AO2805">
        <f>IF($AK2805=1,IFERROR(IF(VALUE($D2805)&lt;100000000,VALUE($D2805),1000000000),IFERROR(IF(VALUE(MID($D2805,2,20))&lt;100000000,VALUE(MID($D2805,2,20)),1000000000),1000000000))+ROW()/100000,"")</f>
        <v/>
      </c>
    </row>
    <row r="2806">
      <c r="F2806" s="11" t="n"/>
      <c r="N2806" s="7">
        <f>IF($D2806="","",M2806*V2806/100)</f>
        <v/>
      </c>
      <c r="O2806" s="7" t="n"/>
      <c r="U2806" s="7" t="n"/>
      <c r="V2806" s="7" t="n"/>
      <c r="Y2806">
        <f>IF($D2806="","",IF($AN2806=1,0,IF($AM2806=1,Settings!$C$6,Settings!$C$7))*100)</f>
        <v/>
      </c>
      <c r="Z2806" s="7">
        <f>IF($D2806="","",V2806*Y2806/100)</f>
        <v/>
      </c>
      <c r="AA2806" s="7">
        <f>IF($D2806="","",V2806-Z2806)</f>
        <v/>
      </c>
      <c r="AB2806" s="7">
        <f>IF($D2806="","",AA2806-N2806)</f>
        <v/>
      </c>
      <c r="AF2806" s="7" t="n"/>
      <c r="AI2806" s="11" t="n"/>
      <c r="AK2806">
        <f>IF($D2806="","",IF(COUNTIF($D$2:$D2806,$D2806)=1,1,0))</f>
        <v/>
      </c>
      <c r="AL2806">
        <f>IF($AK2806=1,SUMPRODUCT(--($AO$2:$AO$3001&lt;$AO2806))+1,"")</f>
        <v/>
      </c>
      <c r="AM2806">
        <f>IF($D2806="","",IF(OR($R2806=TRUE(),$R2806="TRUE"),1,0))</f>
        <v/>
      </c>
      <c r="AN2806">
        <f>IF($D2806="","",IF($X2806="Yes",1,0))</f>
        <v/>
      </c>
      <c r="AO2806">
        <f>IF($AK2806=1,IFERROR(IF(VALUE($D2806)&lt;100000000,VALUE($D2806),1000000000),IFERROR(IF(VALUE(MID($D2806,2,20))&lt;100000000,VALUE(MID($D2806,2,20)),1000000000),1000000000))+ROW()/100000,"")</f>
        <v/>
      </c>
    </row>
    <row r="2807">
      <c r="F2807" s="11" t="n"/>
      <c r="N2807" s="7">
        <f>IF($D2807="","",M2807*V2807/100)</f>
        <v/>
      </c>
      <c r="O2807" s="7" t="n"/>
      <c r="U2807" s="7" t="n"/>
      <c r="V2807" s="7" t="n"/>
      <c r="Y2807">
        <f>IF($D2807="","",IF($AN2807=1,0,IF($AM2807=1,Settings!$C$6,Settings!$C$7))*100)</f>
        <v/>
      </c>
      <c r="Z2807" s="7">
        <f>IF($D2807="","",V2807*Y2807/100)</f>
        <v/>
      </c>
      <c r="AA2807" s="7">
        <f>IF($D2807="","",V2807-Z2807)</f>
        <v/>
      </c>
      <c r="AB2807" s="7">
        <f>IF($D2807="","",AA2807-N2807)</f>
        <v/>
      </c>
      <c r="AF2807" s="7" t="n"/>
      <c r="AI2807" s="11" t="n"/>
      <c r="AK2807">
        <f>IF($D2807="","",IF(COUNTIF($D$2:$D2807,$D2807)=1,1,0))</f>
        <v/>
      </c>
      <c r="AL2807">
        <f>IF($AK2807=1,SUMPRODUCT(--($AO$2:$AO$3001&lt;$AO2807))+1,"")</f>
        <v/>
      </c>
      <c r="AM2807">
        <f>IF($D2807="","",IF(OR($R2807=TRUE(),$R2807="TRUE"),1,0))</f>
        <v/>
      </c>
      <c r="AN2807">
        <f>IF($D2807="","",IF($X2807="Yes",1,0))</f>
        <v/>
      </c>
      <c r="AO2807">
        <f>IF($AK2807=1,IFERROR(IF(VALUE($D2807)&lt;100000000,VALUE($D2807),1000000000),IFERROR(IF(VALUE(MID($D2807,2,20))&lt;100000000,VALUE(MID($D2807,2,20)),1000000000),1000000000))+ROW()/100000,"")</f>
        <v/>
      </c>
    </row>
    <row r="2808">
      <c r="F2808" s="11" t="n"/>
      <c r="N2808" s="7">
        <f>IF($D2808="","",M2808*V2808/100)</f>
        <v/>
      </c>
      <c r="O2808" s="7" t="n"/>
      <c r="U2808" s="7" t="n"/>
      <c r="V2808" s="7" t="n"/>
      <c r="Y2808">
        <f>IF($D2808="","",IF($AN2808=1,0,IF($AM2808=1,Settings!$C$6,Settings!$C$7))*100)</f>
        <v/>
      </c>
      <c r="Z2808" s="7">
        <f>IF($D2808="","",V2808*Y2808/100)</f>
        <v/>
      </c>
      <c r="AA2808" s="7">
        <f>IF($D2808="","",V2808-Z2808)</f>
        <v/>
      </c>
      <c r="AB2808" s="7">
        <f>IF($D2808="","",AA2808-N2808)</f>
        <v/>
      </c>
      <c r="AF2808" s="7" t="n"/>
      <c r="AI2808" s="11" t="n"/>
      <c r="AK2808">
        <f>IF($D2808="","",IF(COUNTIF($D$2:$D2808,$D2808)=1,1,0))</f>
        <v/>
      </c>
      <c r="AL2808">
        <f>IF($AK2808=1,SUMPRODUCT(--($AO$2:$AO$3001&lt;$AO2808))+1,"")</f>
        <v/>
      </c>
      <c r="AM2808">
        <f>IF($D2808="","",IF(OR($R2808=TRUE(),$R2808="TRUE"),1,0))</f>
        <v/>
      </c>
      <c r="AN2808">
        <f>IF($D2808="","",IF($X2808="Yes",1,0))</f>
        <v/>
      </c>
      <c r="AO2808">
        <f>IF($AK2808=1,IFERROR(IF(VALUE($D2808)&lt;100000000,VALUE($D2808),1000000000),IFERROR(IF(VALUE(MID($D2808,2,20))&lt;100000000,VALUE(MID($D2808,2,20)),1000000000),1000000000))+ROW()/100000,"")</f>
        <v/>
      </c>
    </row>
    <row r="2809">
      <c r="F2809" s="11" t="n"/>
      <c r="N2809" s="7">
        <f>IF($D2809="","",M2809*V2809/100)</f>
        <v/>
      </c>
      <c r="O2809" s="7" t="n"/>
      <c r="U2809" s="7" t="n"/>
      <c r="V2809" s="7" t="n"/>
      <c r="Y2809">
        <f>IF($D2809="","",IF($AN2809=1,0,IF($AM2809=1,Settings!$C$6,Settings!$C$7))*100)</f>
        <v/>
      </c>
      <c r="Z2809" s="7">
        <f>IF($D2809="","",V2809*Y2809/100)</f>
        <v/>
      </c>
      <c r="AA2809" s="7">
        <f>IF($D2809="","",V2809-Z2809)</f>
        <v/>
      </c>
      <c r="AB2809" s="7">
        <f>IF($D2809="","",AA2809-N2809)</f>
        <v/>
      </c>
      <c r="AF2809" s="7" t="n"/>
      <c r="AI2809" s="11" t="n"/>
      <c r="AK2809">
        <f>IF($D2809="","",IF(COUNTIF($D$2:$D2809,$D2809)=1,1,0))</f>
        <v/>
      </c>
      <c r="AL2809">
        <f>IF($AK2809=1,SUMPRODUCT(--($AO$2:$AO$3001&lt;$AO2809))+1,"")</f>
        <v/>
      </c>
      <c r="AM2809">
        <f>IF($D2809="","",IF(OR($R2809=TRUE(),$R2809="TRUE"),1,0))</f>
        <v/>
      </c>
      <c r="AN2809">
        <f>IF($D2809="","",IF($X2809="Yes",1,0))</f>
        <v/>
      </c>
      <c r="AO2809">
        <f>IF($AK2809=1,IFERROR(IF(VALUE($D2809)&lt;100000000,VALUE($D2809),1000000000),IFERROR(IF(VALUE(MID($D2809,2,20))&lt;100000000,VALUE(MID($D2809,2,20)),1000000000),1000000000))+ROW()/100000,"")</f>
        <v/>
      </c>
    </row>
    <row r="2810">
      <c r="F2810" s="11" t="n"/>
      <c r="N2810" s="7">
        <f>IF($D2810="","",M2810*V2810/100)</f>
        <v/>
      </c>
      <c r="O2810" s="7" t="n"/>
      <c r="U2810" s="7" t="n"/>
      <c r="V2810" s="7" t="n"/>
      <c r="Y2810">
        <f>IF($D2810="","",IF($AN2810=1,0,IF($AM2810=1,Settings!$C$6,Settings!$C$7))*100)</f>
        <v/>
      </c>
      <c r="Z2810" s="7">
        <f>IF($D2810="","",V2810*Y2810/100)</f>
        <v/>
      </c>
      <c r="AA2810" s="7">
        <f>IF($D2810="","",V2810-Z2810)</f>
        <v/>
      </c>
      <c r="AB2810" s="7">
        <f>IF($D2810="","",AA2810-N2810)</f>
        <v/>
      </c>
      <c r="AF2810" s="7" t="n"/>
      <c r="AI2810" s="11" t="n"/>
      <c r="AK2810">
        <f>IF($D2810="","",IF(COUNTIF($D$2:$D2810,$D2810)=1,1,0))</f>
        <v/>
      </c>
      <c r="AL2810">
        <f>IF($AK2810=1,SUMPRODUCT(--($AO$2:$AO$3001&lt;$AO2810))+1,"")</f>
        <v/>
      </c>
      <c r="AM2810">
        <f>IF($D2810="","",IF(OR($R2810=TRUE(),$R2810="TRUE"),1,0))</f>
        <v/>
      </c>
      <c r="AN2810">
        <f>IF($D2810="","",IF($X2810="Yes",1,0))</f>
        <v/>
      </c>
      <c r="AO2810">
        <f>IF($AK2810=1,IFERROR(IF(VALUE($D2810)&lt;100000000,VALUE($D2810),1000000000),IFERROR(IF(VALUE(MID($D2810,2,20))&lt;100000000,VALUE(MID($D2810,2,20)),1000000000),1000000000))+ROW()/100000,"")</f>
        <v/>
      </c>
    </row>
    <row r="2811">
      <c r="F2811" s="11" t="n"/>
      <c r="N2811" s="7">
        <f>IF($D2811="","",M2811*V2811/100)</f>
        <v/>
      </c>
      <c r="O2811" s="7" t="n"/>
      <c r="U2811" s="7" t="n"/>
      <c r="V2811" s="7" t="n"/>
      <c r="Y2811">
        <f>IF($D2811="","",IF($AN2811=1,0,IF($AM2811=1,Settings!$C$6,Settings!$C$7))*100)</f>
        <v/>
      </c>
      <c r="Z2811" s="7">
        <f>IF($D2811="","",V2811*Y2811/100)</f>
        <v/>
      </c>
      <c r="AA2811" s="7">
        <f>IF($D2811="","",V2811-Z2811)</f>
        <v/>
      </c>
      <c r="AB2811" s="7">
        <f>IF($D2811="","",AA2811-N2811)</f>
        <v/>
      </c>
      <c r="AF2811" s="7" t="n"/>
      <c r="AI2811" s="11" t="n"/>
      <c r="AK2811">
        <f>IF($D2811="","",IF(COUNTIF($D$2:$D2811,$D2811)=1,1,0))</f>
        <v/>
      </c>
      <c r="AL2811">
        <f>IF($AK2811=1,SUMPRODUCT(--($AO$2:$AO$3001&lt;$AO2811))+1,"")</f>
        <v/>
      </c>
      <c r="AM2811">
        <f>IF($D2811="","",IF(OR($R2811=TRUE(),$R2811="TRUE"),1,0))</f>
        <v/>
      </c>
      <c r="AN2811">
        <f>IF($D2811="","",IF($X2811="Yes",1,0))</f>
        <v/>
      </c>
      <c r="AO2811">
        <f>IF($AK2811=1,IFERROR(IF(VALUE($D2811)&lt;100000000,VALUE($D2811),1000000000),IFERROR(IF(VALUE(MID($D2811,2,20))&lt;100000000,VALUE(MID($D2811,2,20)),1000000000),1000000000))+ROW()/100000,"")</f>
        <v/>
      </c>
    </row>
    <row r="2812">
      <c r="F2812" s="11" t="n"/>
      <c r="N2812" s="7">
        <f>IF($D2812="","",M2812*V2812/100)</f>
        <v/>
      </c>
      <c r="O2812" s="7" t="n"/>
      <c r="U2812" s="7" t="n"/>
      <c r="V2812" s="7" t="n"/>
      <c r="Y2812">
        <f>IF($D2812="","",IF($AN2812=1,0,IF($AM2812=1,Settings!$C$6,Settings!$C$7))*100)</f>
        <v/>
      </c>
      <c r="Z2812" s="7">
        <f>IF($D2812="","",V2812*Y2812/100)</f>
        <v/>
      </c>
      <c r="AA2812" s="7">
        <f>IF($D2812="","",V2812-Z2812)</f>
        <v/>
      </c>
      <c r="AB2812" s="7">
        <f>IF($D2812="","",AA2812-N2812)</f>
        <v/>
      </c>
      <c r="AF2812" s="7" t="n"/>
      <c r="AI2812" s="11" t="n"/>
      <c r="AK2812">
        <f>IF($D2812="","",IF(COUNTIF($D$2:$D2812,$D2812)=1,1,0))</f>
        <v/>
      </c>
      <c r="AL2812">
        <f>IF($AK2812=1,SUMPRODUCT(--($AO$2:$AO$3001&lt;$AO2812))+1,"")</f>
        <v/>
      </c>
      <c r="AM2812">
        <f>IF($D2812="","",IF(OR($R2812=TRUE(),$R2812="TRUE"),1,0))</f>
        <v/>
      </c>
      <c r="AN2812">
        <f>IF($D2812="","",IF($X2812="Yes",1,0))</f>
        <v/>
      </c>
      <c r="AO2812">
        <f>IF($AK2812=1,IFERROR(IF(VALUE($D2812)&lt;100000000,VALUE($D2812),1000000000),IFERROR(IF(VALUE(MID($D2812,2,20))&lt;100000000,VALUE(MID($D2812,2,20)),1000000000),1000000000))+ROW()/100000,"")</f>
        <v/>
      </c>
    </row>
    <row r="2813">
      <c r="F2813" s="11" t="n"/>
      <c r="N2813" s="7">
        <f>IF($D2813="","",M2813*V2813/100)</f>
        <v/>
      </c>
      <c r="O2813" s="7" t="n"/>
      <c r="U2813" s="7" t="n"/>
      <c r="V2813" s="7" t="n"/>
      <c r="Y2813">
        <f>IF($D2813="","",IF($AN2813=1,0,IF($AM2813=1,Settings!$C$6,Settings!$C$7))*100)</f>
        <v/>
      </c>
      <c r="Z2813" s="7">
        <f>IF($D2813="","",V2813*Y2813/100)</f>
        <v/>
      </c>
      <c r="AA2813" s="7">
        <f>IF($D2813="","",V2813-Z2813)</f>
        <v/>
      </c>
      <c r="AB2813" s="7">
        <f>IF($D2813="","",AA2813-N2813)</f>
        <v/>
      </c>
      <c r="AF2813" s="7" t="n"/>
      <c r="AI2813" s="11" t="n"/>
      <c r="AK2813">
        <f>IF($D2813="","",IF(COUNTIF($D$2:$D2813,$D2813)=1,1,0))</f>
        <v/>
      </c>
      <c r="AL2813">
        <f>IF($AK2813=1,SUMPRODUCT(--($AO$2:$AO$3001&lt;$AO2813))+1,"")</f>
        <v/>
      </c>
      <c r="AM2813">
        <f>IF($D2813="","",IF(OR($R2813=TRUE(),$R2813="TRUE"),1,0))</f>
        <v/>
      </c>
      <c r="AN2813">
        <f>IF($D2813="","",IF($X2813="Yes",1,0))</f>
        <v/>
      </c>
      <c r="AO2813">
        <f>IF($AK2813=1,IFERROR(IF(VALUE($D2813)&lt;100000000,VALUE($D2813),1000000000),IFERROR(IF(VALUE(MID($D2813,2,20))&lt;100000000,VALUE(MID($D2813,2,20)),1000000000),1000000000))+ROW()/100000,"")</f>
        <v/>
      </c>
    </row>
    <row r="2814">
      <c r="F2814" s="11" t="n"/>
      <c r="N2814" s="7">
        <f>IF($D2814="","",M2814*V2814/100)</f>
        <v/>
      </c>
      <c r="O2814" s="7" t="n"/>
      <c r="U2814" s="7" t="n"/>
      <c r="V2814" s="7" t="n"/>
      <c r="Y2814">
        <f>IF($D2814="","",IF($AN2814=1,0,IF($AM2814=1,Settings!$C$6,Settings!$C$7))*100)</f>
        <v/>
      </c>
      <c r="Z2814" s="7">
        <f>IF($D2814="","",V2814*Y2814/100)</f>
        <v/>
      </c>
      <c r="AA2814" s="7">
        <f>IF($D2814="","",V2814-Z2814)</f>
        <v/>
      </c>
      <c r="AB2814" s="7">
        <f>IF($D2814="","",AA2814-N2814)</f>
        <v/>
      </c>
      <c r="AF2814" s="7" t="n"/>
      <c r="AI2814" s="11" t="n"/>
      <c r="AK2814">
        <f>IF($D2814="","",IF(COUNTIF($D$2:$D2814,$D2814)=1,1,0))</f>
        <v/>
      </c>
      <c r="AL2814">
        <f>IF($AK2814=1,SUMPRODUCT(--($AO$2:$AO$3001&lt;$AO2814))+1,"")</f>
        <v/>
      </c>
      <c r="AM2814">
        <f>IF($D2814="","",IF(OR($R2814=TRUE(),$R2814="TRUE"),1,0))</f>
        <v/>
      </c>
      <c r="AN2814">
        <f>IF($D2814="","",IF($X2814="Yes",1,0))</f>
        <v/>
      </c>
      <c r="AO2814">
        <f>IF($AK2814=1,IFERROR(IF(VALUE($D2814)&lt;100000000,VALUE($D2814),1000000000),IFERROR(IF(VALUE(MID($D2814,2,20))&lt;100000000,VALUE(MID($D2814,2,20)),1000000000),1000000000))+ROW()/100000,"")</f>
        <v/>
      </c>
    </row>
    <row r="2815">
      <c r="F2815" s="11" t="n"/>
      <c r="N2815" s="7">
        <f>IF($D2815="","",M2815*V2815/100)</f>
        <v/>
      </c>
      <c r="O2815" s="7" t="n"/>
      <c r="U2815" s="7" t="n"/>
      <c r="V2815" s="7" t="n"/>
      <c r="Y2815">
        <f>IF($D2815="","",IF($AN2815=1,0,IF($AM2815=1,Settings!$C$6,Settings!$C$7))*100)</f>
        <v/>
      </c>
      <c r="Z2815" s="7">
        <f>IF($D2815="","",V2815*Y2815/100)</f>
        <v/>
      </c>
      <c r="AA2815" s="7">
        <f>IF($D2815="","",V2815-Z2815)</f>
        <v/>
      </c>
      <c r="AB2815" s="7">
        <f>IF($D2815="","",AA2815-N2815)</f>
        <v/>
      </c>
      <c r="AF2815" s="7" t="n"/>
      <c r="AI2815" s="11" t="n"/>
      <c r="AK2815">
        <f>IF($D2815="","",IF(COUNTIF($D$2:$D2815,$D2815)=1,1,0))</f>
        <v/>
      </c>
      <c r="AL2815">
        <f>IF($AK2815=1,SUMPRODUCT(--($AO$2:$AO$3001&lt;$AO2815))+1,"")</f>
        <v/>
      </c>
      <c r="AM2815">
        <f>IF($D2815="","",IF(OR($R2815=TRUE(),$R2815="TRUE"),1,0))</f>
        <v/>
      </c>
      <c r="AN2815">
        <f>IF($D2815="","",IF($X2815="Yes",1,0))</f>
        <v/>
      </c>
      <c r="AO2815">
        <f>IF($AK2815=1,IFERROR(IF(VALUE($D2815)&lt;100000000,VALUE($D2815),1000000000),IFERROR(IF(VALUE(MID($D2815,2,20))&lt;100000000,VALUE(MID($D2815,2,20)),1000000000),1000000000))+ROW()/100000,"")</f>
        <v/>
      </c>
    </row>
    <row r="2816">
      <c r="F2816" s="11" t="n"/>
      <c r="N2816" s="7">
        <f>IF($D2816="","",M2816*V2816/100)</f>
        <v/>
      </c>
      <c r="O2816" s="7" t="n"/>
      <c r="U2816" s="7" t="n"/>
      <c r="V2816" s="7" t="n"/>
      <c r="Y2816">
        <f>IF($D2816="","",IF($AN2816=1,0,IF($AM2816=1,Settings!$C$6,Settings!$C$7))*100)</f>
        <v/>
      </c>
      <c r="Z2816" s="7">
        <f>IF($D2816="","",V2816*Y2816/100)</f>
        <v/>
      </c>
      <c r="AA2816" s="7">
        <f>IF($D2816="","",V2816-Z2816)</f>
        <v/>
      </c>
      <c r="AB2816" s="7">
        <f>IF($D2816="","",AA2816-N2816)</f>
        <v/>
      </c>
      <c r="AF2816" s="7" t="n"/>
      <c r="AI2816" s="11" t="n"/>
      <c r="AK2816">
        <f>IF($D2816="","",IF(COUNTIF($D$2:$D2816,$D2816)=1,1,0))</f>
        <v/>
      </c>
      <c r="AL2816">
        <f>IF($AK2816=1,SUMPRODUCT(--($AO$2:$AO$3001&lt;$AO2816))+1,"")</f>
        <v/>
      </c>
      <c r="AM2816">
        <f>IF($D2816="","",IF(OR($R2816=TRUE(),$R2816="TRUE"),1,0))</f>
        <v/>
      </c>
      <c r="AN2816">
        <f>IF($D2816="","",IF($X2816="Yes",1,0))</f>
        <v/>
      </c>
      <c r="AO2816">
        <f>IF($AK2816=1,IFERROR(IF(VALUE($D2816)&lt;100000000,VALUE($D2816),1000000000),IFERROR(IF(VALUE(MID($D2816,2,20))&lt;100000000,VALUE(MID($D2816,2,20)),1000000000),1000000000))+ROW()/100000,"")</f>
        <v/>
      </c>
    </row>
    <row r="2817">
      <c r="F2817" s="11" t="n"/>
      <c r="N2817" s="7">
        <f>IF($D2817="","",M2817*V2817/100)</f>
        <v/>
      </c>
      <c r="O2817" s="7" t="n"/>
      <c r="U2817" s="7" t="n"/>
      <c r="V2817" s="7" t="n"/>
      <c r="Y2817">
        <f>IF($D2817="","",IF($AN2817=1,0,IF($AM2817=1,Settings!$C$6,Settings!$C$7))*100)</f>
        <v/>
      </c>
      <c r="Z2817" s="7">
        <f>IF($D2817="","",V2817*Y2817/100)</f>
        <v/>
      </c>
      <c r="AA2817" s="7">
        <f>IF($D2817="","",V2817-Z2817)</f>
        <v/>
      </c>
      <c r="AB2817" s="7">
        <f>IF($D2817="","",AA2817-N2817)</f>
        <v/>
      </c>
      <c r="AF2817" s="7" t="n"/>
      <c r="AI2817" s="11" t="n"/>
      <c r="AK2817">
        <f>IF($D2817="","",IF(COUNTIF($D$2:$D2817,$D2817)=1,1,0))</f>
        <v/>
      </c>
      <c r="AL2817">
        <f>IF($AK2817=1,SUMPRODUCT(--($AO$2:$AO$3001&lt;$AO2817))+1,"")</f>
        <v/>
      </c>
      <c r="AM2817">
        <f>IF($D2817="","",IF(OR($R2817=TRUE(),$R2817="TRUE"),1,0))</f>
        <v/>
      </c>
      <c r="AN2817">
        <f>IF($D2817="","",IF($X2817="Yes",1,0))</f>
        <v/>
      </c>
      <c r="AO2817">
        <f>IF($AK2817=1,IFERROR(IF(VALUE($D2817)&lt;100000000,VALUE($D2817),1000000000),IFERROR(IF(VALUE(MID($D2817,2,20))&lt;100000000,VALUE(MID($D2817,2,20)),1000000000),1000000000))+ROW()/100000,"")</f>
        <v/>
      </c>
    </row>
    <row r="2818">
      <c r="F2818" s="11" t="n"/>
      <c r="N2818" s="7">
        <f>IF($D2818="","",M2818*V2818/100)</f>
        <v/>
      </c>
      <c r="O2818" s="7" t="n"/>
      <c r="U2818" s="7" t="n"/>
      <c r="V2818" s="7" t="n"/>
      <c r="Y2818">
        <f>IF($D2818="","",IF($AN2818=1,0,IF($AM2818=1,Settings!$C$6,Settings!$C$7))*100)</f>
        <v/>
      </c>
      <c r="Z2818" s="7">
        <f>IF($D2818="","",V2818*Y2818/100)</f>
        <v/>
      </c>
      <c r="AA2818" s="7">
        <f>IF($D2818="","",V2818-Z2818)</f>
        <v/>
      </c>
      <c r="AB2818" s="7">
        <f>IF($D2818="","",AA2818-N2818)</f>
        <v/>
      </c>
      <c r="AF2818" s="7" t="n"/>
      <c r="AI2818" s="11" t="n"/>
      <c r="AK2818">
        <f>IF($D2818="","",IF(COUNTIF($D$2:$D2818,$D2818)=1,1,0))</f>
        <v/>
      </c>
      <c r="AL2818">
        <f>IF($AK2818=1,SUMPRODUCT(--($AO$2:$AO$3001&lt;$AO2818))+1,"")</f>
        <v/>
      </c>
      <c r="AM2818">
        <f>IF($D2818="","",IF(OR($R2818=TRUE(),$R2818="TRUE"),1,0))</f>
        <v/>
      </c>
      <c r="AN2818">
        <f>IF($D2818="","",IF($X2818="Yes",1,0))</f>
        <v/>
      </c>
      <c r="AO2818">
        <f>IF($AK2818=1,IFERROR(IF(VALUE($D2818)&lt;100000000,VALUE($D2818),1000000000),IFERROR(IF(VALUE(MID($D2818,2,20))&lt;100000000,VALUE(MID($D2818,2,20)),1000000000),1000000000))+ROW()/100000,"")</f>
        <v/>
      </c>
    </row>
    <row r="2819">
      <c r="F2819" s="11" t="n"/>
      <c r="N2819" s="7">
        <f>IF($D2819="","",M2819*V2819/100)</f>
        <v/>
      </c>
      <c r="O2819" s="7" t="n"/>
      <c r="U2819" s="7" t="n"/>
      <c r="V2819" s="7" t="n"/>
      <c r="Y2819">
        <f>IF($D2819="","",IF($AN2819=1,0,IF($AM2819=1,Settings!$C$6,Settings!$C$7))*100)</f>
        <v/>
      </c>
      <c r="Z2819" s="7">
        <f>IF($D2819="","",V2819*Y2819/100)</f>
        <v/>
      </c>
      <c r="AA2819" s="7">
        <f>IF($D2819="","",V2819-Z2819)</f>
        <v/>
      </c>
      <c r="AB2819" s="7">
        <f>IF($D2819="","",AA2819-N2819)</f>
        <v/>
      </c>
      <c r="AF2819" s="7" t="n"/>
      <c r="AI2819" s="11" t="n"/>
      <c r="AK2819">
        <f>IF($D2819="","",IF(COUNTIF($D$2:$D2819,$D2819)=1,1,0))</f>
        <v/>
      </c>
      <c r="AL2819">
        <f>IF($AK2819=1,SUMPRODUCT(--($AO$2:$AO$3001&lt;$AO2819))+1,"")</f>
        <v/>
      </c>
      <c r="AM2819">
        <f>IF($D2819="","",IF(OR($R2819=TRUE(),$R2819="TRUE"),1,0))</f>
        <v/>
      </c>
      <c r="AN2819">
        <f>IF($D2819="","",IF($X2819="Yes",1,0))</f>
        <v/>
      </c>
      <c r="AO2819">
        <f>IF($AK2819=1,IFERROR(IF(VALUE($D2819)&lt;100000000,VALUE($D2819),1000000000),IFERROR(IF(VALUE(MID($D2819,2,20))&lt;100000000,VALUE(MID($D2819,2,20)),1000000000),1000000000))+ROW()/100000,"")</f>
        <v/>
      </c>
    </row>
    <row r="2820">
      <c r="F2820" s="11" t="n"/>
      <c r="N2820" s="7">
        <f>IF($D2820="","",M2820*V2820/100)</f>
        <v/>
      </c>
      <c r="O2820" s="7" t="n"/>
      <c r="U2820" s="7" t="n"/>
      <c r="V2820" s="7" t="n"/>
      <c r="Y2820">
        <f>IF($D2820="","",IF($AN2820=1,0,IF($AM2820=1,Settings!$C$6,Settings!$C$7))*100)</f>
        <v/>
      </c>
      <c r="Z2820" s="7">
        <f>IF($D2820="","",V2820*Y2820/100)</f>
        <v/>
      </c>
      <c r="AA2820" s="7">
        <f>IF($D2820="","",V2820-Z2820)</f>
        <v/>
      </c>
      <c r="AB2820" s="7">
        <f>IF($D2820="","",AA2820-N2820)</f>
        <v/>
      </c>
      <c r="AF2820" s="7" t="n"/>
      <c r="AI2820" s="11" t="n"/>
      <c r="AK2820">
        <f>IF($D2820="","",IF(COUNTIF($D$2:$D2820,$D2820)=1,1,0))</f>
        <v/>
      </c>
      <c r="AL2820">
        <f>IF($AK2820=1,SUMPRODUCT(--($AO$2:$AO$3001&lt;$AO2820))+1,"")</f>
        <v/>
      </c>
      <c r="AM2820">
        <f>IF($D2820="","",IF(OR($R2820=TRUE(),$R2820="TRUE"),1,0))</f>
        <v/>
      </c>
      <c r="AN2820">
        <f>IF($D2820="","",IF($X2820="Yes",1,0))</f>
        <v/>
      </c>
      <c r="AO2820">
        <f>IF($AK2820=1,IFERROR(IF(VALUE($D2820)&lt;100000000,VALUE($D2820),1000000000),IFERROR(IF(VALUE(MID($D2820,2,20))&lt;100000000,VALUE(MID($D2820,2,20)),1000000000),1000000000))+ROW()/100000,"")</f>
        <v/>
      </c>
    </row>
    <row r="2821">
      <c r="F2821" s="11" t="n"/>
      <c r="N2821" s="7">
        <f>IF($D2821="","",M2821*V2821/100)</f>
        <v/>
      </c>
      <c r="O2821" s="7" t="n"/>
      <c r="U2821" s="7" t="n"/>
      <c r="V2821" s="7" t="n"/>
      <c r="Y2821">
        <f>IF($D2821="","",IF($AN2821=1,0,IF($AM2821=1,Settings!$C$6,Settings!$C$7))*100)</f>
        <v/>
      </c>
      <c r="Z2821" s="7">
        <f>IF($D2821="","",V2821*Y2821/100)</f>
        <v/>
      </c>
      <c r="AA2821" s="7">
        <f>IF($D2821="","",V2821-Z2821)</f>
        <v/>
      </c>
      <c r="AB2821" s="7">
        <f>IF($D2821="","",AA2821-N2821)</f>
        <v/>
      </c>
      <c r="AF2821" s="7" t="n"/>
      <c r="AI2821" s="11" t="n"/>
      <c r="AK2821">
        <f>IF($D2821="","",IF(COUNTIF($D$2:$D2821,$D2821)=1,1,0))</f>
        <v/>
      </c>
      <c r="AL2821">
        <f>IF($AK2821=1,SUMPRODUCT(--($AO$2:$AO$3001&lt;$AO2821))+1,"")</f>
        <v/>
      </c>
      <c r="AM2821">
        <f>IF($D2821="","",IF(OR($R2821=TRUE(),$R2821="TRUE"),1,0))</f>
        <v/>
      </c>
      <c r="AN2821">
        <f>IF($D2821="","",IF($X2821="Yes",1,0))</f>
        <v/>
      </c>
      <c r="AO2821">
        <f>IF($AK2821=1,IFERROR(IF(VALUE($D2821)&lt;100000000,VALUE($D2821),1000000000),IFERROR(IF(VALUE(MID($D2821,2,20))&lt;100000000,VALUE(MID($D2821,2,20)),1000000000),1000000000))+ROW()/100000,"")</f>
        <v/>
      </c>
    </row>
    <row r="2822">
      <c r="F2822" s="11" t="n"/>
      <c r="N2822" s="7">
        <f>IF($D2822="","",M2822*V2822/100)</f>
        <v/>
      </c>
      <c r="O2822" s="7" t="n"/>
      <c r="U2822" s="7" t="n"/>
      <c r="V2822" s="7" t="n"/>
      <c r="Y2822">
        <f>IF($D2822="","",IF($AN2822=1,0,IF($AM2822=1,Settings!$C$6,Settings!$C$7))*100)</f>
        <v/>
      </c>
      <c r="Z2822" s="7">
        <f>IF($D2822="","",V2822*Y2822/100)</f>
        <v/>
      </c>
      <c r="AA2822" s="7">
        <f>IF($D2822="","",V2822-Z2822)</f>
        <v/>
      </c>
      <c r="AB2822" s="7">
        <f>IF($D2822="","",AA2822-N2822)</f>
        <v/>
      </c>
      <c r="AF2822" s="7" t="n"/>
      <c r="AI2822" s="11" t="n"/>
      <c r="AK2822">
        <f>IF($D2822="","",IF(COUNTIF($D$2:$D2822,$D2822)=1,1,0))</f>
        <v/>
      </c>
      <c r="AL2822">
        <f>IF($AK2822=1,SUMPRODUCT(--($AO$2:$AO$3001&lt;$AO2822))+1,"")</f>
        <v/>
      </c>
      <c r="AM2822">
        <f>IF($D2822="","",IF(OR($R2822=TRUE(),$R2822="TRUE"),1,0))</f>
        <v/>
      </c>
      <c r="AN2822">
        <f>IF($D2822="","",IF($X2822="Yes",1,0))</f>
        <v/>
      </c>
      <c r="AO2822">
        <f>IF($AK2822=1,IFERROR(IF(VALUE($D2822)&lt;100000000,VALUE($D2822),1000000000),IFERROR(IF(VALUE(MID($D2822,2,20))&lt;100000000,VALUE(MID($D2822,2,20)),1000000000),1000000000))+ROW()/100000,"")</f>
        <v/>
      </c>
    </row>
    <row r="2823">
      <c r="F2823" s="11" t="n"/>
      <c r="N2823" s="7">
        <f>IF($D2823="","",M2823*V2823/100)</f>
        <v/>
      </c>
      <c r="O2823" s="7" t="n"/>
      <c r="U2823" s="7" t="n"/>
      <c r="V2823" s="7" t="n"/>
      <c r="Y2823">
        <f>IF($D2823="","",IF($AN2823=1,0,IF($AM2823=1,Settings!$C$6,Settings!$C$7))*100)</f>
        <v/>
      </c>
      <c r="Z2823" s="7">
        <f>IF($D2823="","",V2823*Y2823/100)</f>
        <v/>
      </c>
      <c r="AA2823" s="7">
        <f>IF($D2823="","",V2823-Z2823)</f>
        <v/>
      </c>
      <c r="AB2823" s="7">
        <f>IF($D2823="","",AA2823-N2823)</f>
        <v/>
      </c>
      <c r="AF2823" s="7" t="n"/>
      <c r="AI2823" s="11" t="n"/>
      <c r="AK2823">
        <f>IF($D2823="","",IF(COUNTIF($D$2:$D2823,$D2823)=1,1,0))</f>
        <v/>
      </c>
      <c r="AL2823">
        <f>IF($AK2823=1,SUMPRODUCT(--($AO$2:$AO$3001&lt;$AO2823))+1,"")</f>
        <v/>
      </c>
      <c r="AM2823">
        <f>IF($D2823="","",IF(OR($R2823=TRUE(),$R2823="TRUE"),1,0))</f>
        <v/>
      </c>
      <c r="AN2823">
        <f>IF($D2823="","",IF($X2823="Yes",1,0))</f>
        <v/>
      </c>
      <c r="AO2823">
        <f>IF($AK2823=1,IFERROR(IF(VALUE($D2823)&lt;100000000,VALUE($D2823),1000000000),IFERROR(IF(VALUE(MID($D2823,2,20))&lt;100000000,VALUE(MID($D2823,2,20)),1000000000),1000000000))+ROW()/100000,"")</f>
        <v/>
      </c>
    </row>
    <row r="2824">
      <c r="F2824" s="11" t="n"/>
      <c r="N2824" s="7">
        <f>IF($D2824="","",M2824*V2824/100)</f>
        <v/>
      </c>
      <c r="O2824" s="7" t="n"/>
      <c r="U2824" s="7" t="n"/>
      <c r="V2824" s="7" t="n"/>
      <c r="Y2824">
        <f>IF($D2824="","",IF($AN2824=1,0,IF($AM2824=1,Settings!$C$6,Settings!$C$7))*100)</f>
        <v/>
      </c>
      <c r="Z2824" s="7">
        <f>IF($D2824="","",V2824*Y2824/100)</f>
        <v/>
      </c>
      <c r="AA2824" s="7">
        <f>IF($D2824="","",V2824-Z2824)</f>
        <v/>
      </c>
      <c r="AB2824" s="7">
        <f>IF($D2824="","",AA2824-N2824)</f>
        <v/>
      </c>
      <c r="AF2824" s="7" t="n"/>
      <c r="AI2824" s="11" t="n"/>
      <c r="AK2824">
        <f>IF($D2824="","",IF(COUNTIF($D$2:$D2824,$D2824)=1,1,0))</f>
        <v/>
      </c>
      <c r="AL2824">
        <f>IF($AK2824=1,SUMPRODUCT(--($AO$2:$AO$3001&lt;$AO2824))+1,"")</f>
        <v/>
      </c>
      <c r="AM2824">
        <f>IF($D2824="","",IF(OR($R2824=TRUE(),$R2824="TRUE"),1,0))</f>
        <v/>
      </c>
      <c r="AN2824">
        <f>IF($D2824="","",IF($X2824="Yes",1,0))</f>
        <v/>
      </c>
      <c r="AO2824">
        <f>IF($AK2824=1,IFERROR(IF(VALUE($D2824)&lt;100000000,VALUE($D2824),1000000000),IFERROR(IF(VALUE(MID($D2824,2,20))&lt;100000000,VALUE(MID($D2824,2,20)),1000000000),1000000000))+ROW()/100000,"")</f>
        <v/>
      </c>
    </row>
    <row r="2825">
      <c r="F2825" s="11" t="n"/>
      <c r="N2825" s="7">
        <f>IF($D2825="","",M2825*V2825/100)</f>
        <v/>
      </c>
      <c r="O2825" s="7" t="n"/>
      <c r="U2825" s="7" t="n"/>
      <c r="V2825" s="7" t="n"/>
      <c r="Y2825">
        <f>IF($D2825="","",IF($AN2825=1,0,IF($AM2825=1,Settings!$C$6,Settings!$C$7))*100)</f>
        <v/>
      </c>
      <c r="Z2825" s="7">
        <f>IF($D2825="","",V2825*Y2825/100)</f>
        <v/>
      </c>
      <c r="AA2825" s="7">
        <f>IF($D2825="","",V2825-Z2825)</f>
        <v/>
      </c>
      <c r="AB2825" s="7">
        <f>IF($D2825="","",AA2825-N2825)</f>
        <v/>
      </c>
      <c r="AF2825" s="7" t="n"/>
      <c r="AI2825" s="11" t="n"/>
      <c r="AK2825">
        <f>IF($D2825="","",IF(COUNTIF($D$2:$D2825,$D2825)=1,1,0))</f>
        <v/>
      </c>
      <c r="AL2825">
        <f>IF($AK2825=1,SUMPRODUCT(--($AO$2:$AO$3001&lt;$AO2825))+1,"")</f>
        <v/>
      </c>
      <c r="AM2825">
        <f>IF($D2825="","",IF(OR($R2825=TRUE(),$R2825="TRUE"),1,0))</f>
        <v/>
      </c>
      <c r="AN2825">
        <f>IF($D2825="","",IF($X2825="Yes",1,0))</f>
        <v/>
      </c>
      <c r="AO2825">
        <f>IF($AK2825=1,IFERROR(IF(VALUE($D2825)&lt;100000000,VALUE($D2825),1000000000),IFERROR(IF(VALUE(MID($D2825,2,20))&lt;100000000,VALUE(MID($D2825,2,20)),1000000000),1000000000))+ROW()/100000,"")</f>
        <v/>
      </c>
    </row>
    <row r="2826">
      <c r="F2826" s="11" t="n"/>
      <c r="N2826" s="7">
        <f>IF($D2826="","",M2826*V2826/100)</f>
        <v/>
      </c>
      <c r="O2826" s="7" t="n"/>
      <c r="U2826" s="7" t="n"/>
      <c r="V2826" s="7" t="n"/>
      <c r="Y2826">
        <f>IF($D2826="","",IF($AN2826=1,0,IF($AM2826=1,Settings!$C$6,Settings!$C$7))*100)</f>
        <v/>
      </c>
      <c r="Z2826" s="7">
        <f>IF($D2826="","",V2826*Y2826/100)</f>
        <v/>
      </c>
      <c r="AA2826" s="7">
        <f>IF($D2826="","",V2826-Z2826)</f>
        <v/>
      </c>
      <c r="AB2826" s="7">
        <f>IF($D2826="","",AA2826-N2826)</f>
        <v/>
      </c>
      <c r="AF2826" s="7" t="n"/>
      <c r="AI2826" s="11" t="n"/>
      <c r="AK2826">
        <f>IF($D2826="","",IF(COUNTIF($D$2:$D2826,$D2826)=1,1,0))</f>
        <v/>
      </c>
      <c r="AL2826">
        <f>IF($AK2826=1,SUMPRODUCT(--($AO$2:$AO$3001&lt;$AO2826))+1,"")</f>
        <v/>
      </c>
      <c r="AM2826">
        <f>IF($D2826="","",IF(OR($R2826=TRUE(),$R2826="TRUE"),1,0))</f>
        <v/>
      </c>
      <c r="AN2826">
        <f>IF($D2826="","",IF($X2826="Yes",1,0))</f>
        <v/>
      </c>
      <c r="AO2826">
        <f>IF($AK2826=1,IFERROR(IF(VALUE($D2826)&lt;100000000,VALUE($D2826),1000000000),IFERROR(IF(VALUE(MID($D2826,2,20))&lt;100000000,VALUE(MID($D2826,2,20)),1000000000),1000000000))+ROW()/100000,"")</f>
        <v/>
      </c>
    </row>
    <row r="2827">
      <c r="F2827" s="11" t="n"/>
      <c r="N2827" s="7">
        <f>IF($D2827="","",M2827*V2827/100)</f>
        <v/>
      </c>
      <c r="O2827" s="7" t="n"/>
      <c r="U2827" s="7" t="n"/>
      <c r="V2827" s="7" t="n"/>
      <c r="Y2827">
        <f>IF($D2827="","",IF($AN2827=1,0,IF($AM2827=1,Settings!$C$6,Settings!$C$7))*100)</f>
        <v/>
      </c>
      <c r="Z2827" s="7">
        <f>IF($D2827="","",V2827*Y2827/100)</f>
        <v/>
      </c>
      <c r="AA2827" s="7">
        <f>IF($D2827="","",V2827-Z2827)</f>
        <v/>
      </c>
      <c r="AB2827" s="7">
        <f>IF($D2827="","",AA2827-N2827)</f>
        <v/>
      </c>
      <c r="AF2827" s="7" t="n"/>
      <c r="AI2827" s="11" t="n"/>
      <c r="AK2827">
        <f>IF($D2827="","",IF(COUNTIF($D$2:$D2827,$D2827)=1,1,0))</f>
        <v/>
      </c>
      <c r="AL2827">
        <f>IF($AK2827=1,SUMPRODUCT(--($AO$2:$AO$3001&lt;$AO2827))+1,"")</f>
        <v/>
      </c>
      <c r="AM2827">
        <f>IF($D2827="","",IF(OR($R2827=TRUE(),$R2827="TRUE"),1,0))</f>
        <v/>
      </c>
      <c r="AN2827">
        <f>IF($D2827="","",IF($X2827="Yes",1,0))</f>
        <v/>
      </c>
      <c r="AO2827">
        <f>IF($AK2827=1,IFERROR(IF(VALUE($D2827)&lt;100000000,VALUE($D2827),1000000000),IFERROR(IF(VALUE(MID($D2827,2,20))&lt;100000000,VALUE(MID($D2827,2,20)),1000000000),1000000000))+ROW()/100000,"")</f>
        <v/>
      </c>
    </row>
    <row r="2828">
      <c r="F2828" s="11" t="n"/>
      <c r="N2828" s="7">
        <f>IF($D2828="","",M2828*V2828/100)</f>
        <v/>
      </c>
      <c r="O2828" s="7" t="n"/>
      <c r="U2828" s="7" t="n"/>
      <c r="V2828" s="7" t="n"/>
      <c r="Y2828">
        <f>IF($D2828="","",IF($AN2828=1,0,IF($AM2828=1,Settings!$C$6,Settings!$C$7))*100)</f>
        <v/>
      </c>
      <c r="Z2828" s="7">
        <f>IF($D2828="","",V2828*Y2828/100)</f>
        <v/>
      </c>
      <c r="AA2828" s="7">
        <f>IF($D2828="","",V2828-Z2828)</f>
        <v/>
      </c>
      <c r="AB2828" s="7">
        <f>IF($D2828="","",AA2828-N2828)</f>
        <v/>
      </c>
      <c r="AF2828" s="7" t="n"/>
      <c r="AI2828" s="11" t="n"/>
      <c r="AK2828">
        <f>IF($D2828="","",IF(COUNTIF($D$2:$D2828,$D2828)=1,1,0))</f>
        <v/>
      </c>
      <c r="AL2828">
        <f>IF($AK2828=1,SUMPRODUCT(--($AO$2:$AO$3001&lt;$AO2828))+1,"")</f>
        <v/>
      </c>
      <c r="AM2828">
        <f>IF($D2828="","",IF(OR($R2828=TRUE(),$R2828="TRUE"),1,0))</f>
        <v/>
      </c>
      <c r="AN2828">
        <f>IF($D2828="","",IF($X2828="Yes",1,0))</f>
        <v/>
      </c>
      <c r="AO2828">
        <f>IF($AK2828=1,IFERROR(IF(VALUE($D2828)&lt;100000000,VALUE($D2828),1000000000),IFERROR(IF(VALUE(MID($D2828,2,20))&lt;100000000,VALUE(MID($D2828,2,20)),1000000000),1000000000))+ROW()/100000,"")</f>
        <v/>
      </c>
    </row>
    <row r="2829">
      <c r="F2829" s="11" t="n"/>
      <c r="N2829" s="7">
        <f>IF($D2829="","",M2829*V2829/100)</f>
        <v/>
      </c>
      <c r="O2829" s="7" t="n"/>
      <c r="U2829" s="7" t="n"/>
      <c r="V2829" s="7" t="n"/>
      <c r="Y2829">
        <f>IF($D2829="","",IF($AN2829=1,0,IF($AM2829=1,Settings!$C$6,Settings!$C$7))*100)</f>
        <v/>
      </c>
      <c r="Z2829" s="7">
        <f>IF($D2829="","",V2829*Y2829/100)</f>
        <v/>
      </c>
      <c r="AA2829" s="7">
        <f>IF($D2829="","",V2829-Z2829)</f>
        <v/>
      </c>
      <c r="AB2829" s="7">
        <f>IF($D2829="","",AA2829-N2829)</f>
        <v/>
      </c>
      <c r="AF2829" s="7" t="n"/>
      <c r="AI2829" s="11" t="n"/>
      <c r="AK2829">
        <f>IF($D2829="","",IF(COUNTIF($D$2:$D2829,$D2829)=1,1,0))</f>
        <v/>
      </c>
      <c r="AL2829">
        <f>IF($AK2829=1,SUMPRODUCT(--($AO$2:$AO$3001&lt;$AO2829))+1,"")</f>
        <v/>
      </c>
      <c r="AM2829">
        <f>IF($D2829="","",IF(OR($R2829=TRUE(),$R2829="TRUE"),1,0))</f>
        <v/>
      </c>
      <c r="AN2829">
        <f>IF($D2829="","",IF($X2829="Yes",1,0))</f>
        <v/>
      </c>
      <c r="AO2829">
        <f>IF($AK2829=1,IFERROR(IF(VALUE($D2829)&lt;100000000,VALUE($D2829),1000000000),IFERROR(IF(VALUE(MID($D2829,2,20))&lt;100000000,VALUE(MID($D2829,2,20)),1000000000),1000000000))+ROW()/100000,"")</f>
        <v/>
      </c>
    </row>
    <row r="2830">
      <c r="F2830" s="11" t="n"/>
      <c r="N2830" s="7">
        <f>IF($D2830="","",M2830*V2830/100)</f>
        <v/>
      </c>
      <c r="O2830" s="7" t="n"/>
      <c r="U2830" s="7" t="n"/>
      <c r="V2830" s="7" t="n"/>
      <c r="Y2830">
        <f>IF($D2830="","",IF($AN2830=1,0,IF($AM2830=1,Settings!$C$6,Settings!$C$7))*100)</f>
        <v/>
      </c>
      <c r="Z2830" s="7">
        <f>IF($D2830="","",V2830*Y2830/100)</f>
        <v/>
      </c>
      <c r="AA2830" s="7">
        <f>IF($D2830="","",V2830-Z2830)</f>
        <v/>
      </c>
      <c r="AB2830" s="7">
        <f>IF($D2830="","",AA2830-N2830)</f>
        <v/>
      </c>
      <c r="AF2830" s="7" t="n"/>
      <c r="AI2830" s="11" t="n"/>
      <c r="AK2830">
        <f>IF($D2830="","",IF(COUNTIF($D$2:$D2830,$D2830)=1,1,0))</f>
        <v/>
      </c>
      <c r="AL2830">
        <f>IF($AK2830=1,SUMPRODUCT(--($AO$2:$AO$3001&lt;$AO2830))+1,"")</f>
        <v/>
      </c>
      <c r="AM2830">
        <f>IF($D2830="","",IF(OR($R2830=TRUE(),$R2830="TRUE"),1,0))</f>
        <v/>
      </c>
      <c r="AN2830">
        <f>IF($D2830="","",IF($X2830="Yes",1,0))</f>
        <v/>
      </c>
      <c r="AO2830">
        <f>IF($AK2830=1,IFERROR(IF(VALUE($D2830)&lt;100000000,VALUE($D2830),1000000000),IFERROR(IF(VALUE(MID($D2830,2,20))&lt;100000000,VALUE(MID($D2830,2,20)),1000000000),1000000000))+ROW()/100000,"")</f>
        <v/>
      </c>
    </row>
    <row r="2831">
      <c r="F2831" s="11" t="n"/>
      <c r="N2831" s="7">
        <f>IF($D2831="","",M2831*V2831/100)</f>
        <v/>
      </c>
      <c r="O2831" s="7" t="n"/>
      <c r="U2831" s="7" t="n"/>
      <c r="V2831" s="7" t="n"/>
      <c r="Y2831">
        <f>IF($D2831="","",IF($AN2831=1,0,IF($AM2831=1,Settings!$C$6,Settings!$C$7))*100)</f>
        <v/>
      </c>
      <c r="Z2831" s="7">
        <f>IF($D2831="","",V2831*Y2831/100)</f>
        <v/>
      </c>
      <c r="AA2831" s="7">
        <f>IF($D2831="","",V2831-Z2831)</f>
        <v/>
      </c>
      <c r="AB2831" s="7">
        <f>IF($D2831="","",AA2831-N2831)</f>
        <v/>
      </c>
      <c r="AF2831" s="7" t="n"/>
      <c r="AI2831" s="11" t="n"/>
      <c r="AK2831">
        <f>IF($D2831="","",IF(COUNTIF($D$2:$D2831,$D2831)=1,1,0))</f>
        <v/>
      </c>
      <c r="AL2831">
        <f>IF($AK2831=1,SUMPRODUCT(--($AO$2:$AO$3001&lt;$AO2831))+1,"")</f>
        <v/>
      </c>
      <c r="AM2831">
        <f>IF($D2831="","",IF(OR($R2831=TRUE(),$R2831="TRUE"),1,0))</f>
        <v/>
      </c>
      <c r="AN2831">
        <f>IF($D2831="","",IF($X2831="Yes",1,0))</f>
        <v/>
      </c>
      <c r="AO2831">
        <f>IF($AK2831=1,IFERROR(IF(VALUE($D2831)&lt;100000000,VALUE($D2831),1000000000),IFERROR(IF(VALUE(MID($D2831,2,20))&lt;100000000,VALUE(MID($D2831,2,20)),1000000000),1000000000))+ROW()/100000,"")</f>
        <v/>
      </c>
    </row>
    <row r="2832">
      <c r="F2832" s="11" t="n"/>
      <c r="N2832" s="7">
        <f>IF($D2832="","",M2832*V2832/100)</f>
        <v/>
      </c>
      <c r="O2832" s="7" t="n"/>
      <c r="U2832" s="7" t="n"/>
      <c r="V2832" s="7" t="n"/>
      <c r="Y2832">
        <f>IF($D2832="","",IF($AN2832=1,0,IF($AM2832=1,Settings!$C$6,Settings!$C$7))*100)</f>
        <v/>
      </c>
      <c r="Z2832" s="7">
        <f>IF($D2832="","",V2832*Y2832/100)</f>
        <v/>
      </c>
      <c r="AA2832" s="7">
        <f>IF($D2832="","",V2832-Z2832)</f>
        <v/>
      </c>
      <c r="AB2832" s="7">
        <f>IF($D2832="","",AA2832-N2832)</f>
        <v/>
      </c>
      <c r="AF2832" s="7" t="n"/>
      <c r="AI2832" s="11" t="n"/>
      <c r="AK2832">
        <f>IF($D2832="","",IF(COUNTIF($D$2:$D2832,$D2832)=1,1,0))</f>
        <v/>
      </c>
      <c r="AL2832">
        <f>IF($AK2832=1,SUMPRODUCT(--($AO$2:$AO$3001&lt;$AO2832))+1,"")</f>
        <v/>
      </c>
      <c r="AM2832">
        <f>IF($D2832="","",IF(OR($R2832=TRUE(),$R2832="TRUE"),1,0))</f>
        <v/>
      </c>
      <c r="AN2832">
        <f>IF($D2832="","",IF($X2832="Yes",1,0))</f>
        <v/>
      </c>
      <c r="AO2832">
        <f>IF($AK2832=1,IFERROR(IF(VALUE($D2832)&lt;100000000,VALUE($D2832),1000000000),IFERROR(IF(VALUE(MID($D2832,2,20))&lt;100000000,VALUE(MID($D2832,2,20)),1000000000),1000000000))+ROW()/100000,"")</f>
        <v/>
      </c>
    </row>
    <row r="2833">
      <c r="F2833" s="11" t="n"/>
      <c r="N2833" s="7">
        <f>IF($D2833="","",M2833*V2833/100)</f>
        <v/>
      </c>
      <c r="O2833" s="7" t="n"/>
      <c r="U2833" s="7" t="n"/>
      <c r="V2833" s="7" t="n"/>
      <c r="Y2833">
        <f>IF($D2833="","",IF($AN2833=1,0,IF($AM2833=1,Settings!$C$6,Settings!$C$7))*100)</f>
        <v/>
      </c>
      <c r="Z2833" s="7">
        <f>IF($D2833="","",V2833*Y2833/100)</f>
        <v/>
      </c>
      <c r="AA2833" s="7">
        <f>IF($D2833="","",V2833-Z2833)</f>
        <v/>
      </c>
      <c r="AB2833" s="7">
        <f>IF($D2833="","",AA2833-N2833)</f>
        <v/>
      </c>
      <c r="AF2833" s="7" t="n"/>
      <c r="AI2833" s="11" t="n"/>
      <c r="AK2833">
        <f>IF($D2833="","",IF(COUNTIF($D$2:$D2833,$D2833)=1,1,0))</f>
        <v/>
      </c>
      <c r="AL2833">
        <f>IF($AK2833=1,SUMPRODUCT(--($AO$2:$AO$3001&lt;$AO2833))+1,"")</f>
        <v/>
      </c>
      <c r="AM2833">
        <f>IF($D2833="","",IF(OR($R2833=TRUE(),$R2833="TRUE"),1,0))</f>
        <v/>
      </c>
      <c r="AN2833">
        <f>IF($D2833="","",IF($X2833="Yes",1,0))</f>
        <v/>
      </c>
      <c r="AO2833">
        <f>IF($AK2833=1,IFERROR(IF(VALUE($D2833)&lt;100000000,VALUE($D2833),1000000000),IFERROR(IF(VALUE(MID($D2833,2,20))&lt;100000000,VALUE(MID($D2833,2,20)),1000000000),1000000000))+ROW()/100000,"")</f>
        <v/>
      </c>
    </row>
    <row r="2834">
      <c r="F2834" s="11" t="n"/>
      <c r="N2834" s="7">
        <f>IF($D2834="","",M2834*V2834/100)</f>
        <v/>
      </c>
      <c r="O2834" s="7" t="n"/>
      <c r="U2834" s="7" t="n"/>
      <c r="V2834" s="7" t="n"/>
      <c r="Y2834">
        <f>IF($D2834="","",IF($AN2834=1,0,IF($AM2834=1,Settings!$C$6,Settings!$C$7))*100)</f>
        <v/>
      </c>
      <c r="Z2834" s="7">
        <f>IF($D2834="","",V2834*Y2834/100)</f>
        <v/>
      </c>
      <c r="AA2834" s="7">
        <f>IF($D2834="","",V2834-Z2834)</f>
        <v/>
      </c>
      <c r="AB2834" s="7">
        <f>IF($D2834="","",AA2834-N2834)</f>
        <v/>
      </c>
      <c r="AF2834" s="7" t="n"/>
      <c r="AI2834" s="11" t="n"/>
      <c r="AK2834">
        <f>IF($D2834="","",IF(COUNTIF($D$2:$D2834,$D2834)=1,1,0))</f>
        <v/>
      </c>
      <c r="AL2834">
        <f>IF($AK2834=1,SUMPRODUCT(--($AO$2:$AO$3001&lt;$AO2834))+1,"")</f>
        <v/>
      </c>
      <c r="AM2834">
        <f>IF($D2834="","",IF(OR($R2834=TRUE(),$R2834="TRUE"),1,0))</f>
        <v/>
      </c>
      <c r="AN2834">
        <f>IF($D2834="","",IF($X2834="Yes",1,0))</f>
        <v/>
      </c>
      <c r="AO2834">
        <f>IF($AK2834=1,IFERROR(IF(VALUE($D2834)&lt;100000000,VALUE($D2834),1000000000),IFERROR(IF(VALUE(MID($D2834,2,20))&lt;100000000,VALUE(MID($D2834,2,20)),1000000000),1000000000))+ROW()/100000,"")</f>
        <v/>
      </c>
    </row>
    <row r="2835">
      <c r="F2835" s="11" t="n"/>
      <c r="N2835" s="7">
        <f>IF($D2835="","",M2835*V2835/100)</f>
        <v/>
      </c>
      <c r="O2835" s="7" t="n"/>
      <c r="U2835" s="7" t="n"/>
      <c r="V2835" s="7" t="n"/>
      <c r="Y2835">
        <f>IF($D2835="","",IF($AN2835=1,0,IF($AM2835=1,Settings!$C$6,Settings!$C$7))*100)</f>
        <v/>
      </c>
      <c r="Z2835" s="7">
        <f>IF($D2835="","",V2835*Y2835/100)</f>
        <v/>
      </c>
      <c r="AA2835" s="7">
        <f>IF($D2835="","",V2835-Z2835)</f>
        <v/>
      </c>
      <c r="AB2835" s="7">
        <f>IF($D2835="","",AA2835-N2835)</f>
        <v/>
      </c>
      <c r="AF2835" s="7" t="n"/>
      <c r="AI2835" s="11" t="n"/>
      <c r="AK2835">
        <f>IF($D2835="","",IF(COUNTIF($D$2:$D2835,$D2835)=1,1,0))</f>
        <v/>
      </c>
      <c r="AL2835">
        <f>IF($AK2835=1,SUMPRODUCT(--($AO$2:$AO$3001&lt;$AO2835))+1,"")</f>
        <v/>
      </c>
      <c r="AM2835">
        <f>IF($D2835="","",IF(OR($R2835=TRUE(),$R2835="TRUE"),1,0))</f>
        <v/>
      </c>
      <c r="AN2835">
        <f>IF($D2835="","",IF($X2835="Yes",1,0))</f>
        <v/>
      </c>
      <c r="AO2835">
        <f>IF($AK2835=1,IFERROR(IF(VALUE($D2835)&lt;100000000,VALUE($D2835),1000000000),IFERROR(IF(VALUE(MID($D2835,2,20))&lt;100000000,VALUE(MID($D2835,2,20)),1000000000),1000000000))+ROW()/100000,"")</f>
        <v/>
      </c>
    </row>
    <row r="2836">
      <c r="F2836" s="11" t="n"/>
      <c r="N2836" s="7">
        <f>IF($D2836="","",M2836*V2836/100)</f>
        <v/>
      </c>
      <c r="O2836" s="7" t="n"/>
      <c r="U2836" s="7" t="n"/>
      <c r="V2836" s="7" t="n"/>
      <c r="Y2836">
        <f>IF($D2836="","",IF($AN2836=1,0,IF($AM2836=1,Settings!$C$6,Settings!$C$7))*100)</f>
        <v/>
      </c>
      <c r="Z2836" s="7">
        <f>IF($D2836="","",V2836*Y2836/100)</f>
        <v/>
      </c>
      <c r="AA2836" s="7">
        <f>IF($D2836="","",V2836-Z2836)</f>
        <v/>
      </c>
      <c r="AB2836" s="7">
        <f>IF($D2836="","",AA2836-N2836)</f>
        <v/>
      </c>
      <c r="AF2836" s="7" t="n"/>
      <c r="AI2836" s="11" t="n"/>
      <c r="AK2836">
        <f>IF($D2836="","",IF(COUNTIF($D$2:$D2836,$D2836)=1,1,0))</f>
        <v/>
      </c>
      <c r="AL2836">
        <f>IF($AK2836=1,SUMPRODUCT(--($AO$2:$AO$3001&lt;$AO2836))+1,"")</f>
        <v/>
      </c>
      <c r="AM2836">
        <f>IF($D2836="","",IF(OR($R2836=TRUE(),$R2836="TRUE"),1,0))</f>
        <v/>
      </c>
      <c r="AN2836">
        <f>IF($D2836="","",IF($X2836="Yes",1,0))</f>
        <v/>
      </c>
      <c r="AO2836">
        <f>IF($AK2836=1,IFERROR(IF(VALUE($D2836)&lt;100000000,VALUE($D2836),1000000000),IFERROR(IF(VALUE(MID($D2836,2,20))&lt;100000000,VALUE(MID($D2836,2,20)),1000000000),1000000000))+ROW()/100000,"")</f>
        <v/>
      </c>
    </row>
    <row r="2837">
      <c r="F2837" s="11" t="n"/>
      <c r="N2837" s="7">
        <f>IF($D2837="","",M2837*V2837/100)</f>
        <v/>
      </c>
      <c r="O2837" s="7" t="n"/>
      <c r="U2837" s="7" t="n"/>
      <c r="V2837" s="7" t="n"/>
      <c r="Y2837">
        <f>IF($D2837="","",IF($AN2837=1,0,IF($AM2837=1,Settings!$C$6,Settings!$C$7))*100)</f>
        <v/>
      </c>
      <c r="Z2837" s="7">
        <f>IF($D2837="","",V2837*Y2837/100)</f>
        <v/>
      </c>
      <c r="AA2837" s="7">
        <f>IF($D2837="","",V2837-Z2837)</f>
        <v/>
      </c>
      <c r="AB2837" s="7">
        <f>IF($D2837="","",AA2837-N2837)</f>
        <v/>
      </c>
      <c r="AF2837" s="7" t="n"/>
      <c r="AI2837" s="11" t="n"/>
      <c r="AK2837">
        <f>IF($D2837="","",IF(COUNTIF($D$2:$D2837,$D2837)=1,1,0))</f>
        <v/>
      </c>
      <c r="AL2837">
        <f>IF($AK2837=1,SUMPRODUCT(--($AO$2:$AO$3001&lt;$AO2837))+1,"")</f>
        <v/>
      </c>
      <c r="AM2837">
        <f>IF($D2837="","",IF(OR($R2837=TRUE(),$R2837="TRUE"),1,0))</f>
        <v/>
      </c>
      <c r="AN2837">
        <f>IF($D2837="","",IF($X2837="Yes",1,0))</f>
        <v/>
      </c>
      <c r="AO2837">
        <f>IF($AK2837=1,IFERROR(IF(VALUE($D2837)&lt;100000000,VALUE($D2837),1000000000),IFERROR(IF(VALUE(MID($D2837,2,20))&lt;100000000,VALUE(MID($D2837,2,20)),1000000000),1000000000))+ROW()/100000,"")</f>
        <v/>
      </c>
    </row>
    <row r="2838">
      <c r="F2838" s="11" t="n"/>
      <c r="N2838" s="7">
        <f>IF($D2838="","",M2838*V2838/100)</f>
        <v/>
      </c>
      <c r="O2838" s="7" t="n"/>
      <c r="U2838" s="7" t="n"/>
      <c r="V2838" s="7" t="n"/>
      <c r="Y2838">
        <f>IF($D2838="","",IF($AN2838=1,0,IF($AM2838=1,Settings!$C$6,Settings!$C$7))*100)</f>
        <v/>
      </c>
      <c r="Z2838" s="7">
        <f>IF($D2838="","",V2838*Y2838/100)</f>
        <v/>
      </c>
      <c r="AA2838" s="7">
        <f>IF($D2838="","",V2838-Z2838)</f>
        <v/>
      </c>
      <c r="AB2838" s="7">
        <f>IF($D2838="","",AA2838-N2838)</f>
        <v/>
      </c>
      <c r="AF2838" s="7" t="n"/>
      <c r="AI2838" s="11" t="n"/>
      <c r="AK2838">
        <f>IF($D2838="","",IF(COUNTIF($D$2:$D2838,$D2838)=1,1,0))</f>
        <v/>
      </c>
      <c r="AL2838">
        <f>IF($AK2838=1,SUMPRODUCT(--($AO$2:$AO$3001&lt;$AO2838))+1,"")</f>
        <v/>
      </c>
      <c r="AM2838">
        <f>IF($D2838="","",IF(OR($R2838=TRUE(),$R2838="TRUE"),1,0))</f>
        <v/>
      </c>
      <c r="AN2838">
        <f>IF($D2838="","",IF($X2838="Yes",1,0))</f>
        <v/>
      </c>
      <c r="AO2838">
        <f>IF($AK2838=1,IFERROR(IF(VALUE($D2838)&lt;100000000,VALUE($D2838),1000000000),IFERROR(IF(VALUE(MID($D2838,2,20))&lt;100000000,VALUE(MID($D2838,2,20)),1000000000),1000000000))+ROW()/100000,"")</f>
        <v/>
      </c>
    </row>
    <row r="2839">
      <c r="F2839" s="11" t="n"/>
      <c r="N2839" s="7">
        <f>IF($D2839="","",M2839*V2839/100)</f>
        <v/>
      </c>
      <c r="O2839" s="7" t="n"/>
      <c r="U2839" s="7" t="n"/>
      <c r="V2839" s="7" t="n"/>
      <c r="Y2839">
        <f>IF($D2839="","",IF($AN2839=1,0,IF($AM2839=1,Settings!$C$6,Settings!$C$7))*100)</f>
        <v/>
      </c>
      <c r="Z2839" s="7">
        <f>IF($D2839="","",V2839*Y2839/100)</f>
        <v/>
      </c>
      <c r="AA2839" s="7">
        <f>IF($D2839="","",V2839-Z2839)</f>
        <v/>
      </c>
      <c r="AB2839" s="7">
        <f>IF($D2839="","",AA2839-N2839)</f>
        <v/>
      </c>
      <c r="AF2839" s="7" t="n"/>
      <c r="AI2839" s="11" t="n"/>
      <c r="AK2839">
        <f>IF($D2839="","",IF(COUNTIF($D$2:$D2839,$D2839)=1,1,0))</f>
        <v/>
      </c>
      <c r="AL2839">
        <f>IF($AK2839=1,SUMPRODUCT(--($AO$2:$AO$3001&lt;$AO2839))+1,"")</f>
        <v/>
      </c>
      <c r="AM2839">
        <f>IF($D2839="","",IF(OR($R2839=TRUE(),$R2839="TRUE"),1,0))</f>
        <v/>
      </c>
      <c r="AN2839">
        <f>IF($D2839="","",IF($X2839="Yes",1,0))</f>
        <v/>
      </c>
      <c r="AO2839">
        <f>IF($AK2839=1,IFERROR(IF(VALUE($D2839)&lt;100000000,VALUE($D2839),1000000000),IFERROR(IF(VALUE(MID($D2839,2,20))&lt;100000000,VALUE(MID($D2839,2,20)),1000000000),1000000000))+ROW()/100000,"")</f>
        <v/>
      </c>
    </row>
    <row r="2840">
      <c r="F2840" s="11" t="n"/>
      <c r="N2840" s="7">
        <f>IF($D2840="","",M2840*V2840/100)</f>
        <v/>
      </c>
      <c r="O2840" s="7" t="n"/>
      <c r="U2840" s="7" t="n"/>
      <c r="V2840" s="7" t="n"/>
      <c r="Y2840">
        <f>IF($D2840="","",IF($AN2840=1,0,IF($AM2840=1,Settings!$C$6,Settings!$C$7))*100)</f>
        <v/>
      </c>
      <c r="Z2840" s="7">
        <f>IF($D2840="","",V2840*Y2840/100)</f>
        <v/>
      </c>
      <c r="AA2840" s="7">
        <f>IF($D2840="","",V2840-Z2840)</f>
        <v/>
      </c>
      <c r="AB2840" s="7">
        <f>IF($D2840="","",AA2840-N2840)</f>
        <v/>
      </c>
      <c r="AF2840" s="7" t="n"/>
      <c r="AI2840" s="11" t="n"/>
      <c r="AK2840">
        <f>IF($D2840="","",IF(COUNTIF($D$2:$D2840,$D2840)=1,1,0))</f>
        <v/>
      </c>
      <c r="AL2840">
        <f>IF($AK2840=1,SUMPRODUCT(--($AO$2:$AO$3001&lt;$AO2840))+1,"")</f>
        <v/>
      </c>
      <c r="AM2840">
        <f>IF($D2840="","",IF(OR($R2840=TRUE(),$R2840="TRUE"),1,0))</f>
        <v/>
      </c>
      <c r="AN2840">
        <f>IF($D2840="","",IF($X2840="Yes",1,0))</f>
        <v/>
      </c>
      <c r="AO2840">
        <f>IF($AK2840=1,IFERROR(IF(VALUE($D2840)&lt;100000000,VALUE($D2840),1000000000),IFERROR(IF(VALUE(MID($D2840,2,20))&lt;100000000,VALUE(MID($D2840,2,20)),1000000000),1000000000))+ROW()/100000,"")</f>
        <v/>
      </c>
    </row>
    <row r="2841">
      <c r="F2841" s="11" t="n"/>
      <c r="N2841" s="7">
        <f>IF($D2841="","",M2841*V2841/100)</f>
        <v/>
      </c>
      <c r="O2841" s="7" t="n"/>
      <c r="U2841" s="7" t="n"/>
      <c r="V2841" s="7" t="n"/>
      <c r="Y2841">
        <f>IF($D2841="","",IF($AN2841=1,0,IF($AM2841=1,Settings!$C$6,Settings!$C$7))*100)</f>
        <v/>
      </c>
      <c r="Z2841" s="7">
        <f>IF($D2841="","",V2841*Y2841/100)</f>
        <v/>
      </c>
      <c r="AA2841" s="7">
        <f>IF($D2841="","",V2841-Z2841)</f>
        <v/>
      </c>
      <c r="AB2841" s="7">
        <f>IF($D2841="","",AA2841-N2841)</f>
        <v/>
      </c>
      <c r="AF2841" s="7" t="n"/>
      <c r="AI2841" s="11" t="n"/>
      <c r="AK2841">
        <f>IF($D2841="","",IF(COUNTIF($D$2:$D2841,$D2841)=1,1,0))</f>
        <v/>
      </c>
      <c r="AL2841">
        <f>IF($AK2841=1,SUMPRODUCT(--($AO$2:$AO$3001&lt;$AO2841))+1,"")</f>
        <v/>
      </c>
      <c r="AM2841">
        <f>IF($D2841="","",IF(OR($R2841=TRUE(),$R2841="TRUE"),1,0))</f>
        <v/>
      </c>
      <c r="AN2841">
        <f>IF($D2841="","",IF($X2841="Yes",1,0))</f>
        <v/>
      </c>
      <c r="AO2841">
        <f>IF($AK2841=1,IFERROR(IF(VALUE($D2841)&lt;100000000,VALUE($D2841),1000000000),IFERROR(IF(VALUE(MID($D2841,2,20))&lt;100000000,VALUE(MID($D2841,2,20)),1000000000),1000000000))+ROW()/100000,"")</f>
        <v/>
      </c>
    </row>
    <row r="2842">
      <c r="F2842" s="11" t="n"/>
      <c r="N2842" s="7">
        <f>IF($D2842="","",M2842*V2842/100)</f>
        <v/>
      </c>
      <c r="O2842" s="7" t="n"/>
      <c r="U2842" s="7" t="n"/>
      <c r="V2842" s="7" t="n"/>
      <c r="Y2842">
        <f>IF($D2842="","",IF($AN2842=1,0,IF($AM2842=1,Settings!$C$6,Settings!$C$7))*100)</f>
        <v/>
      </c>
      <c r="Z2842" s="7">
        <f>IF($D2842="","",V2842*Y2842/100)</f>
        <v/>
      </c>
      <c r="AA2842" s="7">
        <f>IF($D2842="","",V2842-Z2842)</f>
        <v/>
      </c>
      <c r="AB2842" s="7">
        <f>IF($D2842="","",AA2842-N2842)</f>
        <v/>
      </c>
      <c r="AF2842" s="7" t="n"/>
      <c r="AI2842" s="11" t="n"/>
      <c r="AK2842">
        <f>IF($D2842="","",IF(COUNTIF($D$2:$D2842,$D2842)=1,1,0))</f>
        <v/>
      </c>
      <c r="AL2842">
        <f>IF($AK2842=1,SUMPRODUCT(--($AO$2:$AO$3001&lt;$AO2842))+1,"")</f>
        <v/>
      </c>
      <c r="AM2842">
        <f>IF($D2842="","",IF(OR($R2842=TRUE(),$R2842="TRUE"),1,0))</f>
        <v/>
      </c>
      <c r="AN2842">
        <f>IF($D2842="","",IF($X2842="Yes",1,0))</f>
        <v/>
      </c>
      <c r="AO2842">
        <f>IF($AK2842=1,IFERROR(IF(VALUE($D2842)&lt;100000000,VALUE($D2842),1000000000),IFERROR(IF(VALUE(MID($D2842,2,20))&lt;100000000,VALUE(MID($D2842,2,20)),1000000000),1000000000))+ROW()/100000,"")</f>
        <v/>
      </c>
    </row>
    <row r="2843">
      <c r="F2843" s="11" t="n"/>
      <c r="N2843" s="7">
        <f>IF($D2843="","",M2843*V2843/100)</f>
        <v/>
      </c>
      <c r="O2843" s="7" t="n"/>
      <c r="U2843" s="7" t="n"/>
      <c r="V2843" s="7" t="n"/>
      <c r="Y2843">
        <f>IF($D2843="","",IF($AN2843=1,0,IF($AM2843=1,Settings!$C$6,Settings!$C$7))*100)</f>
        <v/>
      </c>
      <c r="Z2843" s="7">
        <f>IF($D2843="","",V2843*Y2843/100)</f>
        <v/>
      </c>
      <c r="AA2843" s="7">
        <f>IF($D2843="","",V2843-Z2843)</f>
        <v/>
      </c>
      <c r="AB2843" s="7">
        <f>IF($D2843="","",AA2843-N2843)</f>
        <v/>
      </c>
      <c r="AF2843" s="7" t="n"/>
      <c r="AI2843" s="11" t="n"/>
      <c r="AK2843">
        <f>IF($D2843="","",IF(COUNTIF($D$2:$D2843,$D2843)=1,1,0))</f>
        <v/>
      </c>
      <c r="AL2843">
        <f>IF($AK2843=1,SUMPRODUCT(--($AO$2:$AO$3001&lt;$AO2843))+1,"")</f>
        <v/>
      </c>
      <c r="AM2843">
        <f>IF($D2843="","",IF(OR($R2843=TRUE(),$R2843="TRUE"),1,0))</f>
        <v/>
      </c>
      <c r="AN2843">
        <f>IF($D2843="","",IF($X2843="Yes",1,0))</f>
        <v/>
      </c>
      <c r="AO2843">
        <f>IF($AK2843=1,IFERROR(IF(VALUE($D2843)&lt;100000000,VALUE($D2843),1000000000),IFERROR(IF(VALUE(MID($D2843,2,20))&lt;100000000,VALUE(MID($D2843,2,20)),1000000000),1000000000))+ROW()/100000,"")</f>
        <v/>
      </c>
    </row>
    <row r="2844">
      <c r="F2844" s="11" t="n"/>
      <c r="N2844" s="7">
        <f>IF($D2844="","",M2844*V2844/100)</f>
        <v/>
      </c>
      <c r="O2844" s="7" t="n"/>
      <c r="U2844" s="7" t="n"/>
      <c r="V2844" s="7" t="n"/>
      <c r="Y2844">
        <f>IF($D2844="","",IF($AN2844=1,0,IF($AM2844=1,Settings!$C$6,Settings!$C$7))*100)</f>
        <v/>
      </c>
      <c r="Z2844" s="7">
        <f>IF($D2844="","",V2844*Y2844/100)</f>
        <v/>
      </c>
      <c r="AA2844" s="7">
        <f>IF($D2844="","",V2844-Z2844)</f>
        <v/>
      </c>
      <c r="AB2844" s="7">
        <f>IF($D2844="","",AA2844-N2844)</f>
        <v/>
      </c>
      <c r="AF2844" s="7" t="n"/>
      <c r="AI2844" s="11" t="n"/>
      <c r="AK2844">
        <f>IF($D2844="","",IF(COUNTIF($D$2:$D2844,$D2844)=1,1,0))</f>
        <v/>
      </c>
      <c r="AL2844">
        <f>IF($AK2844=1,SUMPRODUCT(--($AO$2:$AO$3001&lt;$AO2844))+1,"")</f>
        <v/>
      </c>
      <c r="AM2844">
        <f>IF($D2844="","",IF(OR($R2844=TRUE(),$R2844="TRUE"),1,0))</f>
        <v/>
      </c>
      <c r="AN2844">
        <f>IF($D2844="","",IF($X2844="Yes",1,0))</f>
        <v/>
      </c>
      <c r="AO2844">
        <f>IF($AK2844=1,IFERROR(IF(VALUE($D2844)&lt;100000000,VALUE($D2844),1000000000),IFERROR(IF(VALUE(MID($D2844,2,20))&lt;100000000,VALUE(MID($D2844,2,20)),1000000000),1000000000))+ROW()/100000,"")</f>
        <v/>
      </c>
    </row>
    <row r="2845">
      <c r="F2845" s="11" t="n"/>
      <c r="N2845" s="7">
        <f>IF($D2845="","",M2845*V2845/100)</f>
        <v/>
      </c>
      <c r="O2845" s="7" t="n"/>
      <c r="U2845" s="7" t="n"/>
      <c r="V2845" s="7" t="n"/>
      <c r="Y2845">
        <f>IF($D2845="","",IF($AN2845=1,0,IF($AM2845=1,Settings!$C$6,Settings!$C$7))*100)</f>
        <v/>
      </c>
      <c r="Z2845" s="7">
        <f>IF($D2845="","",V2845*Y2845/100)</f>
        <v/>
      </c>
      <c r="AA2845" s="7">
        <f>IF($D2845="","",V2845-Z2845)</f>
        <v/>
      </c>
      <c r="AB2845" s="7">
        <f>IF($D2845="","",AA2845-N2845)</f>
        <v/>
      </c>
      <c r="AF2845" s="7" t="n"/>
      <c r="AI2845" s="11" t="n"/>
      <c r="AK2845">
        <f>IF($D2845="","",IF(COUNTIF($D$2:$D2845,$D2845)=1,1,0))</f>
        <v/>
      </c>
      <c r="AL2845">
        <f>IF($AK2845=1,SUMPRODUCT(--($AO$2:$AO$3001&lt;$AO2845))+1,"")</f>
        <v/>
      </c>
      <c r="AM2845">
        <f>IF($D2845="","",IF(OR($R2845=TRUE(),$R2845="TRUE"),1,0))</f>
        <v/>
      </c>
      <c r="AN2845">
        <f>IF($D2845="","",IF($X2845="Yes",1,0))</f>
        <v/>
      </c>
      <c r="AO2845">
        <f>IF($AK2845=1,IFERROR(IF(VALUE($D2845)&lt;100000000,VALUE($D2845),1000000000),IFERROR(IF(VALUE(MID($D2845,2,20))&lt;100000000,VALUE(MID($D2845,2,20)),1000000000),1000000000))+ROW()/100000,"")</f>
        <v/>
      </c>
    </row>
    <row r="2846">
      <c r="F2846" s="11" t="n"/>
      <c r="N2846" s="7">
        <f>IF($D2846="","",M2846*V2846/100)</f>
        <v/>
      </c>
      <c r="O2846" s="7" t="n"/>
      <c r="U2846" s="7" t="n"/>
      <c r="V2846" s="7" t="n"/>
      <c r="Y2846">
        <f>IF($D2846="","",IF($AN2846=1,0,IF($AM2846=1,Settings!$C$6,Settings!$C$7))*100)</f>
        <v/>
      </c>
      <c r="Z2846" s="7">
        <f>IF($D2846="","",V2846*Y2846/100)</f>
        <v/>
      </c>
      <c r="AA2846" s="7">
        <f>IF($D2846="","",V2846-Z2846)</f>
        <v/>
      </c>
      <c r="AB2846" s="7">
        <f>IF($D2846="","",AA2846-N2846)</f>
        <v/>
      </c>
      <c r="AF2846" s="7" t="n"/>
      <c r="AI2846" s="11" t="n"/>
      <c r="AK2846">
        <f>IF($D2846="","",IF(COUNTIF($D$2:$D2846,$D2846)=1,1,0))</f>
        <v/>
      </c>
      <c r="AL2846">
        <f>IF($AK2846=1,SUMPRODUCT(--($AO$2:$AO$3001&lt;$AO2846))+1,"")</f>
        <v/>
      </c>
      <c r="AM2846">
        <f>IF($D2846="","",IF(OR($R2846=TRUE(),$R2846="TRUE"),1,0))</f>
        <v/>
      </c>
      <c r="AN2846">
        <f>IF($D2846="","",IF($X2846="Yes",1,0))</f>
        <v/>
      </c>
      <c r="AO2846">
        <f>IF($AK2846=1,IFERROR(IF(VALUE($D2846)&lt;100000000,VALUE($D2846),1000000000),IFERROR(IF(VALUE(MID($D2846,2,20))&lt;100000000,VALUE(MID($D2846,2,20)),1000000000),1000000000))+ROW()/100000,"")</f>
        <v/>
      </c>
    </row>
    <row r="2847">
      <c r="F2847" s="11" t="n"/>
      <c r="N2847" s="7">
        <f>IF($D2847="","",M2847*V2847/100)</f>
        <v/>
      </c>
      <c r="O2847" s="7" t="n"/>
      <c r="U2847" s="7" t="n"/>
      <c r="V2847" s="7" t="n"/>
      <c r="Y2847">
        <f>IF($D2847="","",IF($AN2847=1,0,IF($AM2847=1,Settings!$C$6,Settings!$C$7))*100)</f>
        <v/>
      </c>
      <c r="Z2847" s="7">
        <f>IF($D2847="","",V2847*Y2847/100)</f>
        <v/>
      </c>
      <c r="AA2847" s="7">
        <f>IF($D2847="","",V2847-Z2847)</f>
        <v/>
      </c>
      <c r="AB2847" s="7">
        <f>IF($D2847="","",AA2847-N2847)</f>
        <v/>
      </c>
      <c r="AF2847" s="7" t="n"/>
      <c r="AI2847" s="11" t="n"/>
      <c r="AK2847">
        <f>IF($D2847="","",IF(COUNTIF($D$2:$D2847,$D2847)=1,1,0))</f>
        <v/>
      </c>
      <c r="AL2847">
        <f>IF($AK2847=1,SUMPRODUCT(--($AO$2:$AO$3001&lt;$AO2847))+1,"")</f>
        <v/>
      </c>
      <c r="AM2847">
        <f>IF($D2847="","",IF(OR($R2847=TRUE(),$R2847="TRUE"),1,0))</f>
        <v/>
      </c>
      <c r="AN2847">
        <f>IF($D2847="","",IF($X2847="Yes",1,0))</f>
        <v/>
      </c>
      <c r="AO2847">
        <f>IF($AK2847=1,IFERROR(IF(VALUE($D2847)&lt;100000000,VALUE($D2847),1000000000),IFERROR(IF(VALUE(MID($D2847,2,20))&lt;100000000,VALUE(MID($D2847,2,20)),1000000000),1000000000))+ROW()/100000,"")</f>
        <v/>
      </c>
    </row>
    <row r="2848">
      <c r="F2848" s="11" t="n"/>
      <c r="N2848" s="7">
        <f>IF($D2848="","",M2848*V2848/100)</f>
        <v/>
      </c>
      <c r="O2848" s="7" t="n"/>
      <c r="U2848" s="7" t="n"/>
      <c r="V2848" s="7" t="n"/>
      <c r="Y2848">
        <f>IF($D2848="","",IF($AN2848=1,0,IF($AM2848=1,Settings!$C$6,Settings!$C$7))*100)</f>
        <v/>
      </c>
      <c r="Z2848" s="7">
        <f>IF($D2848="","",V2848*Y2848/100)</f>
        <v/>
      </c>
      <c r="AA2848" s="7">
        <f>IF($D2848="","",V2848-Z2848)</f>
        <v/>
      </c>
      <c r="AB2848" s="7">
        <f>IF($D2848="","",AA2848-N2848)</f>
        <v/>
      </c>
      <c r="AF2848" s="7" t="n"/>
      <c r="AI2848" s="11" t="n"/>
      <c r="AK2848">
        <f>IF($D2848="","",IF(COUNTIF($D$2:$D2848,$D2848)=1,1,0))</f>
        <v/>
      </c>
      <c r="AL2848">
        <f>IF($AK2848=1,SUMPRODUCT(--($AO$2:$AO$3001&lt;$AO2848))+1,"")</f>
        <v/>
      </c>
      <c r="AM2848">
        <f>IF($D2848="","",IF(OR($R2848=TRUE(),$R2848="TRUE"),1,0))</f>
        <v/>
      </c>
      <c r="AN2848">
        <f>IF($D2848="","",IF($X2848="Yes",1,0))</f>
        <v/>
      </c>
      <c r="AO2848">
        <f>IF($AK2848=1,IFERROR(IF(VALUE($D2848)&lt;100000000,VALUE($D2848),1000000000),IFERROR(IF(VALUE(MID($D2848,2,20))&lt;100000000,VALUE(MID($D2848,2,20)),1000000000),1000000000))+ROW()/100000,"")</f>
        <v/>
      </c>
    </row>
    <row r="2849">
      <c r="F2849" s="11" t="n"/>
      <c r="N2849" s="7">
        <f>IF($D2849="","",M2849*V2849/100)</f>
        <v/>
      </c>
      <c r="O2849" s="7" t="n"/>
      <c r="U2849" s="7" t="n"/>
      <c r="V2849" s="7" t="n"/>
      <c r="Y2849">
        <f>IF($D2849="","",IF($AN2849=1,0,IF($AM2849=1,Settings!$C$6,Settings!$C$7))*100)</f>
        <v/>
      </c>
      <c r="Z2849" s="7">
        <f>IF($D2849="","",V2849*Y2849/100)</f>
        <v/>
      </c>
      <c r="AA2849" s="7">
        <f>IF($D2849="","",V2849-Z2849)</f>
        <v/>
      </c>
      <c r="AB2849" s="7">
        <f>IF($D2849="","",AA2849-N2849)</f>
        <v/>
      </c>
      <c r="AF2849" s="7" t="n"/>
      <c r="AI2849" s="11" t="n"/>
      <c r="AK2849">
        <f>IF($D2849="","",IF(COUNTIF($D$2:$D2849,$D2849)=1,1,0))</f>
        <v/>
      </c>
      <c r="AL2849">
        <f>IF($AK2849=1,SUMPRODUCT(--($AO$2:$AO$3001&lt;$AO2849))+1,"")</f>
        <v/>
      </c>
      <c r="AM2849">
        <f>IF($D2849="","",IF(OR($R2849=TRUE(),$R2849="TRUE"),1,0))</f>
        <v/>
      </c>
      <c r="AN2849">
        <f>IF($D2849="","",IF($X2849="Yes",1,0))</f>
        <v/>
      </c>
      <c r="AO2849">
        <f>IF($AK2849=1,IFERROR(IF(VALUE($D2849)&lt;100000000,VALUE($D2849),1000000000),IFERROR(IF(VALUE(MID($D2849,2,20))&lt;100000000,VALUE(MID($D2849,2,20)),1000000000),1000000000))+ROW()/100000,"")</f>
        <v/>
      </c>
    </row>
    <row r="2850">
      <c r="F2850" s="11" t="n"/>
      <c r="N2850" s="7">
        <f>IF($D2850="","",M2850*V2850/100)</f>
        <v/>
      </c>
      <c r="O2850" s="7" t="n"/>
      <c r="U2850" s="7" t="n"/>
      <c r="V2850" s="7" t="n"/>
      <c r="Y2850">
        <f>IF($D2850="","",IF($AN2850=1,0,IF($AM2850=1,Settings!$C$6,Settings!$C$7))*100)</f>
        <v/>
      </c>
      <c r="Z2850" s="7">
        <f>IF($D2850="","",V2850*Y2850/100)</f>
        <v/>
      </c>
      <c r="AA2850" s="7">
        <f>IF($D2850="","",V2850-Z2850)</f>
        <v/>
      </c>
      <c r="AB2850" s="7">
        <f>IF($D2850="","",AA2850-N2850)</f>
        <v/>
      </c>
      <c r="AF2850" s="7" t="n"/>
      <c r="AI2850" s="11" t="n"/>
      <c r="AK2850">
        <f>IF($D2850="","",IF(COUNTIF($D$2:$D2850,$D2850)=1,1,0))</f>
        <v/>
      </c>
      <c r="AL2850">
        <f>IF($AK2850=1,SUMPRODUCT(--($AO$2:$AO$3001&lt;$AO2850))+1,"")</f>
        <v/>
      </c>
      <c r="AM2850">
        <f>IF($D2850="","",IF(OR($R2850=TRUE(),$R2850="TRUE"),1,0))</f>
        <v/>
      </c>
      <c r="AN2850">
        <f>IF($D2850="","",IF($X2850="Yes",1,0))</f>
        <v/>
      </c>
      <c r="AO2850">
        <f>IF($AK2850=1,IFERROR(IF(VALUE($D2850)&lt;100000000,VALUE($D2850),1000000000),IFERROR(IF(VALUE(MID($D2850,2,20))&lt;100000000,VALUE(MID($D2850,2,20)),1000000000),1000000000))+ROW()/100000,"")</f>
        <v/>
      </c>
    </row>
    <row r="2851">
      <c r="F2851" s="11" t="n"/>
      <c r="N2851" s="7">
        <f>IF($D2851="","",M2851*V2851/100)</f>
        <v/>
      </c>
      <c r="O2851" s="7" t="n"/>
      <c r="U2851" s="7" t="n"/>
      <c r="V2851" s="7" t="n"/>
      <c r="Y2851">
        <f>IF($D2851="","",IF($AN2851=1,0,IF($AM2851=1,Settings!$C$6,Settings!$C$7))*100)</f>
        <v/>
      </c>
      <c r="Z2851" s="7">
        <f>IF($D2851="","",V2851*Y2851/100)</f>
        <v/>
      </c>
      <c r="AA2851" s="7">
        <f>IF($D2851="","",V2851-Z2851)</f>
        <v/>
      </c>
      <c r="AB2851" s="7">
        <f>IF($D2851="","",AA2851-N2851)</f>
        <v/>
      </c>
      <c r="AF2851" s="7" t="n"/>
      <c r="AI2851" s="11" t="n"/>
      <c r="AK2851">
        <f>IF($D2851="","",IF(COUNTIF($D$2:$D2851,$D2851)=1,1,0))</f>
        <v/>
      </c>
      <c r="AL2851">
        <f>IF($AK2851=1,SUMPRODUCT(--($AO$2:$AO$3001&lt;$AO2851))+1,"")</f>
        <v/>
      </c>
      <c r="AM2851">
        <f>IF($D2851="","",IF(OR($R2851=TRUE(),$R2851="TRUE"),1,0))</f>
        <v/>
      </c>
      <c r="AN2851">
        <f>IF($D2851="","",IF($X2851="Yes",1,0))</f>
        <v/>
      </c>
      <c r="AO2851">
        <f>IF($AK2851=1,IFERROR(IF(VALUE($D2851)&lt;100000000,VALUE($D2851),1000000000),IFERROR(IF(VALUE(MID($D2851,2,20))&lt;100000000,VALUE(MID($D2851,2,20)),1000000000),1000000000))+ROW()/100000,"")</f>
        <v/>
      </c>
    </row>
    <row r="2852">
      <c r="F2852" s="11" t="n"/>
      <c r="N2852" s="7">
        <f>IF($D2852="","",M2852*V2852/100)</f>
        <v/>
      </c>
      <c r="O2852" s="7" t="n"/>
      <c r="U2852" s="7" t="n"/>
      <c r="V2852" s="7" t="n"/>
      <c r="Y2852">
        <f>IF($D2852="","",IF($AN2852=1,0,IF($AM2852=1,Settings!$C$6,Settings!$C$7))*100)</f>
        <v/>
      </c>
      <c r="Z2852" s="7">
        <f>IF($D2852="","",V2852*Y2852/100)</f>
        <v/>
      </c>
      <c r="AA2852" s="7">
        <f>IF($D2852="","",V2852-Z2852)</f>
        <v/>
      </c>
      <c r="AB2852" s="7">
        <f>IF($D2852="","",AA2852-N2852)</f>
        <v/>
      </c>
      <c r="AF2852" s="7" t="n"/>
      <c r="AI2852" s="11" t="n"/>
      <c r="AK2852">
        <f>IF($D2852="","",IF(COUNTIF($D$2:$D2852,$D2852)=1,1,0))</f>
        <v/>
      </c>
      <c r="AL2852">
        <f>IF($AK2852=1,SUMPRODUCT(--($AO$2:$AO$3001&lt;$AO2852))+1,"")</f>
        <v/>
      </c>
      <c r="AM2852">
        <f>IF($D2852="","",IF(OR($R2852=TRUE(),$R2852="TRUE"),1,0))</f>
        <v/>
      </c>
      <c r="AN2852">
        <f>IF($D2852="","",IF($X2852="Yes",1,0))</f>
        <v/>
      </c>
      <c r="AO2852">
        <f>IF($AK2852=1,IFERROR(IF(VALUE($D2852)&lt;100000000,VALUE($D2852),1000000000),IFERROR(IF(VALUE(MID($D2852,2,20))&lt;100000000,VALUE(MID($D2852,2,20)),1000000000),1000000000))+ROW()/100000,"")</f>
        <v/>
      </c>
    </row>
    <row r="2853">
      <c r="F2853" s="11" t="n"/>
      <c r="N2853" s="7">
        <f>IF($D2853="","",M2853*V2853/100)</f>
        <v/>
      </c>
      <c r="O2853" s="7" t="n"/>
      <c r="U2853" s="7" t="n"/>
      <c r="V2853" s="7" t="n"/>
      <c r="Y2853">
        <f>IF($D2853="","",IF($AN2853=1,0,IF($AM2853=1,Settings!$C$6,Settings!$C$7))*100)</f>
        <v/>
      </c>
      <c r="Z2853" s="7">
        <f>IF($D2853="","",V2853*Y2853/100)</f>
        <v/>
      </c>
      <c r="AA2853" s="7">
        <f>IF($D2853="","",V2853-Z2853)</f>
        <v/>
      </c>
      <c r="AB2853" s="7">
        <f>IF($D2853="","",AA2853-N2853)</f>
        <v/>
      </c>
      <c r="AF2853" s="7" t="n"/>
      <c r="AI2853" s="11" t="n"/>
      <c r="AK2853">
        <f>IF($D2853="","",IF(COUNTIF($D$2:$D2853,$D2853)=1,1,0))</f>
        <v/>
      </c>
      <c r="AL2853">
        <f>IF($AK2853=1,SUMPRODUCT(--($AO$2:$AO$3001&lt;$AO2853))+1,"")</f>
        <v/>
      </c>
      <c r="AM2853">
        <f>IF($D2853="","",IF(OR($R2853=TRUE(),$R2853="TRUE"),1,0))</f>
        <v/>
      </c>
      <c r="AN2853">
        <f>IF($D2853="","",IF($X2853="Yes",1,0))</f>
        <v/>
      </c>
      <c r="AO2853">
        <f>IF($AK2853=1,IFERROR(IF(VALUE($D2853)&lt;100000000,VALUE($D2853),1000000000),IFERROR(IF(VALUE(MID($D2853,2,20))&lt;100000000,VALUE(MID($D2853,2,20)),1000000000),1000000000))+ROW()/100000,"")</f>
        <v/>
      </c>
    </row>
    <row r="2854">
      <c r="F2854" s="11" t="n"/>
      <c r="N2854" s="7">
        <f>IF($D2854="","",M2854*V2854/100)</f>
        <v/>
      </c>
      <c r="O2854" s="7" t="n"/>
      <c r="U2854" s="7" t="n"/>
      <c r="V2854" s="7" t="n"/>
      <c r="Y2854">
        <f>IF($D2854="","",IF($AN2854=1,0,IF($AM2854=1,Settings!$C$6,Settings!$C$7))*100)</f>
        <v/>
      </c>
      <c r="Z2854" s="7">
        <f>IF($D2854="","",V2854*Y2854/100)</f>
        <v/>
      </c>
      <c r="AA2854" s="7">
        <f>IF($D2854="","",V2854-Z2854)</f>
        <v/>
      </c>
      <c r="AB2854" s="7">
        <f>IF($D2854="","",AA2854-N2854)</f>
        <v/>
      </c>
      <c r="AF2854" s="7" t="n"/>
      <c r="AI2854" s="11" t="n"/>
      <c r="AK2854">
        <f>IF($D2854="","",IF(COUNTIF($D$2:$D2854,$D2854)=1,1,0))</f>
        <v/>
      </c>
      <c r="AL2854">
        <f>IF($AK2854=1,SUMPRODUCT(--($AO$2:$AO$3001&lt;$AO2854))+1,"")</f>
        <v/>
      </c>
      <c r="AM2854">
        <f>IF($D2854="","",IF(OR($R2854=TRUE(),$R2854="TRUE"),1,0))</f>
        <v/>
      </c>
      <c r="AN2854">
        <f>IF($D2854="","",IF($X2854="Yes",1,0))</f>
        <v/>
      </c>
      <c r="AO2854">
        <f>IF($AK2854=1,IFERROR(IF(VALUE($D2854)&lt;100000000,VALUE($D2854),1000000000),IFERROR(IF(VALUE(MID($D2854,2,20))&lt;100000000,VALUE(MID($D2854,2,20)),1000000000),1000000000))+ROW()/100000,"")</f>
        <v/>
      </c>
    </row>
    <row r="2855">
      <c r="F2855" s="11" t="n"/>
      <c r="N2855" s="7">
        <f>IF($D2855="","",M2855*V2855/100)</f>
        <v/>
      </c>
      <c r="O2855" s="7" t="n"/>
      <c r="U2855" s="7" t="n"/>
      <c r="V2855" s="7" t="n"/>
      <c r="Y2855">
        <f>IF($D2855="","",IF($AN2855=1,0,IF($AM2855=1,Settings!$C$6,Settings!$C$7))*100)</f>
        <v/>
      </c>
      <c r="Z2855" s="7">
        <f>IF($D2855="","",V2855*Y2855/100)</f>
        <v/>
      </c>
      <c r="AA2855" s="7">
        <f>IF($D2855="","",V2855-Z2855)</f>
        <v/>
      </c>
      <c r="AB2855" s="7">
        <f>IF($D2855="","",AA2855-N2855)</f>
        <v/>
      </c>
      <c r="AF2855" s="7" t="n"/>
      <c r="AI2855" s="11" t="n"/>
      <c r="AK2855">
        <f>IF($D2855="","",IF(COUNTIF($D$2:$D2855,$D2855)=1,1,0))</f>
        <v/>
      </c>
      <c r="AL2855">
        <f>IF($AK2855=1,SUMPRODUCT(--($AO$2:$AO$3001&lt;$AO2855))+1,"")</f>
        <v/>
      </c>
      <c r="AM2855">
        <f>IF($D2855="","",IF(OR($R2855=TRUE(),$R2855="TRUE"),1,0))</f>
        <v/>
      </c>
      <c r="AN2855">
        <f>IF($D2855="","",IF($X2855="Yes",1,0))</f>
        <v/>
      </c>
      <c r="AO2855">
        <f>IF($AK2855=1,IFERROR(IF(VALUE($D2855)&lt;100000000,VALUE($D2855),1000000000),IFERROR(IF(VALUE(MID($D2855,2,20))&lt;100000000,VALUE(MID($D2855,2,20)),1000000000),1000000000))+ROW()/100000,"")</f>
        <v/>
      </c>
    </row>
    <row r="2856">
      <c r="F2856" s="11" t="n"/>
      <c r="N2856" s="7">
        <f>IF($D2856="","",M2856*V2856/100)</f>
        <v/>
      </c>
      <c r="O2856" s="7" t="n"/>
      <c r="U2856" s="7" t="n"/>
      <c r="V2856" s="7" t="n"/>
      <c r="Y2856">
        <f>IF($D2856="","",IF($AN2856=1,0,IF($AM2856=1,Settings!$C$6,Settings!$C$7))*100)</f>
        <v/>
      </c>
      <c r="Z2856" s="7">
        <f>IF($D2856="","",V2856*Y2856/100)</f>
        <v/>
      </c>
      <c r="AA2856" s="7">
        <f>IF($D2856="","",V2856-Z2856)</f>
        <v/>
      </c>
      <c r="AB2856" s="7">
        <f>IF($D2856="","",AA2856-N2856)</f>
        <v/>
      </c>
      <c r="AF2856" s="7" t="n"/>
      <c r="AI2856" s="11" t="n"/>
      <c r="AK2856">
        <f>IF($D2856="","",IF(COUNTIF($D$2:$D2856,$D2856)=1,1,0))</f>
        <v/>
      </c>
      <c r="AL2856">
        <f>IF($AK2856=1,SUMPRODUCT(--($AO$2:$AO$3001&lt;$AO2856))+1,"")</f>
        <v/>
      </c>
      <c r="AM2856">
        <f>IF($D2856="","",IF(OR($R2856=TRUE(),$R2856="TRUE"),1,0))</f>
        <v/>
      </c>
      <c r="AN2856">
        <f>IF($D2856="","",IF($X2856="Yes",1,0))</f>
        <v/>
      </c>
      <c r="AO2856">
        <f>IF($AK2856=1,IFERROR(IF(VALUE($D2856)&lt;100000000,VALUE($D2856),1000000000),IFERROR(IF(VALUE(MID($D2856,2,20))&lt;100000000,VALUE(MID($D2856,2,20)),1000000000),1000000000))+ROW()/100000,"")</f>
        <v/>
      </c>
    </row>
    <row r="2857">
      <c r="F2857" s="11" t="n"/>
      <c r="N2857" s="7">
        <f>IF($D2857="","",M2857*V2857/100)</f>
        <v/>
      </c>
      <c r="O2857" s="7" t="n"/>
      <c r="U2857" s="7" t="n"/>
      <c r="V2857" s="7" t="n"/>
      <c r="Y2857">
        <f>IF($D2857="","",IF($AN2857=1,0,IF($AM2857=1,Settings!$C$6,Settings!$C$7))*100)</f>
        <v/>
      </c>
      <c r="Z2857" s="7">
        <f>IF($D2857="","",V2857*Y2857/100)</f>
        <v/>
      </c>
      <c r="AA2857" s="7">
        <f>IF($D2857="","",V2857-Z2857)</f>
        <v/>
      </c>
      <c r="AB2857" s="7">
        <f>IF($D2857="","",AA2857-N2857)</f>
        <v/>
      </c>
      <c r="AF2857" s="7" t="n"/>
      <c r="AI2857" s="11" t="n"/>
      <c r="AK2857">
        <f>IF($D2857="","",IF(COUNTIF($D$2:$D2857,$D2857)=1,1,0))</f>
        <v/>
      </c>
      <c r="AL2857">
        <f>IF($AK2857=1,SUMPRODUCT(--($AO$2:$AO$3001&lt;$AO2857))+1,"")</f>
        <v/>
      </c>
      <c r="AM2857">
        <f>IF($D2857="","",IF(OR($R2857=TRUE(),$R2857="TRUE"),1,0))</f>
        <v/>
      </c>
      <c r="AN2857">
        <f>IF($D2857="","",IF($X2857="Yes",1,0))</f>
        <v/>
      </c>
      <c r="AO2857">
        <f>IF($AK2857=1,IFERROR(IF(VALUE($D2857)&lt;100000000,VALUE($D2857),1000000000),IFERROR(IF(VALUE(MID($D2857,2,20))&lt;100000000,VALUE(MID($D2857,2,20)),1000000000),1000000000))+ROW()/100000,"")</f>
        <v/>
      </c>
    </row>
    <row r="2858">
      <c r="F2858" s="11" t="n"/>
      <c r="N2858" s="7">
        <f>IF($D2858="","",M2858*V2858/100)</f>
        <v/>
      </c>
      <c r="O2858" s="7" t="n"/>
      <c r="U2858" s="7" t="n"/>
      <c r="V2858" s="7" t="n"/>
      <c r="Y2858">
        <f>IF($D2858="","",IF($AN2858=1,0,IF($AM2858=1,Settings!$C$6,Settings!$C$7))*100)</f>
        <v/>
      </c>
      <c r="Z2858" s="7">
        <f>IF($D2858="","",V2858*Y2858/100)</f>
        <v/>
      </c>
      <c r="AA2858" s="7">
        <f>IF($D2858="","",V2858-Z2858)</f>
        <v/>
      </c>
      <c r="AB2858" s="7">
        <f>IF($D2858="","",AA2858-N2858)</f>
        <v/>
      </c>
      <c r="AF2858" s="7" t="n"/>
      <c r="AI2858" s="11" t="n"/>
      <c r="AK2858">
        <f>IF($D2858="","",IF(COUNTIF($D$2:$D2858,$D2858)=1,1,0))</f>
        <v/>
      </c>
      <c r="AL2858">
        <f>IF($AK2858=1,SUMPRODUCT(--($AO$2:$AO$3001&lt;$AO2858))+1,"")</f>
        <v/>
      </c>
      <c r="AM2858">
        <f>IF($D2858="","",IF(OR($R2858=TRUE(),$R2858="TRUE"),1,0))</f>
        <v/>
      </c>
      <c r="AN2858">
        <f>IF($D2858="","",IF($X2858="Yes",1,0))</f>
        <v/>
      </c>
      <c r="AO2858">
        <f>IF($AK2858=1,IFERROR(IF(VALUE($D2858)&lt;100000000,VALUE($D2858),1000000000),IFERROR(IF(VALUE(MID($D2858,2,20))&lt;100000000,VALUE(MID($D2858,2,20)),1000000000),1000000000))+ROW()/100000,"")</f>
        <v/>
      </c>
    </row>
    <row r="2859">
      <c r="F2859" s="11" t="n"/>
      <c r="N2859" s="7">
        <f>IF($D2859="","",M2859*V2859/100)</f>
        <v/>
      </c>
      <c r="O2859" s="7" t="n"/>
      <c r="U2859" s="7" t="n"/>
      <c r="V2859" s="7" t="n"/>
      <c r="Y2859">
        <f>IF($D2859="","",IF($AN2859=1,0,IF($AM2859=1,Settings!$C$6,Settings!$C$7))*100)</f>
        <v/>
      </c>
      <c r="Z2859" s="7">
        <f>IF($D2859="","",V2859*Y2859/100)</f>
        <v/>
      </c>
      <c r="AA2859" s="7">
        <f>IF($D2859="","",V2859-Z2859)</f>
        <v/>
      </c>
      <c r="AB2859" s="7">
        <f>IF($D2859="","",AA2859-N2859)</f>
        <v/>
      </c>
      <c r="AF2859" s="7" t="n"/>
      <c r="AI2859" s="11" t="n"/>
      <c r="AK2859">
        <f>IF($D2859="","",IF(COUNTIF($D$2:$D2859,$D2859)=1,1,0))</f>
        <v/>
      </c>
      <c r="AL2859">
        <f>IF($AK2859=1,SUMPRODUCT(--($AO$2:$AO$3001&lt;$AO2859))+1,"")</f>
        <v/>
      </c>
      <c r="AM2859">
        <f>IF($D2859="","",IF(OR($R2859=TRUE(),$R2859="TRUE"),1,0))</f>
        <v/>
      </c>
      <c r="AN2859">
        <f>IF($D2859="","",IF($X2859="Yes",1,0))</f>
        <v/>
      </c>
      <c r="AO2859">
        <f>IF($AK2859=1,IFERROR(IF(VALUE($D2859)&lt;100000000,VALUE($D2859),1000000000),IFERROR(IF(VALUE(MID($D2859,2,20))&lt;100000000,VALUE(MID($D2859,2,20)),1000000000),1000000000))+ROW()/100000,"")</f>
        <v/>
      </c>
    </row>
    <row r="2860">
      <c r="F2860" s="11" t="n"/>
      <c r="N2860" s="7">
        <f>IF($D2860="","",M2860*V2860/100)</f>
        <v/>
      </c>
      <c r="O2860" s="7" t="n"/>
      <c r="U2860" s="7" t="n"/>
      <c r="V2860" s="7" t="n"/>
      <c r="Y2860">
        <f>IF($D2860="","",IF($AN2860=1,0,IF($AM2860=1,Settings!$C$6,Settings!$C$7))*100)</f>
        <v/>
      </c>
      <c r="Z2860" s="7">
        <f>IF($D2860="","",V2860*Y2860/100)</f>
        <v/>
      </c>
      <c r="AA2860" s="7">
        <f>IF($D2860="","",V2860-Z2860)</f>
        <v/>
      </c>
      <c r="AB2860" s="7">
        <f>IF($D2860="","",AA2860-N2860)</f>
        <v/>
      </c>
      <c r="AF2860" s="7" t="n"/>
      <c r="AI2860" s="11" t="n"/>
      <c r="AK2860">
        <f>IF($D2860="","",IF(COUNTIF($D$2:$D2860,$D2860)=1,1,0))</f>
        <v/>
      </c>
      <c r="AL2860">
        <f>IF($AK2860=1,SUMPRODUCT(--($AO$2:$AO$3001&lt;$AO2860))+1,"")</f>
        <v/>
      </c>
      <c r="AM2860">
        <f>IF($D2860="","",IF(OR($R2860=TRUE(),$R2860="TRUE"),1,0))</f>
        <v/>
      </c>
      <c r="AN2860">
        <f>IF($D2860="","",IF($X2860="Yes",1,0))</f>
        <v/>
      </c>
      <c r="AO2860">
        <f>IF($AK2860=1,IFERROR(IF(VALUE($D2860)&lt;100000000,VALUE($D2860),1000000000),IFERROR(IF(VALUE(MID($D2860,2,20))&lt;100000000,VALUE(MID($D2860,2,20)),1000000000),1000000000))+ROW()/100000,"")</f>
        <v/>
      </c>
    </row>
    <row r="2861">
      <c r="F2861" s="11" t="n"/>
      <c r="N2861" s="7">
        <f>IF($D2861="","",M2861*V2861/100)</f>
        <v/>
      </c>
      <c r="O2861" s="7" t="n"/>
      <c r="U2861" s="7" t="n"/>
      <c r="V2861" s="7" t="n"/>
      <c r="Y2861">
        <f>IF($D2861="","",IF($AN2861=1,0,IF($AM2861=1,Settings!$C$6,Settings!$C$7))*100)</f>
        <v/>
      </c>
      <c r="Z2861" s="7">
        <f>IF($D2861="","",V2861*Y2861/100)</f>
        <v/>
      </c>
      <c r="AA2861" s="7">
        <f>IF($D2861="","",V2861-Z2861)</f>
        <v/>
      </c>
      <c r="AB2861" s="7">
        <f>IF($D2861="","",AA2861-N2861)</f>
        <v/>
      </c>
      <c r="AF2861" s="7" t="n"/>
      <c r="AI2861" s="11" t="n"/>
      <c r="AK2861">
        <f>IF($D2861="","",IF(COUNTIF($D$2:$D2861,$D2861)=1,1,0))</f>
        <v/>
      </c>
      <c r="AL2861">
        <f>IF($AK2861=1,SUMPRODUCT(--($AO$2:$AO$3001&lt;$AO2861))+1,"")</f>
        <v/>
      </c>
      <c r="AM2861">
        <f>IF($D2861="","",IF(OR($R2861=TRUE(),$R2861="TRUE"),1,0))</f>
        <v/>
      </c>
      <c r="AN2861">
        <f>IF($D2861="","",IF($X2861="Yes",1,0))</f>
        <v/>
      </c>
      <c r="AO2861">
        <f>IF($AK2861=1,IFERROR(IF(VALUE($D2861)&lt;100000000,VALUE($D2861),1000000000),IFERROR(IF(VALUE(MID($D2861,2,20))&lt;100000000,VALUE(MID($D2861,2,20)),1000000000),1000000000))+ROW()/100000,"")</f>
        <v/>
      </c>
    </row>
    <row r="2862">
      <c r="F2862" s="11" t="n"/>
      <c r="N2862" s="7">
        <f>IF($D2862="","",M2862*V2862/100)</f>
        <v/>
      </c>
      <c r="O2862" s="7" t="n"/>
      <c r="U2862" s="7" t="n"/>
      <c r="V2862" s="7" t="n"/>
      <c r="Y2862">
        <f>IF($D2862="","",IF($AN2862=1,0,IF($AM2862=1,Settings!$C$6,Settings!$C$7))*100)</f>
        <v/>
      </c>
      <c r="Z2862" s="7">
        <f>IF($D2862="","",V2862*Y2862/100)</f>
        <v/>
      </c>
      <c r="AA2862" s="7">
        <f>IF($D2862="","",V2862-Z2862)</f>
        <v/>
      </c>
      <c r="AB2862" s="7">
        <f>IF($D2862="","",AA2862-N2862)</f>
        <v/>
      </c>
      <c r="AF2862" s="7" t="n"/>
      <c r="AI2862" s="11" t="n"/>
      <c r="AK2862">
        <f>IF($D2862="","",IF(COUNTIF($D$2:$D2862,$D2862)=1,1,0))</f>
        <v/>
      </c>
      <c r="AL2862">
        <f>IF($AK2862=1,SUMPRODUCT(--($AO$2:$AO$3001&lt;$AO2862))+1,"")</f>
        <v/>
      </c>
      <c r="AM2862">
        <f>IF($D2862="","",IF(OR($R2862=TRUE(),$R2862="TRUE"),1,0))</f>
        <v/>
      </c>
      <c r="AN2862">
        <f>IF($D2862="","",IF($X2862="Yes",1,0))</f>
        <v/>
      </c>
      <c r="AO2862">
        <f>IF($AK2862=1,IFERROR(IF(VALUE($D2862)&lt;100000000,VALUE($D2862),1000000000),IFERROR(IF(VALUE(MID($D2862,2,20))&lt;100000000,VALUE(MID($D2862,2,20)),1000000000),1000000000))+ROW()/100000,"")</f>
        <v/>
      </c>
    </row>
    <row r="2863">
      <c r="F2863" s="11" t="n"/>
      <c r="N2863" s="7">
        <f>IF($D2863="","",M2863*V2863/100)</f>
        <v/>
      </c>
      <c r="O2863" s="7" t="n"/>
      <c r="U2863" s="7" t="n"/>
      <c r="V2863" s="7" t="n"/>
      <c r="Y2863">
        <f>IF($D2863="","",IF($AN2863=1,0,IF($AM2863=1,Settings!$C$6,Settings!$C$7))*100)</f>
        <v/>
      </c>
      <c r="Z2863" s="7">
        <f>IF($D2863="","",V2863*Y2863/100)</f>
        <v/>
      </c>
      <c r="AA2863" s="7">
        <f>IF($D2863="","",V2863-Z2863)</f>
        <v/>
      </c>
      <c r="AB2863" s="7">
        <f>IF($D2863="","",AA2863-N2863)</f>
        <v/>
      </c>
      <c r="AF2863" s="7" t="n"/>
      <c r="AI2863" s="11" t="n"/>
      <c r="AK2863">
        <f>IF($D2863="","",IF(COUNTIF($D$2:$D2863,$D2863)=1,1,0))</f>
        <v/>
      </c>
      <c r="AL2863">
        <f>IF($AK2863=1,SUMPRODUCT(--($AO$2:$AO$3001&lt;$AO2863))+1,"")</f>
        <v/>
      </c>
      <c r="AM2863">
        <f>IF($D2863="","",IF(OR($R2863=TRUE(),$R2863="TRUE"),1,0))</f>
        <v/>
      </c>
      <c r="AN2863">
        <f>IF($D2863="","",IF($X2863="Yes",1,0))</f>
        <v/>
      </c>
      <c r="AO2863">
        <f>IF($AK2863=1,IFERROR(IF(VALUE($D2863)&lt;100000000,VALUE($D2863),1000000000),IFERROR(IF(VALUE(MID($D2863,2,20))&lt;100000000,VALUE(MID($D2863,2,20)),1000000000),1000000000))+ROW()/100000,"")</f>
        <v/>
      </c>
    </row>
    <row r="2864">
      <c r="F2864" s="11" t="n"/>
      <c r="N2864" s="7">
        <f>IF($D2864="","",M2864*V2864/100)</f>
        <v/>
      </c>
      <c r="O2864" s="7" t="n"/>
      <c r="U2864" s="7" t="n"/>
      <c r="V2864" s="7" t="n"/>
      <c r="Y2864">
        <f>IF($D2864="","",IF($AN2864=1,0,IF($AM2864=1,Settings!$C$6,Settings!$C$7))*100)</f>
        <v/>
      </c>
      <c r="Z2864" s="7">
        <f>IF($D2864="","",V2864*Y2864/100)</f>
        <v/>
      </c>
      <c r="AA2864" s="7">
        <f>IF($D2864="","",V2864-Z2864)</f>
        <v/>
      </c>
      <c r="AB2864" s="7">
        <f>IF($D2864="","",AA2864-N2864)</f>
        <v/>
      </c>
      <c r="AF2864" s="7" t="n"/>
      <c r="AI2864" s="11" t="n"/>
      <c r="AK2864">
        <f>IF($D2864="","",IF(COUNTIF($D$2:$D2864,$D2864)=1,1,0))</f>
        <v/>
      </c>
      <c r="AL2864">
        <f>IF($AK2864=1,SUMPRODUCT(--($AO$2:$AO$3001&lt;$AO2864))+1,"")</f>
        <v/>
      </c>
      <c r="AM2864">
        <f>IF($D2864="","",IF(OR($R2864=TRUE(),$R2864="TRUE"),1,0))</f>
        <v/>
      </c>
      <c r="AN2864">
        <f>IF($D2864="","",IF($X2864="Yes",1,0))</f>
        <v/>
      </c>
      <c r="AO2864">
        <f>IF($AK2864=1,IFERROR(IF(VALUE($D2864)&lt;100000000,VALUE($D2864),1000000000),IFERROR(IF(VALUE(MID($D2864,2,20))&lt;100000000,VALUE(MID($D2864,2,20)),1000000000),1000000000))+ROW()/100000,"")</f>
        <v/>
      </c>
    </row>
    <row r="2865">
      <c r="F2865" s="11" t="n"/>
      <c r="N2865" s="7">
        <f>IF($D2865="","",M2865*V2865/100)</f>
        <v/>
      </c>
      <c r="O2865" s="7" t="n"/>
      <c r="U2865" s="7" t="n"/>
      <c r="V2865" s="7" t="n"/>
      <c r="Y2865">
        <f>IF($D2865="","",IF($AN2865=1,0,IF($AM2865=1,Settings!$C$6,Settings!$C$7))*100)</f>
        <v/>
      </c>
      <c r="Z2865" s="7">
        <f>IF($D2865="","",V2865*Y2865/100)</f>
        <v/>
      </c>
      <c r="AA2865" s="7">
        <f>IF($D2865="","",V2865-Z2865)</f>
        <v/>
      </c>
      <c r="AB2865" s="7">
        <f>IF($D2865="","",AA2865-N2865)</f>
        <v/>
      </c>
      <c r="AF2865" s="7" t="n"/>
      <c r="AI2865" s="11" t="n"/>
      <c r="AK2865">
        <f>IF($D2865="","",IF(COUNTIF($D$2:$D2865,$D2865)=1,1,0))</f>
        <v/>
      </c>
      <c r="AL2865">
        <f>IF($AK2865=1,SUMPRODUCT(--($AO$2:$AO$3001&lt;$AO2865))+1,"")</f>
        <v/>
      </c>
      <c r="AM2865">
        <f>IF($D2865="","",IF(OR($R2865=TRUE(),$R2865="TRUE"),1,0))</f>
        <v/>
      </c>
      <c r="AN2865">
        <f>IF($D2865="","",IF($X2865="Yes",1,0))</f>
        <v/>
      </c>
      <c r="AO2865">
        <f>IF($AK2865=1,IFERROR(IF(VALUE($D2865)&lt;100000000,VALUE($D2865),1000000000),IFERROR(IF(VALUE(MID($D2865,2,20))&lt;100000000,VALUE(MID($D2865,2,20)),1000000000),1000000000))+ROW()/100000,"")</f>
        <v/>
      </c>
    </row>
    <row r="2866">
      <c r="F2866" s="11" t="n"/>
      <c r="N2866" s="7">
        <f>IF($D2866="","",M2866*V2866/100)</f>
        <v/>
      </c>
      <c r="O2866" s="7" t="n"/>
      <c r="U2866" s="7" t="n"/>
      <c r="V2866" s="7" t="n"/>
      <c r="Y2866">
        <f>IF($D2866="","",IF($AN2866=1,0,IF($AM2866=1,Settings!$C$6,Settings!$C$7))*100)</f>
        <v/>
      </c>
      <c r="Z2866" s="7">
        <f>IF($D2866="","",V2866*Y2866/100)</f>
        <v/>
      </c>
      <c r="AA2866" s="7">
        <f>IF($D2866="","",V2866-Z2866)</f>
        <v/>
      </c>
      <c r="AB2866" s="7">
        <f>IF($D2866="","",AA2866-N2866)</f>
        <v/>
      </c>
      <c r="AF2866" s="7" t="n"/>
      <c r="AI2866" s="11" t="n"/>
      <c r="AK2866">
        <f>IF($D2866="","",IF(COUNTIF($D$2:$D2866,$D2866)=1,1,0))</f>
        <v/>
      </c>
      <c r="AL2866">
        <f>IF($AK2866=1,SUMPRODUCT(--($AO$2:$AO$3001&lt;$AO2866))+1,"")</f>
        <v/>
      </c>
      <c r="AM2866">
        <f>IF($D2866="","",IF(OR($R2866=TRUE(),$R2866="TRUE"),1,0))</f>
        <v/>
      </c>
      <c r="AN2866">
        <f>IF($D2866="","",IF($X2866="Yes",1,0))</f>
        <v/>
      </c>
      <c r="AO2866">
        <f>IF($AK2866=1,IFERROR(IF(VALUE($D2866)&lt;100000000,VALUE($D2866),1000000000),IFERROR(IF(VALUE(MID($D2866,2,20))&lt;100000000,VALUE(MID($D2866,2,20)),1000000000),1000000000))+ROW()/100000,"")</f>
        <v/>
      </c>
    </row>
    <row r="2867">
      <c r="F2867" s="11" t="n"/>
      <c r="N2867" s="7">
        <f>IF($D2867="","",M2867*V2867/100)</f>
        <v/>
      </c>
      <c r="O2867" s="7" t="n"/>
      <c r="U2867" s="7" t="n"/>
      <c r="V2867" s="7" t="n"/>
      <c r="Y2867">
        <f>IF($D2867="","",IF($AN2867=1,0,IF($AM2867=1,Settings!$C$6,Settings!$C$7))*100)</f>
        <v/>
      </c>
      <c r="Z2867" s="7">
        <f>IF($D2867="","",V2867*Y2867/100)</f>
        <v/>
      </c>
      <c r="AA2867" s="7">
        <f>IF($D2867="","",V2867-Z2867)</f>
        <v/>
      </c>
      <c r="AB2867" s="7">
        <f>IF($D2867="","",AA2867-N2867)</f>
        <v/>
      </c>
      <c r="AF2867" s="7" t="n"/>
      <c r="AI2867" s="11" t="n"/>
      <c r="AK2867">
        <f>IF($D2867="","",IF(COUNTIF($D$2:$D2867,$D2867)=1,1,0))</f>
        <v/>
      </c>
      <c r="AL2867">
        <f>IF($AK2867=1,SUMPRODUCT(--($AO$2:$AO$3001&lt;$AO2867))+1,"")</f>
        <v/>
      </c>
      <c r="AM2867">
        <f>IF($D2867="","",IF(OR($R2867=TRUE(),$R2867="TRUE"),1,0))</f>
        <v/>
      </c>
      <c r="AN2867">
        <f>IF($D2867="","",IF($X2867="Yes",1,0))</f>
        <v/>
      </c>
      <c r="AO2867">
        <f>IF($AK2867=1,IFERROR(IF(VALUE($D2867)&lt;100000000,VALUE($D2867),1000000000),IFERROR(IF(VALUE(MID($D2867,2,20))&lt;100000000,VALUE(MID($D2867,2,20)),1000000000),1000000000))+ROW()/100000,"")</f>
        <v/>
      </c>
    </row>
    <row r="2868">
      <c r="F2868" s="11" t="n"/>
      <c r="N2868" s="7">
        <f>IF($D2868="","",M2868*V2868/100)</f>
        <v/>
      </c>
      <c r="O2868" s="7" t="n"/>
      <c r="U2868" s="7" t="n"/>
      <c r="V2868" s="7" t="n"/>
      <c r="Y2868">
        <f>IF($D2868="","",IF($AN2868=1,0,IF($AM2868=1,Settings!$C$6,Settings!$C$7))*100)</f>
        <v/>
      </c>
      <c r="Z2868" s="7">
        <f>IF($D2868="","",V2868*Y2868/100)</f>
        <v/>
      </c>
      <c r="AA2868" s="7">
        <f>IF($D2868="","",V2868-Z2868)</f>
        <v/>
      </c>
      <c r="AB2868" s="7">
        <f>IF($D2868="","",AA2868-N2868)</f>
        <v/>
      </c>
      <c r="AF2868" s="7" t="n"/>
      <c r="AI2868" s="11" t="n"/>
      <c r="AK2868">
        <f>IF($D2868="","",IF(COUNTIF($D$2:$D2868,$D2868)=1,1,0))</f>
        <v/>
      </c>
      <c r="AL2868">
        <f>IF($AK2868=1,SUMPRODUCT(--($AO$2:$AO$3001&lt;$AO2868))+1,"")</f>
        <v/>
      </c>
      <c r="AM2868">
        <f>IF($D2868="","",IF(OR($R2868=TRUE(),$R2868="TRUE"),1,0))</f>
        <v/>
      </c>
      <c r="AN2868">
        <f>IF($D2868="","",IF($X2868="Yes",1,0))</f>
        <v/>
      </c>
      <c r="AO2868">
        <f>IF($AK2868=1,IFERROR(IF(VALUE($D2868)&lt;100000000,VALUE($D2868),1000000000),IFERROR(IF(VALUE(MID($D2868,2,20))&lt;100000000,VALUE(MID($D2868,2,20)),1000000000),1000000000))+ROW()/100000,"")</f>
        <v/>
      </c>
    </row>
    <row r="2869">
      <c r="F2869" s="11" t="n"/>
      <c r="N2869" s="7">
        <f>IF($D2869="","",M2869*V2869/100)</f>
        <v/>
      </c>
      <c r="O2869" s="7" t="n"/>
      <c r="U2869" s="7" t="n"/>
      <c r="V2869" s="7" t="n"/>
      <c r="Y2869">
        <f>IF($D2869="","",IF($AN2869=1,0,IF($AM2869=1,Settings!$C$6,Settings!$C$7))*100)</f>
        <v/>
      </c>
      <c r="Z2869" s="7">
        <f>IF($D2869="","",V2869*Y2869/100)</f>
        <v/>
      </c>
      <c r="AA2869" s="7">
        <f>IF($D2869="","",V2869-Z2869)</f>
        <v/>
      </c>
      <c r="AB2869" s="7">
        <f>IF($D2869="","",AA2869-N2869)</f>
        <v/>
      </c>
      <c r="AF2869" s="7" t="n"/>
      <c r="AI2869" s="11" t="n"/>
      <c r="AK2869">
        <f>IF($D2869="","",IF(COUNTIF($D$2:$D2869,$D2869)=1,1,0))</f>
        <v/>
      </c>
      <c r="AL2869">
        <f>IF($AK2869=1,SUMPRODUCT(--($AO$2:$AO$3001&lt;$AO2869))+1,"")</f>
        <v/>
      </c>
      <c r="AM2869">
        <f>IF($D2869="","",IF(OR($R2869=TRUE(),$R2869="TRUE"),1,0))</f>
        <v/>
      </c>
      <c r="AN2869">
        <f>IF($D2869="","",IF($X2869="Yes",1,0))</f>
        <v/>
      </c>
      <c r="AO2869">
        <f>IF($AK2869=1,IFERROR(IF(VALUE($D2869)&lt;100000000,VALUE($D2869),1000000000),IFERROR(IF(VALUE(MID($D2869,2,20))&lt;100000000,VALUE(MID($D2869,2,20)),1000000000),1000000000))+ROW()/100000,"")</f>
        <v/>
      </c>
    </row>
    <row r="2870">
      <c r="F2870" s="11" t="n"/>
      <c r="N2870" s="7">
        <f>IF($D2870="","",M2870*V2870/100)</f>
        <v/>
      </c>
      <c r="O2870" s="7" t="n"/>
      <c r="U2870" s="7" t="n"/>
      <c r="V2870" s="7" t="n"/>
      <c r="Y2870">
        <f>IF($D2870="","",IF($AN2870=1,0,IF($AM2870=1,Settings!$C$6,Settings!$C$7))*100)</f>
        <v/>
      </c>
      <c r="Z2870" s="7">
        <f>IF($D2870="","",V2870*Y2870/100)</f>
        <v/>
      </c>
      <c r="AA2870" s="7">
        <f>IF($D2870="","",V2870-Z2870)</f>
        <v/>
      </c>
      <c r="AB2870" s="7">
        <f>IF($D2870="","",AA2870-N2870)</f>
        <v/>
      </c>
      <c r="AF2870" s="7" t="n"/>
      <c r="AI2870" s="11" t="n"/>
      <c r="AK2870">
        <f>IF($D2870="","",IF(COUNTIF($D$2:$D2870,$D2870)=1,1,0))</f>
        <v/>
      </c>
      <c r="AL2870">
        <f>IF($AK2870=1,SUMPRODUCT(--($AO$2:$AO$3001&lt;$AO2870))+1,"")</f>
        <v/>
      </c>
      <c r="AM2870">
        <f>IF($D2870="","",IF(OR($R2870=TRUE(),$R2870="TRUE"),1,0))</f>
        <v/>
      </c>
      <c r="AN2870">
        <f>IF($D2870="","",IF($X2870="Yes",1,0))</f>
        <v/>
      </c>
      <c r="AO2870">
        <f>IF($AK2870=1,IFERROR(IF(VALUE($D2870)&lt;100000000,VALUE($D2870),1000000000),IFERROR(IF(VALUE(MID($D2870,2,20))&lt;100000000,VALUE(MID($D2870,2,20)),1000000000),1000000000))+ROW()/100000,"")</f>
        <v/>
      </c>
    </row>
    <row r="2871">
      <c r="F2871" s="11" t="n"/>
      <c r="N2871" s="7">
        <f>IF($D2871="","",M2871*V2871/100)</f>
        <v/>
      </c>
      <c r="O2871" s="7" t="n"/>
      <c r="U2871" s="7" t="n"/>
      <c r="V2871" s="7" t="n"/>
      <c r="Y2871">
        <f>IF($D2871="","",IF($AN2871=1,0,IF($AM2871=1,Settings!$C$6,Settings!$C$7))*100)</f>
        <v/>
      </c>
      <c r="Z2871" s="7">
        <f>IF($D2871="","",V2871*Y2871/100)</f>
        <v/>
      </c>
      <c r="AA2871" s="7">
        <f>IF($D2871="","",V2871-Z2871)</f>
        <v/>
      </c>
      <c r="AB2871" s="7">
        <f>IF($D2871="","",AA2871-N2871)</f>
        <v/>
      </c>
      <c r="AF2871" s="7" t="n"/>
      <c r="AI2871" s="11" t="n"/>
      <c r="AK2871">
        <f>IF($D2871="","",IF(COUNTIF($D$2:$D2871,$D2871)=1,1,0))</f>
        <v/>
      </c>
      <c r="AL2871">
        <f>IF($AK2871=1,SUMPRODUCT(--($AO$2:$AO$3001&lt;$AO2871))+1,"")</f>
        <v/>
      </c>
      <c r="AM2871">
        <f>IF($D2871="","",IF(OR($R2871=TRUE(),$R2871="TRUE"),1,0))</f>
        <v/>
      </c>
      <c r="AN2871">
        <f>IF($D2871="","",IF($X2871="Yes",1,0))</f>
        <v/>
      </c>
      <c r="AO2871">
        <f>IF($AK2871=1,IFERROR(IF(VALUE($D2871)&lt;100000000,VALUE($D2871),1000000000),IFERROR(IF(VALUE(MID($D2871,2,20))&lt;100000000,VALUE(MID($D2871,2,20)),1000000000),1000000000))+ROW()/100000,"")</f>
        <v/>
      </c>
    </row>
    <row r="2872">
      <c r="F2872" s="11" t="n"/>
      <c r="N2872" s="7">
        <f>IF($D2872="","",M2872*V2872/100)</f>
        <v/>
      </c>
      <c r="O2872" s="7" t="n"/>
      <c r="U2872" s="7" t="n"/>
      <c r="V2872" s="7" t="n"/>
      <c r="Y2872">
        <f>IF($D2872="","",IF($AN2872=1,0,IF($AM2872=1,Settings!$C$6,Settings!$C$7))*100)</f>
        <v/>
      </c>
      <c r="Z2872" s="7">
        <f>IF($D2872="","",V2872*Y2872/100)</f>
        <v/>
      </c>
      <c r="AA2872" s="7">
        <f>IF($D2872="","",V2872-Z2872)</f>
        <v/>
      </c>
      <c r="AB2872" s="7">
        <f>IF($D2872="","",AA2872-N2872)</f>
        <v/>
      </c>
      <c r="AF2872" s="7" t="n"/>
      <c r="AI2872" s="11" t="n"/>
      <c r="AK2872">
        <f>IF($D2872="","",IF(COUNTIF($D$2:$D2872,$D2872)=1,1,0))</f>
        <v/>
      </c>
      <c r="AL2872">
        <f>IF($AK2872=1,SUMPRODUCT(--($AO$2:$AO$3001&lt;$AO2872))+1,"")</f>
        <v/>
      </c>
      <c r="AM2872">
        <f>IF($D2872="","",IF(OR($R2872=TRUE(),$R2872="TRUE"),1,0))</f>
        <v/>
      </c>
      <c r="AN2872">
        <f>IF($D2872="","",IF($X2872="Yes",1,0))</f>
        <v/>
      </c>
      <c r="AO2872">
        <f>IF($AK2872=1,IFERROR(IF(VALUE($D2872)&lt;100000000,VALUE($D2872),1000000000),IFERROR(IF(VALUE(MID($D2872,2,20))&lt;100000000,VALUE(MID($D2872,2,20)),1000000000),1000000000))+ROW()/100000,"")</f>
        <v/>
      </c>
    </row>
    <row r="2873">
      <c r="F2873" s="11" t="n"/>
      <c r="N2873" s="7">
        <f>IF($D2873="","",M2873*V2873/100)</f>
        <v/>
      </c>
      <c r="O2873" s="7" t="n"/>
      <c r="U2873" s="7" t="n"/>
      <c r="V2873" s="7" t="n"/>
      <c r="Y2873">
        <f>IF($D2873="","",IF($AN2873=1,0,IF($AM2873=1,Settings!$C$6,Settings!$C$7))*100)</f>
        <v/>
      </c>
      <c r="Z2873" s="7">
        <f>IF($D2873="","",V2873*Y2873/100)</f>
        <v/>
      </c>
      <c r="AA2873" s="7">
        <f>IF($D2873="","",V2873-Z2873)</f>
        <v/>
      </c>
      <c r="AB2873" s="7">
        <f>IF($D2873="","",AA2873-N2873)</f>
        <v/>
      </c>
      <c r="AF2873" s="7" t="n"/>
      <c r="AI2873" s="11" t="n"/>
      <c r="AK2873">
        <f>IF($D2873="","",IF(COUNTIF($D$2:$D2873,$D2873)=1,1,0))</f>
        <v/>
      </c>
      <c r="AL2873">
        <f>IF($AK2873=1,SUMPRODUCT(--($AO$2:$AO$3001&lt;$AO2873))+1,"")</f>
        <v/>
      </c>
      <c r="AM2873">
        <f>IF($D2873="","",IF(OR($R2873=TRUE(),$R2873="TRUE"),1,0))</f>
        <v/>
      </c>
      <c r="AN2873">
        <f>IF($D2873="","",IF($X2873="Yes",1,0))</f>
        <v/>
      </c>
      <c r="AO2873">
        <f>IF($AK2873=1,IFERROR(IF(VALUE($D2873)&lt;100000000,VALUE($D2873),1000000000),IFERROR(IF(VALUE(MID($D2873,2,20))&lt;100000000,VALUE(MID($D2873,2,20)),1000000000),1000000000))+ROW()/100000,"")</f>
        <v/>
      </c>
    </row>
    <row r="2874">
      <c r="F2874" s="11" t="n"/>
      <c r="N2874" s="7">
        <f>IF($D2874="","",M2874*V2874/100)</f>
        <v/>
      </c>
      <c r="O2874" s="7" t="n"/>
      <c r="U2874" s="7" t="n"/>
      <c r="V2874" s="7" t="n"/>
      <c r="Y2874">
        <f>IF($D2874="","",IF($AN2874=1,0,IF($AM2874=1,Settings!$C$6,Settings!$C$7))*100)</f>
        <v/>
      </c>
      <c r="Z2874" s="7">
        <f>IF($D2874="","",V2874*Y2874/100)</f>
        <v/>
      </c>
      <c r="AA2874" s="7">
        <f>IF($D2874="","",V2874-Z2874)</f>
        <v/>
      </c>
      <c r="AB2874" s="7">
        <f>IF($D2874="","",AA2874-N2874)</f>
        <v/>
      </c>
      <c r="AF2874" s="7" t="n"/>
      <c r="AI2874" s="11" t="n"/>
      <c r="AK2874">
        <f>IF($D2874="","",IF(COUNTIF($D$2:$D2874,$D2874)=1,1,0))</f>
        <v/>
      </c>
      <c r="AL2874">
        <f>IF($AK2874=1,SUMPRODUCT(--($AO$2:$AO$3001&lt;$AO2874))+1,"")</f>
        <v/>
      </c>
      <c r="AM2874">
        <f>IF($D2874="","",IF(OR($R2874=TRUE(),$R2874="TRUE"),1,0))</f>
        <v/>
      </c>
      <c r="AN2874">
        <f>IF($D2874="","",IF($X2874="Yes",1,0))</f>
        <v/>
      </c>
      <c r="AO2874">
        <f>IF($AK2874=1,IFERROR(IF(VALUE($D2874)&lt;100000000,VALUE($D2874),1000000000),IFERROR(IF(VALUE(MID($D2874,2,20))&lt;100000000,VALUE(MID($D2874,2,20)),1000000000),1000000000))+ROW()/100000,"")</f>
        <v/>
      </c>
    </row>
    <row r="2875">
      <c r="F2875" s="11" t="n"/>
      <c r="N2875" s="7">
        <f>IF($D2875="","",M2875*V2875/100)</f>
        <v/>
      </c>
      <c r="O2875" s="7" t="n"/>
      <c r="U2875" s="7" t="n"/>
      <c r="V2875" s="7" t="n"/>
      <c r="Y2875">
        <f>IF($D2875="","",IF($AN2875=1,0,IF($AM2875=1,Settings!$C$6,Settings!$C$7))*100)</f>
        <v/>
      </c>
      <c r="Z2875" s="7">
        <f>IF($D2875="","",V2875*Y2875/100)</f>
        <v/>
      </c>
      <c r="AA2875" s="7">
        <f>IF($D2875="","",V2875-Z2875)</f>
        <v/>
      </c>
      <c r="AB2875" s="7">
        <f>IF($D2875="","",AA2875-N2875)</f>
        <v/>
      </c>
      <c r="AF2875" s="7" t="n"/>
      <c r="AI2875" s="11" t="n"/>
      <c r="AK2875">
        <f>IF($D2875="","",IF(COUNTIF($D$2:$D2875,$D2875)=1,1,0))</f>
        <v/>
      </c>
      <c r="AL2875">
        <f>IF($AK2875=1,SUMPRODUCT(--($AO$2:$AO$3001&lt;$AO2875))+1,"")</f>
        <v/>
      </c>
      <c r="AM2875">
        <f>IF($D2875="","",IF(OR($R2875=TRUE(),$R2875="TRUE"),1,0))</f>
        <v/>
      </c>
      <c r="AN2875">
        <f>IF($D2875="","",IF($X2875="Yes",1,0))</f>
        <v/>
      </c>
      <c r="AO2875">
        <f>IF($AK2875=1,IFERROR(IF(VALUE($D2875)&lt;100000000,VALUE($D2875),1000000000),IFERROR(IF(VALUE(MID($D2875,2,20))&lt;100000000,VALUE(MID($D2875,2,20)),1000000000),1000000000))+ROW()/100000,"")</f>
        <v/>
      </c>
    </row>
    <row r="2876">
      <c r="F2876" s="11" t="n"/>
      <c r="N2876" s="7">
        <f>IF($D2876="","",M2876*V2876/100)</f>
        <v/>
      </c>
      <c r="O2876" s="7" t="n"/>
      <c r="U2876" s="7" t="n"/>
      <c r="V2876" s="7" t="n"/>
      <c r="Y2876">
        <f>IF($D2876="","",IF($AN2876=1,0,IF($AM2876=1,Settings!$C$6,Settings!$C$7))*100)</f>
        <v/>
      </c>
      <c r="Z2876" s="7">
        <f>IF($D2876="","",V2876*Y2876/100)</f>
        <v/>
      </c>
      <c r="AA2876" s="7">
        <f>IF($D2876="","",V2876-Z2876)</f>
        <v/>
      </c>
      <c r="AB2876" s="7">
        <f>IF($D2876="","",AA2876-N2876)</f>
        <v/>
      </c>
      <c r="AF2876" s="7" t="n"/>
      <c r="AI2876" s="11" t="n"/>
      <c r="AK2876">
        <f>IF($D2876="","",IF(COUNTIF($D$2:$D2876,$D2876)=1,1,0))</f>
        <v/>
      </c>
      <c r="AL2876">
        <f>IF($AK2876=1,SUMPRODUCT(--($AO$2:$AO$3001&lt;$AO2876))+1,"")</f>
        <v/>
      </c>
      <c r="AM2876">
        <f>IF($D2876="","",IF(OR($R2876=TRUE(),$R2876="TRUE"),1,0))</f>
        <v/>
      </c>
      <c r="AN2876">
        <f>IF($D2876="","",IF($X2876="Yes",1,0))</f>
        <v/>
      </c>
      <c r="AO2876">
        <f>IF($AK2876=1,IFERROR(IF(VALUE($D2876)&lt;100000000,VALUE($D2876),1000000000),IFERROR(IF(VALUE(MID($D2876,2,20))&lt;100000000,VALUE(MID($D2876,2,20)),1000000000),1000000000))+ROW()/100000,"")</f>
        <v/>
      </c>
    </row>
    <row r="2877">
      <c r="F2877" s="11" t="n"/>
      <c r="N2877" s="7">
        <f>IF($D2877="","",M2877*V2877/100)</f>
        <v/>
      </c>
      <c r="O2877" s="7" t="n"/>
      <c r="U2877" s="7" t="n"/>
      <c r="V2877" s="7" t="n"/>
      <c r="Y2877">
        <f>IF($D2877="","",IF($AN2877=1,0,IF($AM2877=1,Settings!$C$6,Settings!$C$7))*100)</f>
        <v/>
      </c>
      <c r="Z2877" s="7">
        <f>IF($D2877="","",V2877*Y2877/100)</f>
        <v/>
      </c>
      <c r="AA2877" s="7">
        <f>IF($D2877="","",V2877-Z2877)</f>
        <v/>
      </c>
      <c r="AB2877" s="7">
        <f>IF($D2877="","",AA2877-N2877)</f>
        <v/>
      </c>
      <c r="AF2877" s="7" t="n"/>
      <c r="AI2877" s="11" t="n"/>
      <c r="AK2877">
        <f>IF($D2877="","",IF(COUNTIF($D$2:$D2877,$D2877)=1,1,0))</f>
        <v/>
      </c>
      <c r="AL2877">
        <f>IF($AK2877=1,SUMPRODUCT(--($AO$2:$AO$3001&lt;$AO2877))+1,"")</f>
        <v/>
      </c>
      <c r="AM2877">
        <f>IF($D2877="","",IF(OR($R2877=TRUE(),$R2877="TRUE"),1,0))</f>
        <v/>
      </c>
      <c r="AN2877">
        <f>IF($D2877="","",IF($X2877="Yes",1,0))</f>
        <v/>
      </c>
      <c r="AO2877">
        <f>IF($AK2877=1,IFERROR(IF(VALUE($D2877)&lt;100000000,VALUE($D2877),1000000000),IFERROR(IF(VALUE(MID($D2877,2,20))&lt;100000000,VALUE(MID($D2877,2,20)),1000000000),1000000000))+ROW()/100000,"")</f>
        <v/>
      </c>
    </row>
    <row r="2878">
      <c r="F2878" s="11" t="n"/>
      <c r="N2878" s="7">
        <f>IF($D2878="","",M2878*V2878/100)</f>
        <v/>
      </c>
      <c r="O2878" s="7" t="n"/>
      <c r="U2878" s="7" t="n"/>
      <c r="V2878" s="7" t="n"/>
      <c r="Y2878">
        <f>IF($D2878="","",IF($AN2878=1,0,IF($AM2878=1,Settings!$C$6,Settings!$C$7))*100)</f>
        <v/>
      </c>
      <c r="Z2878" s="7">
        <f>IF($D2878="","",V2878*Y2878/100)</f>
        <v/>
      </c>
      <c r="AA2878" s="7">
        <f>IF($D2878="","",V2878-Z2878)</f>
        <v/>
      </c>
      <c r="AB2878" s="7">
        <f>IF($D2878="","",AA2878-N2878)</f>
        <v/>
      </c>
      <c r="AF2878" s="7" t="n"/>
      <c r="AI2878" s="11" t="n"/>
      <c r="AK2878">
        <f>IF($D2878="","",IF(COUNTIF($D$2:$D2878,$D2878)=1,1,0))</f>
        <v/>
      </c>
      <c r="AL2878">
        <f>IF($AK2878=1,SUMPRODUCT(--($AO$2:$AO$3001&lt;$AO2878))+1,"")</f>
        <v/>
      </c>
      <c r="AM2878">
        <f>IF($D2878="","",IF(OR($R2878=TRUE(),$R2878="TRUE"),1,0))</f>
        <v/>
      </c>
      <c r="AN2878">
        <f>IF($D2878="","",IF($X2878="Yes",1,0))</f>
        <v/>
      </c>
      <c r="AO2878">
        <f>IF($AK2878=1,IFERROR(IF(VALUE($D2878)&lt;100000000,VALUE($D2878),1000000000),IFERROR(IF(VALUE(MID($D2878,2,20))&lt;100000000,VALUE(MID($D2878,2,20)),1000000000),1000000000))+ROW()/100000,"")</f>
        <v/>
      </c>
    </row>
    <row r="2879">
      <c r="F2879" s="11" t="n"/>
      <c r="N2879" s="7">
        <f>IF($D2879="","",M2879*V2879/100)</f>
        <v/>
      </c>
      <c r="O2879" s="7" t="n"/>
      <c r="U2879" s="7" t="n"/>
      <c r="V2879" s="7" t="n"/>
      <c r="Y2879">
        <f>IF($D2879="","",IF($AN2879=1,0,IF($AM2879=1,Settings!$C$6,Settings!$C$7))*100)</f>
        <v/>
      </c>
      <c r="Z2879" s="7">
        <f>IF($D2879="","",V2879*Y2879/100)</f>
        <v/>
      </c>
      <c r="AA2879" s="7">
        <f>IF($D2879="","",V2879-Z2879)</f>
        <v/>
      </c>
      <c r="AB2879" s="7">
        <f>IF($D2879="","",AA2879-N2879)</f>
        <v/>
      </c>
      <c r="AF2879" s="7" t="n"/>
      <c r="AI2879" s="11" t="n"/>
      <c r="AK2879">
        <f>IF($D2879="","",IF(COUNTIF($D$2:$D2879,$D2879)=1,1,0))</f>
        <v/>
      </c>
      <c r="AL2879">
        <f>IF($AK2879=1,SUMPRODUCT(--($AO$2:$AO$3001&lt;$AO2879))+1,"")</f>
        <v/>
      </c>
      <c r="AM2879">
        <f>IF($D2879="","",IF(OR($R2879=TRUE(),$R2879="TRUE"),1,0))</f>
        <v/>
      </c>
      <c r="AN2879">
        <f>IF($D2879="","",IF($X2879="Yes",1,0))</f>
        <v/>
      </c>
      <c r="AO2879">
        <f>IF($AK2879=1,IFERROR(IF(VALUE($D2879)&lt;100000000,VALUE($D2879),1000000000),IFERROR(IF(VALUE(MID($D2879,2,20))&lt;100000000,VALUE(MID($D2879,2,20)),1000000000),1000000000))+ROW()/100000,"")</f>
        <v/>
      </c>
    </row>
    <row r="2880">
      <c r="F2880" s="11" t="n"/>
      <c r="N2880" s="7">
        <f>IF($D2880="","",M2880*V2880/100)</f>
        <v/>
      </c>
      <c r="O2880" s="7" t="n"/>
      <c r="U2880" s="7" t="n"/>
      <c r="V2880" s="7" t="n"/>
      <c r="Y2880">
        <f>IF($D2880="","",IF($AN2880=1,0,IF($AM2880=1,Settings!$C$6,Settings!$C$7))*100)</f>
        <v/>
      </c>
      <c r="Z2880" s="7">
        <f>IF($D2880="","",V2880*Y2880/100)</f>
        <v/>
      </c>
      <c r="AA2880" s="7">
        <f>IF($D2880="","",V2880-Z2880)</f>
        <v/>
      </c>
      <c r="AB2880" s="7">
        <f>IF($D2880="","",AA2880-N2880)</f>
        <v/>
      </c>
      <c r="AF2880" s="7" t="n"/>
      <c r="AI2880" s="11" t="n"/>
      <c r="AK2880">
        <f>IF($D2880="","",IF(COUNTIF($D$2:$D2880,$D2880)=1,1,0))</f>
        <v/>
      </c>
      <c r="AL2880">
        <f>IF($AK2880=1,SUMPRODUCT(--($AO$2:$AO$3001&lt;$AO2880))+1,"")</f>
        <v/>
      </c>
      <c r="AM2880">
        <f>IF($D2880="","",IF(OR($R2880=TRUE(),$R2880="TRUE"),1,0))</f>
        <v/>
      </c>
      <c r="AN2880">
        <f>IF($D2880="","",IF($X2880="Yes",1,0))</f>
        <v/>
      </c>
      <c r="AO2880">
        <f>IF($AK2880=1,IFERROR(IF(VALUE($D2880)&lt;100000000,VALUE($D2880),1000000000),IFERROR(IF(VALUE(MID($D2880,2,20))&lt;100000000,VALUE(MID($D2880,2,20)),1000000000),1000000000))+ROW()/100000,"")</f>
        <v/>
      </c>
    </row>
    <row r="2881">
      <c r="F2881" s="11" t="n"/>
      <c r="N2881" s="7">
        <f>IF($D2881="","",M2881*V2881/100)</f>
        <v/>
      </c>
      <c r="O2881" s="7" t="n"/>
      <c r="U2881" s="7" t="n"/>
      <c r="V2881" s="7" t="n"/>
      <c r="Y2881">
        <f>IF($D2881="","",IF($AN2881=1,0,IF($AM2881=1,Settings!$C$6,Settings!$C$7))*100)</f>
        <v/>
      </c>
      <c r="Z2881" s="7">
        <f>IF($D2881="","",V2881*Y2881/100)</f>
        <v/>
      </c>
      <c r="AA2881" s="7">
        <f>IF($D2881="","",V2881-Z2881)</f>
        <v/>
      </c>
      <c r="AB2881" s="7">
        <f>IF($D2881="","",AA2881-N2881)</f>
        <v/>
      </c>
      <c r="AF2881" s="7" t="n"/>
      <c r="AI2881" s="11" t="n"/>
      <c r="AK2881">
        <f>IF($D2881="","",IF(COUNTIF($D$2:$D2881,$D2881)=1,1,0))</f>
        <v/>
      </c>
      <c r="AL2881">
        <f>IF($AK2881=1,SUMPRODUCT(--($AO$2:$AO$3001&lt;$AO2881))+1,"")</f>
        <v/>
      </c>
      <c r="AM2881">
        <f>IF($D2881="","",IF(OR($R2881=TRUE(),$R2881="TRUE"),1,0))</f>
        <v/>
      </c>
      <c r="AN2881">
        <f>IF($D2881="","",IF($X2881="Yes",1,0))</f>
        <v/>
      </c>
      <c r="AO2881">
        <f>IF($AK2881=1,IFERROR(IF(VALUE($D2881)&lt;100000000,VALUE($D2881),1000000000),IFERROR(IF(VALUE(MID($D2881,2,20))&lt;100000000,VALUE(MID($D2881,2,20)),1000000000),1000000000))+ROW()/100000,"")</f>
        <v/>
      </c>
    </row>
    <row r="2882">
      <c r="F2882" s="11" t="n"/>
      <c r="N2882" s="7">
        <f>IF($D2882="","",M2882*V2882/100)</f>
        <v/>
      </c>
      <c r="O2882" s="7" t="n"/>
      <c r="U2882" s="7" t="n"/>
      <c r="V2882" s="7" t="n"/>
      <c r="Y2882">
        <f>IF($D2882="","",IF($AN2882=1,0,IF($AM2882=1,Settings!$C$6,Settings!$C$7))*100)</f>
        <v/>
      </c>
      <c r="Z2882" s="7">
        <f>IF($D2882="","",V2882*Y2882/100)</f>
        <v/>
      </c>
      <c r="AA2882" s="7">
        <f>IF($D2882="","",V2882-Z2882)</f>
        <v/>
      </c>
      <c r="AB2882" s="7">
        <f>IF($D2882="","",AA2882-N2882)</f>
        <v/>
      </c>
      <c r="AF2882" s="7" t="n"/>
      <c r="AI2882" s="11" t="n"/>
      <c r="AK2882">
        <f>IF($D2882="","",IF(COUNTIF($D$2:$D2882,$D2882)=1,1,0))</f>
        <v/>
      </c>
      <c r="AL2882">
        <f>IF($AK2882=1,SUMPRODUCT(--($AO$2:$AO$3001&lt;$AO2882))+1,"")</f>
        <v/>
      </c>
      <c r="AM2882">
        <f>IF($D2882="","",IF(OR($R2882=TRUE(),$R2882="TRUE"),1,0))</f>
        <v/>
      </c>
      <c r="AN2882">
        <f>IF($D2882="","",IF($X2882="Yes",1,0))</f>
        <v/>
      </c>
      <c r="AO2882">
        <f>IF($AK2882=1,IFERROR(IF(VALUE($D2882)&lt;100000000,VALUE($D2882),1000000000),IFERROR(IF(VALUE(MID($D2882,2,20))&lt;100000000,VALUE(MID($D2882,2,20)),1000000000),1000000000))+ROW()/100000,"")</f>
        <v/>
      </c>
    </row>
    <row r="2883">
      <c r="F2883" s="11" t="n"/>
      <c r="N2883" s="7">
        <f>IF($D2883="","",M2883*V2883/100)</f>
        <v/>
      </c>
      <c r="O2883" s="7" t="n"/>
      <c r="U2883" s="7" t="n"/>
      <c r="V2883" s="7" t="n"/>
      <c r="Y2883">
        <f>IF($D2883="","",IF($AN2883=1,0,IF($AM2883=1,Settings!$C$6,Settings!$C$7))*100)</f>
        <v/>
      </c>
      <c r="Z2883" s="7">
        <f>IF($D2883="","",V2883*Y2883/100)</f>
        <v/>
      </c>
      <c r="AA2883" s="7">
        <f>IF($D2883="","",V2883-Z2883)</f>
        <v/>
      </c>
      <c r="AB2883" s="7">
        <f>IF($D2883="","",AA2883-N2883)</f>
        <v/>
      </c>
      <c r="AF2883" s="7" t="n"/>
      <c r="AI2883" s="11" t="n"/>
      <c r="AK2883">
        <f>IF($D2883="","",IF(COUNTIF($D$2:$D2883,$D2883)=1,1,0))</f>
        <v/>
      </c>
      <c r="AL2883">
        <f>IF($AK2883=1,SUMPRODUCT(--($AO$2:$AO$3001&lt;$AO2883))+1,"")</f>
        <v/>
      </c>
      <c r="AM2883">
        <f>IF($D2883="","",IF(OR($R2883=TRUE(),$R2883="TRUE"),1,0))</f>
        <v/>
      </c>
      <c r="AN2883">
        <f>IF($D2883="","",IF($X2883="Yes",1,0))</f>
        <v/>
      </c>
      <c r="AO2883">
        <f>IF($AK2883=1,IFERROR(IF(VALUE($D2883)&lt;100000000,VALUE($D2883),1000000000),IFERROR(IF(VALUE(MID($D2883,2,20))&lt;100000000,VALUE(MID($D2883,2,20)),1000000000),1000000000))+ROW()/100000,"")</f>
        <v/>
      </c>
    </row>
    <row r="2884">
      <c r="F2884" s="11" t="n"/>
      <c r="N2884" s="7">
        <f>IF($D2884="","",M2884*V2884/100)</f>
        <v/>
      </c>
      <c r="O2884" s="7" t="n"/>
      <c r="U2884" s="7" t="n"/>
      <c r="V2884" s="7" t="n"/>
      <c r="Y2884">
        <f>IF($D2884="","",IF($AN2884=1,0,IF($AM2884=1,Settings!$C$6,Settings!$C$7))*100)</f>
        <v/>
      </c>
      <c r="Z2884" s="7">
        <f>IF($D2884="","",V2884*Y2884/100)</f>
        <v/>
      </c>
      <c r="AA2884" s="7">
        <f>IF($D2884="","",V2884-Z2884)</f>
        <v/>
      </c>
      <c r="AB2884" s="7">
        <f>IF($D2884="","",AA2884-N2884)</f>
        <v/>
      </c>
      <c r="AF2884" s="7" t="n"/>
      <c r="AI2884" s="11" t="n"/>
      <c r="AK2884">
        <f>IF($D2884="","",IF(COUNTIF($D$2:$D2884,$D2884)=1,1,0))</f>
        <v/>
      </c>
      <c r="AL2884">
        <f>IF($AK2884=1,SUMPRODUCT(--($AO$2:$AO$3001&lt;$AO2884))+1,"")</f>
        <v/>
      </c>
      <c r="AM2884">
        <f>IF($D2884="","",IF(OR($R2884=TRUE(),$R2884="TRUE"),1,0))</f>
        <v/>
      </c>
      <c r="AN2884">
        <f>IF($D2884="","",IF($X2884="Yes",1,0))</f>
        <v/>
      </c>
      <c r="AO2884">
        <f>IF($AK2884=1,IFERROR(IF(VALUE($D2884)&lt;100000000,VALUE($D2884),1000000000),IFERROR(IF(VALUE(MID($D2884,2,20))&lt;100000000,VALUE(MID($D2884,2,20)),1000000000),1000000000))+ROW()/100000,"")</f>
        <v/>
      </c>
    </row>
    <row r="2885">
      <c r="F2885" s="11" t="n"/>
      <c r="N2885" s="7">
        <f>IF($D2885="","",M2885*V2885/100)</f>
        <v/>
      </c>
      <c r="O2885" s="7" t="n"/>
      <c r="U2885" s="7" t="n"/>
      <c r="V2885" s="7" t="n"/>
      <c r="Y2885">
        <f>IF($D2885="","",IF($AN2885=1,0,IF($AM2885=1,Settings!$C$6,Settings!$C$7))*100)</f>
        <v/>
      </c>
      <c r="Z2885" s="7">
        <f>IF($D2885="","",V2885*Y2885/100)</f>
        <v/>
      </c>
      <c r="AA2885" s="7">
        <f>IF($D2885="","",V2885-Z2885)</f>
        <v/>
      </c>
      <c r="AB2885" s="7">
        <f>IF($D2885="","",AA2885-N2885)</f>
        <v/>
      </c>
      <c r="AF2885" s="7" t="n"/>
      <c r="AI2885" s="11" t="n"/>
      <c r="AK2885">
        <f>IF($D2885="","",IF(COUNTIF($D$2:$D2885,$D2885)=1,1,0))</f>
        <v/>
      </c>
      <c r="AL2885">
        <f>IF($AK2885=1,SUMPRODUCT(--($AO$2:$AO$3001&lt;$AO2885))+1,"")</f>
        <v/>
      </c>
      <c r="AM2885">
        <f>IF($D2885="","",IF(OR($R2885=TRUE(),$R2885="TRUE"),1,0))</f>
        <v/>
      </c>
      <c r="AN2885">
        <f>IF($D2885="","",IF($X2885="Yes",1,0))</f>
        <v/>
      </c>
      <c r="AO2885">
        <f>IF($AK2885=1,IFERROR(IF(VALUE($D2885)&lt;100000000,VALUE($D2885),1000000000),IFERROR(IF(VALUE(MID($D2885,2,20))&lt;100000000,VALUE(MID($D2885,2,20)),1000000000),1000000000))+ROW()/100000,"")</f>
        <v/>
      </c>
    </row>
    <row r="2886">
      <c r="F2886" s="11" t="n"/>
      <c r="N2886" s="7">
        <f>IF($D2886="","",M2886*V2886/100)</f>
        <v/>
      </c>
      <c r="O2886" s="7" t="n"/>
      <c r="U2886" s="7" t="n"/>
      <c r="V2886" s="7" t="n"/>
      <c r="Y2886">
        <f>IF($D2886="","",IF($AN2886=1,0,IF($AM2886=1,Settings!$C$6,Settings!$C$7))*100)</f>
        <v/>
      </c>
      <c r="Z2886" s="7">
        <f>IF($D2886="","",V2886*Y2886/100)</f>
        <v/>
      </c>
      <c r="AA2886" s="7">
        <f>IF($D2886="","",V2886-Z2886)</f>
        <v/>
      </c>
      <c r="AB2886" s="7">
        <f>IF($D2886="","",AA2886-N2886)</f>
        <v/>
      </c>
      <c r="AF2886" s="7" t="n"/>
      <c r="AI2886" s="11" t="n"/>
      <c r="AK2886">
        <f>IF($D2886="","",IF(COUNTIF($D$2:$D2886,$D2886)=1,1,0))</f>
        <v/>
      </c>
      <c r="AL2886">
        <f>IF($AK2886=1,SUMPRODUCT(--($AO$2:$AO$3001&lt;$AO2886))+1,"")</f>
        <v/>
      </c>
      <c r="AM2886">
        <f>IF($D2886="","",IF(OR($R2886=TRUE(),$R2886="TRUE"),1,0))</f>
        <v/>
      </c>
      <c r="AN2886">
        <f>IF($D2886="","",IF($X2886="Yes",1,0))</f>
        <v/>
      </c>
      <c r="AO2886">
        <f>IF($AK2886=1,IFERROR(IF(VALUE($D2886)&lt;100000000,VALUE($D2886),1000000000),IFERROR(IF(VALUE(MID($D2886,2,20))&lt;100000000,VALUE(MID($D2886,2,20)),1000000000),1000000000))+ROW()/100000,"")</f>
        <v/>
      </c>
    </row>
    <row r="2887">
      <c r="F2887" s="11" t="n"/>
      <c r="N2887" s="7">
        <f>IF($D2887="","",M2887*V2887/100)</f>
        <v/>
      </c>
      <c r="O2887" s="7" t="n"/>
      <c r="U2887" s="7" t="n"/>
      <c r="V2887" s="7" t="n"/>
      <c r="Y2887">
        <f>IF($D2887="","",IF($AN2887=1,0,IF($AM2887=1,Settings!$C$6,Settings!$C$7))*100)</f>
        <v/>
      </c>
      <c r="Z2887" s="7">
        <f>IF($D2887="","",V2887*Y2887/100)</f>
        <v/>
      </c>
      <c r="AA2887" s="7">
        <f>IF($D2887="","",V2887-Z2887)</f>
        <v/>
      </c>
      <c r="AB2887" s="7">
        <f>IF($D2887="","",AA2887-N2887)</f>
        <v/>
      </c>
      <c r="AF2887" s="7" t="n"/>
      <c r="AI2887" s="11" t="n"/>
      <c r="AK2887">
        <f>IF($D2887="","",IF(COUNTIF($D$2:$D2887,$D2887)=1,1,0))</f>
        <v/>
      </c>
      <c r="AL2887">
        <f>IF($AK2887=1,SUMPRODUCT(--($AO$2:$AO$3001&lt;$AO2887))+1,"")</f>
        <v/>
      </c>
      <c r="AM2887">
        <f>IF($D2887="","",IF(OR($R2887=TRUE(),$R2887="TRUE"),1,0))</f>
        <v/>
      </c>
      <c r="AN2887">
        <f>IF($D2887="","",IF($X2887="Yes",1,0))</f>
        <v/>
      </c>
      <c r="AO2887">
        <f>IF($AK2887=1,IFERROR(IF(VALUE($D2887)&lt;100000000,VALUE($D2887),1000000000),IFERROR(IF(VALUE(MID($D2887,2,20))&lt;100000000,VALUE(MID($D2887,2,20)),1000000000),1000000000))+ROW()/100000,"")</f>
        <v/>
      </c>
    </row>
    <row r="2888">
      <c r="F2888" s="11" t="n"/>
      <c r="N2888" s="7">
        <f>IF($D2888="","",M2888*V2888/100)</f>
        <v/>
      </c>
      <c r="O2888" s="7" t="n"/>
      <c r="U2888" s="7" t="n"/>
      <c r="V2888" s="7" t="n"/>
      <c r="Y2888">
        <f>IF($D2888="","",IF($AN2888=1,0,IF($AM2888=1,Settings!$C$6,Settings!$C$7))*100)</f>
        <v/>
      </c>
      <c r="Z2888" s="7">
        <f>IF($D2888="","",V2888*Y2888/100)</f>
        <v/>
      </c>
      <c r="AA2888" s="7">
        <f>IF($D2888="","",V2888-Z2888)</f>
        <v/>
      </c>
      <c r="AB2888" s="7">
        <f>IF($D2888="","",AA2888-N2888)</f>
        <v/>
      </c>
      <c r="AF2888" s="7" t="n"/>
      <c r="AI2888" s="11" t="n"/>
      <c r="AK2888">
        <f>IF($D2888="","",IF(COUNTIF($D$2:$D2888,$D2888)=1,1,0))</f>
        <v/>
      </c>
      <c r="AL2888">
        <f>IF($AK2888=1,SUMPRODUCT(--($AO$2:$AO$3001&lt;$AO2888))+1,"")</f>
        <v/>
      </c>
      <c r="AM2888">
        <f>IF($D2888="","",IF(OR($R2888=TRUE(),$R2888="TRUE"),1,0))</f>
        <v/>
      </c>
      <c r="AN2888">
        <f>IF($D2888="","",IF($X2888="Yes",1,0))</f>
        <v/>
      </c>
      <c r="AO2888">
        <f>IF($AK2888=1,IFERROR(IF(VALUE($D2888)&lt;100000000,VALUE($D2888),1000000000),IFERROR(IF(VALUE(MID($D2888,2,20))&lt;100000000,VALUE(MID($D2888,2,20)),1000000000),1000000000))+ROW()/100000,"")</f>
        <v/>
      </c>
    </row>
    <row r="2889">
      <c r="F2889" s="11" t="n"/>
      <c r="N2889" s="7">
        <f>IF($D2889="","",M2889*V2889/100)</f>
        <v/>
      </c>
      <c r="O2889" s="7" t="n"/>
      <c r="U2889" s="7" t="n"/>
      <c r="V2889" s="7" t="n"/>
      <c r="Y2889">
        <f>IF($D2889="","",IF($AN2889=1,0,IF($AM2889=1,Settings!$C$6,Settings!$C$7))*100)</f>
        <v/>
      </c>
      <c r="Z2889" s="7">
        <f>IF($D2889="","",V2889*Y2889/100)</f>
        <v/>
      </c>
      <c r="AA2889" s="7">
        <f>IF($D2889="","",V2889-Z2889)</f>
        <v/>
      </c>
      <c r="AB2889" s="7">
        <f>IF($D2889="","",AA2889-N2889)</f>
        <v/>
      </c>
      <c r="AF2889" s="7" t="n"/>
      <c r="AI2889" s="11" t="n"/>
      <c r="AK2889">
        <f>IF($D2889="","",IF(COUNTIF($D$2:$D2889,$D2889)=1,1,0))</f>
        <v/>
      </c>
      <c r="AL2889">
        <f>IF($AK2889=1,SUMPRODUCT(--($AO$2:$AO$3001&lt;$AO2889))+1,"")</f>
        <v/>
      </c>
      <c r="AM2889">
        <f>IF($D2889="","",IF(OR($R2889=TRUE(),$R2889="TRUE"),1,0))</f>
        <v/>
      </c>
      <c r="AN2889">
        <f>IF($D2889="","",IF($X2889="Yes",1,0))</f>
        <v/>
      </c>
      <c r="AO2889">
        <f>IF($AK2889=1,IFERROR(IF(VALUE($D2889)&lt;100000000,VALUE($D2889),1000000000),IFERROR(IF(VALUE(MID($D2889,2,20))&lt;100000000,VALUE(MID($D2889,2,20)),1000000000),1000000000))+ROW()/100000,"")</f>
        <v/>
      </c>
    </row>
    <row r="2890">
      <c r="F2890" s="11" t="n"/>
      <c r="N2890" s="7">
        <f>IF($D2890="","",M2890*V2890/100)</f>
        <v/>
      </c>
      <c r="O2890" s="7" t="n"/>
      <c r="U2890" s="7" t="n"/>
      <c r="V2890" s="7" t="n"/>
      <c r="Y2890">
        <f>IF($D2890="","",IF($AN2890=1,0,IF($AM2890=1,Settings!$C$6,Settings!$C$7))*100)</f>
        <v/>
      </c>
      <c r="Z2890" s="7">
        <f>IF($D2890="","",V2890*Y2890/100)</f>
        <v/>
      </c>
      <c r="AA2890" s="7">
        <f>IF($D2890="","",V2890-Z2890)</f>
        <v/>
      </c>
      <c r="AB2890" s="7">
        <f>IF($D2890="","",AA2890-N2890)</f>
        <v/>
      </c>
      <c r="AF2890" s="7" t="n"/>
      <c r="AI2890" s="11" t="n"/>
      <c r="AK2890">
        <f>IF($D2890="","",IF(COUNTIF($D$2:$D2890,$D2890)=1,1,0))</f>
        <v/>
      </c>
      <c r="AL2890">
        <f>IF($AK2890=1,SUMPRODUCT(--($AO$2:$AO$3001&lt;$AO2890))+1,"")</f>
        <v/>
      </c>
      <c r="AM2890">
        <f>IF($D2890="","",IF(OR($R2890=TRUE(),$R2890="TRUE"),1,0))</f>
        <v/>
      </c>
      <c r="AN2890">
        <f>IF($D2890="","",IF($X2890="Yes",1,0))</f>
        <v/>
      </c>
      <c r="AO2890">
        <f>IF($AK2890=1,IFERROR(IF(VALUE($D2890)&lt;100000000,VALUE($D2890),1000000000),IFERROR(IF(VALUE(MID($D2890,2,20))&lt;100000000,VALUE(MID($D2890,2,20)),1000000000),1000000000))+ROW()/100000,"")</f>
        <v/>
      </c>
    </row>
    <row r="2891">
      <c r="F2891" s="11" t="n"/>
      <c r="N2891" s="7">
        <f>IF($D2891="","",M2891*V2891/100)</f>
        <v/>
      </c>
      <c r="O2891" s="7" t="n"/>
      <c r="U2891" s="7" t="n"/>
      <c r="V2891" s="7" t="n"/>
      <c r="Y2891">
        <f>IF($D2891="","",IF($AN2891=1,0,IF($AM2891=1,Settings!$C$6,Settings!$C$7))*100)</f>
        <v/>
      </c>
      <c r="Z2891" s="7">
        <f>IF($D2891="","",V2891*Y2891/100)</f>
        <v/>
      </c>
      <c r="AA2891" s="7">
        <f>IF($D2891="","",V2891-Z2891)</f>
        <v/>
      </c>
      <c r="AB2891" s="7">
        <f>IF($D2891="","",AA2891-N2891)</f>
        <v/>
      </c>
      <c r="AF2891" s="7" t="n"/>
      <c r="AI2891" s="11" t="n"/>
      <c r="AK2891">
        <f>IF($D2891="","",IF(COUNTIF($D$2:$D2891,$D2891)=1,1,0))</f>
        <v/>
      </c>
      <c r="AL2891">
        <f>IF($AK2891=1,SUMPRODUCT(--($AO$2:$AO$3001&lt;$AO2891))+1,"")</f>
        <v/>
      </c>
      <c r="AM2891">
        <f>IF($D2891="","",IF(OR($R2891=TRUE(),$R2891="TRUE"),1,0))</f>
        <v/>
      </c>
      <c r="AN2891">
        <f>IF($D2891="","",IF($X2891="Yes",1,0))</f>
        <v/>
      </c>
      <c r="AO2891">
        <f>IF($AK2891=1,IFERROR(IF(VALUE($D2891)&lt;100000000,VALUE($D2891),1000000000),IFERROR(IF(VALUE(MID($D2891,2,20))&lt;100000000,VALUE(MID($D2891,2,20)),1000000000),1000000000))+ROW()/100000,"")</f>
        <v/>
      </c>
    </row>
    <row r="2892">
      <c r="F2892" s="11" t="n"/>
      <c r="N2892" s="7">
        <f>IF($D2892="","",M2892*V2892/100)</f>
        <v/>
      </c>
      <c r="O2892" s="7" t="n"/>
      <c r="U2892" s="7" t="n"/>
      <c r="V2892" s="7" t="n"/>
      <c r="Y2892">
        <f>IF($D2892="","",IF($AN2892=1,0,IF($AM2892=1,Settings!$C$6,Settings!$C$7))*100)</f>
        <v/>
      </c>
      <c r="Z2892" s="7">
        <f>IF($D2892="","",V2892*Y2892/100)</f>
        <v/>
      </c>
      <c r="AA2892" s="7">
        <f>IF($D2892="","",V2892-Z2892)</f>
        <v/>
      </c>
      <c r="AB2892" s="7">
        <f>IF($D2892="","",AA2892-N2892)</f>
        <v/>
      </c>
      <c r="AF2892" s="7" t="n"/>
      <c r="AI2892" s="11" t="n"/>
      <c r="AK2892">
        <f>IF($D2892="","",IF(COUNTIF($D$2:$D2892,$D2892)=1,1,0))</f>
        <v/>
      </c>
      <c r="AL2892">
        <f>IF($AK2892=1,SUMPRODUCT(--($AO$2:$AO$3001&lt;$AO2892))+1,"")</f>
        <v/>
      </c>
      <c r="AM2892">
        <f>IF($D2892="","",IF(OR($R2892=TRUE(),$R2892="TRUE"),1,0))</f>
        <v/>
      </c>
      <c r="AN2892">
        <f>IF($D2892="","",IF($X2892="Yes",1,0))</f>
        <v/>
      </c>
      <c r="AO2892">
        <f>IF($AK2892=1,IFERROR(IF(VALUE($D2892)&lt;100000000,VALUE($D2892),1000000000),IFERROR(IF(VALUE(MID($D2892,2,20))&lt;100000000,VALUE(MID($D2892,2,20)),1000000000),1000000000))+ROW()/100000,"")</f>
        <v/>
      </c>
    </row>
    <row r="2893">
      <c r="F2893" s="11" t="n"/>
      <c r="N2893" s="7">
        <f>IF($D2893="","",M2893*V2893/100)</f>
        <v/>
      </c>
      <c r="O2893" s="7" t="n"/>
      <c r="U2893" s="7" t="n"/>
      <c r="V2893" s="7" t="n"/>
      <c r="Y2893">
        <f>IF($D2893="","",IF($AN2893=1,0,IF($AM2893=1,Settings!$C$6,Settings!$C$7))*100)</f>
        <v/>
      </c>
      <c r="Z2893" s="7">
        <f>IF($D2893="","",V2893*Y2893/100)</f>
        <v/>
      </c>
      <c r="AA2893" s="7">
        <f>IF($D2893="","",V2893-Z2893)</f>
        <v/>
      </c>
      <c r="AB2893" s="7">
        <f>IF($D2893="","",AA2893-N2893)</f>
        <v/>
      </c>
      <c r="AF2893" s="7" t="n"/>
      <c r="AI2893" s="11" t="n"/>
      <c r="AK2893">
        <f>IF($D2893="","",IF(COUNTIF($D$2:$D2893,$D2893)=1,1,0))</f>
        <v/>
      </c>
      <c r="AL2893">
        <f>IF($AK2893=1,SUMPRODUCT(--($AO$2:$AO$3001&lt;$AO2893))+1,"")</f>
        <v/>
      </c>
      <c r="AM2893">
        <f>IF($D2893="","",IF(OR($R2893=TRUE(),$R2893="TRUE"),1,0))</f>
        <v/>
      </c>
      <c r="AN2893">
        <f>IF($D2893="","",IF($X2893="Yes",1,0))</f>
        <v/>
      </c>
      <c r="AO2893">
        <f>IF($AK2893=1,IFERROR(IF(VALUE($D2893)&lt;100000000,VALUE($D2893),1000000000),IFERROR(IF(VALUE(MID($D2893,2,20))&lt;100000000,VALUE(MID($D2893,2,20)),1000000000),1000000000))+ROW()/100000,"")</f>
        <v/>
      </c>
    </row>
    <row r="2894">
      <c r="F2894" s="11" t="n"/>
      <c r="N2894" s="7">
        <f>IF($D2894="","",M2894*V2894/100)</f>
        <v/>
      </c>
      <c r="O2894" s="7" t="n"/>
      <c r="U2894" s="7" t="n"/>
      <c r="V2894" s="7" t="n"/>
      <c r="Y2894">
        <f>IF($D2894="","",IF($AN2894=1,0,IF($AM2894=1,Settings!$C$6,Settings!$C$7))*100)</f>
        <v/>
      </c>
      <c r="Z2894" s="7">
        <f>IF($D2894="","",V2894*Y2894/100)</f>
        <v/>
      </c>
      <c r="AA2894" s="7">
        <f>IF($D2894="","",V2894-Z2894)</f>
        <v/>
      </c>
      <c r="AB2894" s="7">
        <f>IF($D2894="","",AA2894-N2894)</f>
        <v/>
      </c>
      <c r="AF2894" s="7" t="n"/>
      <c r="AI2894" s="11" t="n"/>
      <c r="AK2894">
        <f>IF($D2894="","",IF(COUNTIF($D$2:$D2894,$D2894)=1,1,0))</f>
        <v/>
      </c>
      <c r="AL2894">
        <f>IF($AK2894=1,SUMPRODUCT(--($AO$2:$AO$3001&lt;$AO2894))+1,"")</f>
        <v/>
      </c>
      <c r="AM2894">
        <f>IF($D2894="","",IF(OR($R2894=TRUE(),$R2894="TRUE"),1,0))</f>
        <v/>
      </c>
      <c r="AN2894">
        <f>IF($D2894="","",IF($X2894="Yes",1,0))</f>
        <v/>
      </c>
      <c r="AO2894">
        <f>IF($AK2894=1,IFERROR(IF(VALUE($D2894)&lt;100000000,VALUE($D2894),1000000000),IFERROR(IF(VALUE(MID($D2894,2,20))&lt;100000000,VALUE(MID($D2894,2,20)),1000000000),1000000000))+ROW()/100000,"")</f>
        <v/>
      </c>
    </row>
    <row r="2895">
      <c r="F2895" s="11" t="n"/>
      <c r="N2895" s="7">
        <f>IF($D2895="","",M2895*V2895/100)</f>
        <v/>
      </c>
      <c r="O2895" s="7" t="n"/>
      <c r="U2895" s="7" t="n"/>
      <c r="V2895" s="7" t="n"/>
      <c r="Y2895">
        <f>IF($D2895="","",IF($AN2895=1,0,IF($AM2895=1,Settings!$C$6,Settings!$C$7))*100)</f>
        <v/>
      </c>
      <c r="Z2895" s="7">
        <f>IF($D2895="","",V2895*Y2895/100)</f>
        <v/>
      </c>
      <c r="AA2895" s="7">
        <f>IF($D2895="","",V2895-Z2895)</f>
        <v/>
      </c>
      <c r="AB2895" s="7">
        <f>IF($D2895="","",AA2895-N2895)</f>
        <v/>
      </c>
      <c r="AF2895" s="7" t="n"/>
      <c r="AI2895" s="11" t="n"/>
      <c r="AK2895">
        <f>IF($D2895="","",IF(COUNTIF($D$2:$D2895,$D2895)=1,1,0))</f>
        <v/>
      </c>
      <c r="AL2895">
        <f>IF($AK2895=1,SUMPRODUCT(--($AO$2:$AO$3001&lt;$AO2895))+1,"")</f>
        <v/>
      </c>
      <c r="AM2895">
        <f>IF($D2895="","",IF(OR($R2895=TRUE(),$R2895="TRUE"),1,0))</f>
        <v/>
      </c>
      <c r="AN2895">
        <f>IF($D2895="","",IF($X2895="Yes",1,0))</f>
        <v/>
      </c>
      <c r="AO2895">
        <f>IF($AK2895=1,IFERROR(IF(VALUE($D2895)&lt;100000000,VALUE($D2895),1000000000),IFERROR(IF(VALUE(MID($D2895,2,20))&lt;100000000,VALUE(MID($D2895,2,20)),1000000000),1000000000))+ROW()/100000,"")</f>
        <v/>
      </c>
    </row>
    <row r="2896">
      <c r="F2896" s="11" t="n"/>
      <c r="N2896" s="7">
        <f>IF($D2896="","",M2896*V2896/100)</f>
        <v/>
      </c>
      <c r="O2896" s="7" t="n"/>
      <c r="U2896" s="7" t="n"/>
      <c r="V2896" s="7" t="n"/>
      <c r="Y2896">
        <f>IF($D2896="","",IF($AN2896=1,0,IF($AM2896=1,Settings!$C$6,Settings!$C$7))*100)</f>
        <v/>
      </c>
      <c r="Z2896" s="7">
        <f>IF($D2896="","",V2896*Y2896/100)</f>
        <v/>
      </c>
      <c r="AA2896" s="7">
        <f>IF($D2896="","",V2896-Z2896)</f>
        <v/>
      </c>
      <c r="AB2896" s="7">
        <f>IF($D2896="","",AA2896-N2896)</f>
        <v/>
      </c>
      <c r="AF2896" s="7" t="n"/>
      <c r="AI2896" s="11" t="n"/>
      <c r="AK2896">
        <f>IF($D2896="","",IF(COUNTIF($D$2:$D2896,$D2896)=1,1,0))</f>
        <v/>
      </c>
      <c r="AL2896">
        <f>IF($AK2896=1,SUMPRODUCT(--($AO$2:$AO$3001&lt;$AO2896))+1,"")</f>
        <v/>
      </c>
      <c r="AM2896">
        <f>IF($D2896="","",IF(OR($R2896=TRUE(),$R2896="TRUE"),1,0))</f>
        <v/>
      </c>
      <c r="AN2896">
        <f>IF($D2896="","",IF($X2896="Yes",1,0))</f>
        <v/>
      </c>
      <c r="AO2896">
        <f>IF($AK2896=1,IFERROR(IF(VALUE($D2896)&lt;100000000,VALUE($D2896),1000000000),IFERROR(IF(VALUE(MID($D2896,2,20))&lt;100000000,VALUE(MID($D2896,2,20)),1000000000),1000000000))+ROW()/100000,"")</f>
        <v/>
      </c>
    </row>
    <row r="2897">
      <c r="F2897" s="11" t="n"/>
      <c r="N2897" s="7">
        <f>IF($D2897="","",M2897*V2897/100)</f>
        <v/>
      </c>
      <c r="O2897" s="7" t="n"/>
      <c r="U2897" s="7" t="n"/>
      <c r="V2897" s="7" t="n"/>
      <c r="Y2897">
        <f>IF($D2897="","",IF($AN2897=1,0,IF($AM2897=1,Settings!$C$6,Settings!$C$7))*100)</f>
        <v/>
      </c>
      <c r="Z2897" s="7">
        <f>IF($D2897="","",V2897*Y2897/100)</f>
        <v/>
      </c>
      <c r="AA2897" s="7">
        <f>IF($D2897="","",V2897-Z2897)</f>
        <v/>
      </c>
      <c r="AB2897" s="7">
        <f>IF($D2897="","",AA2897-N2897)</f>
        <v/>
      </c>
      <c r="AF2897" s="7" t="n"/>
      <c r="AI2897" s="11" t="n"/>
      <c r="AK2897">
        <f>IF($D2897="","",IF(COUNTIF($D$2:$D2897,$D2897)=1,1,0))</f>
        <v/>
      </c>
      <c r="AL2897">
        <f>IF($AK2897=1,SUMPRODUCT(--($AO$2:$AO$3001&lt;$AO2897))+1,"")</f>
        <v/>
      </c>
      <c r="AM2897">
        <f>IF($D2897="","",IF(OR($R2897=TRUE(),$R2897="TRUE"),1,0))</f>
        <v/>
      </c>
      <c r="AN2897">
        <f>IF($D2897="","",IF($X2897="Yes",1,0))</f>
        <v/>
      </c>
      <c r="AO2897">
        <f>IF($AK2897=1,IFERROR(IF(VALUE($D2897)&lt;100000000,VALUE($D2897),1000000000),IFERROR(IF(VALUE(MID($D2897,2,20))&lt;100000000,VALUE(MID($D2897,2,20)),1000000000),1000000000))+ROW()/100000,"")</f>
        <v/>
      </c>
    </row>
    <row r="2898">
      <c r="F2898" s="11" t="n"/>
      <c r="N2898" s="7">
        <f>IF($D2898="","",M2898*V2898/100)</f>
        <v/>
      </c>
      <c r="O2898" s="7" t="n"/>
      <c r="U2898" s="7" t="n"/>
      <c r="V2898" s="7" t="n"/>
      <c r="Y2898">
        <f>IF($D2898="","",IF($AN2898=1,0,IF($AM2898=1,Settings!$C$6,Settings!$C$7))*100)</f>
        <v/>
      </c>
      <c r="Z2898" s="7">
        <f>IF($D2898="","",V2898*Y2898/100)</f>
        <v/>
      </c>
      <c r="AA2898" s="7">
        <f>IF($D2898="","",V2898-Z2898)</f>
        <v/>
      </c>
      <c r="AB2898" s="7">
        <f>IF($D2898="","",AA2898-N2898)</f>
        <v/>
      </c>
      <c r="AF2898" s="7" t="n"/>
      <c r="AI2898" s="11" t="n"/>
      <c r="AK2898">
        <f>IF($D2898="","",IF(COUNTIF($D$2:$D2898,$D2898)=1,1,0))</f>
        <v/>
      </c>
      <c r="AL2898">
        <f>IF($AK2898=1,SUMPRODUCT(--($AO$2:$AO$3001&lt;$AO2898))+1,"")</f>
        <v/>
      </c>
      <c r="AM2898">
        <f>IF($D2898="","",IF(OR($R2898=TRUE(),$R2898="TRUE"),1,0))</f>
        <v/>
      </c>
      <c r="AN2898">
        <f>IF($D2898="","",IF($X2898="Yes",1,0))</f>
        <v/>
      </c>
      <c r="AO2898">
        <f>IF($AK2898=1,IFERROR(IF(VALUE($D2898)&lt;100000000,VALUE($D2898),1000000000),IFERROR(IF(VALUE(MID($D2898,2,20))&lt;100000000,VALUE(MID($D2898,2,20)),1000000000),1000000000))+ROW()/100000,"")</f>
        <v/>
      </c>
    </row>
    <row r="2899">
      <c r="F2899" s="11" t="n"/>
      <c r="N2899" s="7">
        <f>IF($D2899="","",M2899*V2899/100)</f>
        <v/>
      </c>
      <c r="O2899" s="7" t="n"/>
      <c r="U2899" s="7" t="n"/>
      <c r="V2899" s="7" t="n"/>
      <c r="Y2899">
        <f>IF($D2899="","",IF($AN2899=1,0,IF($AM2899=1,Settings!$C$6,Settings!$C$7))*100)</f>
        <v/>
      </c>
      <c r="Z2899" s="7">
        <f>IF($D2899="","",V2899*Y2899/100)</f>
        <v/>
      </c>
      <c r="AA2899" s="7">
        <f>IF($D2899="","",V2899-Z2899)</f>
        <v/>
      </c>
      <c r="AB2899" s="7">
        <f>IF($D2899="","",AA2899-N2899)</f>
        <v/>
      </c>
      <c r="AF2899" s="7" t="n"/>
      <c r="AI2899" s="11" t="n"/>
      <c r="AK2899">
        <f>IF($D2899="","",IF(COUNTIF($D$2:$D2899,$D2899)=1,1,0))</f>
        <v/>
      </c>
      <c r="AL2899">
        <f>IF($AK2899=1,SUMPRODUCT(--($AO$2:$AO$3001&lt;$AO2899))+1,"")</f>
        <v/>
      </c>
      <c r="AM2899">
        <f>IF($D2899="","",IF(OR($R2899=TRUE(),$R2899="TRUE"),1,0))</f>
        <v/>
      </c>
      <c r="AN2899">
        <f>IF($D2899="","",IF($X2899="Yes",1,0))</f>
        <v/>
      </c>
      <c r="AO2899">
        <f>IF($AK2899=1,IFERROR(IF(VALUE($D2899)&lt;100000000,VALUE($D2899),1000000000),IFERROR(IF(VALUE(MID($D2899,2,20))&lt;100000000,VALUE(MID($D2899,2,20)),1000000000),1000000000))+ROW()/100000,"")</f>
        <v/>
      </c>
    </row>
    <row r="2900">
      <c r="F2900" s="11" t="n"/>
      <c r="N2900" s="7">
        <f>IF($D2900="","",M2900*V2900/100)</f>
        <v/>
      </c>
      <c r="O2900" s="7" t="n"/>
      <c r="U2900" s="7" t="n"/>
      <c r="V2900" s="7" t="n"/>
      <c r="Y2900">
        <f>IF($D2900="","",IF($AN2900=1,0,IF($AM2900=1,Settings!$C$6,Settings!$C$7))*100)</f>
        <v/>
      </c>
      <c r="Z2900" s="7">
        <f>IF($D2900="","",V2900*Y2900/100)</f>
        <v/>
      </c>
      <c r="AA2900" s="7">
        <f>IF($D2900="","",V2900-Z2900)</f>
        <v/>
      </c>
      <c r="AB2900" s="7">
        <f>IF($D2900="","",AA2900-N2900)</f>
        <v/>
      </c>
      <c r="AF2900" s="7" t="n"/>
      <c r="AI2900" s="11" t="n"/>
      <c r="AK2900">
        <f>IF($D2900="","",IF(COUNTIF($D$2:$D2900,$D2900)=1,1,0))</f>
        <v/>
      </c>
      <c r="AL2900">
        <f>IF($AK2900=1,SUMPRODUCT(--($AO$2:$AO$3001&lt;$AO2900))+1,"")</f>
        <v/>
      </c>
      <c r="AM2900">
        <f>IF($D2900="","",IF(OR($R2900=TRUE(),$R2900="TRUE"),1,0))</f>
        <v/>
      </c>
      <c r="AN2900">
        <f>IF($D2900="","",IF($X2900="Yes",1,0))</f>
        <v/>
      </c>
      <c r="AO2900">
        <f>IF($AK2900=1,IFERROR(IF(VALUE($D2900)&lt;100000000,VALUE($D2900),1000000000),IFERROR(IF(VALUE(MID($D2900,2,20))&lt;100000000,VALUE(MID($D2900,2,20)),1000000000),1000000000))+ROW()/100000,"")</f>
        <v/>
      </c>
    </row>
    <row r="2901">
      <c r="F2901" s="11" t="n"/>
      <c r="N2901" s="7">
        <f>IF($D2901="","",M2901*V2901/100)</f>
        <v/>
      </c>
      <c r="O2901" s="7" t="n"/>
      <c r="U2901" s="7" t="n"/>
      <c r="V2901" s="7" t="n"/>
      <c r="Y2901">
        <f>IF($D2901="","",IF($AN2901=1,0,IF($AM2901=1,Settings!$C$6,Settings!$C$7))*100)</f>
        <v/>
      </c>
      <c r="Z2901" s="7">
        <f>IF($D2901="","",V2901*Y2901/100)</f>
        <v/>
      </c>
      <c r="AA2901" s="7">
        <f>IF($D2901="","",V2901-Z2901)</f>
        <v/>
      </c>
      <c r="AB2901" s="7">
        <f>IF($D2901="","",AA2901-N2901)</f>
        <v/>
      </c>
      <c r="AF2901" s="7" t="n"/>
      <c r="AI2901" s="11" t="n"/>
      <c r="AK2901">
        <f>IF($D2901="","",IF(COUNTIF($D$2:$D2901,$D2901)=1,1,0))</f>
        <v/>
      </c>
      <c r="AL2901">
        <f>IF($AK2901=1,SUMPRODUCT(--($AO$2:$AO$3001&lt;$AO2901))+1,"")</f>
        <v/>
      </c>
      <c r="AM2901">
        <f>IF($D2901="","",IF(OR($R2901=TRUE(),$R2901="TRUE"),1,0))</f>
        <v/>
      </c>
      <c r="AN2901">
        <f>IF($D2901="","",IF($X2901="Yes",1,0))</f>
        <v/>
      </c>
      <c r="AO2901">
        <f>IF($AK2901=1,IFERROR(IF(VALUE($D2901)&lt;100000000,VALUE($D2901),1000000000),IFERROR(IF(VALUE(MID($D2901,2,20))&lt;100000000,VALUE(MID($D2901,2,20)),1000000000),1000000000))+ROW()/100000,"")</f>
        <v/>
      </c>
    </row>
    <row r="2902">
      <c r="F2902" s="11" t="n"/>
      <c r="N2902" s="7">
        <f>IF($D2902="","",M2902*V2902/100)</f>
        <v/>
      </c>
      <c r="O2902" s="7" t="n"/>
      <c r="U2902" s="7" t="n"/>
      <c r="V2902" s="7" t="n"/>
      <c r="Y2902">
        <f>IF($D2902="","",IF($AN2902=1,0,IF($AM2902=1,Settings!$C$6,Settings!$C$7))*100)</f>
        <v/>
      </c>
      <c r="Z2902" s="7">
        <f>IF($D2902="","",V2902*Y2902/100)</f>
        <v/>
      </c>
      <c r="AA2902" s="7">
        <f>IF($D2902="","",V2902-Z2902)</f>
        <v/>
      </c>
      <c r="AB2902" s="7">
        <f>IF($D2902="","",AA2902-N2902)</f>
        <v/>
      </c>
      <c r="AF2902" s="7" t="n"/>
      <c r="AI2902" s="11" t="n"/>
      <c r="AK2902">
        <f>IF($D2902="","",IF(COUNTIF($D$2:$D2902,$D2902)=1,1,0))</f>
        <v/>
      </c>
      <c r="AL2902">
        <f>IF($AK2902=1,SUMPRODUCT(--($AO$2:$AO$3001&lt;$AO2902))+1,"")</f>
        <v/>
      </c>
      <c r="AM2902">
        <f>IF($D2902="","",IF(OR($R2902=TRUE(),$R2902="TRUE"),1,0))</f>
        <v/>
      </c>
      <c r="AN2902">
        <f>IF($D2902="","",IF($X2902="Yes",1,0))</f>
        <v/>
      </c>
      <c r="AO2902">
        <f>IF($AK2902=1,IFERROR(IF(VALUE($D2902)&lt;100000000,VALUE($D2902),1000000000),IFERROR(IF(VALUE(MID($D2902,2,20))&lt;100000000,VALUE(MID($D2902,2,20)),1000000000),1000000000))+ROW()/100000,"")</f>
        <v/>
      </c>
    </row>
    <row r="2903">
      <c r="F2903" s="11" t="n"/>
      <c r="N2903" s="7">
        <f>IF($D2903="","",M2903*V2903/100)</f>
        <v/>
      </c>
      <c r="O2903" s="7" t="n"/>
      <c r="U2903" s="7" t="n"/>
      <c r="V2903" s="7" t="n"/>
      <c r="Y2903">
        <f>IF($D2903="","",IF($AN2903=1,0,IF($AM2903=1,Settings!$C$6,Settings!$C$7))*100)</f>
        <v/>
      </c>
      <c r="Z2903" s="7">
        <f>IF($D2903="","",V2903*Y2903/100)</f>
        <v/>
      </c>
      <c r="AA2903" s="7">
        <f>IF($D2903="","",V2903-Z2903)</f>
        <v/>
      </c>
      <c r="AB2903" s="7">
        <f>IF($D2903="","",AA2903-N2903)</f>
        <v/>
      </c>
      <c r="AF2903" s="7" t="n"/>
      <c r="AI2903" s="11" t="n"/>
      <c r="AK2903">
        <f>IF($D2903="","",IF(COUNTIF($D$2:$D2903,$D2903)=1,1,0))</f>
        <v/>
      </c>
      <c r="AL2903">
        <f>IF($AK2903=1,SUMPRODUCT(--($AO$2:$AO$3001&lt;$AO2903))+1,"")</f>
        <v/>
      </c>
      <c r="AM2903">
        <f>IF($D2903="","",IF(OR($R2903=TRUE(),$R2903="TRUE"),1,0))</f>
        <v/>
      </c>
      <c r="AN2903">
        <f>IF($D2903="","",IF($X2903="Yes",1,0))</f>
        <v/>
      </c>
      <c r="AO2903">
        <f>IF($AK2903=1,IFERROR(IF(VALUE($D2903)&lt;100000000,VALUE($D2903),1000000000),IFERROR(IF(VALUE(MID($D2903,2,20))&lt;100000000,VALUE(MID($D2903,2,20)),1000000000),1000000000))+ROW()/100000,"")</f>
        <v/>
      </c>
    </row>
    <row r="2904">
      <c r="F2904" s="11" t="n"/>
      <c r="N2904" s="7">
        <f>IF($D2904="","",M2904*V2904/100)</f>
        <v/>
      </c>
      <c r="O2904" s="7" t="n"/>
      <c r="U2904" s="7" t="n"/>
      <c r="V2904" s="7" t="n"/>
      <c r="Y2904">
        <f>IF($D2904="","",IF($AN2904=1,0,IF($AM2904=1,Settings!$C$6,Settings!$C$7))*100)</f>
        <v/>
      </c>
      <c r="Z2904" s="7">
        <f>IF($D2904="","",V2904*Y2904/100)</f>
        <v/>
      </c>
      <c r="AA2904" s="7">
        <f>IF($D2904="","",V2904-Z2904)</f>
        <v/>
      </c>
      <c r="AB2904" s="7">
        <f>IF($D2904="","",AA2904-N2904)</f>
        <v/>
      </c>
      <c r="AF2904" s="7" t="n"/>
      <c r="AI2904" s="11" t="n"/>
      <c r="AK2904">
        <f>IF($D2904="","",IF(COUNTIF($D$2:$D2904,$D2904)=1,1,0))</f>
        <v/>
      </c>
      <c r="AL2904">
        <f>IF($AK2904=1,SUMPRODUCT(--($AO$2:$AO$3001&lt;$AO2904))+1,"")</f>
        <v/>
      </c>
      <c r="AM2904">
        <f>IF($D2904="","",IF(OR($R2904=TRUE(),$R2904="TRUE"),1,0))</f>
        <v/>
      </c>
      <c r="AN2904">
        <f>IF($D2904="","",IF($X2904="Yes",1,0))</f>
        <v/>
      </c>
      <c r="AO2904">
        <f>IF($AK2904=1,IFERROR(IF(VALUE($D2904)&lt;100000000,VALUE($D2904),1000000000),IFERROR(IF(VALUE(MID($D2904,2,20))&lt;100000000,VALUE(MID($D2904,2,20)),1000000000),1000000000))+ROW()/100000,"")</f>
        <v/>
      </c>
    </row>
    <row r="2905">
      <c r="F2905" s="11" t="n"/>
      <c r="N2905" s="7">
        <f>IF($D2905="","",M2905*V2905/100)</f>
        <v/>
      </c>
      <c r="O2905" s="7" t="n"/>
      <c r="U2905" s="7" t="n"/>
      <c r="V2905" s="7" t="n"/>
      <c r="Y2905">
        <f>IF($D2905="","",IF($AN2905=1,0,IF($AM2905=1,Settings!$C$6,Settings!$C$7))*100)</f>
        <v/>
      </c>
      <c r="Z2905" s="7">
        <f>IF($D2905="","",V2905*Y2905/100)</f>
        <v/>
      </c>
      <c r="AA2905" s="7">
        <f>IF($D2905="","",V2905-Z2905)</f>
        <v/>
      </c>
      <c r="AB2905" s="7">
        <f>IF($D2905="","",AA2905-N2905)</f>
        <v/>
      </c>
      <c r="AF2905" s="7" t="n"/>
      <c r="AI2905" s="11" t="n"/>
      <c r="AK2905">
        <f>IF($D2905="","",IF(COUNTIF($D$2:$D2905,$D2905)=1,1,0))</f>
        <v/>
      </c>
      <c r="AL2905">
        <f>IF($AK2905=1,SUMPRODUCT(--($AO$2:$AO$3001&lt;$AO2905))+1,"")</f>
        <v/>
      </c>
      <c r="AM2905">
        <f>IF($D2905="","",IF(OR($R2905=TRUE(),$R2905="TRUE"),1,0))</f>
        <v/>
      </c>
      <c r="AN2905">
        <f>IF($D2905="","",IF($X2905="Yes",1,0))</f>
        <v/>
      </c>
      <c r="AO2905">
        <f>IF($AK2905=1,IFERROR(IF(VALUE($D2905)&lt;100000000,VALUE($D2905),1000000000),IFERROR(IF(VALUE(MID($D2905,2,20))&lt;100000000,VALUE(MID($D2905,2,20)),1000000000),1000000000))+ROW()/100000,"")</f>
        <v/>
      </c>
    </row>
    <row r="2906">
      <c r="F2906" s="11" t="n"/>
      <c r="N2906" s="7">
        <f>IF($D2906="","",M2906*V2906/100)</f>
        <v/>
      </c>
      <c r="O2906" s="7" t="n"/>
      <c r="U2906" s="7" t="n"/>
      <c r="V2906" s="7" t="n"/>
      <c r="Y2906">
        <f>IF($D2906="","",IF($AN2906=1,0,IF($AM2906=1,Settings!$C$6,Settings!$C$7))*100)</f>
        <v/>
      </c>
      <c r="Z2906" s="7">
        <f>IF($D2906="","",V2906*Y2906/100)</f>
        <v/>
      </c>
      <c r="AA2906" s="7">
        <f>IF($D2906="","",V2906-Z2906)</f>
        <v/>
      </c>
      <c r="AB2906" s="7">
        <f>IF($D2906="","",AA2906-N2906)</f>
        <v/>
      </c>
      <c r="AF2906" s="7" t="n"/>
      <c r="AI2906" s="11" t="n"/>
      <c r="AK2906">
        <f>IF($D2906="","",IF(COUNTIF($D$2:$D2906,$D2906)=1,1,0))</f>
        <v/>
      </c>
      <c r="AL2906">
        <f>IF($AK2906=1,SUMPRODUCT(--($AO$2:$AO$3001&lt;$AO2906))+1,"")</f>
        <v/>
      </c>
      <c r="AM2906">
        <f>IF($D2906="","",IF(OR($R2906=TRUE(),$R2906="TRUE"),1,0))</f>
        <v/>
      </c>
      <c r="AN2906">
        <f>IF($D2906="","",IF($X2906="Yes",1,0))</f>
        <v/>
      </c>
      <c r="AO2906">
        <f>IF($AK2906=1,IFERROR(IF(VALUE($D2906)&lt;100000000,VALUE($D2906),1000000000),IFERROR(IF(VALUE(MID($D2906,2,20))&lt;100000000,VALUE(MID($D2906,2,20)),1000000000),1000000000))+ROW()/100000,"")</f>
        <v/>
      </c>
    </row>
    <row r="2907">
      <c r="F2907" s="11" t="n"/>
      <c r="N2907" s="7">
        <f>IF($D2907="","",M2907*V2907/100)</f>
        <v/>
      </c>
      <c r="O2907" s="7" t="n"/>
      <c r="U2907" s="7" t="n"/>
      <c r="V2907" s="7" t="n"/>
      <c r="Y2907">
        <f>IF($D2907="","",IF($AN2907=1,0,IF($AM2907=1,Settings!$C$6,Settings!$C$7))*100)</f>
        <v/>
      </c>
      <c r="Z2907" s="7">
        <f>IF($D2907="","",V2907*Y2907/100)</f>
        <v/>
      </c>
      <c r="AA2907" s="7">
        <f>IF($D2907="","",V2907-Z2907)</f>
        <v/>
      </c>
      <c r="AB2907" s="7">
        <f>IF($D2907="","",AA2907-N2907)</f>
        <v/>
      </c>
      <c r="AF2907" s="7" t="n"/>
      <c r="AI2907" s="11" t="n"/>
      <c r="AK2907">
        <f>IF($D2907="","",IF(COUNTIF($D$2:$D2907,$D2907)=1,1,0))</f>
        <v/>
      </c>
      <c r="AL2907">
        <f>IF($AK2907=1,SUMPRODUCT(--($AO$2:$AO$3001&lt;$AO2907))+1,"")</f>
        <v/>
      </c>
      <c r="AM2907">
        <f>IF($D2907="","",IF(OR($R2907=TRUE(),$R2907="TRUE"),1,0))</f>
        <v/>
      </c>
      <c r="AN2907">
        <f>IF($D2907="","",IF($X2907="Yes",1,0))</f>
        <v/>
      </c>
      <c r="AO2907">
        <f>IF($AK2907=1,IFERROR(IF(VALUE($D2907)&lt;100000000,VALUE($D2907),1000000000),IFERROR(IF(VALUE(MID($D2907,2,20))&lt;100000000,VALUE(MID($D2907,2,20)),1000000000),1000000000))+ROW()/100000,"")</f>
        <v/>
      </c>
    </row>
    <row r="2908">
      <c r="F2908" s="11" t="n"/>
      <c r="N2908" s="7">
        <f>IF($D2908="","",M2908*V2908/100)</f>
        <v/>
      </c>
      <c r="O2908" s="7" t="n"/>
      <c r="U2908" s="7" t="n"/>
      <c r="V2908" s="7" t="n"/>
      <c r="Y2908">
        <f>IF($D2908="","",IF($AN2908=1,0,IF($AM2908=1,Settings!$C$6,Settings!$C$7))*100)</f>
        <v/>
      </c>
      <c r="Z2908" s="7">
        <f>IF($D2908="","",V2908*Y2908/100)</f>
        <v/>
      </c>
      <c r="AA2908" s="7">
        <f>IF($D2908="","",V2908-Z2908)</f>
        <v/>
      </c>
      <c r="AB2908" s="7">
        <f>IF($D2908="","",AA2908-N2908)</f>
        <v/>
      </c>
      <c r="AF2908" s="7" t="n"/>
      <c r="AI2908" s="11" t="n"/>
      <c r="AK2908">
        <f>IF($D2908="","",IF(COUNTIF($D$2:$D2908,$D2908)=1,1,0))</f>
        <v/>
      </c>
      <c r="AL2908">
        <f>IF($AK2908=1,SUMPRODUCT(--($AO$2:$AO$3001&lt;$AO2908))+1,"")</f>
        <v/>
      </c>
      <c r="AM2908">
        <f>IF($D2908="","",IF(OR($R2908=TRUE(),$R2908="TRUE"),1,0))</f>
        <v/>
      </c>
      <c r="AN2908">
        <f>IF($D2908="","",IF($X2908="Yes",1,0))</f>
        <v/>
      </c>
      <c r="AO2908">
        <f>IF($AK2908=1,IFERROR(IF(VALUE($D2908)&lt;100000000,VALUE($D2908),1000000000),IFERROR(IF(VALUE(MID($D2908,2,20))&lt;100000000,VALUE(MID($D2908,2,20)),1000000000),1000000000))+ROW()/100000,"")</f>
        <v/>
      </c>
    </row>
    <row r="2909">
      <c r="F2909" s="11" t="n"/>
      <c r="N2909" s="7">
        <f>IF($D2909="","",M2909*V2909/100)</f>
        <v/>
      </c>
      <c r="O2909" s="7" t="n"/>
      <c r="U2909" s="7" t="n"/>
      <c r="V2909" s="7" t="n"/>
      <c r="Y2909">
        <f>IF($D2909="","",IF($AN2909=1,0,IF($AM2909=1,Settings!$C$6,Settings!$C$7))*100)</f>
        <v/>
      </c>
      <c r="Z2909" s="7">
        <f>IF($D2909="","",V2909*Y2909/100)</f>
        <v/>
      </c>
      <c r="AA2909" s="7">
        <f>IF($D2909="","",V2909-Z2909)</f>
        <v/>
      </c>
      <c r="AB2909" s="7">
        <f>IF($D2909="","",AA2909-N2909)</f>
        <v/>
      </c>
      <c r="AF2909" s="7" t="n"/>
      <c r="AI2909" s="11" t="n"/>
      <c r="AK2909">
        <f>IF($D2909="","",IF(COUNTIF($D$2:$D2909,$D2909)=1,1,0))</f>
        <v/>
      </c>
      <c r="AL2909">
        <f>IF($AK2909=1,SUMPRODUCT(--($AO$2:$AO$3001&lt;$AO2909))+1,"")</f>
        <v/>
      </c>
      <c r="AM2909">
        <f>IF($D2909="","",IF(OR($R2909=TRUE(),$R2909="TRUE"),1,0))</f>
        <v/>
      </c>
      <c r="AN2909">
        <f>IF($D2909="","",IF($X2909="Yes",1,0))</f>
        <v/>
      </c>
      <c r="AO2909">
        <f>IF($AK2909=1,IFERROR(IF(VALUE($D2909)&lt;100000000,VALUE($D2909),1000000000),IFERROR(IF(VALUE(MID($D2909,2,20))&lt;100000000,VALUE(MID($D2909,2,20)),1000000000),1000000000))+ROW()/100000,"")</f>
        <v/>
      </c>
    </row>
    <row r="2910">
      <c r="F2910" s="11" t="n"/>
      <c r="N2910" s="7">
        <f>IF($D2910="","",M2910*V2910/100)</f>
        <v/>
      </c>
      <c r="O2910" s="7" t="n"/>
      <c r="U2910" s="7" t="n"/>
      <c r="V2910" s="7" t="n"/>
      <c r="Y2910">
        <f>IF($D2910="","",IF($AN2910=1,0,IF($AM2910=1,Settings!$C$6,Settings!$C$7))*100)</f>
        <v/>
      </c>
      <c r="Z2910" s="7">
        <f>IF($D2910="","",V2910*Y2910/100)</f>
        <v/>
      </c>
      <c r="AA2910" s="7">
        <f>IF($D2910="","",V2910-Z2910)</f>
        <v/>
      </c>
      <c r="AB2910" s="7">
        <f>IF($D2910="","",AA2910-N2910)</f>
        <v/>
      </c>
      <c r="AF2910" s="7" t="n"/>
      <c r="AI2910" s="11" t="n"/>
      <c r="AK2910">
        <f>IF($D2910="","",IF(COUNTIF($D$2:$D2910,$D2910)=1,1,0))</f>
        <v/>
      </c>
      <c r="AL2910">
        <f>IF($AK2910=1,SUMPRODUCT(--($AO$2:$AO$3001&lt;$AO2910))+1,"")</f>
        <v/>
      </c>
      <c r="AM2910">
        <f>IF($D2910="","",IF(OR($R2910=TRUE(),$R2910="TRUE"),1,0))</f>
        <v/>
      </c>
      <c r="AN2910">
        <f>IF($D2910="","",IF($X2910="Yes",1,0))</f>
        <v/>
      </c>
      <c r="AO2910">
        <f>IF($AK2910=1,IFERROR(IF(VALUE($D2910)&lt;100000000,VALUE($D2910),1000000000),IFERROR(IF(VALUE(MID($D2910,2,20))&lt;100000000,VALUE(MID($D2910,2,20)),1000000000),1000000000))+ROW()/100000,"")</f>
        <v/>
      </c>
    </row>
    <row r="2911">
      <c r="F2911" s="11" t="n"/>
      <c r="N2911" s="7">
        <f>IF($D2911="","",M2911*V2911/100)</f>
        <v/>
      </c>
      <c r="O2911" s="7" t="n"/>
      <c r="U2911" s="7" t="n"/>
      <c r="V2911" s="7" t="n"/>
      <c r="Y2911">
        <f>IF($D2911="","",IF($AN2911=1,0,IF($AM2911=1,Settings!$C$6,Settings!$C$7))*100)</f>
        <v/>
      </c>
      <c r="Z2911" s="7">
        <f>IF($D2911="","",V2911*Y2911/100)</f>
        <v/>
      </c>
      <c r="AA2911" s="7">
        <f>IF($D2911="","",V2911-Z2911)</f>
        <v/>
      </c>
      <c r="AB2911" s="7">
        <f>IF($D2911="","",AA2911-N2911)</f>
        <v/>
      </c>
      <c r="AF2911" s="7" t="n"/>
      <c r="AI2911" s="11" t="n"/>
      <c r="AK2911">
        <f>IF($D2911="","",IF(COUNTIF($D$2:$D2911,$D2911)=1,1,0))</f>
        <v/>
      </c>
      <c r="AL2911">
        <f>IF($AK2911=1,SUMPRODUCT(--($AO$2:$AO$3001&lt;$AO2911))+1,"")</f>
        <v/>
      </c>
      <c r="AM2911">
        <f>IF($D2911="","",IF(OR($R2911=TRUE(),$R2911="TRUE"),1,0))</f>
        <v/>
      </c>
      <c r="AN2911">
        <f>IF($D2911="","",IF($X2911="Yes",1,0))</f>
        <v/>
      </c>
      <c r="AO2911">
        <f>IF($AK2911=1,IFERROR(IF(VALUE($D2911)&lt;100000000,VALUE($D2911),1000000000),IFERROR(IF(VALUE(MID($D2911,2,20))&lt;100000000,VALUE(MID($D2911,2,20)),1000000000),1000000000))+ROW()/100000,"")</f>
        <v/>
      </c>
    </row>
    <row r="2912">
      <c r="F2912" s="11" t="n"/>
      <c r="N2912" s="7">
        <f>IF($D2912="","",M2912*V2912/100)</f>
        <v/>
      </c>
      <c r="O2912" s="7" t="n"/>
      <c r="U2912" s="7" t="n"/>
      <c r="V2912" s="7" t="n"/>
      <c r="Y2912">
        <f>IF($D2912="","",IF($AN2912=1,0,IF($AM2912=1,Settings!$C$6,Settings!$C$7))*100)</f>
        <v/>
      </c>
      <c r="Z2912" s="7">
        <f>IF($D2912="","",V2912*Y2912/100)</f>
        <v/>
      </c>
      <c r="AA2912" s="7">
        <f>IF($D2912="","",V2912-Z2912)</f>
        <v/>
      </c>
      <c r="AB2912" s="7">
        <f>IF($D2912="","",AA2912-N2912)</f>
        <v/>
      </c>
      <c r="AF2912" s="7" t="n"/>
      <c r="AI2912" s="11" t="n"/>
      <c r="AK2912">
        <f>IF($D2912="","",IF(COUNTIF($D$2:$D2912,$D2912)=1,1,0))</f>
        <v/>
      </c>
      <c r="AL2912">
        <f>IF($AK2912=1,SUMPRODUCT(--($AO$2:$AO$3001&lt;$AO2912))+1,"")</f>
        <v/>
      </c>
      <c r="AM2912">
        <f>IF($D2912="","",IF(OR($R2912=TRUE(),$R2912="TRUE"),1,0))</f>
        <v/>
      </c>
      <c r="AN2912">
        <f>IF($D2912="","",IF($X2912="Yes",1,0))</f>
        <v/>
      </c>
      <c r="AO2912">
        <f>IF($AK2912=1,IFERROR(IF(VALUE($D2912)&lt;100000000,VALUE($D2912),1000000000),IFERROR(IF(VALUE(MID($D2912,2,20))&lt;100000000,VALUE(MID($D2912,2,20)),1000000000),1000000000))+ROW()/100000,"")</f>
        <v/>
      </c>
    </row>
    <row r="2913">
      <c r="F2913" s="11" t="n"/>
      <c r="N2913" s="7">
        <f>IF($D2913="","",M2913*V2913/100)</f>
        <v/>
      </c>
      <c r="O2913" s="7" t="n"/>
      <c r="U2913" s="7" t="n"/>
      <c r="V2913" s="7" t="n"/>
      <c r="Y2913">
        <f>IF($D2913="","",IF($AN2913=1,0,IF($AM2913=1,Settings!$C$6,Settings!$C$7))*100)</f>
        <v/>
      </c>
      <c r="Z2913" s="7">
        <f>IF($D2913="","",V2913*Y2913/100)</f>
        <v/>
      </c>
      <c r="AA2913" s="7">
        <f>IF($D2913="","",V2913-Z2913)</f>
        <v/>
      </c>
      <c r="AB2913" s="7">
        <f>IF($D2913="","",AA2913-N2913)</f>
        <v/>
      </c>
      <c r="AF2913" s="7" t="n"/>
      <c r="AI2913" s="11" t="n"/>
      <c r="AK2913">
        <f>IF($D2913="","",IF(COUNTIF($D$2:$D2913,$D2913)=1,1,0))</f>
        <v/>
      </c>
      <c r="AL2913">
        <f>IF($AK2913=1,SUMPRODUCT(--($AO$2:$AO$3001&lt;$AO2913))+1,"")</f>
        <v/>
      </c>
      <c r="AM2913">
        <f>IF($D2913="","",IF(OR($R2913=TRUE(),$R2913="TRUE"),1,0))</f>
        <v/>
      </c>
      <c r="AN2913">
        <f>IF($D2913="","",IF($X2913="Yes",1,0))</f>
        <v/>
      </c>
      <c r="AO2913">
        <f>IF($AK2913=1,IFERROR(IF(VALUE($D2913)&lt;100000000,VALUE($D2913),1000000000),IFERROR(IF(VALUE(MID($D2913,2,20))&lt;100000000,VALUE(MID($D2913,2,20)),1000000000),1000000000))+ROW()/100000,"")</f>
        <v/>
      </c>
    </row>
    <row r="2914">
      <c r="F2914" s="11" t="n"/>
      <c r="N2914" s="7">
        <f>IF($D2914="","",M2914*V2914/100)</f>
        <v/>
      </c>
      <c r="O2914" s="7" t="n"/>
      <c r="U2914" s="7" t="n"/>
      <c r="V2914" s="7" t="n"/>
      <c r="Y2914">
        <f>IF($D2914="","",IF($AN2914=1,0,IF($AM2914=1,Settings!$C$6,Settings!$C$7))*100)</f>
        <v/>
      </c>
      <c r="Z2914" s="7">
        <f>IF($D2914="","",V2914*Y2914/100)</f>
        <v/>
      </c>
      <c r="AA2914" s="7">
        <f>IF($D2914="","",V2914-Z2914)</f>
        <v/>
      </c>
      <c r="AB2914" s="7">
        <f>IF($D2914="","",AA2914-N2914)</f>
        <v/>
      </c>
      <c r="AF2914" s="7" t="n"/>
      <c r="AI2914" s="11" t="n"/>
      <c r="AK2914">
        <f>IF($D2914="","",IF(COUNTIF($D$2:$D2914,$D2914)=1,1,0))</f>
        <v/>
      </c>
      <c r="AL2914">
        <f>IF($AK2914=1,SUMPRODUCT(--($AO$2:$AO$3001&lt;$AO2914))+1,"")</f>
        <v/>
      </c>
      <c r="AM2914">
        <f>IF($D2914="","",IF(OR($R2914=TRUE(),$R2914="TRUE"),1,0))</f>
        <v/>
      </c>
      <c r="AN2914">
        <f>IF($D2914="","",IF($X2914="Yes",1,0))</f>
        <v/>
      </c>
      <c r="AO2914">
        <f>IF($AK2914=1,IFERROR(IF(VALUE($D2914)&lt;100000000,VALUE($D2914),1000000000),IFERROR(IF(VALUE(MID($D2914,2,20))&lt;100000000,VALUE(MID($D2914,2,20)),1000000000),1000000000))+ROW()/100000,"")</f>
        <v/>
      </c>
    </row>
    <row r="2915">
      <c r="F2915" s="11" t="n"/>
      <c r="N2915" s="7">
        <f>IF($D2915="","",M2915*V2915/100)</f>
        <v/>
      </c>
      <c r="O2915" s="7" t="n"/>
      <c r="U2915" s="7" t="n"/>
      <c r="V2915" s="7" t="n"/>
      <c r="Y2915">
        <f>IF($D2915="","",IF($AN2915=1,0,IF($AM2915=1,Settings!$C$6,Settings!$C$7))*100)</f>
        <v/>
      </c>
      <c r="Z2915" s="7">
        <f>IF($D2915="","",V2915*Y2915/100)</f>
        <v/>
      </c>
      <c r="AA2915" s="7">
        <f>IF($D2915="","",V2915-Z2915)</f>
        <v/>
      </c>
      <c r="AB2915" s="7">
        <f>IF($D2915="","",AA2915-N2915)</f>
        <v/>
      </c>
      <c r="AF2915" s="7" t="n"/>
      <c r="AI2915" s="11" t="n"/>
      <c r="AK2915">
        <f>IF($D2915="","",IF(COUNTIF($D$2:$D2915,$D2915)=1,1,0))</f>
        <v/>
      </c>
      <c r="AL2915">
        <f>IF($AK2915=1,SUMPRODUCT(--($AO$2:$AO$3001&lt;$AO2915))+1,"")</f>
        <v/>
      </c>
      <c r="AM2915">
        <f>IF($D2915="","",IF(OR($R2915=TRUE(),$R2915="TRUE"),1,0))</f>
        <v/>
      </c>
      <c r="AN2915">
        <f>IF($D2915="","",IF($X2915="Yes",1,0))</f>
        <v/>
      </c>
      <c r="AO2915">
        <f>IF($AK2915=1,IFERROR(IF(VALUE($D2915)&lt;100000000,VALUE($D2915),1000000000),IFERROR(IF(VALUE(MID($D2915,2,20))&lt;100000000,VALUE(MID($D2915,2,20)),1000000000),1000000000))+ROW()/100000,"")</f>
        <v/>
      </c>
    </row>
    <row r="2916">
      <c r="F2916" s="11" t="n"/>
      <c r="N2916" s="7">
        <f>IF($D2916="","",M2916*V2916/100)</f>
        <v/>
      </c>
      <c r="O2916" s="7" t="n"/>
      <c r="U2916" s="7" t="n"/>
      <c r="V2916" s="7" t="n"/>
      <c r="Y2916">
        <f>IF($D2916="","",IF($AN2916=1,0,IF($AM2916=1,Settings!$C$6,Settings!$C$7))*100)</f>
        <v/>
      </c>
      <c r="Z2916" s="7">
        <f>IF($D2916="","",V2916*Y2916/100)</f>
        <v/>
      </c>
      <c r="AA2916" s="7">
        <f>IF($D2916="","",V2916-Z2916)</f>
        <v/>
      </c>
      <c r="AB2916" s="7">
        <f>IF($D2916="","",AA2916-N2916)</f>
        <v/>
      </c>
      <c r="AF2916" s="7" t="n"/>
      <c r="AI2916" s="11" t="n"/>
      <c r="AK2916">
        <f>IF($D2916="","",IF(COUNTIF($D$2:$D2916,$D2916)=1,1,0))</f>
        <v/>
      </c>
      <c r="AL2916">
        <f>IF($AK2916=1,SUMPRODUCT(--($AO$2:$AO$3001&lt;$AO2916))+1,"")</f>
        <v/>
      </c>
      <c r="AM2916">
        <f>IF($D2916="","",IF(OR($R2916=TRUE(),$R2916="TRUE"),1,0))</f>
        <v/>
      </c>
      <c r="AN2916">
        <f>IF($D2916="","",IF($X2916="Yes",1,0))</f>
        <v/>
      </c>
      <c r="AO2916">
        <f>IF($AK2916=1,IFERROR(IF(VALUE($D2916)&lt;100000000,VALUE($D2916),1000000000),IFERROR(IF(VALUE(MID($D2916,2,20))&lt;100000000,VALUE(MID($D2916,2,20)),1000000000),1000000000))+ROW()/100000,"")</f>
        <v/>
      </c>
    </row>
    <row r="2917">
      <c r="F2917" s="11" t="n"/>
      <c r="N2917" s="7">
        <f>IF($D2917="","",M2917*V2917/100)</f>
        <v/>
      </c>
      <c r="O2917" s="7" t="n"/>
      <c r="U2917" s="7" t="n"/>
      <c r="V2917" s="7" t="n"/>
      <c r="Y2917">
        <f>IF($D2917="","",IF($AN2917=1,0,IF($AM2917=1,Settings!$C$6,Settings!$C$7))*100)</f>
        <v/>
      </c>
      <c r="Z2917" s="7">
        <f>IF($D2917="","",V2917*Y2917/100)</f>
        <v/>
      </c>
      <c r="AA2917" s="7">
        <f>IF($D2917="","",V2917-Z2917)</f>
        <v/>
      </c>
      <c r="AB2917" s="7">
        <f>IF($D2917="","",AA2917-N2917)</f>
        <v/>
      </c>
      <c r="AF2917" s="7" t="n"/>
      <c r="AI2917" s="11" t="n"/>
      <c r="AK2917">
        <f>IF($D2917="","",IF(COUNTIF($D$2:$D2917,$D2917)=1,1,0))</f>
        <v/>
      </c>
      <c r="AL2917">
        <f>IF($AK2917=1,SUMPRODUCT(--($AO$2:$AO$3001&lt;$AO2917))+1,"")</f>
        <v/>
      </c>
      <c r="AM2917">
        <f>IF($D2917="","",IF(OR($R2917=TRUE(),$R2917="TRUE"),1,0))</f>
        <v/>
      </c>
      <c r="AN2917">
        <f>IF($D2917="","",IF($X2917="Yes",1,0))</f>
        <v/>
      </c>
      <c r="AO2917">
        <f>IF($AK2917=1,IFERROR(IF(VALUE($D2917)&lt;100000000,VALUE($D2917),1000000000),IFERROR(IF(VALUE(MID($D2917,2,20))&lt;100000000,VALUE(MID($D2917,2,20)),1000000000),1000000000))+ROW()/100000,"")</f>
        <v/>
      </c>
    </row>
    <row r="2918">
      <c r="F2918" s="11" t="n"/>
      <c r="N2918" s="7">
        <f>IF($D2918="","",M2918*V2918/100)</f>
        <v/>
      </c>
      <c r="O2918" s="7" t="n"/>
      <c r="U2918" s="7" t="n"/>
      <c r="V2918" s="7" t="n"/>
      <c r="Y2918">
        <f>IF($D2918="","",IF($AN2918=1,0,IF($AM2918=1,Settings!$C$6,Settings!$C$7))*100)</f>
        <v/>
      </c>
      <c r="Z2918" s="7">
        <f>IF($D2918="","",V2918*Y2918/100)</f>
        <v/>
      </c>
      <c r="AA2918" s="7">
        <f>IF($D2918="","",V2918-Z2918)</f>
        <v/>
      </c>
      <c r="AB2918" s="7">
        <f>IF($D2918="","",AA2918-N2918)</f>
        <v/>
      </c>
      <c r="AF2918" s="7" t="n"/>
      <c r="AI2918" s="11" t="n"/>
      <c r="AK2918">
        <f>IF($D2918="","",IF(COUNTIF($D$2:$D2918,$D2918)=1,1,0))</f>
        <v/>
      </c>
      <c r="AL2918">
        <f>IF($AK2918=1,SUMPRODUCT(--($AO$2:$AO$3001&lt;$AO2918))+1,"")</f>
        <v/>
      </c>
      <c r="AM2918">
        <f>IF($D2918="","",IF(OR($R2918=TRUE(),$R2918="TRUE"),1,0))</f>
        <v/>
      </c>
      <c r="AN2918">
        <f>IF($D2918="","",IF($X2918="Yes",1,0))</f>
        <v/>
      </c>
      <c r="AO2918">
        <f>IF($AK2918=1,IFERROR(IF(VALUE($D2918)&lt;100000000,VALUE($D2918),1000000000),IFERROR(IF(VALUE(MID($D2918,2,20))&lt;100000000,VALUE(MID($D2918,2,20)),1000000000),1000000000))+ROW()/100000,"")</f>
        <v/>
      </c>
    </row>
    <row r="2919">
      <c r="F2919" s="11" t="n"/>
      <c r="N2919" s="7">
        <f>IF($D2919="","",M2919*V2919/100)</f>
        <v/>
      </c>
      <c r="O2919" s="7" t="n"/>
      <c r="U2919" s="7" t="n"/>
      <c r="V2919" s="7" t="n"/>
      <c r="Y2919">
        <f>IF($D2919="","",IF($AN2919=1,0,IF($AM2919=1,Settings!$C$6,Settings!$C$7))*100)</f>
        <v/>
      </c>
      <c r="Z2919" s="7">
        <f>IF($D2919="","",V2919*Y2919/100)</f>
        <v/>
      </c>
      <c r="AA2919" s="7">
        <f>IF($D2919="","",V2919-Z2919)</f>
        <v/>
      </c>
      <c r="AB2919" s="7">
        <f>IF($D2919="","",AA2919-N2919)</f>
        <v/>
      </c>
      <c r="AF2919" s="7" t="n"/>
      <c r="AI2919" s="11" t="n"/>
      <c r="AK2919">
        <f>IF($D2919="","",IF(COUNTIF($D$2:$D2919,$D2919)=1,1,0))</f>
        <v/>
      </c>
      <c r="AL2919">
        <f>IF($AK2919=1,SUMPRODUCT(--($AO$2:$AO$3001&lt;$AO2919))+1,"")</f>
        <v/>
      </c>
      <c r="AM2919">
        <f>IF($D2919="","",IF(OR($R2919=TRUE(),$R2919="TRUE"),1,0))</f>
        <v/>
      </c>
      <c r="AN2919">
        <f>IF($D2919="","",IF($X2919="Yes",1,0))</f>
        <v/>
      </c>
      <c r="AO2919">
        <f>IF($AK2919=1,IFERROR(IF(VALUE($D2919)&lt;100000000,VALUE($D2919),1000000000),IFERROR(IF(VALUE(MID($D2919,2,20))&lt;100000000,VALUE(MID($D2919,2,20)),1000000000),1000000000))+ROW()/100000,"")</f>
        <v/>
      </c>
    </row>
    <row r="2920">
      <c r="F2920" s="11" t="n"/>
      <c r="N2920" s="7">
        <f>IF($D2920="","",M2920*V2920/100)</f>
        <v/>
      </c>
      <c r="O2920" s="7" t="n"/>
      <c r="U2920" s="7" t="n"/>
      <c r="V2920" s="7" t="n"/>
      <c r="Y2920">
        <f>IF($D2920="","",IF($AN2920=1,0,IF($AM2920=1,Settings!$C$6,Settings!$C$7))*100)</f>
        <v/>
      </c>
      <c r="Z2920" s="7">
        <f>IF($D2920="","",V2920*Y2920/100)</f>
        <v/>
      </c>
      <c r="AA2920" s="7">
        <f>IF($D2920="","",V2920-Z2920)</f>
        <v/>
      </c>
      <c r="AB2920" s="7">
        <f>IF($D2920="","",AA2920-N2920)</f>
        <v/>
      </c>
      <c r="AF2920" s="7" t="n"/>
      <c r="AI2920" s="11" t="n"/>
      <c r="AK2920">
        <f>IF($D2920="","",IF(COUNTIF($D$2:$D2920,$D2920)=1,1,0))</f>
        <v/>
      </c>
      <c r="AL2920">
        <f>IF($AK2920=1,SUMPRODUCT(--($AO$2:$AO$3001&lt;$AO2920))+1,"")</f>
        <v/>
      </c>
      <c r="AM2920">
        <f>IF($D2920="","",IF(OR($R2920=TRUE(),$R2920="TRUE"),1,0))</f>
        <v/>
      </c>
      <c r="AN2920">
        <f>IF($D2920="","",IF($X2920="Yes",1,0))</f>
        <v/>
      </c>
      <c r="AO2920">
        <f>IF($AK2920=1,IFERROR(IF(VALUE($D2920)&lt;100000000,VALUE($D2920),1000000000),IFERROR(IF(VALUE(MID($D2920,2,20))&lt;100000000,VALUE(MID($D2920,2,20)),1000000000),1000000000))+ROW()/100000,"")</f>
        <v/>
      </c>
    </row>
    <row r="2921">
      <c r="F2921" s="11" t="n"/>
      <c r="N2921" s="7">
        <f>IF($D2921="","",M2921*V2921/100)</f>
        <v/>
      </c>
      <c r="O2921" s="7" t="n"/>
      <c r="U2921" s="7" t="n"/>
      <c r="V2921" s="7" t="n"/>
      <c r="Y2921">
        <f>IF($D2921="","",IF($AN2921=1,0,IF($AM2921=1,Settings!$C$6,Settings!$C$7))*100)</f>
        <v/>
      </c>
      <c r="Z2921" s="7">
        <f>IF($D2921="","",V2921*Y2921/100)</f>
        <v/>
      </c>
      <c r="AA2921" s="7">
        <f>IF($D2921="","",V2921-Z2921)</f>
        <v/>
      </c>
      <c r="AB2921" s="7">
        <f>IF($D2921="","",AA2921-N2921)</f>
        <v/>
      </c>
      <c r="AF2921" s="7" t="n"/>
      <c r="AI2921" s="11" t="n"/>
      <c r="AK2921">
        <f>IF($D2921="","",IF(COUNTIF($D$2:$D2921,$D2921)=1,1,0))</f>
        <v/>
      </c>
      <c r="AL2921">
        <f>IF($AK2921=1,SUMPRODUCT(--($AO$2:$AO$3001&lt;$AO2921))+1,"")</f>
        <v/>
      </c>
      <c r="AM2921">
        <f>IF($D2921="","",IF(OR($R2921=TRUE(),$R2921="TRUE"),1,0))</f>
        <v/>
      </c>
      <c r="AN2921">
        <f>IF($D2921="","",IF($X2921="Yes",1,0))</f>
        <v/>
      </c>
      <c r="AO2921">
        <f>IF($AK2921=1,IFERROR(IF(VALUE($D2921)&lt;100000000,VALUE($D2921),1000000000),IFERROR(IF(VALUE(MID($D2921,2,20))&lt;100000000,VALUE(MID($D2921,2,20)),1000000000),1000000000))+ROW()/100000,"")</f>
        <v/>
      </c>
    </row>
    <row r="2922">
      <c r="F2922" s="11" t="n"/>
      <c r="N2922" s="7">
        <f>IF($D2922="","",M2922*V2922/100)</f>
        <v/>
      </c>
      <c r="O2922" s="7" t="n"/>
      <c r="U2922" s="7" t="n"/>
      <c r="V2922" s="7" t="n"/>
      <c r="Y2922">
        <f>IF($D2922="","",IF($AN2922=1,0,IF($AM2922=1,Settings!$C$6,Settings!$C$7))*100)</f>
        <v/>
      </c>
      <c r="Z2922" s="7">
        <f>IF($D2922="","",V2922*Y2922/100)</f>
        <v/>
      </c>
      <c r="AA2922" s="7">
        <f>IF($D2922="","",V2922-Z2922)</f>
        <v/>
      </c>
      <c r="AB2922" s="7">
        <f>IF($D2922="","",AA2922-N2922)</f>
        <v/>
      </c>
      <c r="AF2922" s="7" t="n"/>
      <c r="AI2922" s="11" t="n"/>
      <c r="AK2922">
        <f>IF($D2922="","",IF(COUNTIF($D$2:$D2922,$D2922)=1,1,0))</f>
        <v/>
      </c>
      <c r="AL2922">
        <f>IF($AK2922=1,SUMPRODUCT(--($AO$2:$AO$3001&lt;$AO2922))+1,"")</f>
        <v/>
      </c>
      <c r="AM2922">
        <f>IF($D2922="","",IF(OR($R2922=TRUE(),$R2922="TRUE"),1,0))</f>
        <v/>
      </c>
      <c r="AN2922">
        <f>IF($D2922="","",IF($X2922="Yes",1,0))</f>
        <v/>
      </c>
      <c r="AO2922">
        <f>IF($AK2922=1,IFERROR(IF(VALUE($D2922)&lt;100000000,VALUE($D2922),1000000000),IFERROR(IF(VALUE(MID($D2922,2,20))&lt;100000000,VALUE(MID($D2922,2,20)),1000000000),1000000000))+ROW()/100000,"")</f>
        <v/>
      </c>
    </row>
    <row r="2923">
      <c r="F2923" s="11" t="n"/>
      <c r="N2923" s="7">
        <f>IF($D2923="","",M2923*V2923/100)</f>
        <v/>
      </c>
      <c r="O2923" s="7" t="n"/>
      <c r="U2923" s="7" t="n"/>
      <c r="V2923" s="7" t="n"/>
      <c r="Y2923">
        <f>IF($D2923="","",IF($AN2923=1,0,IF($AM2923=1,Settings!$C$6,Settings!$C$7))*100)</f>
        <v/>
      </c>
      <c r="Z2923" s="7">
        <f>IF($D2923="","",V2923*Y2923/100)</f>
        <v/>
      </c>
      <c r="AA2923" s="7">
        <f>IF($D2923="","",V2923-Z2923)</f>
        <v/>
      </c>
      <c r="AB2923" s="7">
        <f>IF($D2923="","",AA2923-N2923)</f>
        <v/>
      </c>
      <c r="AF2923" s="7" t="n"/>
      <c r="AI2923" s="11" t="n"/>
      <c r="AK2923">
        <f>IF($D2923="","",IF(COUNTIF($D$2:$D2923,$D2923)=1,1,0))</f>
        <v/>
      </c>
      <c r="AL2923">
        <f>IF($AK2923=1,SUMPRODUCT(--($AO$2:$AO$3001&lt;$AO2923))+1,"")</f>
        <v/>
      </c>
      <c r="AM2923">
        <f>IF($D2923="","",IF(OR($R2923=TRUE(),$R2923="TRUE"),1,0))</f>
        <v/>
      </c>
      <c r="AN2923">
        <f>IF($D2923="","",IF($X2923="Yes",1,0))</f>
        <v/>
      </c>
      <c r="AO2923">
        <f>IF($AK2923=1,IFERROR(IF(VALUE($D2923)&lt;100000000,VALUE($D2923),1000000000),IFERROR(IF(VALUE(MID($D2923,2,20))&lt;100000000,VALUE(MID($D2923,2,20)),1000000000),1000000000))+ROW()/100000,"")</f>
        <v/>
      </c>
    </row>
    <row r="2924">
      <c r="F2924" s="11" t="n"/>
      <c r="N2924" s="7">
        <f>IF($D2924="","",M2924*V2924/100)</f>
        <v/>
      </c>
      <c r="O2924" s="7" t="n"/>
      <c r="U2924" s="7" t="n"/>
      <c r="V2924" s="7" t="n"/>
      <c r="Y2924">
        <f>IF($D2924="","",IF($AN2924=1,0,IF($AM2924=1,Settings!$C$6,Settings!$C$7))*100)</f>
        <v/>
      </c>
      <c r="Z2924" s="7">
        <f>IF($D2924="","",V2924*Y2924/100)</f>
        <v/>
      </c>
      <c r="AA2924" s="7">
        <f>IF($D2924="","",V2924-Z2924)</f>
        <v/>
      </c>
      <c r="AB2924" s="7">
        <f>IF($D2924="","",AA2924-N2924)</f>
        <v/>
      </c>
      <c r="AF2924" s="7" t="n"/>
      <c r="AI2924" s="11" t="n"/>
      <c r="AK2924">
        <f>IF($D2924="","",IF(COUNTIF($D$2:$D2924,$D2924)=1,1,0))</f>
        <v/>
      </c>
      <c r="AL2924">
        <f>IF($AK2924=1,SUMPRODUCT(--($AO$2:$AO$3001&lt;$AO2924))+1,"")</f>
        <v/>
      </c>
      <c r="AM2924">
        <f>IF($D2924="","",IF(OR($R2924=TRUE(),$R2924="TRUE"),1,0))</f>
        <v/>
      </c>
      <c r="AN2924">
        <f>IF($D2924="","",IF($X2924="Yes",1,0))</f>
        <v/>
      </c>
      <c r="AO2924">
        <f>IF($AK2924=1,IFERROR(IF(VALUE($D2924)&lt;100000000,VALUE($D2924),1000000000),IFERROR(IF(VALUE(MID($D2924,2,20))&lt;100000000,VALUE(MID($D2924,2,20)),1000000000),1000000000))+ROW()/100000,"")</f>
        <v/>
      </c>
    </row>
    <row r="2925">
      <c r="F2925" s="11" t="n"/>
      <c r="N2925" s="7">
        <f>IF($D2925="","",M2925*V2925/100)</f>
        <v/>
      </c>
      <c r="O2925" s="7" t="n"/>
      <c r="U2925" s="7" t="n"/>
      <c r="V2925" s="7" t="n"/>
      <c r="Y2925">
        <f>IF($D2925="","",IF($AN2925=1,0,IF($AM2925=1,Settings!$C$6,Settings!$C$7))*100)</f>
        <v/>
      </c>
      <c r="Z2925" s="7">
        <f>IF($D2925="","",V2925*Y2925/100)</f>
        <v/>
      </c>
      <c r="AA2925" s="7">
        <f>IF($D2925="","",V2925-Z2925)</f>
        <v/>
      </c>
      <c r="AB2925" s="7">
        <f>IF($D2925="","",AA2925-N2925)</f>
        <v/>
      </c>
      <c r="AF2925" s="7" t="n"/>
      <c r="AI2925" s="11" t="n"/>
      <c r="AK2925">
        <f>IF($D2925="","",IF(COUNTIF($D$2:$D2925,$D2925)=1,1,0))</f>
        <v/>
      </c>
      <c r="AL2925">
        <f>IF($AK2925=1,SUMPRODUCT(--($AO$2:$AO$3001&lt;$AO2925))+1,"")</f>
        <v/>
      </c>
      <c r="AM2925">
        <f>IF($D2925="","",IF(OR($R2925=TRUE(),$R2925="TRUE"),1,0))</f>
        <v/>
      </c>
      <c r="AN2925">
        <f>IF($D2925="","",IF($X2925="Yes",1,0))</f>
        <v/>
      </c>
      <c r="AO2925">
        <f>IF($AK2925=1,IFERROR(IF(VALUE($D2925)&lt;100000000,VALUE($D2925),1000000000),IFERROR(IF(VALUE(MID($D2925,2,20))&lt;100000000,VALUE(MID($D2925,2,20)),1000000000),1000000000))+ROW()/100000,"")</f>
        <v/>
      </c>
    </row>
    <row r="2926">
      <c r="F2926" s="11" t="n"/>
      <c r="N2926" s="7">
        <f>IF($D2926="","",M2926*V2926/100)</f>
        <v/>
      </c>
      <c r="O2926" s="7" t="n"/>
      <c r="U2926" s="7" t="n"/>
      <c r="V2926" s="7" t="n"/>
      <c r="Y2926">
        <f>IF($D2926="","",IF($AN2926=1,0,IF($AM2926=1,Settings!$C$6,Settings!$C$7))*100)</f>
        <v/>
      </c>
      <c r="Z2926" s="7">
        <f>IF($D2926="","",V2926*Y2926/100)</f>
        <v/>
      </c>
      <c r="AA2926" s="7">
        <f>IF($D2926="","",V2926-Z2926)</f>
        <v/>
      </c>
      <c r="AB2926" s="7">
        <f>IF($D2926="","",AA2926-N2926)</f>
        <v/>
      </c>
      <c r="AF2926" s="7" t="n"/>
      <c r="AI2926" s="11" t="n"/>
      <c r="AK2926">
        <f>IF($D2926="","",IF(COUNTIF($D$2:$D2926,$D2926)=1,1,0))</f>
        <v/>
      </c>
      <c r="AL2926">
        <f>IF($AK2926=1,SUMPRODUCT(--($AO$2:$AO$3001&lt;$AO2926))+1,"")</f>
        <v/>
      </c>
      <c r="AM2926">
        <f>IF($D2926="","",IF(OR($R2926=TRUE(),$R2926="TRUE"),1,0))</f>
        <v/>
      </c>
      <c r="AN2926">
        <f>IF($D2926="","",IF($X2926="Yes",1,0))</f>
        <v/>
      </c>
      <c r="AO2926">
        <f>IF($AK2926=1,IFERROR(IF(VALUE($D2926)&lt;100000000,VALUE($D2926),1000000000),IFERROR(IF(VALUE(MID($D2926,2,20))&lt;100000000,VALUE(MID($D2926,2,20)),1000000000),1000000000))+ROW()/100000,"")</f>
        <v/>
      </c>
    </row>
    <row r="2927">
      <c r="F2927" s="11" t="n"/>
      <c r="N2927" s="7">
        <f>IF($D2927="","",M2927*V2927/100)</f>
        <v/>
      </c>
      <c r="O2927" s="7" t="n"/>
      <c r="U2927" s="7" t="n"/>
      <c r="V2927" s="7" t="n"/>
      <c r="Y2927">
        <f>IF($D2927="","",IF($AN2927=1,0,IF($AM2927=1,Settings!$C$6,Settings!$C$7))*100)</f>
        <v/>
      </c>
      <c r="Z2927" s="7">
        <f>IF($D2927="","",V2927*Y2927/100)</f>
        <v/>
      </c>
      <c r="AA2927" s="7">
        <f>IF($D2927="","",V2927-Z2927)</f>
        <v/>
      </c>
      <c r="AB2927" s="7">
        <f>IF($D2927="","",AA2927-N2927)</f>
        <v/>
      </c>
      <c r="AF2927" s="7" t="n"/>
      <c r="AI2927" s="11" t="n"/>
      <c r="AK2927">
        <f>IF($D2927="","",IF(COUNTIF($D$2:$D2927,$D2927)=1,1,0))</f>
        <v/>
      </c>
      <c r="AL2927">
        <f>IF($AK2927=1,SUMPRODUCT(--($AO$2:$AO$3001&lt;$AO2927))+1,"")</f>
        <v/>
      </c>
      <c r="AM2927">
        <f>IF($D2927="","",IF(OR($R2927=TRUE(),$R2927="TRUE"),1,0))</f>
        <v/>
      </c>
      <c r="AN2927">
        <f>IF($D2927="","",IF($X2927="Yes",1,0))</f>
        <v/>
      </c>
      <c r="AO2927">
        <f>IF($AK2927=1,IFERROR(IF(VALUE($D2927)&lt;100000000,VALUE($D2927),1000000000),IFERROR(IF(VALUE(MID($D2927,2,20))&lt;100000000,VALUE(MID($D2927,2,20)),1000000000),1000000000))+ROW()/100000,"")</f>
        <v/>
      </c>
    </row>
    <row r="2928">
      <c r="F2928" s="11" t="n"/>
      <c r="N2928" s="7">
        <f>IF($D2928="","",M2928*V2928/100)</f>
        <v/>
      </c>
      <c r="O2928" s="7" t="n"/>
      <c r="U2928" s="7" t="n"/>
      <c r="V2928" s="7" t="n"/>
      <c r="Y2928">
        <f>IF($D2928="","",IF($AN2928=1,0,IF($AM2928=1,Settings!$C$6,Settings!$C$7))*100)</f>
        <v/>
      </c>
      <c r="Z2928" s="7">
        <f>IF($D2928="","",V2928*Y2928/100)</f>
        <v/>
      </c>
      <c r="AA2928" s="7">
        <f>IF($D2928="","",V2928-Z2928)</f>
        <v/>
      </c>
      <c r="AB2928" s="7">
        <f>IF($D2928="","",AA2928-N2928)</f>
        <v/>
      </c>
      <c r="AF2928" s="7" t="n"/>
      <c r="AI2928" s="11" t="n"/>
      <c r="AK2928">
        <f>IF($D2928="","",IF(COUNTIF($D$2:$D2928,$D2928)=1,1,0))</f>
        <v/>
      </c>
      <c r="AL2928">
        <f>IF($AK2928=1,SUMPRODUCT(--($AO$2:$AO$3001&lt;$AO2928))+1,"")</f>
        <v/>
      </c>
      <c r="AM2928">
        <f>IF($D2928="","",IF(OR($R2928=TRUE(),$R2928="TRUE"),1,0))</f>
        <v/>
      </c>
      <c r="AN2928">
        <f>IF($D2928="","",IF($X2928="Yes",1,0))</f>
        <v/>
      </c>
      <c r="AO2928">
        <f>IF($AK2928=1,IFERROR(IF(VALUE($D2928)&lt;100000000,VALUE($D2928),1000000000),IFERROR(IF(VALUE(MID($D2928,2,20))&lt;100000000,VALUE(MID($D2928,2,20)),1000000000),1000000000))+ROW()/100000,"")</f>
        <v/>
      </c>
    </row>
    <row r="2929">
      <c r="F2929" s="11" t="n"/>
      <c r="N2929" s="7">
        <f>IF($D2929="","",M2929*V2929/100)</f>
        <v/>
      </c>
      <c r="O2929" s="7" t="n"/>
      <c r="U2929" s="7" t="n"/>
      <c r="V2929" s="7" t="n"/>
      <c r="Y2929">
        <f>IF($D2929="","",IF($AN2929=1,0,IF($AM2929=1,Settings!$C$6,Settings!$C$7))*100)</f>
        <v/>
      </c>
      <c r="Z2929" s="7">
        <f>IF($D2929="","",V2929*Y2929/100)</f>
        <v/>
      </c>
      <c r="AA2929" s="7">
        <f>IF($D2929="","",V2929-Z2929)</f>
        <v/>
      </c>
      <c r="AB2929" s="7">
        <f>IF($D2929="","",AA2929-N2929)</f>
        <v/>
      </c>
      <c r="AF2929" s="7" t="n"/>
      <c r="AI2929" s="11" t="n"/>
      <c r="AK2929">
        <f>IF($D2929="","",IF(COUNTIF($D$2:$D2929,$D2929)=1,1,0))</f>
        <v/>
      </c>
      <c r="AL2929">
        <f>IF($AK2929=1,SUMPRODUCT(--($AO$2:$AO$3001&lt;$AO2929))+1,"")</f>
        <v/>
      </c>
      <c r="AM2929">
        <f>IF($D2929="","",IF(OR($R2929=TRUE(),$R2929="TRUE"),1,0))</f>
        <v/>
      </c>
      <c r="AN2929">
        <f>IF($D2929="","",IF($X2929="Yes",1,0))</f>
        <v/>
      </c>
      <c r="AO2929">
        <f>IF($AK2929=1,IFERROR(IF(VALUE($D2929)&lt;100000000,VALUE($D2929),1000000000),IFERROR(IF(VALUE(MID($D2929,2,20))&lt;100000000,VALUE(MID($D2929,2,20)),1000000000),1000000000))+ROW()/100000,"")</f>
        <v/>
      </c>
    </row>
    <row r="2930">
      <c r="F2930" s="11" t="n"/>
      <c r="N2930" s="7">
        <f>IF($D2930="","",M2930*V2930/100)</f>
        <v/>
      </c>
      <c r="O2930" s="7" t="n"/>
      <c r="U2930" s="7" t="n"/>
      <c r="V2930" s="7" t="n"/>
      <c r="Y2930">
        <f>IF($D2930="","",IF($AN2930=1,0,IF($AM2930=1,Settings!$C$6,Settings!$C$7))*100)</f>
        <v/>
      </c>
      <c r="Z2930" s="7">
        <f>IF($D2930="","",V2930*Y2930/100)</f>
        <v/>
      </c>
      <c r="AA2930" s="7">
        <f>IF($D2930="","",V2930-Z2930)</f>
        <v/>
      </c>
      <c r="AB2930" s="7">
        <f>IF($D2930="","",AA2930-N2930)</f>
        <v/>
      </c>
      <c r="AF2930" s="7" t="n"/>
      <c r="AI2930" s="11" t="n"/>
      <c r="AK2930">
        <f>IF($D2930="","",IF(COUNTIF($D$2:$D2930,$D2930)=1,1,0))</f>
        <v/>
      </c>
      <c r="AL2930">
        <f>IF($AK2930=1,SUMPRODUCT(--($AO$2:$AO$3001&lt;$AO2930))+1,"")</f>
        <v/>
      </c>
      <c r="AM2930">
        <f>IF($D2930="","",IF(OR($R2930=TRUE(),$R2930="TRUE"),1,0))</f>
        <v/>
      </c>
      <c r="AN2930">
        <f>IF($D2930="","",IF($X2930="Yes",1,0))</f>
        <v/>
      </c>
      <c r="AO2930">
        <f>IF($AK2930=1,IFERROR(IF(VALUE($D2930)&lt;100000000,VALUE($D2930),1000000000),IFERROR(IF(VALUE(MID($D2930,2,20))&lt;100000000,VALUE(MID($D2930,2,20)),1000000000),1000000000))+ROW()/100000,"")</f>
        <v/>
      </c>
    </row>
    <row r="2931">
      <c r="F2931" s="11" t="n"/>
      <c r="N2931" s="7">
        <f>IF($D2931="","",M2931*V2931/100)</f>
        <v/>
      </c>
      <c r="O2931" s="7" t="n"/>
      <c r="U2931" s="7" t="n"/>
      <c r="V2931" s="7" t="n"/>
      <c r="Y2931">
        <f>IF($D2931="","",IF($AN2931=1,0,IF($AM2931=1,Settings!$C$6,Settings!$C$7))*100)</f>
        <v/>
      </c>
      <c r="Z2931" s="7">
        <f>IF($D2931="","",V2931*Y2931/100)</f>
        <v/>
      </c>
      <c r="AA2931" s="7">
        <f>IF($D2931="","",V2931-Z2931)</f>
        <v/>
      </c>
      <c r="AB2931" s="7">
        <f>IF($D2931="","",AA2931-N2931)</f>
        <v/>
      </c>
      <c r="AF2931" s="7" t="n"/>
      <c r="AI2931" s="11" t="n"/>
      <c r="AK2931">
        <f>IF($D2931="","",IF(COUNTIF($D$2:$D2931,$D2931)=1,1,0))</f>
        <v/>
      </c>
      <c r="AL2931">
        <f>IF($AK2931=1,SUMPRODUCT(--($AO$2:$AO$3001&lt;$AO2931))+1,"")</f>
        <v/>
      </c>
      <c r="AM2931">
        <f>IF($D2931="","",IF(OR($R2931=TRUE(),$R2931="TRUE"),1,0))</f>
        <v/>
      </c>
      <c r="AN2931">
        <f>IF($D2931="","",IF($X2931="Yes",1,0))</f>
        <v/>
      </c>
      <c r="AO2931">
        <f>IF($AK2931=1,IFERROR(IF(VALUE($D2931)&lt;100000000,VALUE($D2931),1000000000),IFERROR(IF(VALUE(MID($D2931,2,20))&lt;100000000,VALUE(MID($D2931,2,20)),1000000000),1000000000))+ROW()/100000,"")</f>
        <v/>
      </c>
    </row>
    <row r="2932">
      <c r="F2932" s="11" t="n"/>
      <c r="N2932" s="7">
        <f>IF($D2932="","",M2932*V2932/100)</f>
        <v/>
      </c>
      <c r="O2932" s="7" t="n"/>
      <c r="U2932" s="7" t="n"/>
      <c r="V2932" s="7" t="n"/>
      <c r="Y2932">
        <f>IF($D2932="","",IF($AN2932=1,0,IF($AM2932=1,Settings!$C$6,Settings!$C$7))*100)</f>
        <v/>
      </c>
      <c r="Z2932" s="7">
        <f>IF($D2932="","",V2932*Y2932/100)</f>
        <v/>
      </c>
      <c r="AA2932" s="7">
        <f>IF($D2932="","",V2932-Z2932)</f>
        <v/>
      </c>
      <c r="AB2932" s="7">
        <f>IF($D2932="","",AA2932-N2932)</f>
        <v/>
      </c>
      <c r="AF2932" s="7" t="n"/>
      <c r="AI2932" s="11" t="n"/>
      <c r="AK2932">
        <f>IF($D2932="","",IF(COUNTIF($D$2:$D2932,$D2932)=1,1,0))</f>
        <v/>
      </c>
      <c r="AL2932">
        <f>IF($AK2932=1,SUMPRODUCT(--($AO$2:$AO$3001&lt;$AO2932))+1,"")</f>
        <v/>
      </c>
      <c r="AM2932">
        <f>IF($D2932="","",IF(OR($R2932=TRUE(),$R2932="TRUE"),1,0))</f>
        <v/>
      </c>
      <c r="AN2932">
        <f>IF($D2932="","",IF($X2932="Yes",1,0))</f>
        <v/>
      </c>
      <c r="AO2932">
        <f>IF($AK2932=1,IFERROR(IF(VALUE($D2932)&lt;100000000,VALUE($D2932),1000000000),IFERROR(IF(VALUE(MID($D2932,2,20))&lt;100000000,VALUE(MID($D2932,2,20)),1000000000),1000000000))+ROW()/100000,"")</f>
        <v/>
      </c>
    </row>
    <row r="2933">
      <c r="F2933" s="11" t="n"/>
      <c r="N2933" s="7">
        <f>IF($D2933="","",M2933*V2933/100)</f>
        <v/>
      </c>
      <c r="O2933" s="7" t="n"/>
      <c r="U2933" s="7" t="n"/>
      <c r="V2933" s="7" t="n"/>
      <c r="Y2933">
        <f>IF($D2933="","",IF($AN2933=1,0,IF($AM2933=1,Settings!$C$6,Settings!$C$7))*100)</f>
        <v/>
      </c>
      <c r="Z2933" s="7">
        <f>IF($D2933="","",V2933*Y2933/100)</f>
        <v/>
      </c>
      <c r="AA2933" s="7">
        <f>IF($D2933="","",V2933-Z2933)</f>
        <v/>
      </c>
      <c r="AB2933" s="7">
        <f>IF($D2933="","",AA2933-N2933)</f>
        <v/>
      </c>
      <c r="AF2933" s="7" t="n"/>
      <c r="AI2933" s="11" t="n"/>
      <c r="AK2933">
        <f>IF($D2933="","",IF(COUNTIF($D$2:$D2933,$D2933)=1,1,0))</f>
        <v/>
      </c>
      <c r="AL2933">
        <f>IF($AK2933=1,SUMPRODUCT(--($AO$2:$AO$3001&lt;$AO2933))+1,"")</f>
        <v/>
      </c>
      <c r="AM2933">
        <f>IF($D2933="","",IF(OR($R2933=TRUE(),$R2933="TRUE"),1,0))</f>
        <v/>
      </c>
      <c r="AN2933">
        <f>IF($D2933="","",IF($X2933="Yes",1,0))</f>
        <v/>
      </c>
      <c r="AO2933">
        <f>IF($AK2933=1,IFERROR(IF(VALUE($D2933)&lt;100000000,VALUE($D2933),1000000000),IFERROR(IF(VALUE(MID($D2933,2,20))&lt;100000000,VALUE(MID($D2933,2,20)),1000000000),1000000000))+ROW()/100000,"")</f>
        <v/>
      </c>
    </row>
    <row r="2934">
      <c r="F2934" s="11" t="n"/>
      <c r="N2934" s="7">
        <f>IF($D2934="","",M2934*V2934/100)</f>
        <v/>
      </c>
      <c r="O2934" s="7" t="n"/>
      <c r="U2934" s="7" t="n"/>
      <c r="V2934" s="7" t="n"/>
      <c r="Y2934">
        <f>IF($D2934="","",IF($AN2934=1,0,IF($AM2934=1,Settings!$C$6,Settings!$C$7))*100)</f>
        <v/>
      </c>
      <c r="Z2934" s="7">
        <f>IF($D2934="","",V2934*Y2934/100)</f>
        <v/>
      </c>
      <c r="AA2934" s="7">
        <f>IF($D2934="","",V2934-Z2934)</f>
        <v/>
      </c>
      <c r="AB2934" s="7">
        <f>IF($D2934="","",AA2934-N2934)</f>
        <v/>
      </c>
      <c r="AF2934" s="7" t="n"/>
      <c r="AI2934" s="11" t="n"/>
      <c r="AK2934">
        <f>IF($D2934="","",IF(COUNTIF($D$2:$D2934,$D2934)=1,1,0))</f>
        <v/>
      </c>
      <c r="AL2934">
        <f>IF($AK2934=1,SUMPRODUCT(--($AO$2:$AO$3001&lt;$AO2934))+1,"")</f>
        <v/>
      </c>
      <c r="AM2934">
        <f>IF($D2934="","",IF(OR($R2934=TRUE(),$R2934="TRUE"),1,0))</f>
        <v/>
      </c>
      <c r="AN2934">
        <f>IF($D2934="","",IF($X2934="Yes",1,0))</f>
        <v/>
      </c>
      <c r="AO2934">
        <f>IF($AK2934=1,IFERROR(IF(VALUE($D2934)&lt;100000000,VALUE($D2934),1000000000),IFERROR(IF(VALUE(MID($D2934,2,20))&lt;100000000,VALUE(MID($D2934,2,20)),1000000000),1000000000))+ROW()/100000,"")</f>
        <v/>
      </c>
    </row>
    <row r="2935">
      <c r="F2935" s="11" t="n"/>
      <c r="N2935" s="7">
        <f>IF($D2935="","",M2935*V2935/100)</f>
        <v/>
      </c>
      <c r="O2935" s="7" t="n"/>
      <c r="U2935" s="7" t="n"/>
      <c r="V2935" s="7" t="n"/>
      <c r="Y2935">
        <f>IF($D2935="","",IF($AN2935=1,0,IF($AM2935=1,Settings!$C$6,Settings!$C$7))*100)</f>
        <v/>
      </c>
      <c r="Z2935" s="7">
        <f>IF($D2935="","",V2935*Y2935/100)</f>
        <v/>
      </c>
      <c r="AA2935" s="7">
        <f>IF($D2935="","",V2935-Z2935)</f>
        <v/>
      </c>
      <c r="AB2935" s="7">
        <f>IF($D2935="","",AA2935-N2935)</f>
        <v/>
      </c>
      <c r="AF2935" s="7" t="n"/>
      <c r="AI2935" s="11" t="n"/>
      <c r="AK2935">
        <f>IF($D2935="","",IF(COUNTIF($D$2:$D2935,$D2935)=1,1,0))</f>
        <v/>
      </c>
      <c r="AL2935">
        <f>IF($AK2935=1,SUMPRODUCT(--($AO$2:$AO$3001&lt;$AO2935))+1,"")</f>
        <v/>
      </c>
      <c r="AM2935">
        <f>IF($D2935="","",IF(OR($R2935=TRUE(),$R2935="TRUE"),1,0))</f>
        <v/>
      </c>
      <c r="AN2935">
        <f>IF($D2935="","",IF($X2935="Yes",1,0))</f>
        <v/>
      </c>
      <c r="AO2935">
        <f>IF($AK2935=1,IFERROR(IF(VALUE($D2935)&lt;100000000,VALUE($D2935),1000000000),IFERROR(IF(VALUE(MID($D2935,2,20))&lt;100000000,VALUE(MID($D2935,2,20)),1000000000),1000000000))+ROW()/100000,"")</f>
        <v/>
      </c>
    </row>
    <row r="2936">
      <c r="F2936" s="11" t="n"/>
      <c r="N2936" s="7">
        <f>IF($D2936="","",M2936*V2936/100)</f>
        <v/>
      </c>
      <c r="O2936" s="7" t="n"/>
      <c r="U2936" s="7" t="n"/>
      <c r="V2936" s="7" t="n"/>
      <c r="Y2936">
        <f>IF($D2936="","",IF($AN2936=1,0,IF($AM2936=1,Settings!$C$6,Settings!$C$7))*100)</f>
        <v/>
      </c>
      <c r="Z2936" s="7">
        <f>IF($D2936="","",V2936*Y2936/100)</f>
        <v/>
      </c>
      <c r="AA2936" s="7">
        <f>IF($D2936="","",V2936-Z2936)</f>
        <v/>
      </c>
      <c r="AB2936" s="7">
        <f>IF($D2936="","",AA2936-N2936)</f>
        <v/>
      </c>
      <c r="AF2936" s="7" t="n"/>
      <c r="AI2936" s="11" t="n"/>
      <c r="AK2936">
        <f>IF($D2936="","",IF(COUNTIF($D$2:$D2936,$D2936)=1,1,0))</f>
        <v/>
      </c>
      <c r="AL2936">
        <f>IF($AK2936=1,SUMPRODUCT(--($AO$2:$AO$3001&lt;$AO2936))+1,"")</f>
        <v/>
      </c>
      <c r="AM2936">
        <f>IF($D2936="","",IF(OR($R2936=TRUE(),$R2936="TRUE"),1,0))</f>
        <v/>
      </c>
      <c r="AN2936">
        <f>IF($D2936="","",IF($X2936="Yes",1,0))</f>
        <v/>
      </c>
      <c r="AO2936">
        <f>IF($AK2936=1,IFERROR(IF(VALUE($D2936)&lt;100000000,VALUE($D2936),1000000000),IFERROR(IF(VALUE(MID($D2936,2,20))&lt;100000000,VALUE(MID($D2936,2,20)),1000000000),1000000000))+ROW()/100000,"")</f>
        <v/>
      </c>
    </row>
    <row r="2937">
      <c r="F2937" s="11" t="n"/>
      <c r="N2937" s="7">
        <f>IF($D2937="","",M2937*V2937/100)</f>
        <v/>
      </c>
      <c r="O2937" s="7" t="n"/>
      <c r="U2937" s="7" t="n"/>
      <c r="V2937" s="7" t="n"/>
      <c r="Y2937">
        <f>IF($D2937="","",IF($AN2937=1,0,IF($AM2937=1,Settings!$C$6,Settings!$C$7))*100)</f>
        <v/>
      </c>
      <c r="Z2937" s="7">
        <f>IF($D2937="","",V2937*Y2937/100)</f>
        <v/>
      </c>
      <c r="AA2937" s="7">
        <f>IF($D2937="","",V2937-Z2937)</f>
        <v/>
      </c>
      <c r="AB2937" s="7">
        <f>IF($D2937="","",AA2937-N2937)</f>
        <v/>
      </c>
      <c r="AF2937" s="7" t="n"/>
      <c r="AI2937" s="11" t="n"/>
      <c r="AK2937">
        <f>IF($D2937="","",IF(COUNTIF($D$2:$D2937,$D2937)=1,1,0))</f>
        <v/>
      </c>
      <c r="AL2937">
        <f>IF($AK2937=1,SUMPRODUCT(--($AO$2:$AO$3001&lt;$AO2937))+1,"")</f>
        <v/>
      </c>
      <c r="AM2937">
        <f>IF($D2937="","",IF(OR($R2937=TRUE(),$R2937="TRUE"),1,0))</f>
        <v/>
      </c>
      <c r="AN2937">
        <f>IF($D2937="","",IF($X2937="Yes",1,0))</f>
        <v/>
      </c>
      <c r="AO2937">
        <f>IF($AK2937=1,IFERROR(IF(VALUE($D2937)&lt;100000000,VALUE($D2937),1000000000),IFERROR(IF(VALUE(MID($D2937,2,20))&lt;100000000,VALUE(MID($D2937,2,20)),1000000000),1000000000))+ROW()/100000,"")</f>
        <v/>
      </c>
    </row>
    <row r="2938">
      <c r="F2938" s="11" t="n"/>
      <c r="N2938" s="7">
        <f>IF($D2938="","",M2938*V2938/100)</f>
        <v/>
      </c>
      <c r="O2938" s="7" t="n"/>
      <c r="U2938" s="7" t="n"/>
      <c r="V2938" s="7" t="n"/>
      <c r="Y2938">
        <f>IF($D2938="","",IF($AN2938=1,0,IF($AM2938=1,Settings!$C$6,Settings!$C$7))*100)</f>
        <v/>
      </c>
      <c r="Z2938" s="7">
        <f>IF($D2938="","",V2938*Y2938/100)</f>
        <v/>
      </c>
      <c r="AA2938" s="7">
        <f>IF($D2938="","",V2938-Z2938)</f>
        <v/>
      </c>
      <c r="AB2938" s="7">
        <f>IF($D2938="","",AA2938-N2938)</f>
        <v/>
      </c>
      <c r="AF2938" s="7" t="n"/>
      <c r="AI2938" s="11" t="n"/>
      <c r="AK2938">
        <f>IF($D2938="","",IF(COUNTIF($D$2:$D2938,$D2938)=1,1,0))</f>
        <v/>
      </c>
      <c r="AL2938">
        <f>IF($AK2938=1,SUMPRODUCT(--($AO$2:$AO$3001&lt;$AO2938))+1,"")</f>
        <v/>
      </c>
      <c r="AM2938">
        <f>IF($D2938="","",IF(OR($R2938=TRUE(),$R2938="TRUE"),1,0))</f>
        <v/>
      </c>
      <c r="AN2938">
        <f>IF($D2938="","",IF($X2938="Yes",1,0))</f>
        <v/>
      </c>
      <c r="AO2938">
        <f>IF($AK2938=1,IFERROR(IF(VALUE($D2938)&lt;100000000,VALUE($D2938),1000000000),IFERROR(IF(VALUE(MID($D2938,2,20))&lt;100000000,VALUE(MID($D2938,2,20)),1000000000),1000000000))+ROW()/100000,"")</f>
        <v/>
      </c>
    </row>
    <row r="2939">
      <c r="F2939" s="11" t="n"/>
      <c r="N2939" s="7">
        <f>IF($D2939="","",M2939*V2939/100)</f>
        <v/>
      </c>
      <c r="O2939" s="7" t="n"/>
      <c r="U2939" s="7" t="n"/>
      <c r="V2939" s="7" t="n"/>
      <c r="Y2939">
        <f>IF($D2939="","",IF($AN2939=1,0,IF($AM2939=1,Settings!$C$6,Settings!$C$7))*100)</f>
        <v/>
      </c>
      <c r="Z2939" s="7">
        <f>IF($D2939="","",V2939*Y2939/100)</f>
        <v/>
      </c>
      <c r="AA2939" s="7">
        <f>IF($D2939="","",V2939-Z2939)</f>
        <v/>
      </c>
      <c r="AB2939" s="7">
        <f>IF($D2939="","",AA2939-N2939)</f>
        <v/>
      </c>
      <c r="AF2939" s="7" t="n"/>
      <c r="AI2939" s="11" t="n"/>
      <c r="AK2939">
        <f>IF($D2939="","",IF(COUNTIF($D$2:$D2939,$D2939)=1,1,0))</f>
        <v/>
      </c>
      <c r="AL2939">
        <f>IF($AK2939=1,SUMPRODUCT(--($AO$2:$AO$3001&lt;$AO2939))+1,"")</f>
        <v/>
      </c>
      <c r="AM2939">
        <f>IF($D2939="","",IF(OR($R2939=TRUE(),$R2939="TRUE"),1,0))</f>
        <v/>
      </c>
      <c r="AN2939">
        <f>IF($D2939="","",IF($X2939="Yes",1,0))</f>
        <v/>
      </c>
      <c r="AO2939">
        <f>IF($AK2939=1,IFERROR(IF(VALUE($D2939)&lt;100000000,VALUE($D2939),1000000000),IFERROR(IF(VALUE(MID($D2939,2,20))&lt;100000000,VALUE(MID($D2939,2,20)),1000000000),1000000000))+ROW()/100000,"")</f>
        <v/>
      </c>
    </row>
    <row r="2940">
      <c r="F2940" s="11" t="n"/>
      <c r="N2940" s="7">
        <f>IF($D2940="","",M2940*V2940/100)</f>
        <v/>
      </c>
      <c r="O2940" s="7" t="n"/>
      <c r="U2940" s="7" t="n"/>
      <c r="V2940" s="7" t="n"/>
      <c r="Y2940">
        <f>IF($D2940="","",IF($AN2940=1,0,IF($AM2940=1,Settings!$C$6,Settings!$C$7))*100)</f>
        <v/>
      </c>
      <c r="Z2940" s="7">
        <f>IF($D2940="","",V2940*Y2940/100)</f>
        <v/>
      </c>
      <c r="AA2940" s="7">
        <f>IF($D2940="","",V2940-Z2940)</f>
        <v/>
      </c>
      <c r="AB2940" s="7">
        <f>IF($D2940="","",AA2940-N2940)</f>
        <v/>
      </c>
      <c r="AF2940" s="7" t="n"/>
      <c r="AI2940" s="11" t="n"/>
      <c r="AK2940">
        <f>IF($D2940="","",IF(COUNTIF($D$2:$D2940,$D2940)=1,1,0))</f>
        <v/>
      </c>
      <c r="AL2940">
        <f>IF($AK2940=1,SUMPRODUCT(--($AO$2:$AO$3001&lt;$AO2940))+1,"")</f>
        <v/>
      </c>
      <c r="AM2940">
        <f>IF($D2940="","",IF(OR($R2940=TRUE(),$R2940="TRUE"),1,0))</f>
        <v/>
      </c>
      <c r="AN2940">
        <f>IF($D2940="","",IF($X2940="Yes",1,0))</f>
        <v/>
      </c>
      <c r="AO2940">
        <f>IF($AK2940=1,IFERROR(IF(VALUE($D2940)&lt;100000000,VALUE($D2940),1000000000),IFERROR(IF(VALUE(MID($D2940,2,20))&lt;100000000,VALUE(MID($D2940,2,20)),1000000000),1000000000))+ROW()/100000,"")</f>
        <v/>
      </c>
    </row>
    <row r="2941">
      <c r="F2941" s="11" t="n"/>
      <c r="N2941" s="7">
        <f>IF($D2941="","",M2941*V2941/100)</f>
        <v/>
      </c>
      <c r="O2941" s="7" t="n"/>
      <c r="U2941" s="7" t="n"/>
      <c r="V2941" s="7" t="n"/>
      <c r="Y2941">
        <f>IF($D2941="","",IF($AN2941=1,0,IF($AM2941=1,Settings!$C$6,Settings!$C$7))*100)</f>
        <v/>
      </c>
      <c r="Z2941" s="7">
        <f>IF($D2941="","",V2941*Y2941/100)</f>
        <v/>
      </c>
      <c r="AA2941" s="7">
        <f>IF($D2941="","",V2941-Z2941)</f>
        <v/>
      </c>
      <c r="AB2941" s="7">
        <f>IF($D2941="","",AA2941-N2941)</f>
        <v/>
      </c>
      <c r="AF2941" s="7" t="n"/>
      <c r="AI2941" s="11" t="n"/>
      <c r="AK2941">
        <f>IF($D2941="","",IF(COUNTIF($D$2:$D2941,$D2941)=1,1,0))</f>
        <v/>
      </c>
      <c r="AL2941">
        <f>IF($AK2941=1,SUMPRODUCT(--($AO$2:$AO$3001&lt;$AO2941))+1,"")</f>
        <v/>
      </c>
      <c r="AM2941">
        <f>IF($D2941="","",IF(OR($R2941=TRUE(),$R2941="TRUE"),1,0))</f>
        <v/>
      </c>
      <c r="AN2941">
        <f>IF($D2941="","",IF($X2941="Yes",1,0))</f>
        <v/>
      </c>
      <c r="AO2941">
        <f>IF($AK2941=1,IFERROR(IF(VALUE($D2941)&lt;100000000,VALUE($D2941),1000000000),IFERROR(IF(VALUE(MID($D2941,2,20))&lt;100000000,VALUE(MID($D2941,2,20)),1000000000),1000000000))+ROW()/100000,"")</f>
        <v/>
      </c>
    </row>
    <row r="2942">
      <c r="F2942" s="11" t="n"/>
      <c r="N2942" s="7">
        <f>IF($D2942="","",M2942*V2942/100)</f>
        <v/>
      </c>
      <c r="O2942" s="7" t="n"/>
      <c r="U2942" s="7" t="n"/>
      <c r="V2942" s="7" t="n"/>
      <c r="Y2942">
        <f>IF($D2942="","",IF($AN2942=1,0,IF($AM2942=1,Settings!$C$6,Settings!$C$7))*100)</f>
        <v/>
      </c>
      <c r="Z2942" s="7">
        <f>IF($D2942="","",V2942*Y2942/100)</f>
        <v/>
      </c>
      <c r="AA2942" s="7">
        <f>IF($D2942="","",V2942-Z2942)</f>
        <v/>
      </c>
      <c r="AB2942" s="7">
        <f>IF($D2942="","",AA2942-N2942)</f>
        <v/>
      </c>
      <c r="AF2942" s="7" t="n"/>
      <c r="AI2942" s="11" t="n"/>
      <c r="AK2942">
        <f>IF($D2942="","",IF(COUNTIF($D$2:$D2942,$D2942)=1,1,0))</f>
        <v/>
      </c>
      <c r="AL2942">
        <f>IF($AK2942=1,SUMPRODUCT(--($AO$2:$AO$3001&lt;$AO2942))+1,"")</f>
        <v/>
      </c>
      <c r="AM2942">
        <f>IF($D2942="","",IF(OR($R2942=TRUE(),$R2942="TRUE"),1,0))</f>
        <v/>
      </c>
      <c r="AN2942">
        <f>IF($D2942="","",IF($X2942="Yes",1,0))</f>
        <v/>
      </c>
      <c r="AO2942">
        <f>IF($AK2942=1,IFERROR(IF(VALUE($D2942)&lt;100000000,VALUE($D2942),1000000000),IFERROR(IF(VALUE(MID($D2942,2,20))&lt;100000000,VALUE(MID($D2942,2,20)),1000000000),1000000000))+ROW()/100000,"")</f>
        <v/>
      </c>
    </row>
    <row r="2943">
      <c r="F2943" s="11" t="n"/>
      <c r="N2943" s="7">
        <f>IF($D2943="","",M2943*V2943/100)</f>
        <v/>
      </c>
      <c r="O2943" s="7" t="n"/>
      <c r="U2943" s="7" t="n"/>
      <c r="V2943" s="7" t="n"/>
      <c r="Y2943">
        <f>IF($D2943="","",IF($AN2943=1,0,IF($AM2943=1,Settings!$C$6,Settings!$C$7))*100)</f>
        <v/>
      </c>
      <c r="Z2943" s="7">
        <f>IF($D2943="","",V2943*Y2943/100)</f>
        <v/>
      </c>
      <c r="AA2943" s="7">
        <f>IF($D2943="","",V2943-Z2943)</f>
        <v/>
      </c>
      <c r="AB2943" s="7">
        <f>IF($D2943="","",AA2943-N2943)</f>
        <v/>
      </c>
      <c r="AF2943" s="7" t="n"/>
      <c r="AI2943" s="11" t="n"/>
      <c r="AK2943">
        <f>IF($D2943="","",IF(COUNTIF($D$2:$D2943,$D2943)=1,1,0))</f>
        <v/>
      </c>
      <c r="AL2943">
        <f>IF($AK2943=1,SUMPRODUCT(--($AO$2:$AO$3001&lt;$AO2943))+1,"")</f>
        <v/>
      </c>
      <c r="AM2943">
        <f>IF($D2943="","",IF(OR($R2943=TRUE(),$R2943="TRUE"),1,0))</f>
        <v/>
      </c>
      <c r="AN2943">
        <f>IF($D2943="","",IF($X2943="Yes",1,0))</f>
        <v/>
      </c>
      <c r="AO2943">
        <f>IF($AK2943=1,IFERROR(IF(VALUE($D2943)&lt;100000000,VALUE($D2943),1000000000),IFERROR(IF(VALUE(MID($D2943,2,20))&lt;100000000,VALUE(MID($D2943,2,20)),1000000000),1000000000))+ROW()/100000,"")</f>
        <v/>
      </c>
    </row>
    <row r="2944">
      <c r="F2944" s="11" t="n"/>
      <c r="N2944" s="7">
        <f>IF($D2944="","",M2944*V2944/100)</f>
        <v/>
      </c>
      <c r="O2944" s="7" t="n"/>
      <c r="U2944" s="7" t="n"/>
      <c r="V2944" s="7" t="n"/>
      <c r="Y2944">
        <f>IF($D2944="","",IF($AN2944=1,0,IF($AM2944=1,Settings!$C$6,Settings!$C$7))*100)</f>
        <v/>
      </c>
      <c r="Z2944" s="7">
        <f>IF($D2944="","",V2944*Y2944/100)</f>
        <v/>
      </c>
      <c r="AA2944" s="7">
        <f>IF($D2944="","",V2944-Z2944)</f>
        <v/>
      </c>
      <c r="AB2944" s="7">
        <f>IF($D2944="","",AA2944-N2944)</f>
        <v/>
      </c>
      <c r="AF2944" s="7" t="n"/>
      <c r="AI2944" s="11" t="n"/>
      <c r="AK2944">
        <f>IF($D2944="","",IF(COUNTIF($D$2:$D2944,$D2944)=1,1,0))</f>
        <v/>
      </c>
      <c r="AL2944">
        <f>IF($AK2944=1,SUMPRODUCT(--($AO$2:$AO$3001&lt;$AO2944))+1,"")</f>
        <v/>
      </c>
      <c r="AM2944">
        <f>IF($D2944="","",IF(OR($R2944=TRUE(),$R2944="TRUE"),1,0))</f>
        <v/>
      </c>
      <c r="AN2944">
        <f>IF($D2944="","",IF($X2944="Yes",1,0))</f>
        <v/>
      </c>
      <c r="AO2944">
        <f>IF($AK2944=1,IFERROR(IF(VALUE($D2944)&lt;100000000,VALUE($D2944),1000000000),IFERROR(IF(VALUE(MID($D2944,2,20))&lt;100000000,VALUE(MID($D2944,2,20)),1000000000),1000000000))+ROW()/100000,"")</f>
        <v/>
      </c>
    </row>
    <row r="2945">
      <c r="F2945" s="11" t="n"/>
      <c r="N2945" s="7">
        <f>IF($D2945="","",M2945*V2945/100)</f>
        <v/>
      </c>
      <c r="O2945" s="7" t="n"/>
      <c r="U2945" s="7" t="n"/>
      <c r="V2945" s="7" t="n"/>
      <c r="Y2945">
        <f>IF($D2945="","",IF($AN2945=1,0,IF($AM2945=1,Settings!$C$6,Settings!$C$7))*100)</f>
        <v/>
      </c>
      <c r="Z2945" s="7">
        <f>IF($D2945="","",V2945*Y2945/100)</f>
        <v/>
      </c>
      <c r="AA2945" s="7">
        <f>IF($D2945="","",V2945-Z2945)</f>
        <v/>
      </c>
      <c r="AB2945" s="7">
        <f>IF($D2945="","",AA2945-N2945)</f>
        <v/>
      </c>
      <c r="AF2945" s="7" t="n"/>
      <c r="AI2945" s="11" t="n"/>
      <c r="AK2945">
        <f>IF($D2945="","",IF(COUNTIF($D$2:$D2945,$D2945)=1,1,0))</f>
        <v/>
      </c>
      <c r="AL2945">
        <f>IF($AK2945=1,SUMPRODUCT(--($AO$2:$AO$3001&lt;$AO2945))+1,"")</f>
        <v/>
      </c>
      <c r="AM2945">
        <f>IF($D2945="","",IF(OR($R2945=TRUE(),$R2945="TRUE"),1,0))</f>
        <v/>
      </c>
      <c r="AN2945">
        <f>IF($D2945="","",IF($X2945="Yes",1,0))</f>
        <v/>
      </c>
      <c r="AO2945">
        <f>IF($AK2945=1,IFERROR(IF(VALUE($D2945)&lt;100000000,VALUE($D2945),1000000000),IFERROR(IF(VALUE(MID($D2945,2,20))&lt;100000000,VALUE(MID($D2945,2,20)),1000000000),1000000000))+ROW()/100000,"")</f>
        <v/>
      </c>
    </row>
    <row r="2946">
      <c r="F2946" s="11" t="n"/>
      <c r="N2946" s="7">
        <f>IF($D2946="","",M2946*V2946/100)</f>
        <v/>
      </c>
      <c r="O2946" s="7" t="n"/>
      <c r="U2946" s="7" t="n"/>
      <c r="V2946" s="7" t="n"/>
      <c r="Y2946">
        <f>IF($D2946="","",IF($AN2946=1,0,IF($AM2946=1,Settings!$C$6,Settings!$C$7))*100)</f>
        <v/>
      </c>
      <c r="Z2946" s="7">
        <f>IF($D2946="","",V2946*Y2946/100)</f>
        <v/>
      </c>
      <c r="AA2946" s="7">
        <f>IF($D2946="","",V2946-Z2946)</f>
        <v/>
      </c>
      <c r="AB2946" s="7">
        <f>IF($D2946="","",AA2946-N2946)</f>
        <v/>
      </c>
      <c r="AF2946" s="7" t="n"/>
      <c r="AI2946" s="11" t="n"/>
      <c r="AK2946">
        <f>IF($D2946="","",IF(COUNTIF($D$2:$D2946,$D2946)=1,1,0))</f>
        <v/>
      </c>
      <c r="AL2946">
        <f>IF($AK2946=1,SUMPRODUCT(--($AO$2:$AO$3001&lt;$AO2946))+1,"")</f>
        <v/>
      </c>
      <c r="AM2946">
        <f>IF($D2946="","",IF(OR($R2946=TRUE(),$R2946="TRUE"),1,0))</f>
        <v/>
      </c>
      <c r="AN2946">
        <f>IF($D2946="","",IF($X2946="Yes",1,0))</f>
        <v/>
      </c>
      <c r="AO2946">
        <f>IF($AK2946=1,IFERROR(IF(VALUE($D2946)&lt;100000000,VALUE($D2946),1000000000),IFERROR(IF(VALUE(MID($D2946,2,20))&lt;100000000,VALUE(MID($D2946,2,20)),1000000000),1000000000))+ROW()/100000,"")</f>
        <v/>
      </c>
    </row>
    <row r="2947">
      <c r="F2947" s="11" t="n"/>
      <c r="N2947" s="7">
        <f>IF($D2947="","",M2947*V2947/100)</f>
        <v/>
      </c>
      <c r="O2947" s="7" t="n"/>
      <c r="U2947" s="7" t="n"/>
      <c r="V2947" s="7" t="n"/>
      <c r="Y2947">
        <f>IF($D2947="","",IF($AN2947=1,0,IF($AM2947=1,Settings!$C$6,Settings!$C$7))*100)</f>
        <v/>
      </c>
      <c r="Z2947" s="7">
        <f>IF($D2947="","",V2947*Y2947/100)</f>
        <v/>
      </c>
      <c r="AA2947" s="7">
        <f>IF($D2947="","",V2947-Z2947)</f>
        <v/>
      </c>
      <c r="AB2947" s="7">
        <f>IF($D2947="","",AA2947-N2947)</f>
        <v/>
      </c>
      <c r="AF2947" s="7" t="n"/>
      <c r="AI2947" s="11" t="n"/>
      <c r="AK2947">
        <f>IF($D2947="","",IF(COUNTIF($D$2:$D2947,$D2947)=1,1,0))</f>
        <v/>
      </c>
      <c r="AL2947">
        <f>IF($AK2947=1,SUMPRODUCT(--($AO$2:$AO$3001&lt;$AO2947))+1,"")</f>
        <v/>
      </c>
      <c r="AM2947">
        <f>IF($D2947="","",IF(OR($R2947=TRUE(),$R2947="TRUE"),1,0))</f>
        <v/>
      </c>
      <c r="AN2947">
        <f>IF($D2947="","",IF($X2947="Yes",1,0))</f>
        <v/>
      </c>
      <c r="AO2947">
        <f>IF($AK2947=1,IFERROR(IF(VALUE($D2947)&lt;100000000,VALUE($D2947),1000000000),IFERROR(IF(VALUE(MID($D2947,2,20))&lt;100000000,VALUE(MID($D2947,2,20)),1000000000),1000000000))+ROW()/100000,"")</f>
        <v/>
      </c>
    </row>
    <row r="2948">
      <c r="F2948" s="11" t="n"/>
      <c r="N2948" s="7">
        <f>IF($D2948="","",M2948*V2948/100)</f>
        <v/>
      </c>
      <c r="O2948" s="7" t="n"/>
      <c r="U2948" s="7" t="n"/>
      <c r="V2948" s="7" t="n"/>
      <c r="Y2948">
        <f>IF($D2948="","",IF($AN2948=1,0,IF($AM2948=1,Settings!$C$6,Settings!$C$7))*100)</f>
        <v/>
      </c>
      <c r="Z2948" s="7">
        <f>IF($D2948="","",V2948*Y2948/100)</f>
        <v/>
      </c>
      <c r="AA2948" s="7">
        <f>IF($D2948="","",V2948-Z2948)</f>
        <v/>
      </c>
      <c r="AB2948" s="7">
        <f>IF($D2948="","",AA2948-N2948)</f>
        <v/>
      </c>
      <c r="AF2948" s="7" t="n"/>
      <c r="AI2948" s="11" t="n"/>
      <c r="AK2948">
        <f>IF($D2948="","",IF(COUNTIF($D$2:$D2948,$D2948)=1,1,0))</f>
        <v/>
      </c>
      <c r="AL2948">
        <f>IF($AK2948=1,SUMPRODUCT(--($AO$2:$AO$3001&lt;$AO2948))+1,"")</f>
        <v/>
      </c>
      <c r="AM2948">
        <f>IF($D2948="","",IF(OR($R2948=TRUE(),$R2948="TRUE"),1,0))</f>
        <v/>
      </c>
      <c r="AN2948">
        <f>IF($D2948="","",IF($X2948="Yes",1,0))</f>
        <v/>
      </c>
      <c r="AO2948">
        <f>IF($AK2948=1,IFERROR(IF(VALUE($D2948)&lt;100000000,VALUE($D2948),1000000000),IFERROR(IF(VALUE(MID($D2948,2,20))&lt;100000000,VALUE(MID($D2948,2,20)),1000000000),1000000000))+ROW()/100000,"")</f>
        <v/>
      </c>
    </row>
    <row r="2949">
      <c r="F2949" s="11" t="n"/>
      <c r="N2949" s="7">
        <f>IF($D2949="","",M2949*V2949/100)</f>
        <v/>
      </c>
      <c r="O2949" s="7" t="n"/>
      <c r="U2949" s="7" t="n"/>
      <c r="V2949" s="7" t="n"/>
      <c r="Y2949">
        <f>IF($D2949="","",IF($AN2949=1,0,IF($AM2949=1,Settings!$C$6,Settings!$C$7))*100)</f>
        <v/>
      </c>
      <c r="Z2949" s="7">
        <f>IF($D2949="","",V2949*Y2949/100)</f>
        <v/>
      </c>
      <c r="AA2949" s="7">
        <f>IF($D2949="","",V2949-Z2949)</f>
        <v/>
      </c>
      <c r="AB2949" s="7">
        <f>IF($D2949="","",AA2949-N2949)</f>
        <v/>
      </c>
      <c r="AF2949" s="7" t="n"/>
      <c r="AI2949" s="11" t="n"/>
      <c r="AK2949">
        <f>IF($D2949="","",IF(COUNTIF($D$2:$D2949,$D2949)=1,1,0))</f>
        <v/>
      </c>
      <c r="AL2949">
        <f>IF($AK2949=1,SUMPRODUCT(--($AO$2:$AO$3001&lt;$AO2949))+1,"")</f>
        <v/>
      </c>
      <c r="AM2949">
        <f>IF($D2949="","",IF(OR($R2949=TRUE(),$R2949="TRUE"),1,0))</f>
        <v/>
      </c>
      <c r="AN2949">
        <f>IF($D2949="","",IF($X2949="Yes",1,0))</f>
        <v/>
      </c>
      <c r="AO2949">
        <f>IF($AK2949=1,IFERROR(IF(VALUE($D2949)&lt;100000000,VALUE($D2949),1000000000),IFERROR(IF(VALUE(MID($D2949,2,20))&lt;100000000,VALUE(MID($D2949,2,20)),1000000000),1000000000))+ROW()/100000,"")</f>
        <v/>
      </c>
    </row>
    <row r="2950">
      <c r="F2950" s="11" t="n"/>
      <c r="N2950" s="7">
        <f>IF($D2950="","",M2950*V2950/100)</f>
        <v/>
      </c>
      <c r="O2950" s="7" t="n"/>
      <c r="U2950" s="7" t="n"/>
      <c r="V2950" s="7" t="n"/>
      <c r="Y2950">
        <f>IF($D2950="","",IF($AN2950=1,0,IF($AM2950=1,Settings!$C$6,Settings!$C$7))*100)</f>
        <v/>
      </c>
      <c r="Z2950" s="7">
        <f>IF($D2950="","",V2950*Y2950/100)</f>
        <v/>
      </c>
      <c r="AA2950" s="7">
        <f>IF($D2950="","",V2950-Z2950)</f>
        <v/>
      </c>
      <c r="AB2950" s="7">
        <f>IF($D2950="","",AA2950-N2950)</f>
        <v/>
      </c>
      <c r="AF2950" s="7" t="n"/>
      <c r="AI2950" s="11" t="n"/>
      <c r="AK2950">
        <f>IF($D2950="","",IF(COUNTIF($D$2:$D2950,$D2950)=1,1,0))</f>
        <v/>
      </c>
      <c r="AL2950">
        <f>IF($AK2950=1,SUMPRODUCT(--($AO$2:$AO$3001&lt;$AO2950))+1,"")</f>
        <v/>
      </c>
      <c r="AM2950">
        <f>IF($D2950="","",IF(OR($R2950=TRUE(),$R2950="TRUE"),1,0))</f>
        <v/>
      </c>
      <c r="AN2950">
        <f>IF($D2950="","",IF($X2950="Yes",1,0))</f>
        <v/>
      </c>
      <c r="AO2950">
        <f>IF($AK2950=1,IFERROR(IF(VALUE($D2950)&lt;100000000,VALUE($D2950),1000000000),IFERROR(IF(VALUE(MID($D2950,2,20))&lt;100000000,VALUE(MID($D2950,2,20)),1000000000),1000000000))+ROW()/100000,"")</f>
        <v/>
      </c>
    </row>
    <row r="2951">
      <c r="F2951" s="11" t="n"/>
      <c r="N2951" s="7">
        <f>IF($D2951="","",M2951*V2951/100)</f>
        <v/>
      </c>
      <c r="O2951" s="7" t="n"/>
      <c r="U2951" s="7" t="n"/>
      <c r="V2951" s="7" t="n"/>
      <c r="Y2951">
        <f>IF($D2951="","",IF($AN2951=1,0,IF($AM2951=1,Settings!$C$6,Settings!$C$7))*100)</f>
        <v/>
      </c>
      <c r="Z2951" s="7">
        <f>IF($D2951="","",V2951*Y2951/100)</f>
        <v/>
      </c>
      <c r="AA2951" s="7">
        <f>IF($D2951="","",V2951-Z2951)</f>
        <v/>
      </c>
      <c r="AB2951" s="7">
        <f>IF($D2951="","",AA2951-N2951)</f>
        <v/>
      </c>
      <c r="AF2951" s="7" t="n"/>
      <c r="AI2951" s="11" t="n"/>
      <c r="AK2951">
        <f>IF($D2951="","",IF(COUNTIF($D$2:$D2951,$D2951)=1,1,0))</f>
        <v/>
      </c>
      <c r="AL2951">
        <f>IF($AK2951=1,SUMPRODUCT(--($AO$2:$AO$3001&lt;$AO2951))+1,"")</f>
        <v/>
      </c>
      <c r="AM2951">
        <f>IF($D2951="","",IF(OR($R2951=TRUE(),$R2951="TRUE"),1,0))</f>
        <v/>
      </c>
      <c r="AN2951">
        <f>IF($D2951="","",IF($X2951="Yes",1,0))</f>
        <v/>
      </c>
      <c r="AO2951">
        <f>IF($AK2951=1,IFERROR(IF(VALUE($D2951)&lt;100000000,VALUE($D2951),1000000000),IFERROR(IF(VALUE(MID($D2951,2,20))&lt;100000000,VALUE(MID($D2951,2,20)),1000000000),1000000000))+ROW()/100000,"")</f>
        <v/>
      </c>
    </row>
    <row r="2952">
      <c r="F2952" s="11" t="n"/>
      <c r="N2952" s="7">
        <f>IF($D2952="","",M2952*V2952/100)</f>
        <v/>
      </c>
      <c r="O2952" s="7" t="n"/>
      <c r="U2952" s="7" t="n"/>
      <c r="V2952" s="7" t="n"/>
      <c r="Y2952">
        <f>IF($D2952="","",IF($AN2952=1,0,IF($AM2952=1,Settings!$C$6,Settings!$C$7))*100)</f>
        <v/>
      </c>
      <c r="Z2952" s="7">
        <f>IF($D2952="","",V2952*Y2952/100)</f>
        <v/>
      </c>
      <c r="AA2952" s="7">
        <f>IF($D2952="","",V2952-Z2952)</f>
        <v/>
      </c>
      <c r="AB2952" s="7">
        <f>IF($D2952="","",AA2952-N2952)</f>
        <v/>
      </c>
      <c r="AF2952" s="7" t="n"/>
      <c r="AI2952" s="11" t="n"/>
      <c r="AK2952">
        <f>IF($D2952="","",IF(COUNTIF($D$2:$D2952,$D2952)=1,1,0))</f>
        <v/>
      </c>
      <c r="AL2952">
        <f>IF($AK2952=1,SUMPRODUCT(--($AO$2:$AO$3001&lt;$AO2952))+1,"")</f>
        <v/>
      </c>
      <c r="AM2952">
        <f>IF($D2952="","",IF(OR($R2952=TRUE(),$R2952="TRUE"),1,0))</f>
        <v/>
      </c>
      <c r="AN2952">
        <f>IF($D2952="","",IF($X2952="Yes",1,0))</f>
        <v/>
      </c>
      <c r="AO2952">
        <f>IF($AK2952=1,IFERROR(IF(VALUE($D2952)&lt;100000000,VALUE($D2952),1000000000),IFERROR(IF(VALUE(MID($D2952,2,20))&lt;100000000,VALUE(MID($D2952,2,20)),1000000000),1000000000))+ROW()/100000,"")</f>
        <v/>
      </c>
    </row>
    <row r="2953">
      <c r="F2953" s="11" t="n"/>
      <c r="N2953" s="7">
        <f>IF($D2953="","",M2953*V2953/100)</f>
        <v/>
      </c>
      <c r="O2953" s="7" t="n"/>
      <c r="U2953" s="7" t="n"/>
      <c r="V2953" s="7" t="n"/>
      <c r="Y2953">
        <f>IF($D2953="","",IF($AN2953=1,0,IF($AM2953=1,Settings!$C$6,Settings!$C$7))*100)</f>
        <v/>
      </c>
      <c r="Z2953" s="7">
        <f>IF($D2953="","",V2953*Y2953/100)</f>
        <v/>
      </c>
      <c r="AA2953" s="7">
        <f>IF($D2953="","",V2953-Z2953)</f>
        <v/>
      </c>
      <c r="AB2953" s="7">
        <f>IF($D2953="","",AA2953-N2953)</f>
        <v/>
      </c>
      <c r="AF2953" s="7" t="n"/>
      <c r="AI2953" s="11" t="n"/>
      <c r="AK2953">
        <f>IF($D2953="","",IF(COUNTIF($D$2:$D2953,$D2953)=1,1,0))</f>
        <v/>
      </c>
      <c r="AL2953">
        <f>IF($AK2953=1,SUMPRODUCT(--($AO$2:$AO$3001&lt;$AO2953))+1,"")</f>
        <v/>
      </c>
      <c r="AM2953">
        <f>IF($D2953="","",IF(OR($R2953=TRUE(),$R2953="TRUE"),1,0))</f>
        <v/>
      </c>
      <c r="AN2953">
        <f>IF($D2953="","",IF($X2953="Yes",1,0))</f>
        <v/>
      </c>
      <c r="AO2953">
        <f>IF($AK2953=1,IFERROR(IF(VALUE($D2953)&lt;100000000,VALUE($D2953),1000000000),IFERROR(IF(VALUE(MID($D2953,2,20))&lt;100000000,VALUE(MID($D2953,2,20)),1000000000),1000000000))+ROW()/100000,"")</f>
        <v/>
      </c>
    </row>
    <row r="2954">
      <c r="F2954" s="11" t="n"/>
      <c r="N2954" s="7">
        <f>IF($D2954="","",M2954*V2954/100)</f>
        <v/>
      </c>
      <c r="O2954" s="7" t="n"/>
      <c r="U2954" s="7" t="n"/>
      <c r="V2954" s="7" t="n"/>
      <c r="Y2954">
        <f>IF($D2954="","",IF($AN2954=1,0,IF($AM2954=1,Settings!$C$6,Settings!$C$7))*100)</f>
        <v/>
      </c>
      <c r="Z2954" s="7">
        <f>IF($D2954="","",V2954*Y2954/100)</f>
        <v/>
      </c>
      <c r="AA2954" s="7">
        <f>IF($D2954="","",V2954-Z2954)</f>
        <v/>
      </c>
      <c r="AB2954" s="7">
        <f>IF($D2954="","",AA2954-N2954)</f>
        <v/>
      </c>
      <c r="AF2954" s="7" t="n"/>
      <c r="AI2954" s="11" t="n"/>
      <c r="AK2954">
        <f>IF($D2954="","",IF(COUNTIF($D$2:$D2954,$D2954)=1,1,0))</f>
        <v/>
      </c>
      <c r="AL2954">
        <f>IF($AK2954=1,SUMPRODUCT(--($AO$2:$AO$3001&lt;$AO2954))+1,"")</f>
        <v/>
      </c>
      <c r="AM2954">
        <f>IF($D2954="","",IF(OR($R2954=TRUE(),$R2954="TRUE"),1,0))</f>
        <v/>
      </c>
      <c r="AN2954">
        <f>IF($D2954="","",IF($X2954="Yes",1,0))</f>
        <v/>
      </c>
      <c r="AO2954">
        <f>IF($AK2954=1,IFERROR(IF(VALUE($D2954)&lt;100000000,VALUE($D2954),1000000000),IFERROR(IF(VALUE(MID($D2954,2,20))&lt;100000000,VALUE(MID($D2954,2,20)),1000000000),1000000000))+ROW()/100000,"")</f>
        <v/>
      </c>
    </row>
    <row r="2955">
      <c r="F2955" s="11" t="n"/>
      <c r="N2955" s="7">
        <f>IF($D2955="","",M2955*V2955/100)</f>
        <v/>
      </c>
      <c r="O2955" s="7" t="n"/>
      <c r="U2955" s="7" t="n"/>
      <c r="V2955" s="7" t="n"/>
      <c r="Y2955">
        <f>IF($D2955="","",IF($AN2955=1,0,IF($AM2955=1,Settings!$C$6,Settings!$C$7))*100)</f>
        <v/>
      </c>
      <c r="Z2955" s="7">
        <f>IF($D2955="","",V2955*Y2955/100)</f>
        <v/>
      </c>
      <c r="AA2955" s="7">
        <f>IF($D2955="","",V2955-Z2955)</f>
        <v/>
      </c>
      <c r="AB2955" s="7">
        <f>IF($D2955="","",AA2955-N2955)</f>
        <v/>
      </c>
      <c r="AF2955" s="7" t="n"/>
      <c r="AI2955" s="11" t="n"/>
      <c r="AK2955">
        <f>IF($D2955="","",IF(COUNTIF($D$2:$D2955,$D2955)=1,1,0))</f>
        <v/>
      </c>
      <c r="AL2955">
        <f>IF($AK2955=1,SUMPRODUCT(--($AO$2:$AO$3001&lt;$AO2955))+1,"")</f>
        <v/>
      </c>
      <c r="AM2955">
        <f>IF($D2955="","",IF(OR($R2955=TRUE(),$R2955="TRUE"),1,0))</f>
        <v/>
      </c>
      <c r="AN2955">
        <f>IF($D2955="","",IF($X2955="Yes",1,0))</f>
        <v/>
      </c>
      <c r="AO2955">
        <f>IF($AK2955=1,IFERROR(IF(VALUE($D2955)&lt;100000000,VALUE($D2955),1000000000),IFERROR(IF(VALUE(MID($D2955,2,20))&lt;100000000,VALUE(MID($D2955,2,20)),1000000000),1000000000))+ROW()/100000,"")</f>
        <v/>
      </c>
    </row>
    <row r="2956">
      <c r="F2956" s="11" t="n"/>
      <c r="N2956" s="7">
        <f>IF($D2956="","",M2956*V2956/100)</f>
        <v/>
      </c>
      <c r="O2956" s="7" t="n"/>
      <c r="U2956" s="7" t="n"/>
      <c r="V2956" s="7" t="n"/>
      <c r="Y2956">
        <f>IF($D2956="","",IF($AN2956=1,0,IF($AM2956=1,Settings!$C$6,Settings!$C$7))*100)</f>
        <v/>
      </c>
      <c r="Z2956" s="7">
        <f>IF($D2956="","",V2956*Y2956/100)</f>
        <v/>
      </c>
      <c r="AA2956" s="7">
        <f>IF($D2956="","",V2956-Z2956)</f>
        <v/>
      </c>
      <c r="AB2956" s="7">
        <f>IF($D2956="","",AA2956-N2956)</f>
        <v/>
      </c>
      <c r="AF2956" s="7" t="n"/>
      <c r="AI2956" s="11" t="n"/>
      <c r="AK2956">
        <f>IF($D2956="","",IF(COUNTIF($D$2:$D2956,$D2956)=1,1,0))</f>
        <v/>
      </c>
      <c r="AL2956">
        <f>IF($AK2956=1,SUMPRODUCT(--($AO$2:$AO$3001&lt;$AO2956))+1,"")</f>
        <v/>
      </c>
      <c r="AM2956">
        <f>IF($D2956="","",IF(OR($R2956=TRUE(),$R2956="TRUE"),1,0))</f>
        <v/>
      </c>
      <c r="AN2956">
        <f>IF($D2956="","",IF($X2956="Yes",1,0))</f>
        <v/>
      </c>
      <c r="AO2956">
        <f>IF($AK2956=1,IFERROR(IF(VALUE($D2956)&lt;100000000,VALUE($D2956),1000000000),IFERROR(IF(VALUE(MID($D2956,2,20))&lt;100000000,VALUE(MID($D2956,2,20)),1000000000),1000000000))+ROW()/100000,"")</f>
        <v/>
      </c>
    </row>
    <row r="2957">
      <c r="F2957" s="11" t="n"/>
      <c r="N2957" s="7">
        <f>IF($D2957="","",M2957*V2957/100)</f>
        <v/>
      </c>
      <c r="O2957" s="7" t="n"/>
      <c r="U2957" s="7" t="n"/>
      <c r="V2957" s="7" t="n"/>
      <c r="Y2957">
        <f>IF($D2957="","",IF($AN2957=1,0,IF($AM2957=1,Settings!$C$6,Settings!$C$7))*100)</f>
        <v/>
      </c>
      <c r="Z2957" s="7">
        <f>IF($D2957="","",V2957*Y2957/100)</f>
        <v/>
      </c>
      <c r="AA2957" s="7">
        <f>IF($D2957="","",V2957-Z2957)</f>
        <v/>
      </c>
      <c r="AB2957" s="7">
        <f>IF($D2957="","",AA2957-N2957)</f>
        <v/>
      </c>
      <c r="AF2957" s="7" t="n"/>
      <c r="AI2957" s="11" t="n"/>
      <c r="AK2957">
        <f>IF($D2957="","",IF(COUNTIF($D$2:$D2957,$D2957)=1,1,0))</f>
        <v/>
      </c>
      <c r="AL2957">
        <f>IF($AK2957=1,SUMPRODUCT(--($AO$2:$AO$3001&lt;$AO2957))+1,"")</f>
        <v/>
      </c>
      <c r="AM2957">
        <f>IF($D2957="","",IF(OR($R2957=TRUE(),$R2957="TRUE"),1,0))</f>
        <v/>
      </c>
      <c r="AN2957">
        <f>IF($D2957="","",IF($X2957="Yes",1,0))</f>
        <v/>
      </c>
      <c r="AO2957">
        <f>IF($AK2957=1,IFERROR(IF(VALUE($D2957)&lt;100000000,VALUE($D2957),1000000000),IFERROR(IF(VALUE(MID($D2957,2,20))&lt;100000000,VALUE(MID($D2957,2,20)),1000000000),1000000000))+ROW()/100000,"")</f>
        <v/>
      </c>
    </row>
    <row r="2958">
      <c r="F2958" s="11" t="n"/>
      <c r="N2958" s="7">
        <f>IF($D2958="","",M2958*V2958/100)</f>
        <v/>
      </c>
      <c r="O2958" s="7" t="n"/>
      <c r="U2958" s="7" t="n"/>
      <c r="V2958" s="7" t="n"/>
      <c r="Y2958">
        <f>IF($D2958="","",IF($AN2958=1,0,IF($AM2958=1,Settings!$C$6,Settings!$C$7))*100)</f>
        <v/>
      </c>
      <c r="Z2958" s="7">
        <f>IF($D2958="","",V2958*Y2958/100)</f>
        <v/>
      </c>
      <c r="AA2958" s="7">
        <f>IF($D2958="","",V2958-Z2958)</f>
        <v/>
      </c>
      <c r="AB2958" s="7">
        <f>IF($D2958="","",AA2958-N2958)</f>
        <v/>
      </c>
      <c r="AF2958" s="7" t="n"/>
      <c r="AI2958" s="11" t="n"/>
      <c r="AK2958">
        <f>IF($D2958="","",IF(COUNTIF($D$2:$D2958,$D2958)=1,1,0))</f>
        <v/>
      </c>
      <c r="AL2958">
        <f>IF($AK2958=1,SUMPRODUCT(--($AO$2:$AO$3001&lt;$AO2958))+1,"")</f>
        <v/>
      </c>
      <c r="AM2958">
        <f>IF($D2958="","",IF(OR($R2958=TRUE(),$R2958="TRUE"),1,0))</f>
        <v/>
      </c>
      <c r="AN2958">
        <f>IF($D2958="","",IF($X2958="Yes",1,0))</f>
        <v/>
      </c>
      <c r="AO2958">
        <f>IF($AK2958=1,IFERROR(IF(VALUE($D2958)&lt;100000000,VALUE($D2958),1000000000),IFERROR(IF(VALUE(MID($D2958,2,20))&lt;100000000,VALUE(MID($D2958,2,20)),1000000000),1000000000))+ROW()/100000,"")</f>
        <v/>
      </c>
    </row>
    <row r="2959">
      <c r="F2959" s="11" t="n"/>
      <c r="N2959" s="7">
        <f>IF($D2959="","",M2959*V2959/100)</f>
        <v/>
      </c>
      <c r="O2959" s="7" t="n"/>
      <c r="U2959" s="7" t="n"/>
      <c r="V2959" s="7" t="n"/>
      <c r="Y2959">
        <f>IF($D2959="","",IF($AN2959=1,0,IF($AM2959=1,Settings!$C$6,Settings!$C$7))*100)</f>
        <v/>
      </c>
      <c r="Z2959" s="7">
        <f>IF($D2959="","",V2959*Y2959/100)</f>
        <v/>
      </c>
      <c r="AA2959" s="7">
        <f>IF($D2959="","",V2959-Z2959)</f>
        <v/>
      </c>
      <c r="AB2959" s="7">
        <f>IF($D2959="","",AA2959-N2959)</f>
        <v/>
      </c>
      <c r="AF2959" s="7" t="n"/>
      <c r="AI2959" s="11" t="n"/>
      <c r="AK2959">
        <f>IF($D2959="","",IF(COUNTIF($D$2:$D2959,$D2959)=1,1,0))</f>
        <v/>
      </c>
      <c r="AL2959">
        <f>IF($AK2959=1,SUMPRODUCT(--($AO$2:$AO$3001&lt;$AO2959))+1,"")</f>
        <v/>
      </c>
      <c r="AM2959">
        <f>IF($D2959="","",IF(OR($R2959=TRUE(),$R2959="TRUE"),1,0))</f>
        <v/>
      </c>
      <c r="AN2959">
        <f>IF($D2959="","",IF($X2959="Yes",1,0))</f>
        <v/>
      </c>
      <c r="AO2959">
        <f>IF($AK2959=1,IFERROR(IF(VALUE($D2959)&lt;100000000,VALUE($D2959),1000000000),IFERROR(IF(VALUE(MID($D2959,2,20))&lt;100000000,VALUE(MID($D2959,2,20)),1000000000),1000000000))+ROW()/100000,"")</f>
        <v/>
      </c>
    </row>
    <row r="2960">
      <c r="F2960" s="11" t="n"/>
      <c r="N2960" s="7">
        <f>IF($D2960="","",M2960*V2960/100)</f>
        <v/>
      </c>
      <c r="O2960" s="7" t="n"/>
      <c r="U2960" s="7" t="n"/>
      <c r="V2960" s="7" t="n"/>
      <c r="Y2960">
        <f>IF($D2960="","",IF($AN2960=1,0,IF($AM2960=1,Settings!$C$6,Settings!$C$7))*100)</f>
        <v/>
      </c>
      <c r="Z2960" s="7">
        <f>IF($D2960="","",V2960*Y2960/100)</f>
        <v/>
      </c>
      <c r="AA2960" s="7">
        <f>IF($D2960="","",V2960-Z2960)</f>
        <v/>
      </c>
      <c r="AB2960" s="7">
        <f>IF($D2960="","",AA2960-N2960)</f>
        <v/>
      </c>
      <c r="AF2960" s="7" t="n"/>
      <c r="AI2960" s="11" t="n"/>
      <c r="AK2960">
        <f>IF($D2960="","",IF(COUNTIF($D$2:$D2960,$D2960)=1,1,0))</f>
        <v/>
      </c>
      <c r="AL2960">
        <f>IF($AK2960=1,SUMPRODUCT(--($AO$2:$AO$3001&lt;$AO2960))+1,"")</f>
        <v/>
      </c>
      <c r="AM2960">
        <f>IF($D2960="","",IF(OR($R2960=TRUE(),$R2960="TRUE"),1,0))</f>
        <v/>
      </c>
      <c r="AN2960">
        <f>IF($D2960="","",IF($X2960="Yes",1,0))</f>
        <v/>
      </c>
      <c r="AO2960">
        <f>IF($AK2960=1,IFERROR(IF(VALUE($D2960)&lt;100000000,VALUE($D2960),1000000000),IFERROR(IF(VALUE(MID($D2960,2,20))&lt;100000000,VALUE(MID($D2960,2,20)),1000000000),1000000000))+ROW()/100000,"")</f>
        <v/>
      </c>
    </row>
    <row r="2961">
      <c r="F2961" s="11" t="n"/>
      <c r="N2961" s="7">
        <f>IF($D2961="","",M2961*V2961/100)</f>
        <v/>
      </c>
      <c r="O2961" s="7" t="n"/>
      <c r="U2961" s="7" t="n"/>
      <c r="V2961" s="7" t="n"/>
      <c r="Y2961">
        <f>IF($D2961="","",IF($AN2961=1,0,IF($AM2961=1,Settings!$C$6,Settings!$C$7))*100)</f>
        <v/>
      </c>
      <c r="Z2961" s="7">
        <f>IF($D2961="","",V2961*Y2961/100)</f>
        <v/>
      </c>
      <c r="AA2961" s="7">
        <f>IF($D2961="","",V2961-Z2961)</f>
        <v/>
      </c>
      <c r="AB2961" s="7">
        <f>IF($D2961="","",AA2961-N2961)</f>
        <v/>
      </c>
      <c r="AF2961" s="7" t="n"/>
      <c r="AI2961" s="11" t="n"/>
      <c r="AK2961">
        <f>IF($D2961="","",IF(COUNTIF($D$2:$D2961,$D2961)=1,1,0))</f>
        <v/>
      </c>
      <c r="AL2961">
        <f>IF($AK2961=1,SUMPRODUCT(--($AO$2:$AO$3001&lt;$AO2961))+1,"")</f>
        <v/>
      </c>
      <c r="AM2961">
        <f>IF($D2961="","",IF(OR($R2961=TRUE(),$R2961="TRUE"),1,0))</f>
        <v/>
      </c>
      <c r="AN2961">
        <f>IF($D2961="","",IF($X2961="Yes",1,0))</f>
        <v/>
      </c>
      <c r="AO2961">
        <f>IF($AK2961=1,IFERROR(IF(VALUE($D2961)&lt;100000000,VALUE($D2961),1000000000),IFERROR(IF(VALUE(MID($D2961,2,20))&lt;100000000,VALUE(MID($D2961,2,20)),1000000000),1000000000))+ROW()/100000,"")</f>
        <v/>
      </c>
    </row>
    <row r="2962">
      <c r="F2962" s="11" t="n"/>
      <c r="N2962" s="7">
        <f>IF($D2962="","",M2962*V2962/100)</f>
        <v/>
      </c>
      <c r="O2962" s="7" t="n"/>
      <c r="U2962" s="7" t="n"/>
      <c r="V2962" s="7" t="n"/>
      <c r="Y2962">
        <f>IF($D2962="","",IF($AN2962=1,0,IF($AM2962=1,Settings!$C$6,Settings!$C$7))*100)</f>
        <v/>
      </c>
      <c r="Z2962" s="7">
        <f>IF($D2962="","",V2962*Y2962/100)</f>
        <v/>
      </c>
      <c r="AA2962" s="7">
        <f>IF($D2962="","",V2962-Z2962)</f>
        <v/>
      </c>
      <c r="AB2962" s="7">
        <f>IF($D2962="","",AA2962-N2962)</f>
        <v/>
      </c>
      <c r="AF2962" s="7" t="n"/>
      <c r="AI2962" s="11" t="n"/>
      <c r="AK2962">
        <f>IF($D2962="","",IF(COUNTIF($D$2:$D2962,$D2962)=1,1,0))</f>
        <v/>
      </c>
      <c r="AL2962">
        <f>IF($AK2962=1,SUMPRODUCT(--($AO$2:$AO$3001&lt;$AO2962))+1,"")</f>
        <v/>
      </c>
      <c r="AM2962">
        <f>IF($D2962="","",IF(OR($R2962=TRUE(),$R2962="TRUE"),1,0))</f>
        <v/>
      </c>
      <c r="AN2962">
        <f>IF($D2962="","",IF($X2962="Yes",1,0))</f>
        <v/>
      </c>
      <c r="AO2962">
        <f>IF($AK2962=1,IFERROR(IF(VALUE($D2962)&lt;100000000,VALUE($D2962),1000000000),IFERROR(IF(VALUE(MID($D2962,2,20))&lt;100000000,VALUE(MID($D2962,2,20)),1000000000),1000000000))+ROW()/100000,"")</f>
        <v/>
      </c>
    </row>
    <row r="2963">
      <c r="F2963" s="11" t="n"/>
      <c r="N2963" s="7">
        <f>IF($D2963="","",M2963*V2963/100)</f>
        <v/>
      </c>
      <c r="O2963" s="7" t="n"/>
      <c r="U2963" s="7" t="n"/>
      <c r="V2963" s="7" t="n"/>
      <c r="Y2963">
        <f>IF($D2963="","",IF($AN2963=1,0,IF($AM2963=1,Settings!$C$6,Settings!$C$7))*100)</f>
        <v/>
      </c>
      <c r="Z2963" s="7">
        <f>IF($D2963="","",V2963*Y2963/100)</f>
        <v/>
      </c>
      <c r="AA2963" s="7">
        <f>IF($D2963="","",V2963-Z2963)</f>
        <v/>
      </c>
      <c r="AB2963" s="7">
        <f>IF($D2963="","",AA2963-N2963)</f>
        <v/>
      </c>
      <c r="AF2963" s="7" t="n"/>
      <c r="AI2963" s="11" t="n"/>
      <c r="AK2963">
        <f>IF($D2963="","",IF(COUNTIF($D$2:$D2963,$D2963)=1,1,0))</f>
        <v/>
      </c>
      <c r="AL2963">
        <f>IF($AK2963=1,SUMPRODUCT(--($AO$2:$AO$3001&lt;$AO2963))+1,"")</f>
        <v/>
      </c>
      <c r="AM2963">
        <f>IF($D2963="","",IF(OR($R2963=TRUE(),$R2963="TRUE"),1,0))</f>
        <v/>
      </c>
      <c r="AN2963">
        <f>IF($D2963="","",IF($X2963="Yes",1,0))</f>
        <v/>
      </c>
      <c r="AO2963">
        <f>IF($AK2963=1,IFERROR(IF(VALUE($D2963)&lt;100000000,VALUE($D2963),1000000000),IFERROR(IF(VALUE(MID($D2963,2,20))&lt;100000000,VALUE(MID($D2963,2,20)),1000000000),1000000000))+ROW()/100000,"")</f>
        <v/>
      </c>
    </row>
    <row r="2964">
      <c r="F2964" s="11" t="n"/>
      <c r="N2964" s="7">
        <f>IF($D2964="","",M2964*V2964/100)</f>
        <v/>
      </c>
      <c r="O2964" s="7" t="n"/>
      <c r="U2964" s="7" t="n"/>
      <c r="V2964" s="7" t="n"/>
      <c r="Y2964">
        <f>IF($D2964="","",IF($AN2964=1,0,IF($AM2964=1,Settings!$C$6,Settings!$C$7))*100)</f>
        <v/>
      </c>
      <c r="Z2964" s="7">
        <f>IF($D2964="","",V2964*Y2964/100)</f>
        <v/>
      </c>
      <c r="AA2964" s="7">
        <f>IF($D2964="","",V2964-Z2964)</f>
        <v/>
      </c>
      <c r="AB2964" s="7">
        <f>IF($D2964="","",AA2964-N2964)</f>
        <v/>
      </c>
      <c r="AF2964" s="7" t="n"/>
      <c r="AI2964" s="11" t="n"/>
      <c r="AK2964">
        <f>IF($D2964="","",IF(COUNTIF($D$2:$D2964,$D2964)=1,1,0))</f>
        <v/>
      </c>
      <c r="AL2964">
        <f>IF($AK2964=1,SUMPRODUCT(--($AO$2:$AO$3001&lt;$AO2964))+1,"")</f>
        <v/>
      </c>
      <c r="AM2964">
        <f>IF($D2964="","",IF(OR($R2964=TRUE(),$R2964="TRUE"),1,0))</f>
        <v/>
      </c>
      <c r="AN2964">
        <f>IF($D2964="","",IF($X2964="Yes",1,0))</f>
        <v/>
      </c>
      <c r="AO2964">
        <f>IF($AK2964=1,IFERROR(IF(VALUE($D2964)&lt;100000000,VALUE($D2964),1000000000),IFERROR(IF(VALUE(MID($D2964,2,20))&lt;100000000,VALUE(MID($D2964,2,20)),1000000000),1000000000))+ROW()/100000,"")</f>
        <v/>
      </c>
    </row>
    <row r="2965">
      <c r="F2965" s="11" t="n"/>
      <c r="N2965" s="7">
        <f>IF($D2965="","",M2965*V2965/100)</f>
        <v/>
      </c>
      <c r="O2965" s="7" t="n"/>
      <c r="U2965" s="7" t="n"/>
      <c r="V2965" s="7" t="n"/>
      <c r="Y2965">
        <f>IF($D2965="","",IF($AN2965=1,0,IF($AM2965=1,Settings!$C$6,Settings!$C$7))*100)</f>
        <v/>
      </c>
      <c r="Z2965" s="7">
        <f>IF($D2965="","",V2965*Y2965/100)</f>
        <v/>
      </c>
      <c r="AA2965" s="7">
        <f>IF($D2965="","",V2965-Z2965)</f>
        <v/>
      </c>
      <c r="AB2965" s="7">
        <f>IF($D2965="","",AA2965-N2965)</f>
        <v/>
      </c>
      <c r="AF2965" s="7" t="n"/>
      <c r="AI2965" s="11" t="n"/>
      <c r="AK2965">
        <f>IF($D2965="","",IF(COUNTIF($D$2:$D2965,$D2965)=1,1,0))</f>
        <v/>
      </c>
      <c r="AL2965">
        <f>IF($AK2965=1,SUMPRODUCT(--($AO$2:$AO$3001&lt;$AO2965))+1,"")</f>
        <v/>
      </c>
      <c r="AM2965">
        <f>IF($D2965="","",IF(OR($R2965=TRUE(),$R2965="TRUE"),1,0))</f>
        <v/>
      </c>
      <c r="AN2965">
        <f>IF($D2965="","",IF($X2965="Yes",1,0))</f>
        <v/>
      </c>
      <c r="AO2965">
        <f>IF($AK2965=1,IFERROR(IF(VALUE($D2965)&lt;100000000,VALUE($D2965),1000000000),IFERROR(IF(VALUE(MID($D2965,2,20))&lt;100000000,VALUE(MID($D2965,2,20)),1000000000),1000000000))+ROW()/100000,"")</f>
        <v/>
      </c>
    </row>
    <row r="2966">
      <c r="F2966" s="11" t="n"/>
      <c r="N2966" s="7">
        <f>IF($D2966="","",M2966*V2966/100)</f>
        <v/>
      </c>
      <c r="O2966" s="7" t="n"/>
      <c r="U2966" s="7" t="n"/>
      <c r="V2966" s="7" t="n"/>
      <c r="Y2966">
        <f>IF($D2966="","",IF($AN2966=1,0,IF($AM2966=1,Settings!$C$6,Settings!$C$7))*100)</f>
        <v/>
      </c>
      <c r="Z2966" s="7">
        <f>IF($D2966="","",V2966*Y2966/100)</f>
        <v/>
      </c>
      <c r="AA2966" s="7">
        <f>IF($D2966="","",V2966-Z2966)</f>
        <v/>
      </c>
      <c r="AB2966" s="7">
        <f>IF($D2966="","",AA2966-N2966)</f>
        <v/>
      </c>
      <c r="AF2966" s="7" t="n"/>
      <c r="AI2966" s="11" t="n"/>
      <c r="AK2966">
        <f>IF($D2966="","",IF(COUNTIF($D$2:$D2966,$D2966)=1,1,0))</f>
        <v/>
      </c>
      <c r="AL2966">
        <f>IF($AK2966=1,SUMPRODUCT(--($AO$2:$AO$3001&lt;$AO2966))+1,"")</f>
        <v/>
      </c>
      <c r="AM2966">
        <f>IF($D2966="","",IF(OR($R2966=TRUE(),$R2966="TRUE"),1,0))</f>
        <v/>
      </c>
      <c r="AN2966">
        <f>IF($D2966="","",IF($X2966="Yes",1,0))</f>
        <v/>
      </c>
      <c r="AO2966">
        <f>IF($AK2966=1,IFERROR(IF(VALUE($D2966)&lt;100000000,VALUE($D2966),1000000000),IFERROR(IF(VALUE(MID($D2966,2,20))&lt;100000000,VALUE(MID($D2966,2,20)),1000000000),1000000000))+ROW()/100000,"")</f>
        <v/>
      </c>
    </row>
    <row r="2967">
      <c r="F2967" s="11" t="n"/>
      <c r="N2967" s="7">
        <f>IF($D2967="","",M2967*V2967/100)</f>
        <v/>
      </c>
      <c r="O2967" s="7" t="n"/>
      <c r="U2967" s="7" t="n"/>
      <c r="V2967" s="7" t="n"/>
      <c r="Y2967">
        <f>IF($D2967="","",IF($AN2967=1,0,IF($AM2967=1,Settings!$C$6,Settings!$C$7))*100)</f>
        <v/>
      </c>
      <c r="Z2967" s="7">
        <f>IF($D2967="","",V2967*Y2967/100)</f>
        <v/>
      </c>
      <c r="AA2967" s="7">
        <f>IF($D2967="","",V2967-Z2967)</f>
        <v/>
      </c>
      <c r="AB2967" s="7">
        <f>IF($D2967="","",AA2967-N2967)</f>
        <v/>
      </c>
      <c r="AF2967" s="7" t="n"/>
      <c r="AI2967" s="11" t="n"/>
      <c r="AK2967">
        <f>IF($D2967="","",IF(COUNTIF($D$2:$D2967,$D2967)=1,1,0))</f>
        <v/>
      </c>
      <c r="AL2967">
        <f>IF($AK2967=1,SUMPRODUCT(--($AO$2:$AO$3001&lt;$AO2967))+1,"")</f>
        <v/>
      </c>
      <c r="AM2967">
        <f>IF($D2967="","",IF(OR($R2967=TRUE(),$R2967="TRUE"),1,0))</f>
        <v/>
      </c>
      <c r="AN2967">
        <f>IF($D2967="","",IF($X2967="Yes",1,0))</f>
        <v/>
      </c>
      <c r="AO2967">
        <f>IF($AK2967=1,IFERROR(IF(VALUE($D2967)&lt;100000000,VALUE($D2967),1000000000),IFERROR(IF(VALUE(MID($D2967,2,20))&lt;100000000,VALUE(MID($D2967,2,20)),1000000000),1000000000))+ROW()/100000,"")</f>
        <v/>
      </c>
    </row>
    <row r="2968">
      <c r="F2968" s="11" t="n"/>
      <c r="N2968" s="7">
        <f>IF($D2968="","",M2968*V2968/100)</f>
        <v/>
      </c>
      <c r="O2968" s="7" t="n"/>
      <c r="U2968" s="7" t="n"/>
      <c r="V2968" s="7" t="n"/>
      <c r="Y2968">
        <f>IF($D2968="","",IF($AN2968=1,0,IF($AM2968=1,Settings!$C$6,Settings!$C$7))*100)</f>
        <v/>
      </c>
      <c r="Z2968" s="7">
        <f>IF($D2968="","",V2968*Y2968/100)</f>
        <v/>
      </c>
      <c r="AA2968" s="7">
        <f>IF($D2968="","",V2968-Z2968)</f>
        <v/>
      </c>
      <c r="AB2968" s="7">
        <f>IF($D2968="","",AA2968-N2968)</f>
        <v/>
      </c>
      <c r="AF2968" s="7" t="n"/>
      <c r="AI2968" s="11" t="n"/>
      <c r="AK2968">
        <f>IF($D2968="","",IF(COUNTIF($D$2:$D2968,$D2968)=1,1,0))</f>
        <v/>
      </c>
      <c r="AL2968">
        <f>IF($AK2968=1,SUMPRODUCT(--($AO$2:$AO$3001&lt;$AO2968))+1,"")</f>
        <v/>
      </c>
      <c r="AM2968">
        <f>IF($D2968="","",IF(OR($R2968=TRUE(),$R2968="TRUE"),1,0))</f>
        <v/>
      </c>
      <c r="AN2968">
        <f>IF($D2968="","",IF($X2968="Yes",1,0))</f>
        <v/>
      </c>
      <c r="AO2968">
        <f>IF($AK2968=1,IFERROR(IF(VALUE($D2968)&lt;100000000,VALUE($D2968),1000000000),IFERROR(IF(VALUE(MID($D2968,2,20))&lt;100000000,VALUE(MID($D2968,2,20)),1000000000),1000000000))+ROW()/100000,"")</f>
        <v/>
      </c>
    </row>
    <row r="2969">
      <c r="F2969" s="11" t="n"/>
      <c r="N2969" s="7">
        <f>IF($D2969="","",M2969*V2969/100)</f>
        <v/>
      </c>
      <c r="O2969" s="7" t="n"/>
      <c r="U2969" s="7" t="n"/>
      <c r="V2969" s="7" t="n"/>
      <c r="Y2969">
        <f>IF($D2969="","",IF($AN2969=1,0,IF($AM2969=1,Settings!$C$6,Settings!$C$7))*100)</f>
        <v/>
      </c>
      <c r="Z2969" s="7">
        <f>IF($D2969="","",V2969*Y2969/100)</f>
        <v/>
      </c>
      <c r="AA2969" s="7">
        <f>IF($D2969="","",V2969-Z2969)</f>
        <v/>
      </c>
      <c r="AB2969" s="7">
        <f>IF($D2969="","",AA2969-N2969)</f>
        <v/>
      </c>
      <c r="AF2969" s="7" t="n"/>
      <c r="AI2969" s="11" t="n"/>
      <c r="AK2969">
        <f>IF($D2969="","",IF(COUNTIF($D$2:$D2969,$D2969)=1,1,0))</f>
        <v/>
      </c>
      <c r="AL2969">
        <f>IF($AK2969=1,SUMPRODUCT(--($AO$2:$AO$3001&lt;$AO2969))+1,"")</f>
        <v/>
      </c>
      <c r="AM2969">
        <f>IF($D2969="","",IF(OR($R2969=TRUE(),$R2969="TRUE"),1,0))</f>
        <v/>
      </c>
      <c r="AN2969">
        <f>IF($D2969="","",IF($X2969="Yes",1,0))</f>
        <v/>
      </c>
      <c r="AO2969">
        <f>IF($AK2969=1,IFERROR(IF(VALUE($D2969)&lt;100000000,VALUE($D2969),1000000000),IFERROR(IF(VALUE(MID($D2969,2,20))&lt;100000000,VALUE(MID($D2969,2,20)),1000000000),1000000000))+ROW()/100000,"")</f>
        <v/>
      </c>
    </row>
    <row r="2970">
      <c r="F2970" s="11" t="n"/>
      <c r="N2970" s="7">
        <f>IF($D2970="","",M2970*V2970/100)</f>
        <v/>
      </c>
      <c r="O2970" s="7" t="n"/>
      <c r="U2970" s="7" t="n"/>
      <c r="V2970" s="7" t="n"/>
      <c r="Y2970">
        <f>IF($D2970="","",IF($AN2970=1,0,IF($AM2970=1,Settings!$C$6,Settings!$C$7))*100)</f>
        <v/>
      </c>
      <c r="Z2970" s="7">
        <f>IF($D2970="","",V2970*Y2970/100)</f>
        <v/>
      </c>
      <c r="AA2970" s="7">
        <f>IF($D2970="","",V2970-Z2970)</f>
        <v/>
      </c>
      <c r="AB2970" s="7">
        <f>IF($D2970="","",AA2970-N2970)</f>
        <v/>
      </c>
      <c r="AF2970" s="7" t="n"/>
      <c r="AI2970" s="11" t="n"/>
      <c r="AK2970">
        <f>IF($D2970="","",IF(COUNTIF($D$2:$D2970,$D2970)=1,1,0))</f>
        <v/>
      </c>
      <c r="AL2970">
        <f>IF($AK2970=1,SUMPRODUCT(--($AO$2:$AO$3001&lt;$AO2970))+1,"")</f>
        <v/>
      </c>
      <c r="AM2970">
        <f>IF($D2970="","",IF(OR($R2970=TRUE(),$R2970="TRUE"),1,0))</f>
        <v/>
      </c>
      <c r="AN2970">
        <f>IF($D2970="","",IF($X2970="Yes",1,0))</f>
        <v/>
      </c>
      <c r="AO2970">
        <f>IF($AK2970=1,IFERROR(IF(VALUE($D2970)&lt;100000000,VALUE($D2970),1000000000),IFERROR(IF(VALUE(MID($D2970,2,20))&lt;100000000,VALUE(MID($D2970,2,20)),1000000000),1000000000))+ROW()/100000,"")</f>
        <v/>
      </c>
    </row>
    <row r="2971">
      <c r="F2971" s="11" t="n"/>
      <c r="N2971" s="7">
        <f>IF($D2971="","",M2971*V2971/100)</f>
        <v/>
      </c>
      <c r="O2971" s="7" t="n"/>
      <c r="U2971" s="7" t="n"/>
      <c r="V2971" s="7" t="n"/>
      <c r="Y2971">
        <f>IF($D2971="","",IF($AN2971=1,0,IF($AM2971=1,Settings!$C$6,Settings!$C$7))*100)</f>
        <v/>
      </c>
      <c r="Z2971" s="7">
        <f>IF($D2971="","",V2971*Y2971/100)</f>
        <v/>
      </c>
      <c r="AA2971" s="7">
        <f>IF($D2971="","",V2971-Z2971)</f>
        <v/>
      </c>
      <c r="AB2971" s="7">
        <f>IF($D2971="","",AA2971-N2971)</f>
        <v/>
      </c>
      <c r="AF2971" s="7" t="n"/>
      <c r="AI2971" s="11" t="n"/>
      <c r="AK2971">
        <f>IF($D2971="","",IF(COUNTIF($D$2:$D2971,$D2971)=1,1,0))</f>
        <v/>
      </c>
      <c r="AL2971">
        <f>IF($AK2971=1,SUMPRODUCT(--($AO$2:$AO$3001&lt;$AO2971))+1,"")</f>
        <v/>
      </c>
      <c r="AM2971">
        <f>IF($D2971="","",IF(OR($R2971=TRUE(),$R2971="TRUE"),1,0))</f>
        <v/>
      </c>
      <c r="AN2971">
        <f>IF($D2971="","",IF($X2971="Yes",1,0))</f>
        <v/>
      </c>
      <c r="AO2971">
        <f>IF($AK2971=1,IFERROR(IF(VALUE($D2971)&lt;100000000,VALUE($D2971),1000000000),IFERROR(IF(VALUE(MID($D2971,2,20))&lt;100000000,VALUE(MID($D2971,2,20)),1000000000),1000000000))+ROW()/100000,"")</f>
        <v/>
      </c>
    </row>
    <row r="2972">
      <c r="F2972" s="11" t="n"/>
      <c r="N2972" s="7">
        <f>IF($D2972="","",M2972*V2972/100)</f>
        <v/>
      </c>
      <c r="O2972" s="7" t="n"/>
      <c r="U2972" s="7" t="n"/>
      <c r="V2972" s="7" t="n"/>
      <c r="Y2972">
        <f>IF($D2972="","",IF($AN2972=1,0,IF($AM2972=1,Settings!$C$6,Settings!$C$7))*100)</f>
        <v/>
      </c>
      <c r="Z2972" s="7">
        <f>IF($D2972="","",V2972*Y2972/100)</f>
        <v/>
      </c>
      <c r="AA2972" s="7">
        <f>IF($D2972="","",V2972-Z2972)</f>
        <v/>
      </c>
      <c r="AB2972" s="7">
        <f>IF($D2972="","",AA2972-N2972)</f>
        <v/>
      </c>
      <c r="AF2972" s="7" t="n"/>
      <c r="AI2972" s="11" t="n"/>
      <c r="AK2972">
        <f>IF($D2972="","",IF(COUNTIF($D$2:$D2972,$D2972)=1,1,0))</f>
        <v/>
      </c>
      <c r="AL2972">
        <f>IF($AK2972=1,SUMPRODUCT(--($AO$2:$AO$3001&lt;$AO2972))+1,"")</f>
        <v/>
      </c>
      <c r="AM2972">
        <f>IF($D2972="","",IF(OR($R2972=TRUE(),$R2972="TRUE"),1,0))</f>
        <v/>
      </c>
      <c r="AN2972">
        <f>IF($D2972="","",IF($X2972="Yes",1,0))</f>
        <v/>
      </c>
      <c r="AO2972">
        <f>IF($AK2972=1,IFERROR(IF(VALUE($D2972)&lt;100000000,VALUE($D2972),1000000000),IFERROR(IF(VALUE(MID($D2972,2,20))&lt;100000000,VALUE(MID($D2972,2,20)),1000000000),1000000000))+ROW()/100000,"")</f>
        <v/>
      </c>
    </row>
    <row r="2973">
      <c r="F2973" s="11" t="n"/>
      <c r="N2973" s="7">
        <f>IF($D2973="","",M2973*V2973/100)</f>
        <v/>
      </c>
      <c r="O2973" s="7" t="n"/>
      <c r="U2973" s="7" t="n"/>
      <c r="V2973" s="7" t="n"/>
      <c r="Y2973">
        <f>IF($D2973="","",IF($AN2973=1,0,IF($AM2973=1,Settings!$C$6,Settings!$C$7))*100)</f>
        <v/>
      </c>
      <c r="Z2973" s="7">
        <f>IF($D2973="","",V2973*Y2973/100)</f>
        <v/>
      </c>
      <c r="AA2973" s="7">
        <f>IF($D2973="","",V2973-Z2973)</f>
        <v/>
      </c>
      <c r="AB2973" s="7">
        <f>IF($D2973="","",AA2973-N2973)</f>
        <v/>
      </c>
      <c r="AF2973" s="7" t="n"/>
      <c r="AI2973" s="11" t="n"/>
      <c r="AK2973">
        <f>IF($D2973="","",IF(COUNTIF($D$2:$D2973,$D2973)=1,1,0))</f>
        <v/>
      </c>
      <c r="AL2973">
        <f>IF($AK2973=1,SUMPRODUCT(--($AO$2:$AO$3001&lt;$AO2973))+1,"")</f>
        <v/>
      </c>
      <c r="AM2973">
        <f>IF($D2973="","",IF(OR($R2973=TRUE(),$R2973="TRUE"),1,0))</f>
        <v/>
      </c>
      <c r="AN2973">
        <f>IF($D2973="","",IF($X2973="Yes",1,0))</f>
        <v/>
      </c>
      <c r="AO2973">
        <f>IF($AK2973=1,IFERROR(IF(VALUE($D2973)&lt;100000000,VALUE($D2973),1000000000),IFERROR(IF(VALUE(MID($D2973,2,20))&lt;100000000,VALUE(MID($D2973,2,20)),1000000000),1000000000))+ROW()/100000,"")</f>
        <v/>
      </c>
    </row>
    <row r="2974">
      <c r="F2974" s="11" t="n"/>
      <c r="N2974" s="7">
        <f>IF($D2974="","",M2974*V2974/100)</f>
        <v/>
      </c>
      <c r="O2974" s="7" t="n"/>
      <c r="U2974" s="7" t="n"/>
      <c r="V2974" s="7" t="n"/>
      <c r="Y2974">
        <f>IF($D2974="","",IF($AN2974=1,0,IF($AM2974=1,Settings!$C$6,Settings!$C$7))*100)</f>
        <v/>
      </c>
      <c r="Z2974" s="7">
        <f>IF($D2974="","",V2974*Y2974/100)</f>
        <v/>
      </c>
      <c r="AA2974" s="7">
        <f>IF($D2974="","",V2974-Z2974)</f>
        <v/>
      </c>
      <c r="AB2974" s="7">
        <f>IF($D2974="","",AA2974-N2974)</f>
        <v/>
      </c>
      <c r="AF2974" s="7" t="n"/>
      <c r="AI2974" s="11" t="n"/>
      <c r="AK2974">
        <f>IF($D2974="","",IF(COUNTIF($D$2:$D2974,$D2974)=1,1,0))</f>
        <v/>
      </c>
      <c r="AL2974">
        <f>IF($AK2974=1,SUMPRODUCT(--($AO$2:$AO$3001&lt;$AO2974))+1,"")</f>
        <v/>
      </c>
      <c r="AM2974">
        <f>IF($D2974="","",IF(OR($R2974=TRUE(),$R2974="TRUE"),1,0))</f>
        <v/>
      </c>
      <c r="AN2974">
        <f>IF($D2974="","",IF($X2974="Yes",1,0))</f>
        <v/>
      </c>
      <c r="AO2974">
        <f>IF($AK2974=1,IFERROR(IF(VALUE($D2974)&lt;100000000,VALUE($D2974),1000000000),IFERROR(IF(VALUE(MID($D2974,2,20))&lt;100000000,VALUE(MID($D2974,2,20)),1000000000),1000000000))+ROW()/100000,"")</f>
        <v/>
      </c>
    </row>
    <row r="2975">
      <c r="F2975" s="11" t="n"/>
      <c r="N2975" s="7">
        <f>IF($D2975="","",M2975*V2975/100)</f>
        <v/>
      </c>
      <c r="O2975" s="7" t="n"/>
      <c r="U2975" s="7" t="n"/>
      <c r="V2975" s="7" t="n"/>
      <c r="Y2975">
        <f>IF($D2975="","",IF($AN2975=1,0,IF($AM2975=1,Settings!$C$6,Settings!$C$7))*100)</f>
        <v/>
      </c>
      <c r="Z2975" s="7">
        <f>IF($D2975="","",V2975*Y2975/100)</f>
        <v/>
      </c>
      <c r="AA2975" s="7">
        <f>IF($D2975="","",V2975-Z2975)</f>
        <v/>
      </c>
      <c r="AB2975" s="7">
        <f>IF($D2975="","",AA2975-N2975)</f>
        <v/>
      </c>
      <c r="AF2975" s="7" t="n"/>
      <c r="AI2975" s="11" t="n"/>
      <c r="AK2975">
        <f>IF($D2975="","",IF(COUNTIF($D$2:$D2975,$D2975)=1,1,0))</f>
        <v/>
      </c>
      <c r="AL2975">
        <f>IF($AK2975=1,SUMPRODUCT(--($AO$2:$AO$3001&lt;$AO2975))+1,"")</f>
        <v/>
      </c>
      <c r="AM2975">
        <f>IF($D2975="","",IF(OR($R2975=TRUE(),$R2975="TRUE"),1,0))</f>
        <v/>
      </c>
      <c r="AN2975">
        <f>IF($D2975="","",IF($X2975="Yes",1,0))</f>
        <v/>
      </c>
      <c r="AO2975">
        <f>IF($AK2975=1,IFERROR(IF(VALUE($D2975)&lt;100000000,VALUE($D2975),1000000000),IFERROR(IF(VALUE(MID($D2975,2,20))&lt;100000000,VALUE(MID($D2975,2,20)),1000000000),1000000000))+ROW()/100000,"")</f>
        <v/>
      </c>
    </row>
    <row r="2976">
      <c r="F2976" s="11" t="n"/>
      <c r="N2976" s="7">
        <f>IF($D2976="","",M2976*V2976/100)</f>
        <v/>
      </c>
      <c r="O2976" s="7" t="n"/>
      <c r="U2976" s="7" t="n"/>
      <c r="V2976" s="7" t="n"/>
      <c r="Y2976">
        <f>IF($D2976="","",IF($AN2976=1,0,IF($AM2976=1,Settings!$C$6,Settings!$C$7))*100)</f>
        <v/>
      </c>
      <c r="Z2976" s="7">
        <f>IF($D2976="","",V2976*Y2976/100)</f>
        <v/>
      </c>
      <c r="AA2976" s="7">
        <f>IF($D2976="","",V2976-Z2976)</f>
        <v/>
      </c>
      <c r="AB2976" s="7">
        <f>IF($D2976="","",AA2976-N2976)</f>
        <v/>
      </c>
      <c r="AF2976" s="7" t="n"/>
      <c r="AI2976" s="11" t="n"/>
      <c r="AK2976">
        <f>IF($D2976="","",IF(COUNTIF($D$2:$D2976,$D2976)=1,1,0))</f>
        <v/>
      </c>
      <c r="AL2976">
        <f>IF($AK2976=1,SUMPRODUCT(--($AO$2:$AO$3001&lt;$AO2976))+1,"")</f>
        <v/>
      </c>
      <c r="AM2976">
        <f>IF($D2976="","",IF(OR($R2976=TRUE(),$R2976="TRUE"),1,0))</f>
        <v/>
      </c>
      <c r="AN2976">
        <f>IF($D2976="","",IF($X2976="Yes",1,0))</f>
        <v/>
      </c>
      <c r="AO2976">
        <f>IF($AK2976=1,IFERROR(IF(VALUE($D2976)&lt;100000000,VALUE($D2976),1000000000),IFERROR(IF(VALUE(MID($D2976,2,20))&lt;100000000,VALUE(MID($D2976,2,20)),1000000000),1000000000))+ROW()/100000,"")</f>
        <v/>
      </c>
    </row>
    <row r="2977">
      <c r="F2977" s="11" t="n"/>
      <c r="N2977" s="7">
        <f>IF($D2977="","",M2977*V2977/100)</f>
        <v/>
      </c>
      <c r="O2977" s="7" t="n"/>
      <c r="U2977" s="7" t="n"/>
      <c r="V2977" s="7" t="n"/>
      <c r="Y2977">
        <f>IF($D2977="","",IF($AN2977=1,0,IF($AM2977=1,Settings!$C$6,Settings!$C$7))*100)</f>
        <v/>
      </c>
      <c r="Z2977" s="7">
        <f>IF($D2977="","",V2977*Y2977/100)</f>
        <v/>
      </c>
      <c r="AA2977" s="7">
        <f>IF($D2977="","",V2977-Z2977)</f>
        <v/>
      </c>
      <c r="AB2977" s="7">
        <f>IF($D2977="","",AA2977-N2977)</f>
        <v/>
      </c>
      <c r="AF2977" s="7" t="n"/>
      <c r="AI2977" s="11" t="n"/>
      <c r="AK2977">
        <f>IF($D2977="","",IF(COUNTIF($D$2:$D2977,$D2977)=1,1,0))</f>
        <v/>
      </c>
      <c r="AL2977">
        <f>IF($AK2977=1,SUMPRODUCT(--($AO$2:$AO$3001&lt;$AO2977))+1,"")</f>
        <v/>
      </c>
      <c r="AM2977">
        <f>IF($D2977="","",IF(OR($R2977=TRUE(),$R2977="TRUE"),1,0))</f>
        <v/>
      </c>
      <c r="AN2977">
        <f>IF($D2977="","",IF($X2977="Yes",1,0))</f>
        <v/>
      </c>
      <c r="AO2977">
        <f>IF($AK2977=1,IFERROR(IF(VALUE($D2977)&lt;100000000,VALUE($D2977),1000000000),IFERROR(IF(VALUE(MID($D2977,2,20))&lt;100000000,VALUE(MID($D2977,2,20)),1000000000),1000000000))+ROW()/100000,"")</f>
        <v/>
      </c>
    </row>
    <row r="2978">
      <c r="F2978" s="11" t="n"/>
      <c r="N2978" s="7">
        <f>IF($D2978="","",M2978*V2978/100)</f>
        <v/>
      </c>
      <c r="O2978" s="7" t="n"/>
      <c r="U2978" s="7" t="n"/>
      <c r="V2978" s="7" t="n"/>
      <c r="Y2978">
        <f>IF($D2978="","",IF($AN2978=1,0,IF($AM2978=1,Settings!$C$6,Settings!$C$7))*100)</f>
        <v/>
      </c>
      <c r="Z2978" s="7">
        <f>IF($D2978="","",V2978*Y2978/100)</f>
        <v/>
      </c>
      <c r="AA2978" s="7">
        <f>IF($D2978="","",V2978-Z2978)</f>
        <v/>
      </c>
      <c r="AB2978" s="7">
        <f>IF($D2978="","",AA2978-N2978)</f>
        <v/>
      </c>
      <c r="AF2978" s="7" t="n"/>
      <c r="AI2978" s="11" t="n"/>
      <c r="AK2978">
        <f>IF($D2978="","",IF(COUNTIF($D$2:$D2978,$D2978)=1,1,0))</f>
        <v/>
      </c>
      <c r="AL2978">
        <f>IF($AK2978=1,SUMPRODUCT(--($AO$2:$AO$3001&lt;$AO2978))+1,"")</f>
        <v/>
      </c>
      <c r="AM2978">
        <f>IF($D2978="","",IF(OR($R2978=TRUE(),$R2978="TRUE"),1,0))</f>
        <v/>
      </c>
      <c r="AN2978">
        <f>IF($D2978="","",IF($X2978="Yes",1,0))</f>
        <v/>
      </c>
      <c r="AO2978">
        <f>IF($AK2978=1,IFERROR(IF(VALUE($D2978)&lt;100000000,VALUE($D2978),1000000000),IFERROR(IF(VALUE(MID($D2978,2,20))&lt;100000000,VALUE(MID($D2978,2,20)),1000000000),1000000000))+ROW()/100000,"")</f>
        <v/>
      </c>
    </row>
    <row r="2979">
      <c r="F2979" s="11" t="n"/>
      <c r="N2979" s="7">
        <f>IF($D2979="","",M2979*V2979/100)</f>
        <v/>
      </c>
      <c r="O2979" s="7" t="n"/>
      <c r="U2979" s="7" t="n"/>
      <c r="V2979" s="7" t="n"/>
      <c r="Y2979">
        <f>IF($D2979="","",IF($AN2979=1,0,IF($AM2979=1,Settings!$C$6,Settings!$C$7))*100)</f>
        <v/>
      </c>
      <c r="Z2979" s="7">
        <f>IF($D2979="","",V2979*Y2979/100)</f>
        <v/>
      </c>
      <c r="AA2979" s="7">
        <f>IF($D2979="","",V2979-Z2979)</f>
        <v/>
      </c>
      <c r="AB2979" s="7">
        <f>IF($D2979="","",AA2979-N2979)</f>
        <v/>
      </c>
      <c r="AF2979" s="7" t="n"/>
      <c r="AI2979" s="11" t="n"/>
      <c r="AK2979">
        <f>IF($D2979="","",IF(COUNTIF($D$2:$D2979,$D2979)=1,1,0))</f>
        <v/>
      </c>
      <c r="AL2979">
        <f>IF($AK2979=1,SUMPRODUCT(--($AO$2:$AO$3001&lt;$AO2979))+1,"")</f>
        <v/>
      </c>
      <c r="AM2979">
        <f>IF($D2979="","",IF(OR($R2979=TRUE(),$R2979="TRUE"),1,0))</f>
        <v/>
      </c>
      <c r="AN2979">
        <f>IF($D2979="","",IF($X2979="Yes",1,0))</f>
        <v/>
      </c>
      <c r="AO2979">
        <f>IF($AK2979=1,IFERROR(IF(VALUE($D2979)&lt;100000000,VALUE($D2979),1000000000),IFERROR(IF(VALUE(MID($D2979,2,20))&lt;100000000,VALUE(MID($D2979,2,20)),1000000000),1000000000))+ROW()/100000,"")</f>
        <v/>
      </c>
    </row>
    <row r="2980">
      <c r="F2980" s="11" t="n"/>
      <c r="N2980" s="7">
        <f>IF($D2980="","",M2980*V2980/100)</f>
        <v/>
      </c>
      <c r="O2980" s="7" t="n"/>
      <c r="U2980" s="7" t="n"/>
      <c r="V2980" s="7" t="n"/>
      <c r="Y2980">
        <f>IF($D2980="","",IF($AN2980=1,0,IF($AM2980=1,Settings!$C$6,Settings!$C$7))*100)</f>
        <v/>
      </c>
      <c r="Z2980" s="7">
        <f>IF($D2980="","",V2980*Y2980/100)</f>
        <v/>
      </c>
      <c r="AA2980" s="7">
        <f>IF($D2980="","",V2980-Z2980)</f>
        <v/>
      </c>
      <c r="AB2980" s="7">
        <f>IF($D2980="","",AA2980-N2980)</f>
        <v/>
      </c>
      <c r="AF2980" s="7" t="n"/>
      <c r="AI2980" s="11" t="n"/>
      <c r="AK2980">
        <f>IF($D2980="","",IF(COUNTIF($D$2:$D2980,$D2980)=1,1,0))</f>
        <v/>
      </c>
      <c r="AL2980">
        <f>IF($AK2980=1,SUMPRODUCT(--($AO$2:$AO$3001&lt;$AO2980))+1,"")</f>
        <v/>
      </c>
      <c r="AM2980">
        <f>IF($D2980="","",IF(OR($R2980=TRUE(),$R2980="TRUE"),1,0))</f>
        <v/>
      </c>
      <c r="AN2980">
        <f>IF($D2980="","",IF($X2980="Yes",1,0))</f>
        <v/>
      </c>
      <c r="AO2980">
        <f>IF($AK2980=1,IFERROR(IF(VALUE($D2980)&lt;100000000,VALUE($D2980),1000000000),IFERROR(IF(VALUE(MID($D2980,2,20))&lt;100000000,VALUE(MID($D2980,2,20)),1000000000),1000000000))+ROW()/100000,"")</f>
        <v/>
      </c>
    </row>
    <row r="2981">
      <c r="F2981" s="11" t="n"/>
      <c r="N2981" s="7">
        <f>IF($D2981="","",M2981*V2981/100)</f>
        <v/>
      </c>
      <c r="O2981" s="7" t="n"/>
      <c r="U2981" s="7" t="n"/>
      <c r="V2981" s="7" t="n"/>
      <c r="Y2981">
        <f>IF($D2981="","",IF($AN2981=1,0,IF($AM2981=1,Settings!$C$6,Settings!$C$7))*100)</f>
        <v/>
      </c>
      <c r="Z2981" s="7">
        <f>IF($D2981="","",V2981*Y2981/100)</f>
        <v/>
      </c>
      <c r="AA2981" s="7">
        <f>IF($D2981="","",V2981-Z2981)</f>
        <v/>
      </c>
      <c r="AB2981" s="7">
        <f>IF($D2981="","",AA2981-N2981)</f>
        <v/>
      </c>
      <c r="AF2981" s="7" t="n"/>
      <c r="AI2981" s="11" t="n"/>
      <c r="AK2981">
        <f>IF($D2981="","",IF(COUNTIF($D$2:$D2981,$D2981)=1,1,0))</f>
        <v/>
      </c>
      <c r="AL2981">
        <f>IF($AK2981=1,SUMPRODUCT(--($AO$2:$AO$3001&lt;$AO2981))+1,"")</f>
        <v/>
      </c>
      <c r="AM2981">
        <f>IF($D2981="","",IF(OR($R2981=TRUE(),$R2981="TRUE"),1,0))</f>
        <v/>
      </c>
      <c r="AN2981">
        <f>IF($D2981="","",IF($X2981="Yes",1,0))</f>
        <v/>
      </c>
      <c r="AO2981">
        <f>IF($AK2981=1,IFERROR(IF(VALUE($D2981)&lt;100000000,VALUE($D2981),1000000000),IFERROR(IF(VALUE(MID($D2981,2,20))&lt;100000000,VALUE(MID($D2981,2,20)),1000000000),1000000000))+ROW()/100000,"")</f>
        <v/>
      </c>
    </row>
    <row r="2982">
      <c r="F2982" s="11" t="n"/>
      <c r="N2982" s="7">
        <f>IF($D2982="","",M2982*V2982/100)</f>
        <v/>
      </c>
      <c r="O2982" s="7" t="n"/>
      <c r="U2982" s="7" t="n"/>
      <c r="V2982" s="7" t="n"/>
      <c r="Y2982">
        <f>IF($D2982="","",IF($AN2982=1,0,IF($AM2982=1,Settings!$C$6,Settings!$C$7))*100)</f>
        <v/>
      </c>
      <c r="Z2982" s="7">
        <f>IF($D2982="","",V2982*Y2982/100)</f>
        <v/>
      </c>
      <c r="AA2982" s="7">
        <f>IF($D2982="","",V2982-Z2982)</f>
        <v/>
      </c>
      <c r="AB2982" s="7">
        <f>IF($D2982="","",AA2982-N2982)</f>
        <v/>
      </c>
      <c r="AF2982" s="7" t="n"/>
      <c r="AI2982" s="11" t="n"/>
      <c r="AK2982">
        <f>IF($D2982="","",IF(COUNTIF($D$2:$D2982,$D2982)=1,1,0))</f>
        <v/>
      </c>
      <c r="AL2982">
        <f>IF($AK2982=1,SUMPRODUCT(--($AO$2:$AO$3001&lt;$AO2982))+1,"")</f>
        <v/>
      </c>
      <c r="AM2982">
        <f>IF($D2982="","",IF(OR($R2982=TRUE(),$R2982="TRUE"),1,0))</f>
        <v/>
      </c>
      <c r="AN2982">
        <f>IF($D2982="","",IF($X2982="Yes",1,0))</f>
        <v/>
      </c>
      <c r="AO2982">
        <f>IF($AK2982=1,IFERROR(IF(VALUE($D2982)&lt;100000000,VALUE($D2982),1000000000),IFERROR(IF(VALUE(MID($D2982,2,20))&lt;100000000,VALUE(MID($D2982,2,20)),1000000000),1000000000))+ROW()/100000,"")</f>
        <v/>
      </c>
    </row>
    <row r="2983">
      <c r="F2983" s="11" t="n"/>
      <c r="N2983" s="7">
        <f>IF($D2983="","",M2983*V2983/100)</f>
        <v/>
      </c>
      <c r="O2983" s="7" t="n"/>
      <c r="U2983" s="7" t="n"/>
      <c r="V2983" s="7" t="n"/>
      <c r="Y2983">
        <f>IF($D2983="","",IF($AN2983=1,0,IF($AM2983=1,Settings!$C$6,Settings!$C$7))*100)</f>
        <v/>
      </c>
      <c r="Z2983" s="7">
        <f>IF($D2983="","",V2983*Y2983/100)</f>
        <v/>
      </c>
      <c r="AA2983" s="7">
        <f>IF($D2983="","",V2983-Z2983)</f>
        <v/>
      </c>
      <c r="AB2983" s="7">
        <f>IF($D2983="","",AA2983-N2983)</f>
        <v/>
      </c>
      <c r="AF2983" s="7" t="n"/>
      <c r="AI2983" s="11" t="n"/>
      <c r="AK2983">
        <f>IF($D2983="","",IF(COUNTIF($D$2:$D2983,$D2983)=1,1,0))</f>
        <v/>
      </c>
      <c r="AL2983">
        <f>IF($AK2983=1,SUMPRODUCT(--($AO$2:$AO$3001&lt;$AO2983))+1,"")</f>
        <v/>
      </c>
      <c r="AM2983">
        <f>IF($D2983="","",IF(OR($R2983=TRUE(),$R2983="TRUE"),1,0))</f>
        <v/>
      </c>
      <c r="AN2983">
        <f>IF($D2983="","",IF($X2983="Yes",1,0))</f>
        <v/>
      </c>
      <c r="AO2983">
        <f>IF($AK2983=1,IFERROR(IF(VALUE($D2983)&lt;100000000,VALUE($D2983),1000000000),IFERROR(IF(VALUE(MID($D2983,2,20))&lt;100000000,VALUE(MID($D2983,2,20)),1000000000),1000000000))+ROW()/100000,"")</f>
        <v/>
      </c>
    </row>
    <row r="2984">
      <c r="F2984" s="11" t="n"/>
      <c r="N2984" s="7">
        <f>IF($D2984="","",M2984*V2984/100)</f>
        <v/>
      </c>
      <c r="O2984" s="7" t="n"/>
      <c r="U2984" s="7" t="n"/>
      <c r="V2984" s="7" t="n"/>
      <c r="Y2984">
        <f>IF($D2984="","",IF($AN2984=1,0,IF($AM2984=1,Settings!$C$6,Settings!$C$7))*100)</f>
        <v/>
      </c>
      <c r="Z2984" s="7">
        <f>IF($D2984="","",V2984*Y2984/100)</f>
        <v/>
      </c>
      <c r="AA2984" s="7">
        <f>IF($D2984="","",V2984-Z2984)</f>
        <v/>
      </c>
      <c r="AB2984" s="7">
        <f>IF($D2984="","",AA2984-N2984)</f>
        <v/>
      </c>
      <c r="AF2984" s="7" t="n"/>
      <c r="AI2984" s="11" t="n"/>
      <c r="AK2984">
        <f>IF($D2984="","",IF(COUNTIF($D$2:$D2984,$D2984)=1,1,0))</f>
        <v/>
      </c>
      <c r="AL2984">
        <f>IF($AK2984=1,SUMPRODUCT(--($AO$2:$AO$3001&lt;$AO2984))+1,"")</f>
        <v/>
      </c>
      <c r="AM2984">
        <f>IF($D2984="","",IF(OR($R2984=TRUE(),$R2984="TRUE"),1,0))</f>
        <v/>
      </c>
      <c r="AN2984">
        <f>IF($D2984="","",IF($X2984="Yes",1,0))</f>
        <v/>
      </c>
      <c r="AO2984">
        <f>IF($AK2984=1,IFERROR(IF(VALUE($D2984)&lt;100000000,VALUE($D2984),1000000000),IFERROR(IF(VALUE(MID($D2984,2,20))&lt;100000000,VALUE(MID($D2984,2,20)),1000000000),1000000000))+ROW()/100000,"")</f>
        <v/>
      </c>
    </row>
    <row r="2985">
      <c r="F2985" s="11" t="n"/>
      <c r="N2985" s="7">
        <f>IF($D2985="","",M2985*V2985/100)</f>
        <v/>
      </c>
      <c r="O2985" s="7" t="n"/>
      <c r="U2985" s="7" t="n"/>
      <c r="V2985" s="7" t="n"/>
      <c r="Y2985">
        <f>IF($D2985="","",IF($AN2985=1,0,IF($AM2985=1,Settings!$C$6,Settings!$C$7))*100)</f>
        <v/>
      </c>
      <c r="Z2985" s="7">
        <f>IF($D2985="","",V2985*Y2985/100)</f>
        <v/>
      </c>
      <c r="AA2985" s="7">
        <f>IF($D2985="","",V2985-Z2985)</f>
        <v/>
      </c>
      <c r="AB2985" s="7">
        <f>IF($D2985="","",AA2985-N2985)</f>
        <v/>
      </c>
      <c r="AF2985" s="7" t="n"/>
      <c r="AI2985" s="11" t="n"/>
      <c r="AK2985">
        <f>IF($D2985="","",IF(COUNTIF($D$2:$D2985,$D2985)=1,1,0))</f>
        <v/>
      </c>
      <c r="AL2985">
        <f>IF($AK2985=1,SUMPRODUCT(--($AO$2:$AO$3001&lt;$AO2985))+1,"")</f>
        <v/>
      </c>
      <c r="AM2985">
        <f>IF($D2985="","",IF(OR($R2985=TRUE(),$R2985="TRUE"),1,0))</f>
        <v/>
      </c>
      <c r="AN2985">
        <f>IF($D2985="","",IF($X2985="Yes",1,0))</f>
        <v/>
      </c>
      <c r="AO2985">
        <f>IF($AK2985=1,IFERROR(IF(VALUE($D2985)&lt;100000000,VALUE($D2985),1000000000),IFERROR(IF(VALUE(MID($D2985,2,20))&lt;100000000,VALUE(MID($D2985,2,20)),1000000000),1000000000))+ROW()/100000,"")</f>
        <v/>
      </c>
    </row>
    <row r="2986">
      <c r="F2986" s="11" t="n"/>
      <c r="N2986" s="7">
        <f>IF($D2986="","",M2986*V2986/100)</f>
        <v/>
      </c>
      <c r="O2986" s="7" t="n"/>
      <c r="U2986" s="7" t="n"/>
      <c r="V2986" s="7" t="n"/>
      <c r="Y2986">
        <f>IF($D2986="","",IF($AN2986=1,0,IF($AM2986=1,Settings!$C$6,Settings!$C$7))*100)</f>
        <v/>
      </c>
      <c r="Z2986" s="7">
        <f>IF($D2986="","",V2986*Y2986/100)</f>
        <v/>
      </c>
      <c r="AA2986" s="7">
        <f>IF($D2986="","",V2986-Z2986)</f>
        <v/>
      </c>
      <c r="AB2986" s="7">
        <f>IF($D2986="","",AA2986-N2986)</f>
        <v/>
      </c>
      <c r="AF2986" s="7" t="n"/>
      <c r="AI2986" s="11" t="n"/>
      <c r="AK2986">
        <f>IF($D2986="","",IF(COUNTIF($D$2:$D2986,$D2986)=1,1,0))</f>
        <v/>
      </c>
      <c r="AL2986">
        <f>IF($AK2986=1,SUMPRODUCT(--($AO$2:$AO$3001&lt;$AO2986))+1,"")</f>
        <v/>
      </c>
      <c r="AM2986">
        <f>IF($D2986="","",IF(OR($R2986=TRUE(),$R2986="TRUE"),1,0))</f>
        <v/>
      </c>
      <c r="AN2986">
        <f>IF($D2986="","",IF($X2986="Yes",1,0))</f>
        <v/>
      </c>
      <c r="AO2986">
        <f>IF($AK2986=1,IFERROR(IF(VALUE($D2986)&lt;100000000,VALUE($D2986),1000000000),IFERROR(IF(VALUE(MID($D2986,2,20))&lt;100000000,VALUE(MID($D2986,2,20)),1000000000),1000000000))+ROW()/100000,"")</f>
        <v/>
      </c>
    </row>
    <row r="2987">
      <c r="F2987" s="11" t="n"/>
      <c r="N2987" s="7">
        <f>IF($D2987="","",M2987*V2987/100)</f>
        <v/>
      </c>
      <c r="O2987" s="7" t="n"/>
      <c r="U2987" s="7" t="n"/>
      <c r="V2987" s="7" t="n"/>
      <c r="Y2987">
        <f>IF($D2987="","",IF($AN2987=1,0,IF($AM2987=1,Settings!$C$6,Settings!$C$7))*100)</f>
        <v/>
      </c>
      <c r="Z2987" s="7">
        <f>IF($D2987="","",V2987*Y2987/100)</f>
        <v/>
      </c>
      <c r="AA2987" s="7">
        <f>IF($D2987="","",V2987-Z2987)</f>
        <v/>
      </c>
      <c r="AB2987" s="7">
        <f>IF($D2987="","",AA2987-N2987)</f>
        <v/>
      </c>
      <c r="AF2987" s="7" t="n"/>
      <c r="AI2987" s="11" t="n"/>
      <c r="AK2987">
        <f>IF($D2987="","",IF(COUNTIF($D$2:$D2987,$D2987)=1,1,0))</f>
        <v/>
      </c>
      <c r="AL2987">
        <f>IF($AK2987=1,SUMPRODUCT(--($AO$2:$AO$3001&lt;$AO2987))+1,"")</f>
        <v/>
      </c>
      <c r="AM2987">
        <f>IF($D2987="","",IF(OR($R2987=TRUE(),$R2987="TRUE"),1,0))</f>
        <v/>
      </c>
      <c r="AN2987">
        <f>IF($D2987="","",IF($X2987="Yes",1,0))</f>
        <v/>
      </c>
      <c r="AO2987">
        <f>IF($AK2987=1,IFERROR(IF(VALUE($D2987)&lt;100000000,VALUE($D2987),1000000000),IFERROR(IF(VALUE(MID($D2987,2,20))&lt;100000000,VALUE(MID($D2987,2,20)),1000000000),1000000000))+ROW()/100000,"")</f>
        <v/>
      </c>
    </row>
    <row r="2988">
      <c r="F2988" s="11" t="n"/>
      <c r="N2988" s="7">
        <f>IF($D2988="","",M2988*V2988/100)</f>
        <v/>
      </c>
      <c r="O2988" s="7" t="n"/>
      <c r="U2988" s="7" t="n"/>
      <c r="V2988" s="7" t="n"/>
      <c r="Y2988">
        <f>IF($D2988="","",IF($AN2988=1,0,IF($AM2988=1,Settings!$C$6,Settings!$C$7))*100)</f>
        <v/>
      </c>
      <c r="Z2988" s="7">
        <f>IF($D2988="","",V2988*Y2988/100)</f>
        <v/>
      </c>
      <c r="AA2988" s="7">
        <f>IF($D2988="","",V2988-Z2988)</f>
        <v/>
      </c>
      <c r="AB2988" s="7">
        <f>IF($D2988="","",AA2988-N2988)</f>
        <v/>
      </c>
      <c r="AF2988" s="7" t="n"/>
      <c r="AI2988" s="11" t="n"/>
      <c r="AK2988">
        <f>IF($D2988="","",IF(COUNTIF($D$2:$D2988,$D2988)=1,1,0))</f>
        <v/>
      </c>
      <c r="AL2988">
        <f>IF($AK2988=1,SUMPRODUCT(--($AO$2:$AO$3001&lt;$AO2988))+1,"")</f>
        <v/>
      </c>
      <c r="AM2988">
        <f>IF($D2988="","",IF(OR($R2988=TRUE(),$R2988="TRUE"),1,0))</f>
        <v/>
      </c>
      <c r="AN2988">
        <f>IF($D2988="","",IF($X2988="Yes",1,0))</f>
        <v/>
      </c>
      <c r="AO2988">
        <f>IF($AK2988=1,IFERROR(IF(VALUE($D2988)&lt;100000000,VALUE($D2988),1000000000),IFERROR(IF(VALUE(MID($D2988,2,20))&lt;100000000,VALUE(MID($D2988,2,20)),1000000000),1000000000))+ROW()/100000,"")</f>
        <v/>
      </c>
    </row>
    <row r="2989">
      <c r="F2989" s="11" t="n"/>
      <c r="N2989" s="7">
        <f>IF($D2989="","",M2989*V2989/100)</f>
        <v/>
      </c>
      <c r="O2989" s="7" t="n"/>
      <c r="U2989" s="7" t="n"/>
      <c r="V2989" s="7" t="n"/>
      <c r="Y2989">
        <f>IF($D2989="","",IF($AN2989=1,0,IF($AM2989=1,Settings!$C$6,Settings!$C$7))*100)</f>
        <v/>
      </c>
      <c r="Z2989" s="7">
        <f>IF($D2989="","",V2989*Y2989/100)</f>
        <v/>
      </c>
      <c r="AA2989" s="7">
        <f>IF($D2989="","",V2989-Z2989)</f>
        <v/>
      </c>
      <c r="AB2989" s="7">
        <f>IF($D2989="","",AA2989-N2989)</f>
        <v/>
      </c>
      <c r="AF2989" s="7" t="n"/>
      <c r="AI2989" s="11" t="n"/>
      <c r="AK2989">
        <f>IF($D2989="","",IF(COUNTIF($D$2:$D2989,$D2989)=1,1,0))</f>
        <v/>
      </c>
      <c r="AL2989">
        <f>IF($AK2989=1,SUMPRODUCT(--($AO$2:$AO$3001&lt;$AO2989))+1,"")</f>
        <v/>
      </c>
      <c r="AM2989">
        <f>IF($D2989="","",IF(OR($R2989=TRUE(),$R2989="TRUE"),1,0))</f>
        <v/>
      </c>
      <c r="AN2989">
        <f>IF($D2989="","",IF($X2989="Yes",1,0))</f>
        <v/>
      </c>
      <c r="AO2989">
        <f>IF($AK2989=1,IFERROR(IF(VALUE($D2989)&lt;100000000,VALUE($D2989),1000000000),IFERROR(IF(VALUE(MID($D2989,2,20))&lt;100000000,VALUE(MID($D2989,2,20)),1000000000),1000000000))+ROW()/100000,"")</f>
        <v/>
      </c>
    </row>
    <row r="2990">
      <c r="F2990" s="11" t="n"/>
      <c r="N2990" s="7">
        <f>IF($D2990="","",M2990*V2990/100)</f>
        <v/>
      </c>
      <c r="O2990" s="7" t="n"/>
      <c r="U2990" s="7" t="n"/>
      <c r="V2990" s="7" t="n"/>
      <c r="Y2990">
        <f>IF($D2990="","",IF($AN2990=1,0,IF($AM2990=1,Settings!$C$6,Settings!$C$7))*100)</f>
        <v/>
      </c>
      <c r="Z2990" s="7">
        <f>IF($D2990="","",V2990*Y2990/100)</f>
        <v/>
      </c>
      <c r="AA2990" s="7">
        <f>IF($D2990="","",V2990-Z2990)</f>
        <v/>
      </c>
      <c r="AB2990" s="7">
        <f>IF($D2990="","",AA2990-N2990)</f>
        <v/>
      </c>
      <c r="AF2990" s="7" t="n"/>
      <c r="AI2990" s="11" t="n"/>
      <c r="AK2990">
        <f>IF($D2990="","",IF(COUNTIF($D$2:$D2990,$D2990)=1,1,0))</f>
        <v/>
      </c>
      <c r="AL2990">
        <f>IF($AK2990=1,SUMPRODUCT(--($AO$2:$AO$3001&lt;$AO2990))+1,"")</f>
        <v/>
      </c>
      <c r="AM2990">
        <f>IF($D2990="","",IF(OR($R2990=TRUE(),$R2990="TRUE"),1,0))</f>
        <v/>
      </c>
      <c r="AN2990">
        <f>IF($D2990="","",IF($X2990="Yes",1,0))</f>
        <v/>
      </c>
      <c r="AO2990">
        <f>IF($AK2990=1,IFERROR(IF(VALUE($D2990)&lt;100000000,VALUE($D2990),1000000000),IFERROR(IF(VALUE(MID($D2990,2,20))&lt;100000000,VALUE(MID($D2990,2,20)),1000000000),1000000000))+ROW()/100000,"")</f>
        <v/>
      </c>
    </row>
    <row r="2991">
      <c r="F2991" s="11" t="n"/>
      <c r="N2991" s="7">
        <f>IF($D2991="","",M2991*V2991/100)</f>
        <v/>
      </c>
      <c r="O2991" s="7" t="n"/>
      <c r="U2991" s="7" t="n"/>
      <c r="V2991" s="7" t="n"/>
      <c r="Y2991">
        <f>IF($D2991="","",IF($AN2991=1,0,IF($AM2991=1,Settings!$C$6,Settings!$C$7))*100)</f>
        <v/>
      </c>
      <c r="Z2991" s="7">
        <f>IF($D2991="","",V2991*Y2991/100)</f>
        <v/>
      </c>
      <c r="AA2991" s="7">
        <f>IF($D2991="","",V2991-Z2991)</f>
        <v/>
      </c>
      <c r="AB2991" s="7">
        <f>IF($D2991="","",AA2991-N2991)</f>
        <v/>
      </c>
      <c r="AF2991" s="7" t="n"/>
      <c r="AI2991" s="11" t="n"/>
      <c r="AK2991">
        <f>IF($D2991="","",IF(COUNTIF($D$2:$D2991,$D2991)=1,1,0))</f>
        <v/>
      </c>
      <c r="AL2991">
        <f>IF($AK2991=1,SUMPRODUCT(--($AO$2:$AO$3001&lt;$AO2991))+1,"")</f>
        <v/>
      </c>
      <c r="AM2991">
        <f>IF($D2991="","",IF(OR($R2991=TRUE(),$R2991="TRUE"),1,0))</f>
        <v/>
      </c>
      <c r="AN2991">
        <f>IF($D2991="","",IF($X2991="Yes",1,0))</f>
        <v/>
      </c>
      <c r="AO2991">
        <f>IF($AK2991=1,IFERROR(IF(VALUE($D2991)&lt;100000000,VALUE($D2991),1000000000),IFERROR(IF(VALUE(MID($D2991,2,20))&lt;100000000,VALUE(MID($D2991,2,20)),1000000000),1000000000))+ROW()/100000,"")</f>
        <v/>
      </c>
    </row>
    <row r="2992">
      <c r="F2992" s="11" t="n"/>
      <c r="N2992" s="7">
        <f>IF($D2992="","",M2992*V2992/100)</f>
        <v/>
      </c>
      <c r="O2992" s="7" t="n"/>
      <c r="U2992" s="7" t="n"/>
      <c r="V2992" s="7" t="n"/>
      <c r="Y2992">
        <f>IF($D2992="","",IF($AN2992=1,0,IF($AM2992=1,Settings!$C$6,Settings!$C$7))*100)</f>
        <v/>
      </c>
      <c r="Z2992" s="7">
        <f>IF($D2992="","",V2992*Y2992/100)</f>
        <v/>
      </c>
      <c r="AA2992" s="7">
        <f>IF($D2992="","",V2992-Z2992)</f>
        <v/>
      </c>
      <c r="AB2992" s="7">
        <f>IF($D2992="","",AA2992-N2992)</f>
        <v/>
      </c>
      <c r="AF2992" s="7" t="n"/>
      <c r="AI2992" s="11" t="n"/>
      <c r="AK2992">
        <f>IF($D2992="","",IF(COUNTIF($D$2:$D2992,$D2992)=1,1,0))</f>
        <v/>
      </c>
      <c r="AL2992">
        <f>IF($AK2992=1,SUMPRODUCT(--($AO$2:$AO$3001&lt;$AO2992))+1,"")</f>
        <v/>
      </c>
      <c r="AM2992">
        <f>IF($D2992="","",IF(OR($R2992=TRUE(),$R2992="TRUE"),1,0))</f>
        <v/>
      </c>
      <c r="AN2992">
        <f>IF($D2992="","",IF($X2992="Yes",1,0))</f>
        <v/>
      </c>
      <c r="AO2992">
        <f>IF($AK2992=1,IFERROR(IF(VALUE($D2992)&lt;100000000,VALUE($D2992),1000000000),IFERROR(IF(VALUE(MID($D2992,2,20))&lt;100000000,VALUE(MID($D2992,2,20)),1000000000),1000000000))+ROW()/100000,"")</f>
        <v/>
      </c>
    </row>
    <row r="2993">
      <c r="F2993" s="11" t="n"/>
      <c r="N2993" s="7">
        <f>IF($D2993="","",M2993*V2993/100)</f>
        <v/>
      </c>
      <c r="O2993" s="7" t="n"/>
      <c r="U2993" s="7" t="n"/>
      <c r="V2993" s="7" t="n"/>
      <c r="Y2993">
        <f>IF($D2993="","",IF($AN2993=1,0,IF($AM2993=1,Settings!$C$6,Settings!$C$7))*100)</f>
        <v/>
      </c>
      <c r="Z2993" s="7">
        <f>IF($D2993="","",V2993*Y2993/100)</f>
        <v/>
      </c>
      <c r="AA2993" s="7">
        <f>IF($D2993="","",V2993-Z2993)</f>
        <v/>
      </c>
      <c r="AB2993" s="7">
        <f>IF($D2993="","",AA2993-N2993)</f>
        <v/>
      </c>
      <c r="AF2993" s="7" t="n"/>
      <c r="AI2993" s="11" t="n"/>
      <c r="AK2993">
        <f>IF($D2993="","",IF(COUNTIF($D$2:$D2993,$D2993)=1,1,0))</f>
        <v/>
      </c>
      <c r="AL2993">
        <f>IF($AK2993=1,SUMPRODUCT(--($AO$2:$AO$3001&lt;$AO2993))+1,"")</f>
        <v/>
      </c>
      <c r="AM2993">
        <f>IF($D2993="","",IF(OR($R2993=TRUE(),$R2993="TRUE"),1,0))</f>
        <v/>
      </c>
      <c r="AN2993">
        <f>IF($D2993="","",IF($X2993="Yes",1,0))</f>
        <v/>
      </c>
      <c r="AO2993">
        <f>IF($AK2993=1,IFERROR(IF(VALUE($D2993)&lt;100000000,VALUE($D2993),1000000000),IFERROR(IF(VALUE(MID($D2993,2,20))&lt;100000000,VALUE(MID($D2993,2,20)),1000000000),1000000000))+ROW()/100000,"")</f>
        <v/>
      </c>
    </row>
    <row r="2994">
      <c r="F2994" s="11" t="n"/>
      <c r="N2994" s="7">
        <f>IF($D2994="","",M2994*V2994/100)</f>
        <v/>
      </c>
      <c r="O2994" s="7" t="n"/>
      <c r="U2994" s="7" t="n"/>
      <c r="V2994" s="7" t="n"/>
      <c r="Y2994">
        <f>IF($D2994="","",IF($AN2994=1,0,IF($AM2994=1,Settings!$C$6,Settings!$C$7))*100)</f>
        <v/>
      </c>
      <c r="Z2994" s="7">
        <f>IF($D2994="","",V2994*Y2994/100)</f>
        <v/>
      </c>
      <c r="AA2994" s="7">
        <f>IF($D2994="","",V2994-Z2994)</f>
        <v/>
      </c>
      <c r="AB2994" s="7">
        <f>IF($D2994="","",AA2994-N2994)</f>
        <v/>
      </c>
      <c r="AF2994" s="7" t="n"/>
      <c r="AI2994" s="11" t="n"/>
      <c r="AK2994">
        <f>IF($D2994="","",IF(COUNTIF($D$2:$D2994,$D2994)=1,1,0))</f>
        <v/>
      </c>
      <c r="AL2994">
        <f>IF($AK2994=1,SUMPRODUCT(--($AO$2:$AO$3001&lt;$AO2994))+1,"")</f>
        <v/>
      </c>
      <c r="AM2994">
        <f>IF($D2994="","",IF(OR($R2994=TRUE(),$R2994="TRUE"),1,0))</f>
        <v/>
      </c>
      <c r="AN2994">
        <f>IF($D2994="","",IF($X2994="Yes",1,0))</f>
        <v/>
      </c>
      <c r="AO2994">
        <f>IF($AK2994=1,IFERROR(IF(VALUE($D2994)&lt;100000000,VALUE($D2994),1000000000),IFERROR(IF(VALUE(MID($D2994,2,20))&lt;100000000,VALUE(MID($D2994,2,20)),1000000000),1000000000))+ROW()/100000,"")</f>
        <v/>
      </c>
    </row>
    <row r="2995">
      <c r="F2995" s="11" t="n"/>
      <c r="N2995" s="7">
        <f>IF($D2995="","",M2995*V2995/100)</f>
        <v/>
      </c>
      <c r="O2995" s="7" t="n"/>
      <c r="U2995" s="7" t="n"/>
      <c r="V2995" s="7" t="n"/>
      <c r="Y2995">
        <f>IF($D2995="","",IF($AN2995=1,0,IF($AM2995=1,Settings!$C$6,Settings!$C$7))*100)</f>
        <v/>
      </c>
      <c r="Z2995" s="7">
        <f>IF($D2995="","",V2995*Y2995/100)</f>
        <v/>
      </c>
      <c r="AA2995" s="7">
        <f>IF($D2995="","",V2995-Z2995)</f>
        <v/>
      </c>
      <c r="AB2995" s="7">
        <f>IF($D2995="","",AA2995-N2995)</f>
        <v/>
      </c>
      <c r="AF2995" s="7" t="n"/>
      <c r="AI2995" s="11" t="n"/>
      <c r="AK2995">
        <f>IF($D2995="","",IF(COUNTIF($D$2:$D2995,$D2995)=1,1,0))</f>
        <v/>
      </c>
      <c r="AL2995">
        <f>IF($AK2995=1,SUMPRODUCT(--($AO$2:$AO$3001&lt;$AO2995))+1,"")</f>
        <v/>
      </c>
      <c r="AM2995">
        <f>IF($D2995="","",IF(OR($R2995=TRUE(),$R2995="TRUE"),1,0))</f>
        <v/>
      </c>
      <c r="AN2995">
        <f>IF($D2995="","",IF($X2995="Yes",1,0))</f>
        <v/>
      </c>
      <c r="AO2995">
        <f>IF($AK2995=1,IFERROR(IF(VALUE($D2995)&lt;100000000,VALUE($D2995),1000000000),IFERROR(IF(VALUE(MID($D2995,2,20))&lt;100000000,VALUE(MID($D2995,2,20)),1000000000),1000000000))+ROW()/100000,"")</f>
        <v/>
      </c>
    </row>
    <row r="2996">
      <c r="F2996" s="11" t="n"/>
      <c r="N2996" s="7">
        <f>IF($D2996="","",M2996*V2996/100)</f>
        <v/>
      </c>
      <c r="O2996" s="7" t="n"/>
      <c r="U2996" s="7" t="n"/>
      <c r="V2996" s="7" t="n"/>
      <c r="Y2996">
        <f>IF($D2996="","",IF($AN2996=1,0,IF($AM2996=1,Settings!$C$6,Settings!$C$7))*100)</f>
        <v/>
      </c>
      <c r="Z2996" s="7">
        <f>IF($D2996="","",V2996*Y2996/100)</f>
        <v/>
      </c>
      <c r="AA2996" s="7">
        <f>IF($D2996="","",V2996-Z2996)</f>
        <v/>
      </c>
      <c r="AB2996" s="7">
        <f>IF($D2996="","",AA2996-N2996)</f>
        <v/>
      </c>
      <c r="AF2996" s="7" t="n"/>
      <c r="AI2996" s="11" t="n"/>
      <c r="AK2996">
        <f>IF($D2996="","",IF(COUNTIF($D$2:$D2996,$D2996)=1,1,0))</f>
        <v/>
      </c>
      <c r="AL2996">
        <f>IF($AK2996=1,SUMPRODUCT(--($AO$2:$AO$3001&lt;$AO2996))+1,"")</f>
        <v/>
      </c>
      <c r="AM2996">
        <f>IF($D2996="","",IF(OR($R2996=TRUE(),$R2996="TRUE"),1,0))</f>
        <v/>
      </c>
      <c r="AN2996">
        <f>IF($D2996="","",IF($X2996="Yes",1,0))</f>
        <v/>
      </c>
      <c r="AO2996">
        <f>IF($AK2996=1,IFERROR(IF(VALUE($D2996)&lt;100000000,VALUE($D2996),1000000000),IFERROR(IF(VALUE(MID($D2996,2,20))&lt;100000000,VALUE(MID($D2996,2,20)),1000000000),1000000000))+ROW()/100000,"")</f>
        <v/>
      </c>
    </row>
    <row r="2997">
      <c r="F2997" s="11" t="n"/>
      <c r="N2997" s="7">
        <f>IF($D2997="","",M2997*V2997/100)</f>
        <v/>
      </c>
      <c r="O2997" s="7" t="n"/>
      <c r="U2997" s="7" t="n"/>
      <c r="V2997" s="7" t="n"/>
      <c r="Y2997">
        <f>IF($D2997="","",IF($AN2997=1,0,IF($AM2997=1,Settings!$C$6,Settings!$C$7))*100)</f>
        <v/>
      </c>
      <c r="Z2997" s="7">
        <f>IF($D2997="","",V2997*Y2997/100)</f>
        <v/>
      </c>
      <c r="AA2997" s="7">
        <f>IF($D2997="","",V2997-Z2997)</f>
        <v/>
      </c>
      <c r="AB2997" s="7">
        <f>IF($D2997="","",AA2997-N2997)</f>
        <v/>
      </c>
      <c r="AF2997" s="7" t="n"/>
      <c r="AI2997" s="11" t="n"/>
      <c r="AK2997">
        <f>IF($D2997="","",IF(COUNTIF($D$2:$D2997,$D2997)=1,1,0))</f>
        <v/>
      </c>
      <c r="AL2997">
        <f>IF($AK2997=1,SUMPRODUCT(--($AO$2:$AO$3001&lt;$AO2997))+1,"")</f>
        <v/>
      </c>
      <c r="AM2997">
        <f>IF($D2997="","",IF(OR($R2997=TRUE(),$R2997="TRUE"),1,0))</f>
        <v/>
      </c>
      <c r="AN2997">
        <f>IF($D2997="","",IF($X2997="Yes",1,0))</f>
        <v/>
      </c>
      <c r="AO2997">
        <f>IF($AK2997=1,IFERROR(IF(VALUE($D2997)&lt;100000000,VALUE($D2997),1000000000),IFERROR(IF(VALUE(MID($D2997,2,20))&lt;100000000,VALUE(MID($D2997,2,20)),1000000000),1000000000))+ROW()/100000,"")</f>
        <v/>
      </c>
    </row>
    <row r="2998">
      <c r="F2998" s="11" t="n"/>
      <c r="N2998" s="7">
        <f>IF($D2998="","",M2998*V2998/100)</f>
        <v/>
      </c>
      <c r="O2998" s="7" t="n"/>
      <c r="U2998" s="7" t="n"/>
      <c r="V2998" s="7" t="n"/>
      <c r="Y2998">
        <f>IF($D2998="","",IF($AN2998=1,0,IF($AM2998=1,Settings!$C$6,Settings!$C$7))*100)</f>
        <v/>
      </c>
      <c r="Z2998" s="7">
        <f>IF($D2998="","",V2998*Y2998/100)</f>
        <v/>
      </c>
      <c r="AA2998" s="7">
        <f>IF($D2998="","",V2998-Z2998)</f>
        <v/>
      </c>
      <c r="AB2998" s="7">
        <f>IF($D2998="","",AA2998-N2998)</f>
        <v/>
      </c>
      <c r="AF2998" s="7" t="n"/>
      <c r="AI2998" s="11" t="n"/>
      <c r="AK2998">
        <f>IF($D2998="","",IF(COUNTIF($D$2:$D2998,$D2998)=1,1,0))</f>
        <v/>
      </c>
      <c r="AL2998">
        <f>IF($AK2998=1,SUMPRODUCT(--($AO$2:$AO$3001&lt;$AO2998))+1,"")</f>
        <v/>
      </c>
      <c r="AM2998">
        <f>IF($D2998="","",IF(OR($R2998=TRUE(),$R2998="TRUE"),1,0))</f>
        <v/>
      </c>
      <c r="AN2998">
        <f>IF($D2998="","",IF($X2998="Yes",1,0))</f>
        <v/>
      </c>
      <c r="AO2998">
        <f>IF($AK2998=1,IFERROR(IF(VALUE($D2998)&lt;100000000,VALUE($D2998),1000000000),IFERROR(IF(VALUE(MID($D2998,2,20))&lt;100000000,VALUE(MID($D2998,2,20)),1000000000),1000000000))+ROW()/100000,"")</f>
        <v/>
      </c>
    </row>
    <row r="2999">
      <c r="F2999" s="11" t="n"/>
      <c r="N2999" s="7">
        <f>IF($D2999="","",M2999*V2999/100)</f>
        <v/>
      </c>
      <c r="O2999" s="7" t="n"/>
      <c r="U2999" s="7" t="n"/>
      <c r="V2999" s="7" t="n"/>
      <c r="Y2999">
        <f>IF($D2999="","",IF($AN2999=1,0,IF($AM2999=1,Settings!$C$6,Settings!$C$7))*100)</f>
        <v/>
      </c>
      <c r="Z2999" s="7">
        <f>IF($D2999="","",V2999*Y2999/100)</f>
        <v/>
      </c>
      <c r="AA2999" s="7">
        <f>IF($D2999="","",V2999-Z2999)</f>
        <v/>
      </c>
      <c r="AB2999" s="7">
        <f>IF($D2999="","",AA2999-N2999)</f>
        <v/>
      </c>
      <c r="AF2999" s="7" t="n"/>
      <c r="AI2999" s="11" t="n"/>
      <c r="AK2999">
        <f>IF($D2999="","",IF(COUNTIF($D$2:$D2999,$D2999)=1,1,0))</f>
        <v/>
      </c>
      <c r="AL2999">
        <f>IF($AK2999=1,SUMPRODUCT(--($AO$2:$AO$3001&lt;$AO2999))+1,"")</f>
        <v/>
      </c>
      <c r="AM2999">
        <f>IF($D2999="","",IF(OR($R2999=TRUE(),$R2999="TRUE"),1,0))</f>
        <v/>
      </c>
      <c r="AN2999">
        <f>IF($D2999="","",IF($X2999="Yes",1,0))</f>
        <v/>
      </c>
      <c r="AO2999">
        <f>IF($AK2999=1,IFERROR(IF(VALUE($D2999)&lt;100000000,VALUE($D2999),1000000000),IFERROR(IF(VALUE(MID($D2999,2,20))&lt;100000000,VALUE(MID($D2999,2,20)),1000000000),1000000000))+ROW()/100000,"")</f>
        <v/>
      </c>
    </row>
    <row r="3000">
      <c r="F3000" s="11" t="n"/>
      <c r="N3000" s="7">
        <f>IF($D3000="","",M3000*V3000/100)</f>
        <v/>
      </c>
      <c r="O3000" s="7" t="n"/>
      <c r="U3000" s="7" t="n"/>
      <c r="V3000" s="7" t="n"/>
      <c r="Y3000">
        <f>IF($D3000="","",IF($AN3000=1,0,IF($AM3000=1,Settings!$C$6,Settings!$C$7))*100)</f>
        <v/>
      </c>
      <c r="Z3000" s="7">
        <f>IF($D3000="","",V3000*Y3000/100)</f>
        <v/>
      </c>
      <c r="AA3000" s="7">
        <f>IF($D3000="","",V3000-Z3000)</f>
        <v/>
      </c>
      <c r="AB3000" s="7">
        <f>IF($D3000="","",AA3000-N3000)</f>
        <v/>
      </c>
      <c r="AF3000" s="7" t="n"/>
      <c r="AI3000" s="11" t="n"/>
      <c r="AK3000">
        <f>IF($D3000="","",IF(COUNTIF($D$2:$D3000,$D3000)=1,1,0))</f>
        <v/>
      </c>
      <c r="AL3000">
        <f>IF($AK3000=1,SUMPRODUCT(--($AO$2:$AO$3001&lt;$AO3000))+1,"")</f>
        <v/>
      </c>
      <c r="AM3000">
        <f>IF($D3000="","",IF(OR($R3000=TRUE(),$R3000="TRUE"),1,0))</f>
        <v/>
      </c>
      <c r="AN3000">
        <f>IF($D3000="","",IF($X3000="Yes",1,0))</f>
        <v/>
      </c>
      <c r="AO3000">
        <f>IF($AK3000=1,IFERROR(IF(VALUE($D3000)&lt;100000000,VALUE($D3000),1000000000),IFERROR(IF(VALUE(MID($D3000,2,20))&lt;100000000,VALUE(MID($D3000,2,20)),1000000000),1000000000))+ROW()/100000,"")</f>
        <v/>
      </c>
    </row>
    <row r="3001">
      <c r="F3001" s="11" t="n"/>
      <c r="N3001" s="7">
        <f>IF($D3001="","",M3001*V3001/100)</f>
        <v/>
      </c>
      <c r="O3001" s="7" t="n"/>
      <c r="U3001" s="7" t="n"/>
      <c r="V3001" s="7" t="n"/>
      <c r="Y3001">
        <f>IF($D3001="","",IF($AN3001=1,0,IF($AM3001=1,Settings!$C$6,Settings!$C$7))*100)</f>
        <v/>
      </c>
      <c r="Z3001" s="7">
        <f>IF($D3001="","",V3001*Y3001/100)</f>
        <v/>
      </c>
      <c r="AA3001" s="7">
        <f>IF($D3001="","",V3001-Z3001)</f>
        <v/>
      </c>
      <c r="AB3001" s="7">
        <f>IF($D3001="","",AA3001-N3001)</f>
        <v/>
      </c>
      <c r="AF3001" s="7" t="n"/>
      <c r="AI3001" s="11" t="n"/>
      <c r="AK3001">
        <f>IF($D3001="","",IF(COUNTIF($D$2:$D3001,$D3001)=1,1,0))</f>
        <v/>
      </c>
      <c r="AL3001">
        <f>IF($AK3001=1,SUMPRODUCT(--($AO$2:$AO$3001&lt;$AO3001))+1,"")</f>
        <v/>
      </c>
      <c r="AM3001">
        <f>IF($D3001="","",IF(OR($R3001=TRUE(),$R3001="TRUE"),1,0))</f>
        <v/>
      </c>
      <c r="AN3001">
        <f>IF($D3001="","",IF($X3001="Yes",1,0))</f>
        <v/>
      </c>
      <c r="AO3001">
        <f>IF($AK3001=1,IFERROR(IF(VALUE($D3001)&lt;100000000,VALUE($D3001),1000000000),IFERROR(IF(VALUE(MID($D3001,2,20))&lt;100000000,VALUE(MID($D3001,2,20)),1000000000),1000000000))+ROW()/100000,"")</f>
        <v/>
      </c>
    </row>
  </sheetData>
  <autoFilter ref="A1:AO3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24" customWidth="1" min="5" max="5"/>
    <col width="12" customWidth="1" min="6" max="6"/>
    <col width="26" customWidth="1" min="7" max="7"/>
    <col width="12" customWidth="1" min="8" max="8"/>
    <col width="12" customWidth="1" min="9" max="9"/>
    <col width="3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</cols>
  <sheetData>
    <row r="1" ht="32" customHeight="1">
      <c r="A1" s="8" t="inlineStr">
        <is>
          <t>Invoice</t>
        </is>
      </c>
      <c r="B1" s="9" t="inlineStr">
        <is>
          <t>Order #</t>
        </is>
      </c>
      <c r="C1" s="9" t="inlineStr">
        <is>
          <t>Create At</t>
        </is>
      </c>
      <c r="D1" s="9" t="inlineStr">
        <is>
          <t>Insurance Company</t>
        </is>
      </c>
      <c r="E1" s="9" t="inlineStr">
        <is>
          <t>Corporate</t>
        </is>
      </c>
      <c r="F1" s="9" t="inlineStr">
        <is>
          <t>Card</t>
        </is>
      </c>
      <c r="G1" s="9" t="inlineStr">
        <is>
          <t>Name</t>
        </is>
      </c>
      <c r="H1" s="9" t="inlineStr">
        <is>
          <t>Order Co Payment</t>
        </is>
      </c>
      <c r="I1" s="9" t="inlineStr">
        <is>
          <t>Co val</t>
        </is>
      </c>
      <c r="J1" s="9" t="inlineStr">
        <is>
          <t>ERX ID</t>
        </is>
      </c>
      <c r="K1" s="9" t="inlineStr">
        <is>
          <t>Max Limit</t>
        </is>
      </c>
      <c r="L1" s="9" t="inlineStr">
        <is>
          <t>Exceeding Limit</t>
        </is>
      </c>
      <c r="M1" s="9" t="inlineStr">
        <is>
          <t>Special rebates</t>
        </is>
      </c>
      <c r="N1" s="9" t="inlineStr">
        <is>
          <t>IMP %</t>
        </is>
      </c>
      <c r="O1" s="9" t="inlineStr">
        <is>
          <t>IMP</t>
        </is>
      </c>
      <c r="P1" s="9" t="inlineStr">
        <is>
          <t>IMP VAL</t>
        </is>
      </c>
      <c r="Q1" s="9" t="inlineStr">
        <is>
          <t>LOCAL %</t>
        </is>
      </c>
      <c r="R1" s="9" t="inlineStr">
        <is>
          <t>LOCAL</t>
        </is>
      </c>
      <c r="S1" s="9" t="inlineStr">
        <is>
          <t>LOCAL VAL</t>
        </is>
      </c>
      <c r="T1" s="9" t="inlineStr">
        <is>
          <t>TOTAL VAL</t>
        </is>
      </c>
      <c r="U1" s="9" t="inlineStr">
        <is>
          <t>SUBTOTAL</t>
        </is>
      </c>
      <c r="V1" s="9" t="inlineStr">
        <is>
          <t>Grand Total</t>
        </is>
      </c>
      <c r="W1" s="9" t="inlineStr">
        <is>
          <t>NET</t>
        </is>
      </c>
      <c r="X1" s="10" t="inlineStr">
        <is>
          <t>Src Row (helper)</t>
        </is>
      </c>
    </row>
    <row r="2">
      <c r="A2" s="12" t="n"/>
      <c r="B2">
        <f>IF($X2="","",INDEX('Per Line'!$D$2:$D$3001,$X2)&amp;"")</f>
        <v/>
      </c>
      <c r="C2" s="11">
        <f>IF($X2="","",INDEX('Per Line'!$F$2:$F$3001,$X2))</f>
        <v/>
      </c>
      <c r="D2">
        <f>IF($X2="","",INDEX('Per Line'!$G$2:$G$3001,$X2)&amp;"")</f>
        <v/>
      </c>
      <c r="E2">
        <f>IF($X2="","",INDEX('Per Line'!$I$2:$I$3001,$X2)&amp;"")</f>
        <v/>
      </c>
      <c r="F2">
        <f>IF($X2="","",INDEX('Per Line'!$J$2:$J$3001,$X2)&amp;"")</f>
        <v/>
      </c>
      <c r="G2">
        <f>IF($X2="","",INDEX('Per Line'!$K$2:$K$3001,$X2)&amp;"")</f>
        <v/>
      </c>
      <c r="H2">
        <f>IF($X2="","",INDEX('Per Line'!$M$2:$M$3001,$X2))</f>
        <v/>
      </c>
      <c r="I2" s="7">
        <f>IF($X2="","",H2*V2/100)</f>
        <v/>
      </c>
      <c r="J2">
        <f>IF($X2="","",INDEX('Per Line'!$W$2:$W$3001,$X2)&amp;"")</f>
        <v/>
      </c>
      <c r="K2">
        <f>IF($X2="","",INDEX('Per Line'!$AD$2:$AD$3001,$X2))</f>
        <v/>
      </c>
      <c r="L2">
        <f>IF($X2="","",IF(AND(ISNUMBER(K2),K2&gt;0),V2&gt;K2,FALSE))</f>
        <v/>
      </c>
      <c r="M2" s="7">
        <f>IF($X2="","",SUMIFS('Per Line'!$V$2:$V$3001,'Per Line'!$D$2:$D$3001,$B2,'Per Line'!$AN$2:$AN$3001,1))</f>
        <v/>
      </c>
      <c r="N2">
        <f>IF($X2="","",Settings!$C$7)</f>
        <v/>
      </c>
      <c r="O2" s="7">
        <f>IF($X2="","",SUMIFS('Per Line'!$V$2:$V$3001,'Per Line'!$D$2:$D$3001,$B2,'Per Line'!$AM$2:$AM$3001,0,'Per Line'!$AN$2:$AN$3001,0))</f>
        <v/>
      </c>
      <c r="P2" s="7">
        <f>IF($X2="","",O2*N2)</f>
        <v/>
      </c>
      <c r="Q2">
        <f>IF($X2="","",Settings!$C$6)</f>
        <v/>
      </c>
      <c r="R2" s="7">
        <f>IF($X2="","",SUMIFS('Per Line'!$V$2:$V$3001,'Per Line'!$D$2:$D$3001,$B2,'Per Line'!$AM$2:$AM$3001,1,'Per Line'!$AN$2:$AN$3001,0))</f>
        <v/>
      </c>
      <c r="S2" s="7">
        <f>IF($X2="","",R2*Q2)</f>
        <v/>
      </c>
      <c r="T2" s="7">
        <f>IF($X2="","",S2+P2)</f>
        <v/>
      </c>
      <c r="U2" s="7">
        <f>IF($X2="","",V2-T2)</f>
        <v/>
      </c>
      <c r="V2" s="7">
        <f>IF($X2="","",O2+R2+M2)</f>
        <v/>
      </c>
      <c r="W2" s="7">
        <f>IF($X2="","",V2-T2-I2)</f>
        <v/>
      </c>
      <c r="X2" s="13">
        <f>IF(ROWS($X$2:$X2)&lt;=MAX('Per Line'!$AL$2:$AL$3001),MATCH(ROWS($X$2:$X2),'Per Line'!$AL$2:$AL$3001,0),"")</f>
        <v/>
      </c>
    </row>
    <row r="3">
      <c r="A3" s="12" t="n"/>
      <c r="B3">
        <f>IF($X3="","",INDEX('Per Line'!$D$2:$D$3001,$X3)&amp;"")</f>
        <v/>
      </c>
      <c r="C3" s="11">
        <f>IF($X3="","",INDEX('Per Line'!$F$2:$F$3001,$X3))</f>
        <v/>
      </c>
      <c r="D3">
        <f>IF($X3="","",INDEX('Per Line'!$G$2:$G$3001,$X3)&amp;"")</f>
        <v/>
      </c>
      <c r="E3">
        <f>IF($X3="","",INDEX('Per Line'!$I$2:$I$3001,$X3)&amp;"")</f>
        <v/>
      </c>
      <c r="F3">
        <f>IF($X3="","",INDEX('Per Line'!$J$2:$J$3001,$X3)&amp;"")</f>
        <v/>
      </c>
      <c r="G3">
        <f>IF($X3="","",INDEX('Per Line'!$K$2:$K$3001,$X3)&amp;"")</f>
        <v/>
      </c>
      <c r="H3">
        <f>IF($X3="","",INDEX('Per Line'!$M$2:$M$3001,$X3))</f>
        <v/>
      </c>
      <c r="I3" s="7">
        <f>IF($X3="","",H3*V3/100)</f>
        <v/>
      </c>
      <c r="J3">
        <f>IF($X3="","",INDEX('Per Line'!$W$2:$W$3001,$X3)&amp;"")</f>
        <v/>
      </c>
      <c r="K3">
        <f>IF($X3="","",INDEX('Per Line'!$AD$2:$AD$3001,$X3))</f>
        <v/>
      </c>
      <c r="L3">
        <f>IF($X3="","",IF(AND(ISNUMBER(K3),K3&gt;0),V3&gt;K3,FALSE))</f>
        <v/>
      </c>
      <c r="M3" s="7">
        <f>IF($X3="","",SUMIFS('Per Line'!$V$2:$V$3001,'Per Line'!$D$2:$D$3001,$B3,'Per Line'!$AN$2:$AN$3001,1))</f>
        <v/>
      </c>
      <c r="N3">
        <f>IF($X3="","",Settings!$C$7)</f>
        <v/>
      </c>
      <c r="O3" s="7">
        <f>IF($X3="","",SUMIFS('Per Line'!$V$2:$V$3001,'Per Line'!$D$2:$D$3001,$B3,'Per Line'!$AM$2:$AM$3001,0,'Per Line'!$AN$2:$AN$3001,0))</f>
        <v/>
      </c>
      <c r="P3" s="7">
        <f>IF($X3="","",O3*N3)</f>
        <v/>
      </c>
      <c r="Q3">
        <f>IF($X3="","",Settings!$C$6)</f>
        <v/>
      </c>
      <c r="R3" s="7">
        <f>IF($X3="","",SUMIFS('Per Line'!$V$2:$V$3001,'Per Line'!$D$2:$D$3001,$B3,'Per Line'!$AM$2:$AM$3001,1,'Per Line'!$AN$2:$AN$3001,0))</f>
        <v/>
      </c>
      <c r="S3" s="7">
        <f>IF($X3="","",R3*Q3)</f>
        <v/>
      </c>
      <c r="T3" s="7">
        <f>IF($X3="","",S3+P3)</f>
        <v/>
      </c>
      <c r="U3" s="7">
        <f>IF($X3="","",V3-T3)</f>
        <v/>
      </c>
      <c r="V3" s="7">
        <f>IF($X3="","",O3+R3+M3)</f>
        <v/>
      </c>
      <c r="W3" s="7">
        <f>IF($X3="","",V3-T3-I3)</f>
        <v/>
      </c>
      <c r="X3" s="13">
        <f>IF(ROWS($X$2:$X3)&lt;=MAX('Per Line'!$AL$2:$AL$3001),MATCH(ROWS($X$2:$X3),'Per Line'!$AL$2:$AL$3001,0),"")</f>
        <v/>
      </c>
    </row>
    <row r="4">
      <c r="A4" s="12" t="n"/>
      <c r="B4">
        <f>IF($X4="","",INDEX('Per Line'!$D$2:$D$3001,$X4)&amp;"")</f>
        <v/>
      </c>
      <c r="C4" s="11">
        <f>IF($X4="","",INDEX('Per Line'!$F$2:$F$3001,$X4))</f>
        <v/>
      </c>
      <c r="D4">
        <f>IF($X4="","",INDEX('Per Line'!$G$2:$G$3001,$X4)&amp;"")</f>
        <v/>
      </c>
      <c r="E4">
        <f>IF($X4="","",INDEX('Per Line'!$I$2:$I$3001,$X4)&amp;"")</f>
        <v/>
      </c>
      <c r="F4">
        <f>IF($X4="","",INDEX('Per Line'!$J$2:$J$3001,$X4)&amp;"")</f>
        <v/>
      </c>
      <c r="G4">
        <f>IF($X4="","",INDEX('Per Line'!$K$2:$K$3001,$X4)&amp;"")</f>
        <v/>
      </c>
      <c r="H4">
        <f>IF($X4="","",INDEX('Per Line'!$M$2:$M$3001,$X4))</f>
        <v/>
      </c>
      <c r="I4" s="7">
        <f>IF($X4="","",H4*V4/100)</f>
        <v/>
      </c>
      <c r="J4">
        <f>IF($X4="","",INDEX('Per Line'!$W$2:$W$3001,$X4)&amp;"")</f>
        <v/>
      </c>
      <c r="K4">
        <f>IF($X4="","",INDEX('Per Line'!$AD$2:$AD$3001,$X4))</f>
        <v/>
      </c>
      <c r="L4">
        <f>IF($X4="","",IF(AND(ISNUMBER(K4),K4&gt;0),V4&gt;K4,FALSE))</f>
        <v/>
      </c>
      <c r="M4" s="7">
        <f>IF($X4="","",SUMIFS('Per Line'!$V$2:$V$3001,'Per Line'!$D$2:$D$3001,$B4,'Per Line'!$AN$2:$AN$3001,1))</f>
        <v/>
      </c>
      <c r="N4">
        <f>IF($X4="","",Settings!$C$7)</f>
        <v/>
      </c>
      <c r="O4" s="7">
        <f>IF($X4="","",SUMIFS('Per Line'!$V$2:$V$3001,'Per Line'!$D$2:$D$3001,$B4,'Per Line'!$AM$2:$AM$3001,0,'Per Line'!$AN$2:$AN$3001,0))</f>
        <v/>
      </c>
      <c r="P4" s="7">
        <f>IF($X4="","",O4*N4)</f>
        <v/>
      </c>
      <c r="Q4">
        <f>IF($X4="","",Settings!$C$6)</f>
        <v/>
      </c>
      <c r="R4" s="7">
        <f>IF($X4="","",SUMIFS('Per Line'!$V$2:$V$3001,'Per Line'!$D$2:$D$3001,$B4,'Per Line'!$AM$2:$AM$3001,1,'Per Line'!$AN$2:$AN$3001,0))</f>
        <v/>
      </c>
      <c r="S4" s="7">
        <f>IF($X4="","",R4*Q4)</f>
        <v/>
      </c>
      <c r="T4" s="7">
        <f>IF($X4="","",S4+P4)</f>
        <v/>
      </c>
      <c r="U4" s="7">
        <f>IF($X4="","",V4-T4)</f>
        <v/>
      </c>
      <c r="V4" s="7">
        <f>IF($X4="","",O4+R4+M4)</f>
        <v/>
      </c>
      <c r="W4" s="7">
        <f>IF($X4="","",V4-T4-I4)</f>
        <v/>
      </c>
      <c r="X4" s="13">
        <f>IF(ROWS($X$2:$X4)&lt;=MAX('Per Line'!$AL$2:$AL$3001),MATCH(ROWS($X$2:$X4),'Per Line'!$AL$2:$AL$3001,0),"")</f>
        <v/>
      </c>
    </row>
    <row r="5">
      <c r="A5" s="12" t="n"/>
      <c r="B5">
        <f>IF($X5="","",INDEX('Per Line'!$D$2:$D$3001,$X5)&amp;"")</f>
        <v/>
      </c>
      <c r="C5" s="11">
        <f>IF($X5="","",INDEX('Per Line'!$F$2:$F$3001,$X5))</f>
        <v/>
      </c>
      <c r="D5">
        <f>IF($X5="","",INDEX('Per Line'!$G$2:$G$3001,$X5)&amp;"")</f>
        <v/>
      </c>
      <c r="E5">
        <f>IF($X5="","",INDEX('Per Line'!$I$2:$I$3001,$X5)&amp;"")</f>
        <v/>
      </c>
      <c r="F5">
        <f>IF($X5="","",INDEX('Per Line'!$J$2:$J$3001,$X5)&amp;"")</f>
        <v/>
      </c>
      <c r="G5">
        <f>IF($X5="","",INDEX('Per Line'!$K$2:$K$3001,$X5)&amp;"")</f>
        <v/>
      </c>
      <c r="H5">
        <f>IF($X5="","",INDEX('Per Line'!$M$2:$M$3001,$X5))</f>
        <v/>
      </c>
      <c r="I5" s="7">
        <f>IF($X5="","",H5*V5/100)</f>
        <v/>
      </c>
      <c r="J5">
        <f>IF($X5="","",INDEX('Per Line'!$W$2:$W$3001,$X5)&amp;"")</f>
        <v/>
      </c>
      <c r="K5">
        <f>IF($X5="","",INDEX('Per Line'!$AD$2:$AD$3001,$X5))</f>
        <v/>
      </c>
      <c r="L5">
        <f>IF($X5="","",IF(AND(ISNUMBER(K5),K5&gt;0),V5&gt;K5,FALSE))</f>
        <v/>
      </c>
      <c r="M5" s="7">
        <f>IF($X5="","",SUMIFS('Per Line'!$V$2:$V$3001,'Per Line'!$D$2:$D$3001,$B5,'Per Line'!$AN$2:$AN$3001,1))</f>
        <v/>
      </c>
      <c r="N5">
        <f>IF($X5="","",Settings!$C$7)</f>
        <v/>
      </c>
      <c r="O5" s="7">
        <f>IF($X5="","",SUMIFS('Per Line'!$V$2:$V$3001,'Per Line'!$D$2:$D$3001,$B5,'Per Line'!$AM$2:$AM$3001,0,'Per Line'!$AN$2:$AN$3001,0))</f>
        <v/>
      </c>
      <c r="P5" s="7">
        <f>IF($X5="","",O5*N5)</f>
        <v/>
      </c>
      <c r="Q5">
        <f>IF($X5="","",Settings!$C$6)</f>
        <v/>
      </c>
      <c r="R5" s="7">
        <f>IF($X5="","",SUMIFS('Per Line'!$V$2:$V$3001,'Per Line'!$D$2:$D$3001,$B5,'Per Line'!$AM$2:$AM$3001,1,'Per Line'!$AN$2:$AN$3001,0))</f>
        <v/>
      </c>
      <c r="S5" s="7">
        <f>IF($X5="","",R5*Q5)</f>
        <v/>
      </c>
      <c r="T5" s="7">
        <f>IF($X5="","",S5+P5)</f>
        <v/>
      </c>
      <c r="U5" s="7">
        <f>IF($X5="","",V5-T5)</f>
        <v/>
      </c>
      <c r="V5" s="7">
        <f>IF($X5="","",O5+R5+M5)</f>
        <v/>
      </c>
      <c r="W5" s="7">
        <f>IF($X5="","",V5-T5-I5)</f>
        <v/>
      </c>
      <c r="X5" s="13">
        <f>IF(ROWS($X$2:$X5)&lt;=MAX('Per Line'!$AL$2:$AL$3001),MATCH(ROWS($X$2:$X5),'Per Line'!$AL$2:$AL$3001,0),"")</f>
        <v/>
      </c>
    </row>
    <row r="6">
      <c r="A6" s="12" t="n"/>
      <c r="B6">
        <f>IF($X6="","",INDEX('Per Line'!$D$2:$D$3001,$X6)&amp;"")</f>
        <v/>
      </c>
      <c r="C6" s="11">
        <f>IF($X6="","",INDEX('Per Line'!$F$2:$F$3001,$X6))</f>
        <v/>
      </c>
      <c r="D6">
        <f>IF($X6="","",INDEX('Per Line'!$G$2:$G$3001,$X6)&amp;"")</f>
        <v/>
      </c>
      <c r="E6">
        <f>IF($X6="","",INDEX('Per Line'!$I$2:$I$3001,$X6)&amp;"")</f>
        <v/>
      </c>
      <c r="F6">
        <f>IF($X6="","",INDEX('Per Line'!$J$2:$J$3001,$X6)&amp;"")</f>
        <v/>
      </c>
      <c r="G6">
        <f>IF($X6="","",INDEX('Per Line'!$K$2:$K$3001,$X6)&amp;"")</f>
        <v/>
      </c>
      <c r="H6">
        <f>IF($X6="","",INDEX('Per Line'!$M$2:$M$3001,$X6))</f>
        <v/>
      </c>
      <c r="I6" s="7">
        <f>IF($X6="","",H6*V6/100)</f>
        <v/>
      </c>
      <c r="J6">
        <f>IF($X6="","",INDEX('Per Line'!$W$2:$W$3001,$X6)&amp;"")</f>
        <v/>
      </c>
      <c r="K6">
        <f>IF($X6="","",INDEX('Per Line'!$AD$2:$AD$3001,$X6))</f>
        <v/>
      </c>
      <c r="L6">
        <f>IF($X6="","",IF(AND(ISNUMBER(K6),K6&gt;0),V6&gt;K6,FALSE))</f>
        <v/>
      </c>
      <c r="M6" s="7">
        <f>IF($X6="","",SUMIFS('Per Line'!$V$2:$V$3001,'Per Line'!$D$2:$D$3001,$B6,'Per Line'!$AN$2:$AN$3001,1))</f>
        <v/>
      </c>
      <c r="N6">
        <f>IF($X6="","",Settings!$C$7)</f>
        <v/>
      </c>
      <c r="O6" s="7">
        <f>IF($X6="","",SUMIFS('Per Line'!$V$2:$V$3001,'Per Line'!$D$2:$D$3001,$B6,'Per Line'!$AM$2:$AM$3001,0,'Per Line'!$AN$2:$AN$3001,0))</f>
        <v/>
      </c>
      <c r="P6" s="7">
        <f>IF($X6="","",O6*N6)</f>
        <v/>
      </c>
      <c r="Q6">
        <f>IF($X6="","",Settings!$C$6)</f>
        <v/>
      </c>
      <c r="R6" s="7">
        <f>IF($X6="","",SUMIFS('Per Line'!$V$2:$V$3001,'Per Line'!$D$2:$D$3001,$B6,'Per Line'!$AM$2:$AM$3001,1,'Per Line'!$AN$2:$AN$3001,0))</f>
        <v/>
      </c>
      <c r="S6" s="7">
        <f>IF($X6="","",R6*Q6)</f>
        <v/>
      </c>
      <c r="T6" s="7">
        <f>IF($X6="","",S6+P6)</f>
        <v/>
      </c>
      <c r="U6" s="7">
        <f>IF($X6="","",V6-T6)</f>
        <v/>
      </c>
      <c r="V6" s="7">
        <f>IF($X6="","",O6+R6+M6)</f>
        <v/>
      </c>
      <c r="W6" s="7">
        <f>IF($X6="","",V6-T6-I6)</f>
        <v/>
      </c>
      <c r="X6" s="13">
        <f>IF(ROWS($X$2:$X6)&lt;=MAX('Per Line'!$AL$2:$AL$3001),MATCH(ROWS($X$2:$X6),'Per Line'!$AL$2:$AL$3001,0),"")</f>
        <v/>
      </c>
    </row>
    <row r="7">
      <c r="A7" s="12" t="n"/>
      <c r="B7">
        <f>IF($X7="","",INDEX('Per Line'!$D$2:$D$3001,$X7)&amp;"")</f>
        <v/>
      </c>
      <c r="C7" s="11">
        <f>IF($X7="","",INDEX('Per Line'!$F$2:$F$3001,$X7))</f>
        <v/>
      </c>
      <c r="D7">
        <f>IF($X7="","",INDEX('Per Line'!$G$2:$G$3001,$X7)&amp;"")</f>
        <v/>
      </c>
      <c r="E7">
        <f>IF($X7="","",INDEX('Per Line'!$I$2:$I$3001,$X7)&amp;"")</f>
        <v/>
      </c>
      <c r="F7">
        <f>IF($X7="","",INDEX('Per Line'!$J$2:$J$3001,$X7)&amp;"")</f>
        <v/>
      </c>
      <c r="G7">
        <f>IF($X7="","",INDEX('Per Line'!$K$2:$K$3001,$X7)&amp;"")</f>
        <v/>
      </c>
      <c r="H7">
        <f>IF($X7="","",INDEX('Per Line'!$M$2:$M$3001,$X7))</f>
        <v/>
      </c>
      <c r="I7" s="7">
        <f>IF($X7="","",H7*V7/100)</f>
        <v/>
      </c>
      <c r="J7">
        <f>IF($X7="","",INDEX('Per Line'!$W$2:$W$3001,$X7)&amp;"")</f>
        <v/>
      </c>
      <c r="K7">
        <f>IF($X7="","",INDEX('Per Line'!$AD$2:$AD$3001,$X7))</f>
        <v/>
      </c>
      <c r="L7">
        <f>IF($X7="","",IF(AND(ISNUMBER(K7),K7&gt;0),V7&gt;K7,FALSE))</f>
        <v/>
      </c>
      <c r="M7" s="7">
        <f>IF($X7="","",SUMIFS('Per Line'!$V$2:$V$3001,'Per Line'!$D$2:$D$3001,$B7,'Per Line'!$AN$2:$AN$3001,1))</f>
        <v/>
      </c>
      <c r="N7">
        <f>IF($X7="","",Settings!$C$7)</f>
        <v/>
      </c>
      <c r="O7" s="7">
        <f>IF($X7="","",SUMIFS('Per Line'!$V$2:$V$3001,'Per Line'!$D$2:$D$3001,$B7,'Per Line'!$AM$2:$AM$3001,0,'Per Line'!$AN$2:$AN$3001,0))</f>
        <v/>
      </c>
      <c r="P7" s="7">
        <f>IF($X7="","",O7*N7)</f>
        <v/>
      </c>
      <c r="Q7">
        <f>IF($X7="","",Settings!$C$6)</f>
        <v/>
      </c>
      <c r="R7" s="7">
        <f>IF($X7="","",SUMIFS('Per Line'!$V$2:$V$3001,'Per Line'!$D$2:$D$3001,$B7,'Per Line'!$AM$2:$AM$3001,1,'Per Line'!$AN$2:$AN$3001,0))</f>
        <v/>
      </c>
      <c r="S7" s="7">
        <f>IF($X7="","",R7*Q7)</f>
        <v/>
      </c>
      <c r="T7" s="7">
        <f>IF($X7="","",S7+P7)</f>
        <v/>
      </c>
      <c r="U7" s="7">
        <f>IF($X7="","",V7-T7)</f>
        <v/>
      </c>
      <c r="V7" s="7">
        <f>IF($X7="","",O7+R7+M7)</f>
        <v/>
      </c>
      <c r="W7" s="7">
        <f>IF($X7="","",V7-T7-I7)</f>
        <v/>
      </c>
      <c r="X7" s="13">
        <f>IF(ROWS($X$2:$X7)&lt;=MAX('Per Line'!$AL$2:$AL$3001),MATCH(ROWS($X$2:$X7),'Per Line'!$AL$2:$AL$3001,0),"")</f>
        <v/>
      </c>
    </row>
    <row r="8">
      <c r="A8" s="12" t="n"/>
      <c r="B8">
        <f>IF($X8="","",INDEX('Per Line'!$D$2:$D$3001,$X8)&amp;"")</f>
        <v/>
      </c>
      <c r="C8" s="11">
        <f>IF($X8="","",INDEX('Per Line'!$F$2:$F$3001,$X8))</f>
        <v/>
      </c>
      <c r="D8">
        <f>IF($X8="","",INDEX('Per Line'!$G$2:$G$3001,$X8)&amp;"")</f>
        <v/>
      </c>
      <c r="E8">
        <f>IF($X8="","",INDEX('Per Line'!$I$2:$I$3001,$X8)&amp;"")</f>
        <v/>
      </c>
      <c r="F8">
        <f>IF($X8="","",INDEX('Per Line'!$J$2:$J$3001,$X8)&amp;"")</f>
        <v/>
      </c>
      <c r="G8">
        <f>IF($X8="","",INDEX('Per Line'!$K$2:$K$3001,$X8)&amp;"")</f>
        <v/>
      </c>
      <c r="H8">
        <f>IF($X8="","",INDEX('Per Line'!$M$2:$M$3001,$X8))</f>
        <v/>
      </c>
      <c r="I8" s="7">
        <f>IF($X8="","",H8*V8/100)</f>
        <v/>
      </c>
      <c r="J8">
        <f>IF($X8="","",INDEX('Per Line'!$W$2:$W$3001,$X8)&amp;"")</f>
        <v/>
      </c>
      <c r="K8">
        <f>IF($X8="","",INDEX('Per Line'!$AD$2:$AD$3001,$X8))</f>
        <v/>
      </c>
      <c r="L8">
        <f>IF($X8="","",IF(AND(ISNUMBER(K8),K8&gt;0),V8&gt;K8,FALSE))</f>
        <v/>
      </c>
      <c r="M8" s="7">
        <f>IF($X8="","",SUMIFS('Per Line'!$V$2:$V$3001,'Per Line'!$D$2:$D$3001,$B8,'Per Line'!$AN$2:$AN$3001,1))</f>
        <v/>
      </c>
      <c r="N8">
        <f>IF($X8="","",Settings!$C$7)</f>
        <v/>
      </c>
      <c r="O8" s="7">
        <f>IF($X8="","",SUMIFS('Per Line'!$V$2:$V$3001,'Per Line'!$D$2:$D$3001,$B8,'Per Line'!$AM$2:$AM$3001,0,'Per Line'!$AN$2:$AN$3001,0))</f>
        <v/>
      </c>
      <c r="P8" s="7">
        <f>IF($X8="","",O8*N8)</f>
        <v/>
      </c>
      <c r="Q8">
        <f>IF($X8="","",Settings!$C$6)</f>
        <v/>
      </c>
      <c r="R8" s="7">
        <f>IF($X8="","",SUMIFS('Per Line'!$V$2:$V$3001,'Per Line'!$D$2:$D$3001,$B8,'Per Line'!$AM$2:$AM$3001,1,'Per Line'!$AN$2:$AN$3001,0))</f>
        <v/>
      </c>
      <c r="S8" s="7">
        <f>IF($X8="","",R8*Q8)</f>
        <v/>
      </c>
      <c r="T8" s="7">
        <f>IF($X8="","",S8+P8)</f>
        <v/>
      </c>
      <c r="U8" s="7">
        <f>IF($X8="","",V8-T8)</f>
        <v/>
      </c>
      <c r="V8" s="7">
        <f>IF($X8="","",O8+R8+M8)</f>
        <v/>
      </c>
      <c r="W8" s="7">
        <f>IF($X8="","",V8-T8-I8)</f>
        <v/>
      </c>
      <c r="X8" s="13">
        <f>IF(ROWS($X$2:$X8)&lt;=MAX('Per Line'!$AL$2:$AL$3001),MATCH(ROWS($X$2:$X8),'Per Line'!$AL$2:$AL$3001,0),"")</f>
        <v/>
      </c>
    </row>
    <row r="9">
      <c r="A9" s="12" t="n"/>
      <c r="B9">
        <f>IF($X9="","",INDEX('Per Line'!$D$2:$D$3001,$X9)&amp;"")</f>
        <v/>
      </c>
      <c r="C9" s="11">
        <f>IF($X9="","",INDEX('Per Line'!$F$2:$F$3001,$X9))</f>
        <v/>
      </c>
      <c r="D9">
        <f>IF($X9="","",INDEX('Per Line'!$G$2:$G$3001,$X9)&amp;"")</f>
        <v/>
      </c>
      <c r="E9">
        <f>IF($X9="","",INDEX('Per Line'!$I$2:$I$3001,$X9)&amp;"")</f>
        <v/>
      </c>
      <c r="F9">
        <f>IF($X9="","",INDEX('Per Line'!$J$2:$J$3001,$X9)&amp;"")</f>
        <v/>
      </c>
      <c r="G9">
        <f>IF($X9="","",INDEX('Per Line'!$K$2:$K$3001,$X9)&amp;"")</f>
        <v/>
      </c>
      <c r="H9">
        <f>IF($X9="","",INDEX('Per Line'!$M$2:$M$3001,$X9))</f>
        <v/>
      </c>
      <c r="I9" s="7">
        <f>IF($X9="","",H9*V9/100)</f>
        <v/>
      </c>
      <c r="J9">
        <f>IF($X9="","",INDEX('Per Line'!$W$2:$W$3001,$X9)&amp;"")</f>
        <v/>
      </c>
      <c r="K9">
        <f>IF($X9="","",INDEX('Per Line'!$AD$2:$AD$3001,$X9))</f>
        <v/>
      </c>
      <c r="L9">
        <f>IF($X9="","",IF(AND(ISNUMBER(K9),K9&gt;0),V9&gt;K9,FALSE))</f>
        <v/>
      </c>
      <c r="M9" s="7">
        <f>IF($X9="","",SUMIFS('Per Line'!$V$2:$V$3001,'Per Line'!$D$2:$D$3001,$B9,'Per Line'!$AN$2:$AN$3001,1))</f>
        <v/>
      </c>
      <c r="N9">
        <f>IF($X9="","",Settings!$C$7)</f>
        <v/>
      </c>
      <c r="O9" s="7">
        <f>IF($X9="","",SUMIFS('Per Line'!$V$2:$V$3001,'Per Line'!$D$2:$D$3001,$B9,'Per Line'!$AM$2:$AM$3001,0,'Per Line'!$AN$2:$AN$3001,0))</f>
        <v/>
      </c>
      <c r="P9" s="7">
        <f>IF($X9="","",O9*N9)</f>
        <v/>
      </c>
      <c r="Q9">
        <f>IF($X9="","",Settings!$C$6)</f>
        <v/>
      </c>
      <c r="R9" s="7">
        <f>IF($X9="","",SUMIFS('Per Line'!$V$2:$V$3001,'Per Line'!$D$2:$D$3001,$B9,'Per Line'!$AM$2:$AM$3001,1,'Per Line'!$AN$2:$AN$3001,0))</f>
        <v/>
      </c>
      <c r="S9" s="7">
        <f>IF($X9="","",R9*Q9)</f>
        <v/>
      </c>
      <c r="T9" s="7">
        <f>IF($X9="","",S9+P9)</f>
        <v/>
      </c>
      <c r="U9" s="7">
        <f>IF($X9="","",V9-T9)</f>
        <v/>
      </c>
      <c r="V9" s="7">
        <f>IF($X9="","",O9+R9+M9)</f>
        <v/>
      </c>
      <c r="W9" s="7">
        <f>IF($X9="","",V9-T9-I9)</f>
        <v/>
      </c>
      <c r="X9" s="13">
        <f>IF(ROWS($X$2:$X9)&lt;=MAX('Per Line'!$AL$2:$AL$3001),MATCH(ROWS($X$2:$X9),'Per Line'!$AL$2:$AL$3001,0),"")</f>
        <v/>
      </c>
    </row>
    <row r="10">
      <c r="A10" s="12" t="n"/>
      <c r="B10">
        <f>IF($X10="","",INDEX('Per Line'!$D$2:$D$3001,$X10)&amp;"")</f>
        <v/>
      </c>
      <c r="C10" s="11">
        <f>IF($X10="","",INDEX('Per Line'!$F$2:$F$3001,$X10))</f>
        <v/>
      </c>
      <c r="D10">
        <f>IF($X10="","",INDEX('Per Line'!$G$2:$G$3001,$X10)&amp;"")</f>
        <v/>
      </c>
      <c r="E10">
        <f>IF($X10="","",INDEX('Per Line'!$I$2:$I$3001,$X10)&amp;"")</f>
        <v/>
      </c>
      <c r="F10">
        <f>IF($X10="","",INDEX('Per Line'!$J$2:$J$3001,$X10)&amp;"")</f>
        <v/>
      </c>
      <c r="G10">
        <f>IF($X10="","",INDEX('Per Line'!$K$2:$K$3001,$X10)&amp;"")</f>
        <v/>
      </c>
      <c r="H10">
        <f>IF($X10="","",INDEX('Per Line'!$M$2:$M$3001,$X10))</f>
        <v/>
      </c>
      <c r="I10" s="7">
        <f>IF($X10="","",H10*V10/100)</f>
        <v/>
      </c>
      <c r="J10">
        <f>IF($X10="","",INDEX('Per Line'!$W$2:$W$3001,$X10)&amp;"")</f>
        <v/>
      </c>
      <c r="K10">
        <f>IF($X10="","",INDEX('Per Line'!$AD$2:$AD$3001,$X10))</f>
        <v/>
      </c>
      <c r="L10">
        <f>IF($X10="","",IF(AND(ISNUMBER(K10),K10&gt;0),V10&gt;K10,FALSE))</f>
        <v/>
      </c>
      <c r="M10" s="7">
        <f>IF($X10="","",SUMIFS('Per Line'!$V$2:$V$3001,'Per Line'!$D$2:$D$3001,$B10,'Per Line'!$AN$2:$AN$3001,1))</f>
        <v/>
      </c>
      <c r="N10">
        <f>IF($X10="","",Settings!$C$7)</f>
        <v/>
      </c>
      <c r="O10" s="7">
        <f>IF($X10="","",SUMIFS('Per Line'!$V$2:$V$3001,'Per Line'!$D$2:$D$3001,$B10,'Per Line'!$AM$2:$AM$3001,0,'Per Line'!$AN$2:$AN$3001,0))</f>
        <v/>
      </c>
      <c r="P10" s="7">
        <f>IF($X10="","",O10*N10)</f>
        <v/>
      </c>
      <c r="Q10">
        <f>IF($X10="","",Settings!$C$6)</f>
        <v/>
      </c>
      <c r="R10" s="7">
        <f>IF($X10="","",SUMIFS('Per Line'!$V$2:$V$3001,'Per Line'!$D$2:$D$3001,$B10,'Per Line'!$AM$2:$AM$3001,1,'Per Line'!$AN$2:$AN$3001,0))</f>
        <v/>
      </c>
      <c r="S10" s="7">
        <f>IF($X10="","",R10*Q10)</f>
        <v/>
      </c>
      <c r="T10" s="7">
        <f>IF($X10="","",S10+P10)</f>
        <v/>
      </c>
      <c r="U10" s="7">
        <f>IF($X10="","",V10-T10)</f>
        <v/>
      </c>
      <c r="V10" s="7">
        <f>IF($X10="","",O10+R10+M10)</f>
        <v/>
      </c>
      <c r="W10" s="7">
        <f>IF($X10="","",V10-T10-I10)</f>
        <v/>
      </c>
      <c r="X10" s="13">
        <f>IF(ROWS($X$2:$X10)&lt;=MAX('Per Line'!$AL$2:$AL$3001),MATCH(ROWS($X$2:$X10),'Per Line'!$AL$2:$AL$3001,0),"")</f>
        <v/>
      </c>
    </row>
    <row r="11">
      <c r="A11" s="12" t="n"/>
      <c r="B11">
        <f>IF($X11="","",INDEX('Per Line'!$D$2:$D$3001,$X11)&amp;"")</f>
        <v/>
      </c>
      <c r="C11" s="11">
        <f>IF($X11="","",INDEX('Per Line'!$F$2:$F$3001,$X11))</f>
        <v/>
      </c>
      <c r="D11">
        <f>IF($X11="","",INDEX('Per Line'!$G$2:$G$3001,$X11)&amp;"")</f>
        <v/>
      </c>
      <c r="E11">
        <f>IF($X11="","",INDEX('Per Line'!$I$2:$I$3001,$X11)&amp;"")</f>
        <v/>
      </c>
      <c r="F11">
        <f>IF($X11="","",INDEX('Per Line'!$J$2:$J$3001,$X11)&amp;"")</f>
        <v/>
      </c>
      <c r="G11">
        <f>IF($X11="","",INDEX('Per Line'!$K$2:$K$3001,$X11)&amp;"")</f>
        <v/>
      </c>
      <c r="H11">
        <f>IF($X11="","",INDEX('Per Line'!$M$2:$M$3001,$X11))</f>
        <v/>
      </c>
      <c r="I11" s="7">
        <f>IF($X11="","",H11*V11/100)</f>
        <v/>
      </c>
      <c r="J11">
        <f>IF($X11="","",INDEX('Per Line'!$W$2:$W$3001,$X11)&amp;"")</f>
        <v/>
      </c>
      <c r="K11">
        <f>IF($X11="","",INDEX('Per Line'!$AD$2:$AD$3001,$X11))</f>
        <v/>
      </c>
      <c r="L11">
        <f>IF($X11="","",IF(AND(ISNUMBER(K11),K11&gt;0),V11&gt;K11,FALSE))</f>
        <v/>
      </c>
      <c r="M11" s="7">
        <f>IF($X11="","",SUMIFS('Per Line'!$V$2:$V$3001,'Per Line'!$D$2:$D$3001,$B11,'Per Line'!$AN$2:$AN$3001,1))</f>
        <v/>
      </c>
      <c r="N11">
        <f>IF($X11="","",Settings!$C$7)</f>
        <v/>
      </c>
      <c r="O11" s="7">
        <f>IF($X11="","",SUMIFS('Per Line'!$V$2:$V$3001,'Per Line'!$D$2:$D$3001,$B11,'Per Line'!$AM$2:$AM$3001,0,'Per Line'!$AN$2:$AN$3001,0))</f>
        <v/>
      </c>
      <c r="P11" s="7">
        <f>IF($X11="","",O11*N11)</f>
        <v/>
      </c>
      <c r="Q11">
        <f>IF($X11="","",Settings!$C$6)</f>
        <v/>
      </c>
      <c r="R11" s="7">
        <f>IF($X11="","",SUMIFS('Per Line'!$V$2:$V$3001,'Per Line'!$D$2:$D$3001,$B11,'Per Line'!$AM$2:$AM$3001,1,'Per Line'!$AN$2:$AN$3001,0))</f>
        <v/>
      </c>
      <c r="S11" s="7">
        <f>IF($X11="","",R11*Q11)</f>
        <v/>
      </c>
      <c r="T11" s="7">
        <f>IF($X11="","",S11+P11)</f>
        <v/>
      </c>
      <c r="U11" s="7">
        <f>IF($X11="","",V11-T11)</f>
        <v/>
      </c>
      <c r="V11" s="7">
        <f>IF($X11="","",O11+R11+M11)</f>
        <v/>
      </c>
      <c r="W11" s="7">
        <f>IF($X11="","",V11-T11-I11)</f>
        <v/>
      </c>
      <c r="X11" s="13">
        <f>IF(ROWS($X$2:$X11)&lt;=MAX('Per Line'!$AL$2:$AL$3001),MATCH(ROWS($X$2:$X11),'Per Line'!$AL$2:$AL$3001,0),"")</f>
        <v/>
      </c>
    </row>
    <row r="12">
      <c r="A12" s="12" t="n"/>
      <c r="B12">
        <f>IF($X12="","",INDEX('Per Line'!$D$2:$D$3001,$X12)&amp;"")</f>
        <v/>
      </c>
      <c r="C12" s="11">
        <f>IF($X12="","",INDEX('Per Line'!$F$2:$F$3001,$X12))</f>
        <v/>
      </c>
      <c r="D12">
        <f>IF($X12="","",INDEX('Per Line'!$G$2:$G$3001,$X12)&amp;"")</f>
        <v/>
      </c>
      <c r="E12">
        <f>IF($X12="","",INDEX('Per Line'!$I$2:$I$3001,$X12)&amp;"")</f>
        <v/>
      </c>
      <c r="F12">
        <f>IF($X12="","",INDEX('Per Line'!$J$2:$J$3001,$X12)&amp;"")</f>
        <v/>
      </c>
      <c r="G12">
        <f>IF($X12="","",INDEX('Per Line'!$K$2:$K$3001,$X12)&amp;"")</f>
        <v/>
      </c>
      <c r="H12">
        <f>IF($X12="","",INDEX('Per Line'!$M$2:$M$3001,$X12))</f>
        <v/>
      </c>
      <c r="I12" s="7">
        <f>IF($X12="","",H12*V12/100)</f>
        <v/>
      </c>
      <c r="J12">
        <f>IF($X12="","",INDEX('Per Line'!$W$2:$W$3001,$X12)&amp;"")</f>
        <v/>
      </c>
      <c r="K12">
        <f>IF($X12="","",INDEX('Per Line'!$AD$2:$AD$3001,$X12))</f>
        <v/>
      </c>
      <c r="L12">
        <f>IF($X12="","",IF(AND(ISNUMBER(K12),K12&gt;0),V12&gt;K12,FALSE))</f>
        <v/>
      </c>
      <c r="M12" s="7">
        <f>IF($X12="","",SUMIFS('Per Line'!$V$2:$V$3001,'Per Line'!$D$2:$D$3001,$B12,'Per Line'!$AN$2:$AN$3001,1))</f>
        <v/>
      </c>
      <c r="N12">
        <f>IF($X12="","",Settings!$C$7)</f>
        <v/>
      </c>
      <c r="O12" s="7">
        <f>IF($X12="","",SUMIFS('Per Line'!$V$2:$V$3001,'Per Line'!$D$2:$D$3001,$B12,'Per Line'!$AM$2:$AM$3001,0,'Per Line'!$AN$2:$AN$3001,0))</f>
        <v/>
      </c>
      <c r="P12" s="7">
        <f>IF($X12="","",O12*N12)</f>
        <v/>
      </c>
      <c r="Q12">
        <f>IF($X12="","",Settings!$C$6)</f>
        <v/>
      </c>
      <c r="R12" s="7">
        <f>IF($X12="","",SUMIFS('Per Line'!$V$2:$V$3001,'Per Line'!$D$2:$D$3001,$B12,'Per Line'!$AM$2:$AM$3001,1,'Per Line'!$AN$2:$AN$3001,0))</f>
        <v/>
      </c>
      <c r="S12" s="7">
        <f>IF($X12="","",R12*Q12)</f>
        <v/>
      </c>
      <c r="T12" s="7">
        <f>IF($X12="","",S12+P12)</f>
        <v/>
      </c>
      <c r="U12" s="7">
        <f>IF($X12="","",V12-T12)</f>
        <v/>
      </c>
      <c r="V12" s="7">
        <f>IF($X12="","",O12+R12+M12)</f>
        <v/>
      </c>
      <c r="W12" s="7">
        <f>IF($X12="","",V12-T12-I12)</f>
        <v/>
      </c>
      <c r="X12" s="13">
        <f>IF(ROWS($X$2:$X12)&lt;=MAX('Per Line'!$AL$2:$AL$3001),MATCH(ROWS($X$2:$X12),'Per Line'!$AL$2:$AL$3001,0),"")</f>
        <v/>
      </c>
    </row>
    <row r="13">
      <c r="A13" s="12" t="n"/>
      <c r="B13">
        <f>IF($X13="","",INDEX('Per Line'!$D$2:$D$3001,$X13)&amp;"")</f>
        <v/>
      </c>
      <c r="C13" s="11">
        <f>IF($X13="","",INDEX('Per Line'!$F$2:$F$3001,$X13))</f>
        <v/>
      </c>
      <c r="D13">
        <f>IF($X13="","",INDEX('Per Line'!$G$2:$G$3001,$X13)&amp;"")</f>
        <v/>
      </c>
      <c r="E13">
        <f>IF($X13="","",INDEX('Per Line'!$I$2:$I$3001,$X13)&amp;"")</f>
        <v/>
      </c>
      <c r="F13">
        <f>IF($X13="","",INDEX('Per Line'!$J$2:$J$3001,$X13)&amp;"")</f>
        <v/>
      </c>
      <c r="G13">
        <f>IF($X13="","",INDEX('Per Line'!$K$2:$K$3001,$X13)&amp;"")</f>
        <v/>
      </c>
      <c r="H13">
        <f>IF($X13="","",INDEX('Per Line'!$M$2:$M$3001,$X13))</f>
        <v/>
      </c>
      <c r="I13" s="7">
        <f>IF($X13="","",H13*V13/100)</f>
        <v/>
      </c>
      <c r="J13">
        <f>IF($X13="","",INDEX('Per Line'!$W$2:$W$3001,$X13)&amp;"")</f>
        <v/>
      </c>
      <c r="K13">
        <f>IF($X13="","",INDEX('Per Line'!$AD$2:$AD$3001,$X13))</f>
        <v/>
      </c>
      <c r="L13">
        <f>IF($X13="","",IF(AND(ISNUMBER(K13),K13&gt;0),V13&gt;K13,FALSE))</f>
        <v/>
      </c>
      <c r="M13" s="7">
        <f>IF($X13="","",SUMIFS('Per Line'!$V$2:$V$3001,'Per Line'!$D$2:$D$3001,$B13,'Per Line'!$AN$2:$AN$3001,1))</f>
        <v/>
      </c>
      <c r="N13">
        <f>IF($X13="","",Settings!$C$7)</f>
        <v/>
      </c>
      <c r="O13" s="7">
        <f>IF($X13="","",SUMIFS('Per Line'!$V$2:$V$3001,'Per Line'!$D$2:$D$3001,$B13,'Per Line'!$AM$2:$AM$3001,0,'Per Line'!$AN$2:$AN$3001,0))</f>
        <v/>
      </c>
      <c r="P13" s="7">
        <f>IF($X13="","",O13*N13)</f>
        <v/>
      </c>
      <c r="Q13">
        <f>IF($X13="","",Settings!$C$6)</f>
        <v/>
      </c>
      <c r="R13" s="7">
        <f>IF($X13="","",SUMIFS('Per Line'!$V$2:$V$3001,'Per Line'!$D$2:$D$3001,$B13,'Per Line'!$AM$2:$AM$3001,1,'Per Line'!$AN$2:$AN$3001,0))</f>
        <v/>
      </c>
      <c r="S13" s="7">
        <f>IF($X13="","",R13*Q13)</f>
        <v/>
      </c>
      <c r="T13" s="7">
        <f>IF($X13="","",S13+P13)</f>
        <v/>
      </c>
      <c r="U13" s="7">
        <f>IF($X13="","",V13-T13)</f>
        <v/>
      </c>
      <c r="V13" s="7">
        <f>IF($X13="","",O13+R13+M13)</f>
        <v/>
      </c>
      <c r="W13" s="7">
        <f>IF($X13="","",V13-T13-I13)</f>
        <v/>
      </c>
      <c r="X13" s="13">
        <f>IF(ROWS($X$2:$X13)&lt;=MAX('Per Line'!$AL$2:$AL$3001),MATCH(ROWS($X$2:$X13),'Per Line'!$AL$2:$AL$3001,0),"")</f>
        <v/>
      </c>
    </row>
    <row r="14">
      <c r="A14" s="12" t="n"/>
      <c r="B14">
        <f>IF($X14="","",INDEX('Per Line'!$D$2:$D$3001,$X14)&amp;"")</f>
        <v/>
      </c>
      <c r="C14" s="11">
        <f>IF($X14="","",INDEX('Per Line'!$F$2:$F$3001,$X14))</f>
        <v/>
      </c>
      <c r="D14">
        <f>IF($X14="","",INDEX('Per Line'!$G$2:$G$3001,$X14)&amp;"")</f>
        <v/>
      </c>
      <c r="E14">
        <f>IF($X14="","",INDEX('Per Line'!$I$2:$I$3001,$X14)&amp;"")</f>
        <v/>
      </c>
      <c r="F14">
        <f>IF($X14="","",INDEX('Per Line'!$J$2:$J$3001,$X14)&amp;"")</f>
        <v/>
      </c>
      <c r="G14">
        <f>IF($X14="","",INDEX('Per Line'!$K$2:$K$3001,$X14)&amp;"")</f>
        <v/>
      </c>
      <c r="H14">
        <f>IF($X14="","",INDEX('Per Line'!$M$2:$M$3001,$X14))</f>
        <v/>
      </c>
      <c r="I14" s="7">
        <f>IF($X14="","",H14*V14/100)</f>
        <v/>
      </c>
      <c r="J14">
        <f>IF($X14="","",INDEX('Per Line'!$W$2:$W$3001,$X14)&amp;"")</f>
        <v/>
      </c>
      <c r="K14">
        <f>IF($X14="","",INDEX('Per Line'!$AD$2:$AD$3001,$X14))</f>
        <v/>
      </c>
      <c r="L14">
        <f>IF($X14="","",IF(AND(ISNUMBER(K14),K14&gt;0),V14&gt;K14,FALSE))</f>
        <v/>
      </c>
      <c r="M14" s="7">
        <f>IF($X14="","",SUMIFS('Per Line'!$V$2:$V$3001,'Per Line'!$D$2:$D$3001,$B14,'Per Line'!$AN$2:$AN$3001,1))</f>
        <v/>
      </c>
      <c r="N14">
        <f>IF($X14="","",Settings!$C$7)</f>
        <v/>
      </c>
      <c r="O14" s="7">
        <f>IF($X14="","",SUMIFS('Per Line'!$V$2:$V$3001,'Per Line'!$D$2:$D$3001,$B14,'Per Line'!$AM$2:$AM$3001,0,'Per Line'!$AN$2:$AN$3001,0))</f>
        <v/>
      </c>
      <c r="P14" s="7">
        <f>IF($X14="","",O14*N14)</f>
        <v/>
      </c>
      <c r="Q14">
        <f>IF($X14="","",Settings!$C$6)</f>
        <v/>
      </c>
      <c r="R14" s="7">
        <f>IF($X14="","",SUMIFS('Per Line'!$V$2:$V$3001,'Per Line'!$D$2:$D$3001,$B14,'Per Line'!$AM$2:$AM$3001,1,'Per Line'!$AN$2:$AN$3001,0))</f>
        <v/>
      </c>
      <c r="S14" s="7">
        <f>IF($X14="","",R14*Q14)</f>
        <v/>
      </c>
      <c r="T14" s="7">
        <f>IF($X14="","",S14+P14)</f>
        <v/>
      </c>
      <c r="U14" s="7">
        <f>IF($X14="","",V14-T14)</f>
        <v/>
      </c>
      <c r="V14" s="7">
        <f>IF($X14="","",O14+R14+M14)</f>
        <v/>
      </c>
      <c r="W14" s="7">
        <f>IF($X14="","",V14-T14-I14)</f>
        <v/>
      </c>
      <c r="X14" s="13">
        <f>IF(ROWS($X$2:$X14)&lt;=MAX('Per Line'!$AL$2:$AL$3001),MATCH(ROWS($X$2:$X14),'Per Line'!$AL$2:$AL$3001,0),"")</f>
        <v/>
      </c>
    </row>
    <row r="15">
      <c r="A15" s="12" t="n"/>
      <c r="B15">
        <f>IF($X15="","",INDEX('Per Line'!$D$2:$D$3001,$X15)&amp;"")</f>
        <v/>
      </c>
      <c r="C15" s="11">
        <f>IF($X15="","",INDEX('Per Line'!$F$2:$F$3001,$X15))</f>
        <v/>
      </c>
      <c r="D15">
        <f>IF($X15="","",INDEX('Per Line'!$G$2:$G$3001,$X15)&amp;"")</f>
        <v/>
      </c>
      <c r="E15">
        <f>IF($X15="","",INDEX('Per Line'!$I$2:$I$3001,$X15)&amp;"")</f>
        <v/>
      </c>
      <c r="F15">
        <f>IF($X15="","",INDEX('Per Line'!$J$2:$J$3001,$X15)&amp;"")</f>
        <v/>
      </c>
      <c r="G15">
        <f>IF($X15="","",INDEX('Per Line'!$K$2:$K$3001,$X15)&amp;"")</f>
        <v/>
      </c>
      <c r="H15">
        <f>IF($X15="","",INDEX('Per Line'!$M$2:$M$3001,$X15))</f>
        <v/>
      </c>
      <c r="I15" s="7">
        <f>IF($X15="","",H15*V15/100)</f>
        <v/>
      </c>
      <c r="J15">
        <f>IF($X15="","",INDEX('Per Line'!$W$2:$W$3001,$X15)&amp;"")</f>
        <v/>
      </c>
      <c r="K15">
        <f>IF($X15="","",INDEX('Per Line'!$AD$2:$AD$3001,$X15))</f>
        <v/>
      </c>
      <c r="L15">
        <f>IF($X15="","",IF(AND(ISNUMBER(K15),K15&gt;0),V15&gt;K15,FALSE))</f>
        <v/>
      </c>
      <c r="M15" s="7">
        <f>IF($X15="","",SUMIFS('Per Line'!$V$2:$V$3001,'Per Line'!$D$2:$D$3001,$B15,'Per Line'!$AN$2:$AN$3001,1))</f>
        <v/>
      </c>
      <c r="N15">
        <f>IF($X15="","",Settings!$C$7)</f>
        <v/>
      </c>
      <c r="O15" s="7">
        <f>IF($X15="","",SUMIFS('Per Line'!$V$2:$V$3001,'Per Line'!$D$2:$D$3001,$B15,'Per Line'!$AM$2:$AM$3001,0,'Per Line'!$AN$2:$AN$3001,0))</f>
        <v/>
      </c>
      <c r="P15" s="7">
        <f>IF($X15="","",O15*N15)</f>
        <v/>
      </c>
      <c r="Q15">
        <f>IF($X15="","",Settings!$C$6)</f>
        <v/>
      </c>
      <c r="R15" s="7">
        <f>IF($X15="","",SUMIFS('Per Line'!$V$2:$V$3001,'Per Line'!$D$2:$D$3001,$B15,'Per Line'!$AM$2:$AM$3001,1,'Per Line'!$AN$2:$AN$3001,0))</f>
        <v/>
      </c>
      <c r="S15" s="7">
        <f>IF($X15="","",R15*Q15)</f>
        <v/>
      </c>
      <c r="T15" s="7">
        <f>IF($X15="","",S15+P15)</f>
        <v/>
      </c>
      <c r="U15" s="7">
        <f>IF($X15="","",V15-T15)</f>
        <v/>
      </c>
      <c r="V15" s="7">
        <f>IF($X15="","",O15+R15+M15)</f>
        <v/>
      </c>
      <c r="W15" s="7">
        <f>IF($X15="","",V15-T15-I15)</f>
        <v/>
      </c>
      <c r="X15" s="13">
        <f>IF(ROWS($X$2:$X15)&lt;=MAX('Per Line'!$AL$2:$AL$3001),MATCH(ROWS($X$2:$X15),'Per Line'!$AL$2:$AL$3001,0),"")</f>
        <v/>
      </c>
    </row>
    <row r="16">
      <c r="A16" s="12" t="n"/>
      <c r="B16">
        <f>IF($X16="","",INDEX('Per Line'!$D$2:$D$3001,$X16)&amp;"")</f>
        <v/>
      </c>
      <c r="C16" s="11">
        <f>IF($X16="","",INDEX('Per Line'!$F$2:$F$3001,$X16))</f>
        <v/>
      </c>
      <c r="D16">
        <f>IF($X16="","",INDEX('Per Line'!$G$2:$G$3001,$X16)&amp;"")</f>
        <v/>
      </c>
      <c r="E16">
        <f>IF($X16="","",INDEX('Per Line'!$I$2:$I$3001,$X16)&amp;"")</f>
        <v/>
      </c>
      <c r="F16">
        <f>IF($X16="","",INDEX('Per Line'!$J$2:$J$3001,$X16)&amp;"")</f>
        <v/>
      </c>
      <c r="G16">
        <f>IF($X16="","",INDEX('Per Line'!$K$2:$K$3001,$X16)&amp;"")</f>
        <v/>
      </c>
      <c r="H16">
        <f>IF($X16="","",INDEX('Per Line'!$M$2:$M$3001,$X16))</f>
        <v/>
      </c>
      <c r="I16" s="7">
        <f>IF($X16="","",H16*V16/100)</f>
        <v/>
      </c>
      <c r="J16">
        <f>IF($X16="","",INDEX('Per Line'!$W$2:$W$3001,$X16)&amp;"")</f>
        <v/>
      </c>
      <c r="K16">
        <f>IF($X16="","",INDEX('Per Line'!$AD$2:$AD$3001,$X16))</f>
        <v/>
      </c>
      <c r="L16">
        <f>IF($X16="","",IF(AND(ISNUMBER(K16),K16&gt;0),V16&gt;K16,FALSE))</f>
        <v/>
      </c>
      <c r="M16" s="7">
        <f>IF($X16="","",SUMIFS('Per Line'!$V$2:$V$3001,'Per Line'!$D$2:$D$3001,$B16,'Per Line'!$AN$2:$AN$3001,1))</f>
        <v/>
      </c>
      <c r="N16">
        <f>IF($X16="","",Settings!$C$7)</f>
        <v/>
      </c>
      <c r="O16" s="7">
        <f>IF($X16="","",SUMIFS('Per Line'!$V$2:$V$3001,'Per Line'!$D$2:$D$3001,$B16,'Per Line'!$AM$2:$AM$3001,0,'Per Line'!$AN$2:$AN$3001,0))</f>
        <v/>
      </c>
      <c r="P16" s="7">
        <f>IF($X16="","",O16*N16)</f>
        <v/>
      </c>
      <c r="Q16">
        <f>IF($X16="","",Settings!$C$6)</f>
        <v/>
      </c>
      <c r="R16" s="7">
        <f>IF($X16="","",SUMIFS('Per Line'!$V$2:$V$3001,'Per Line'!$D$2:$D$3001,$B16,'Per Line'!$AM$2:$AM$3001,1,'Per Line'!$AN$2:$AN$3001,0))</f>
        <v/>
      </c>
      <c r="S16" s="7">
        <f>IF($X16="","",R16*Q16)</f>
        <v/>
      </c>
      <c r="T16" s="7">
        <f>IF($X16="","",S16+P16)</f>
        <v/>
      </c>
      <c r="U16" s="7">
        <f>IF($X16="","",V16-T16)</f>
        <v/>
      </c>
      <c r="V16" s="7">
        <f>IF($X16="","",O16+R16+M16)</f>
        <v/>
      </c>
      <c r="W16" s="7">
        <f>IF($X16="","",V16-T16-I16)</f>
        <v/>
      </c>
      <c r="X16" s="13">
        <f>IF(ROWS($X$2:$X16)&lt;=MAX('Per Line'!$AL$2:$AL$3001),MATCH(ROWS($X$2:$X16),'Per Line'!$AL$2:$AL$3001,0),"")</f>
        <v/>
      </c>
    </row>
    <row r="17">
      <c r="A17" s="12" t="n"/>
      <c r="B17">
        <f>IF($X17="","",INDEX('Per Line'!$D$2:$D$3001,$X17)&amp;"")</f>
        <v/>
      </c>
      <c r="C17" s="11">
        <f>IF($X17="","",INDEX('Per Line'!$F$2:$F$3001,$X17))</f>
        <v/>
      </c>
      <c r="D17">
        <f>IF($X17="","",INDEX('Per Line'!$G$2:$G$3001,$X17)&amp;"")</f>
        <v/>
      </c>
      <c r="E17">
        <f>IF($X17="","",INDEX('Per Line'!$I$2:$I$3001,$X17)&amp;"")</f>
        <v/>
      </c>
      <c r="F17">
        <f>IF($X17="","",INDEX('Per Line'!$J$2:$J$3001,$X17)&amp;"")</f>
        <v/>
      </c>
      <c r="G17">
        <f>IF($X17="","",INDEX('Per Line'!$K$2:$K$3001,$X17)&amp;"")</f>
        <v/>
      </c>
      <c r="H17">
        <f>IF($X17="","",INDEX('Per Line'!$M$2:$M$3001,$X17))</f>
        <v/>
      </c>
      <c r="I17" s="7">
        <f>IF($X17="","",H17*V17/100)</f>
        <v/>
      </c>
      <c r="J17">
        <f>IF($X17="","",INDEX('Per Line'!$W$2:$W$3001,$X17)&amp;"")</f>
        <v/>
      </c>
      <c r="K17">
        <f>IF($X17="","",INDEX('Per Line'!$AD$2:$AD$3001,$X17))</f>
        <v/>
      </c>
      <c r="L17">
        <f>IF($X17="","",IF(AND(ISNUMBER(K17),K17&gt;0),V17&gt;K17,FALSE))</f>
        <v/>
      </c>
      <c r="M17" s="7">
        <f>IF($X17="","",SUMIFS('Per Line'!$V$2:$V$3001,'Per Line'!$D$2:$D$3001,$B17,'Per Line'!$AN$2:$AN$3001,1))</f>
        <v/>
      </c>
      <c r="N17">
        <f>IF($X17="","",Settings!$C$7)</f>
        <v/>
      </c>
      <c r="O17" s="7">
        <f>IF($X17="","",SUMIFS('Per Line'!$V$2:$V$3001,'Per Line'!$D$2:$D$3001,$B17,'Per Line'!$AM$2:$AM$3001,0,'Per Line'!$AN$2:$AN$3001,0))</f>
        <v/>
      </c>
      <c r="P17" s="7">
        <f>IF($X17="","",O17*N17)</f>
        <v/>
      </c>
      <c r="Q17">
        <f>IF($X17="","",Settings!$C$6)</f>
        <v/>
      </c>
      <c r="R17" s="7">
        <f>IF($X17="","",SUMIFS('Per Line'!$V$2:$V$3001,'Per Line'!$D$2:$D$3001,$B17,'Per Line'!$AM$2:$AM$3001,1,'Per Line'!$AN$2:$AN$3001,0))</f>
        <v/>
      </c>
      <c r="S17" s="7">
        <f>IF($X17="","",R17*Q17)</f>
        <v/>
      </c>
      <c r="T17" s="7">
        <f>IF($X17="","",S17+P17)</f>
        <v/>
      </c>
      <c r="U17" s="7">
        <f>IF($X17="","",V17-T17)</f>
        <v/>
      </c>
      <c r="V17" s="7">
        <f>IF($X17="","",O17+R17+M17)</f>
        <v/>
      </c>
      <c r="W17" s="7">
        <f>IF($X17="","",V17-T17-I17)</f>
        <v/>
      </c>
      <c r="X17" s="13">
        <f>IF(ROWS($X$2:$X17)&lt;=MAX('Per Line'!$AL$2:$AL$3001),MATCH(ROWS($X$2:$X17),'Per Line'!$AL$2:$AL$3001,0),"")</f>
        <v/>
      </c>
    </row>
    <row r="18">
      <c r="A18" s="12" t="n"/>
      <c r="B18">
        <f>IF($X18="","",INDEX('Per Line'!$D$2:$D$3001,$X18)&amp;"")</f>
        <v/>
      </c>
      <c r="C18" s="11">
        <f>IF($X18="","",INDEX('Per Line'!$F$2:$F$3001,$X18))</f>
        <v/>
      </c>
      <c r="D18">
        <f>IF($X18="","",INDEX('Per Line'!$G$2:$G$3001,$X18)&amp;"")</f>
        <v/>
      </c>
      <c r="E18">
        <f>IF($X18="","",INDEX('Per Line'!$I$2:$I$3001,$X18)&amp;"")</f>
        <v/>
      </c>
      <c r="F18">
        <f>IF($X18="","",INDEX('Per Line'!$J$2:$J$3001,$X18)&amp;"")</f>
        <v/>
      </c>
      <c r="G18">
        <f>IF($X18="","",INDEX('Per Line'!$K$2:$K$3001,$X18)&amp;"")</f>
        <v/>
      </c>
      <c r="H18">
        <f>IF($X18="","",INDEX('Per Line'!$M$2:$M$3001,$X18))</f>
        <v/>
      </c>
      <c r="I18" s="7">
        <f>IF($X18="","",H18*V18/100)</f>
        <v/>
      </c>
      <c r="J18">
        <f>IF($X18="","",INDEX('Per Line'!$W$2:$W$3001,$X18)&amp;"")</f>
        <v/>
      </c>
      <c r="K18">
        <f>IF($X18="","",INDEX('Per Line'!$AD$2:$AD$3001,$X18))</f>
        <v/>
      </c>
      <c r="L18">
        <f>IF($X18="","",IF(AND(ISNUMBER(K18),K18&gt;0),V18&gt;K18,FALSE))</f>
        <v/>
      </c>
      <c r="M18" s="7">
        <f>IF($X18="","",SUMIFS('Per Line'!$V$2:$V$3001,'Per Line'!$D$2:$D$3001,$B18,'Per Line'!$AN$2:$AN$3001,1))</f>
        <v/>
      </c>
      <c r="N18">
        <f>IF($X18="","",Settings!$C$7)</f>
        <v/>
      </c>
      <c r="O18" s="7">
        <f>IF($X18="","",SUMIFS('Per Line'!$V$2:$V$3001,'Per Line'!$D$2:$D$3001,$B18,'Per Line'!$AM$2:$AM$3001,0,'Per Line'!$AN$2:$AN$3001,0))</f>
        <v/>
      </c>
      <c r="P18" s="7">
        <f>IF($X18="","",O18*N18)</f>
        <v/>
      </c>
      <c r="Q18">
        <f>IF($X18="","",Settings!$C$6)</f>
        <v/>
      </c>
      <c r="R18" s="7">
        <f>IF($X18="","",SUMIFS('Per Line'!$V$2:$V$3001,'Per Line'!$D$2:$D$3001,$B18,'Per Line'!$AM$2:$AM$3001,1,'Per Line'!$AN$2:$AN$3001,0))</f>
        <v/>
      </c>
      <c r="S18" s="7">
        <f>IF($X18="","",R18*Q18)</f>
        <v/>
      </c>
      <c r="T18" s="7">
        <f>IF($X18="","",S18+P18)</f>
        <v/>
      </c>
      <c r="U18" s="7">
        <f>IF($X18="","",V18-T18)</f>
        <v/>
      </c>
      <c r="V18" s="7">
        <f>IF($X18="","",O18+R18+M18)</f>
        <v/>
      </c>
      <c r="W18" s="7">
        <f>IF($X18="","",V18-T18-I18)</f>
        <v/>
      </c>
      <c r="X18" s="13">
        <f>IF(ROWS($X$2:$X18)&lt;=MAX('Per Line'!$AL$2:$AL$3001),MATCH(ROWS($X$2:$X18),'Per Line'!$AL$2:$AL$3001,0),"")</f>
        <v/>
      </c>
    </row>
    <row r="19">
      <c r="A19" s="12" t="n"/>
      <c r="B19">
        <f>IF($X19="","",INDEX('Per Line'!$D$2:$D$3001,$X19)&amp;"")</f>
        <v/>
      </c>
      <c r="C19" s="11">
        <f>IF($X19="","",INDEX('Per Line'!$F$2:$F$3001,$X19))</f>
        <v/>
      </c>
      <c r="D19">
        <f>IF($X19="","",INDEX('Per Line'!$G$2:$G$3001,$X19)&amp;"")</f>
        <v/>
      </c>
      <c r="E19">
        <f>IF($X19="","",INDEX('Per Line'!$I$2:$I$3001,$X19)&amp;"")</f>
        <v/>
      </c>
      <c r="F19">
        <f>IF($X19="","",INDEX('Per Line'!$J$2:$J$3001,$X19)&amp;"")</f>
        <v/>
      </c>
      <c r="G19">
        <f>IF($X19="","",INDEX('Per Line'!$K$2:$K$3001,$X19)&amp;"")</f>
        <v/>
      </c>
      <c r="H19">
        <f>IF($X19="","",INDEX('Per Line'!$M$2:$M$3001,$X19))</f>
        <v/>
      </c>
      <c r="I19" s="7">
        <f>IF($X19="","",H19*V19/100)</f>
        <v/>
      </c>
      <c r="J19">
        <f>IF($X19="","",INDEX('Per Line'!$W$2:$W$3001,$X19)&amp;"")</f>
        <v/>
      </c>
      <c r="K19">
        <f>IF($X19="","",INDEX('Per Line'!$AD$2:$AD$3001,$X19))</f>
        <v/>
      </c>
      <c r="L19">
        <f>IF($X19="","",IF(AND(ISNUMBER(K19),K19&gt;0),V19&gt;K19,FALSE))</f>
        <v/>
      </c>
      <c r="M19" s="7">
        <f>IF($X19="","",SUMIFS('Per Line'!$V$2:$V$3001,'Per Line'!$D$2:$D$3001,$B19,'Per Line'!$AN$2:$AN$3001,1))</f>
        <v/>
      </c>
      <c r="N19">
        <f>IF($X19="","",Settings!$C$7)</f>
        <v/>
      </c>
      <c r="O19" s="7">
        <f>IF($X19="","",SUMIFS('Per Line'!$V$2:$V$3001,'Per Line'!$D$2:$D$3001,$B19,'Per Line'!$AM$2:$AM$3001,0,'Per Line'!$AN$2:$AN$3001,0))</f>
        <v/>
      </c>
      <c r="P19" s="7">
        <f>IF($X19="","",O19*N19)</f>
        <v/>
      </c>
      <c r="Q19">
        <f>IF($X19="","",Settings!$C$6)</f>
        <v/>
      </c>
      <c r="R19" s="7">
        <f>IF($X19="","",SUMIFS('Per Line'!$V$2:$V$3001,'Per Line'!$D$2:$D$3001,$B19,'Per Line'!$AM$2:$AM$3001,1,'Per Line'!$AN$2:$AN$3001,0))</f>
        <v/>
      </c>
      <c r="S19" s="7">
        <f>IF($X19="","",R19*Q19)</f>
        <v/>
      </c>
      <c r="T19" s="7">
        <f>IF($X19="","",S19+P19)</f>
        <v/>
      </c>
      <c r="U19" s="7">
        <f>IF($X19="","",V19-T19)</f>
        <v/>
      </c>
      <c r="V19" s="7">
        <f>IF($X19="","",O19+R19+M19)</f>
        <v/>
      </c>
      <c r="W19" s="7">
        <f>IF($X19="","",V19-T19-I19)</f>
        <v/>
      </c>
      <c r="X19" s="13">
        <f>IF(ROWS($X$2:$X19)&lt;=MAX('Per Line'!$AL$2:$AL$3001),MATCH(ROWS($X$2:$X19),'Per Line'!$AL$2:$AL$3001,0),"")</f>
        <v/>
      </c>
    </row>
    <row r="20">
      <c r="A20" s="12" t="n"/>
      <c r="B20">
        <f>IF($X20="","",INDEX('Per Line'!$D$2:$D$3001,$X20)&amp;"")</f>
        <v/>
      </c>
      <c r="C20" s="11">
        <f>IF($X20="","",INDEX('Per Line'!$F$2:$F$3001,$X20))</f>
        <v/>
      </c>
      <c r="D20">
        <f>IF($X20="","",INDEX('Per Line'!$G$2:$G$3001,$X20)&amp;"")</f>
        <v/>
      </c>
      <c r="E20">
        <f>IF($X20="","",INDEX('Per Line'!$I$2:$I$3001,$X20)&amp;"")</f>
        <v/>
      </c>
      <c r="F20">
        <f>IF($X20="","",INDEX('Per Line'!$J$2:$J$3001,$X20)&amp;"")</f>
        <v/>
      </c>
      <c r="G20">
        <f>IF($X20="","",INDEX('Per Line'!$K$2:$K$3001,$X20)&amp;"")</f>
        <v/>
      </c>
      <c r="H20">
        <f>IF($X20="","",INDEX('Per Line'!$M$2:$M$3001,$X20))</f>
        <v/>
      </c>
      <c r="I20" s="7">
        <f>IF($X20="","",H20*V20/100)</f>
        <v/>
      </c>
      <c r="J20">
        <f>IF($X20="","",INDEX('Per Line'!$W$2:$W$3001,$X20)&amp;"")</f>
        <v/>
      </c>
      <c r="K20">
        <f>IF($X20="","",INDEX('Per Line'!$AD$2:$AD$3001,$X20))</f>
        <v/>
      </c>
      <c r="L20">
        <f>IF($X20="","",IF(AND(ISNUMBER(K20),K20&gt;0),V20&gt;K20,FALSE))</f>
        <v/>
      </c>
      <c r="M20" s="7">
        <f>IF($X20="","",SUMIFS('Per Line'!$V$2:$V$3001,'Per Line'!$D$2:$D$3001,$B20,'Per Line'!$AN$2:$AN$3001,1))</f>
        <v/>
      </c>
      <c r="N20">
        <f>IF($X20="","",Settings!$C$7)</f>
        <v/>
      </c>
      <c r="O20" s="7">
        <f>IF($X20="","",SUMIFS('Per Line'!$V$2:$V$3001,'Per Line'!$D$2:$D$3001,$B20,'Per Line'!$AM$2:$AM$3001,0,'Per Line'!$AN$2:$AN$3001,0))</f>
        <v/>
      </c>
      <c r="P20" s="7">
        <f>IF($X20="","",O20*N20)</f>
        <v/>
      </c>
      <c r="Q20">
        <f>IF($X20="","",Settings!$C$6)</f>
        <v/>
      </c>
      <c r="R20" s="7">
        <f>IF($X20="","",SUMIFS('Per Line'!$V$2:$V$3001,'Per Line'!$D$2:$D$3001,$B20,'Per Line'!$AM$2:$AM$3001,1,'Per Line'!$AN$2:$AN$3001,0))</f>
        <v/>
      </c>
      <c r="S20" s="7">
        <f>IF($X20="","",R20*Q20)</f>
        <v/>
      </c>
      <c r="T20" s="7">
        <f>IF($X20="","",S20+P20)</f>
        <v/>
      </c>
      <c r="U20" s="7">
        <f>IF($X20="","",V20-T20)</f>
        <v/>
      </c>
      <c r="V20" s="7">
        <f>IF($X20="","",O20+R20+M20)</f>
        <v/>
      </c>
      <c r="W20" s="7">
        <f>IF($X20="","",V20-T20-I20)</f>
        <v/>
      </c>
      <c r="X20" s="13">
        <f>IF(ROWS($X$2:$X20)&lt;=MAX('Per Line'!$AL$2:$AL$3001),MATCH(ROWS($X$2:$X20),'Per Line'!$AL$2:$AL$3001,0),"")</f>
        <v/>
      </c>
    </row>
    <row r="21">
      <c r="A21" s="12" t="n"/>
      <c r="B21">
        <f>IF($X21="","",INDEX('Per Line'!$D$2:$D$3001,$X21)&amp;"")</f>
        <v/>
      </c>
      <c r="C21" s="11">
        <f>IF($X21="","",INDEX('Per Line'!$F$2:$F$3001,$X21))</f>
        <v/>
      </c>
      <c r="D21">
        <f>IF($X21="","",INDEX('Per Line'!$G$2:$G$3001,$X21)&amp;"")</f>
        <v/>
      </c>
      <c r="E21">
        <f>IF($X21="","",INDEX('Per Line'!$I$2:$I$3001,$X21)&amp;"")</f>
        <v/>
      </c>
      <c r="F21">
        <f>IF($X21="","",INDEX('Per Line'!$J$2:$J$3001,$X21)&amp;"")</f>
        <v/>
      </c>
      <c r="G21">
        <f>IF($X21="","",INDEX('Per Line'!$K$2:$K$3001,$X21)&amp;"")</f>
        <v/>
      </c>
      <c r="H21">
        <f>IF($X21="","",INDEX('Per Line'!$M$2:$M$3001,$X21))</f>
        <v/>
      </c>
      <c r="I21" s="7">
        <f>IF($X21="","",H21*V21/100)</f>
        <v/>
      </c>
      <c r="J21">
        <f>IF($X21="","",INDEX('Per Line'!$W$2:$W$3001,$X21)&amp;"")</f>
        <v/>
      </c>
      <c r="K21">
        <f>IF($X21="","",INDEX('Per Line'!$AD$2:$AD$3001,$X21))</f>
        <v/>
      </c>
      <c r="L21">
        <f>IF($X21="","",IF(AND(ISNUMBER(K21),K21&gt;0),V21&gt;K21,FALSE))</f>
        <v/>
      </c>
      <c r="M21" s="7">
        <f>IF($X21="","",SUMIFS('Per Line'!$V$2:$V$3001,'Per Line'!$D$2:$D$3001,$B21,'Per Line'!$AN$2:$AN$3001,1))</f>
        <v/>
      </c>
      <c r="N21">
        <f>IF($X21="","",Settings!$C$7)</f>
        <v/>
      </c>
      <c r="O21" s="7">
        <f>IF($X21="","",SUMIFS('Per Line'!$V$2:$V$3001,'Per Line'!$D$2:$D$3001,$B21,'Per Line'!$AM$2:$AM$3001,0,'Per Line'!$AN$2:$AN$3001,0))</f>
        <v/>
      </c>
      <c r="P21" s="7">
        <f>IF($X21="","",O21*N21)</f>
        <v/>
      </c>
      <c r="Q21">
        <f>IF($X21="","",Settings!$C$6)</f>
        <v/>
      </c>
      <c r="R21" s="7">
        <f>IF($X21="","",SUMIFS('Per Line'!$V$2:$V$3001,'Per Line'!$D$2:$D$3001,$B21,'Per Line'!$AM$2:$AM$3001,1,'Per Line'!$AN$2:$AN$3001,0))</f>
        <v/>
      </c>
      <c r="S21" s="7">
        <f>IF($X21="","",R21*Q21)</f>
        <v/>
      </c>
      <c r="T21" s="7">
        <f>IF($X21="","",S21+P21)</f>
        <v/>
      </c>
      <c r="U21" s="7">
        <f>IF($X21="","",V21-T21)</f>
        <v/>
      </c>
      <c r="V21" s="7">
        <f>IF($X21="","",O21+R21+M21)</f>
        <v/>
      </c>
      <c r="W21" s="7">
        <f>IF($X21="","",V21-T21-I21)</f>
        <v/>
      </c>
      <c r="X21" s="13">
        <f>IF(ROWS($X$2:$X21)&lt;=MAX('Per Line'!$AL$2:$AL$3001),MATCH(ROWS($X$2:$X21),'Per Line'!$AL$2:$AL$3001,0),"")</f>
        <v/>
      </c>
    </row>
    <row r="22">
      <c r="A22" s="12" t="n"/>
      <c r="B22">
        <f>IF($X22="","",INDEX('Per Line'!$D$2:$D$3001,$X22)&amp;"")</f>
        <v/>
      </c>
      <c r="C22" s="11">
        <f>IF($X22="","",INDEX('Per Line'!$F$2:$F$3001,$X22))</f>
        <v/>
      </c>
      <c r="D22">
        <f>IF($X22="","",INDEX('Per Line'!$G$2:$G$3001,$X22)&amp;"")</f>
        <v/>
      </c>
      <c r="E22">
        <f>IF($X22="","",INDEX('Per Line'!$I$2:$I$3001,$X22)&amp;"")</f>
        <v/>
      </c>
      <c r="F22">
        <f>IF($X22="","",INDEX('Per Line'!$J$2:$J$3001,$X22)&amp;"")</f>
        <v/>
      </c>
      <c r="G22">
        <f>IF($X22="","",INDEX('Per Line'!$K$2:$K$3001,$X22)&amp;"")</f>
        <v/>
      </c>
      <c r="H22">
        <f>IF($X22="","",INDEX('Per Line'!$M$2:$M$3001,$X22))</f>
        <v/>
      </c>
      <c r="I22" s="7">
        <f>IF($X22="","",H22*V22/100)</f>
        <v/>
      </c>
      <c r="J22">
        <f>IF($X22="","",INDEX('Per Line'!$W$2:$W$3001,$X22)&amp;"")</f>
        <v/>
      </c>
      <c r="K22">
        <f>IF($X22="","",INDEX('Per Line'!$AD$2:$AD$3001,$X22))</f>
        <v/>
      </c>
      <c r="L22">
        <f>IF($X22="","",IF(AND(ISNUMBER(K22),K22&gt;0),V22&gt;K22,FALSE))</f>
        <v/>
      </c>
      <c r="M22" s="7">
        <f>IF($X22="","",SUMIFS('Per Line'!$V$2:$V$3001,'Per Line'!$D$2:$D$3001,$B22,'Per Line'!$AN$2:$AN$3001,1))</f>
        <v/>
      </c>
      <c r="N22">
        <f>IF($X22="","",Settings!$C$7)</f>
        <v/>
      </c>
      <c r="O22" s="7">
        <f>IF($X22="","",SUMIFS('Per Line'!$V$2:$V$3001,'Per Line'!$D$2:$D$3001,$B22,'Per Line'!$AM$2:$AM$3001,0,'Per Line'!$AN$2:$AN$3001,0))</f>
        <v/>
      </c>
      <c r="P22" s="7">
        <f>IF($X22="","",O22*N22)</f>
        <v/>
      </c>
      <c r="Q22">
        <f>IF($X22="","",Settings!$C$6)</f>
        <v/>
      </c>
      <c r="R22" s="7">
        <f>IF($X22="","",SUMIFS('Per Line'!$V$2:$V$3001,'Per Line'!$D$2:$D$3001,$B22,'Per Line'!$AM$2:$AM$3001,1,'Per Line'!$AN$2:$AN$3001,0))</f>
        <v/>
      </c>
      <c r="S22" s="7">
        <f>IF($X22="","",R22*Q22)</f>
        <v/>
      </c>
      <c r="T22" s="7">
        <f>IF($X22="","",S22+P22)</f>
        <v/>
      </c>
      <c r="U22" s="7">
        <f>IF($X22="","",V22-T22)</f>
        <v/>
      </c>
      <c r="V22" s="7">
        <f>IF($X22="","",O22+R22+M22)</f>
        <v/>
      </c>
      <c r="W22" s="7">
        <f>IF($X22="","",V22-T22-I22)</f>
        <v/>
      </c>
      <c r="X22" s="13">
        <f>IF(ROWS($X$2:$X22)&lt;=MAX('Per Line'!$AL$2:$AL$3001),MATCH(ROWS($X$2:$X22),'Per Line'!$AL$2:$AL$3001,0),"")</f>
        <v/>
      </c>
    </row>
    <row r="23">
      <c r="A23" s="12" t="n"/>
      <c r="B23">
        <f>IF($X23="","",INDEX('Per Line'!$D$2:$D$3001,$X23)&amp;"")</f>
        <v/>
      </c>
      <c r="C23" s="11">
        <f>IF($X23="","",INDEX('Per Line'!$F$2:$F$3001,$X23))</f>
        <v/>
      </c>
      <c r="D23">
        <f>IF($X23="","",INDEX('Per Line'!$G$2:$G$3001,$X23)&amp;"")</f>
        <v/>
      </c>
      <c r="E23">
        <f>IF($X23="","",INDEX('Per Line'!$I$2:$I$3001,$X23)&amp;"")</f>
        <v/>
      </c>
      <c r="F23">
        <f>IF($X23="","",INDEX('Per Line'!$J$2:$J$3001,$X23)&amp;"")</f>
        <v/>
      </c>
      <c r="G23">
        <f>IF($X23="","",INDEX('Per Line'!$K$2:$K$3001,$X23)&amp;"")</f>
        <v/>
      </c>
      <c r="H23">
        <f>IF($X23="","",INDEX('Per Line'!$M$2:$M$3001,$X23))</f>
        <v/>
      </c>
      <c r="I23" s="7">
        <f>IF($X23="","",H23*V23/100)</f>
        <v/>
      </c>
      <c r="J23">
        <f>IF($X23="","",INDEX('Per Line'!$W$2:$W$3001,$X23)&amp;"")</f>
        <v/>
      </c>
      <c r="K23">
        <f>IF($X23="","",INDEX('Per Line'!$AD$2:$AD$3001,$X23))</f>
        <v/>
      </c>
      <c r="L23">
        <f>IF($X23="","",IF(AND(ISNUMBER(K23),K23&gt;0),V23&gt;K23,FALSE))</f>
        <v/>
      </c>
      <c r="M23" s="7">
        <f>IF($X23="","",SUMIFS('Per Line'!$V$2:$V$3001,'Per Line'!$D$2:$D$3001,$B23,'Per Line'!$AN$2:$AN$3001,1))</f>
        <v/>
      </c>
      <c r="N23">
        <f>IF($X23="","",Settings!$C$7)</f>
        <v/>
      </c>
      <c r="O23" s="7">
        <f>IF($X23="","",SUMIFS('Per Line'!$V$2:$V$3001,'Per Line'!$D$2:$D$3001,$B23,'Per Line'!$AM$2:$AM$3001,0,'Per Line'!$AN$2:$AN$3001,0))</f>
        <v/>
      </c>
      <c r="P23" s="7">
        <f>IF($X23="","",O23*N23)</f>
        <v/>
      </c>
      <c r="Q23">
        <f>IF($X23="","",Settings!$C$6)</f>
        <v/>
      </c>
      <c r="R23" s="7">
        <f>IF($X23="","",SUMIFS('Per Line'!$V$2:$V$3001,'Per Line'!$D$2:$D$3001,$B23,'Per Line'!$AM$2:$AM$3001,1,'Per Line'!$AN$2:$AN$3001,0))</f>
        <v/>
      </c>
      <c r="S23" s="7">
        <f>IF($X23="","",R23*Q23)</f>
        <v/>
      </c>
      <c r="T23" s="7">
        <f>IF($X23="","",S23+P23)</f>
        <v/>
      </c>
      <c r="U23" s="7">
        <f>IF($X23="","",V23-T23)</f>
        <v/>
      </c>
      <c r="V23" s="7">
        <f>IF($X23="","",O23+R23+M23)</f>
        <v/>
      </c>
      <c r="W23" s="7">
        <f>IF($X23="","",V23-T23-I23)</f>
        <v/>
      </c>
      <c r="X23" s="13">
        <f>IF(ROWS($X$2:$X23)&lt;=MAX('Per Line'!$AL$2:$AL$3001),MATCH(ROWS($X$2:$X23),'Per Line'!$AL$2:$AL$3001,0),"")</f>
        <v/>
      </c>
    </row>
    <row r="24">
      <c r="A24" s="12" t="n"/>
      <c r="B24">
        <f>IF($X24="","",INDEX('Per Line'!$D$2:$D$3001,$X24)&amp;"")</f>
        <v/>
      </c>
      <c r="C24" s="11">
        <f>IF($X24="","",INDEX('Per Line'!$F$2:$F$3001,$X24))</f>
        <v/>
      </c>
      <c r="D24">
        <f>IF($X24="","",INDEX('Per Line'!$G$2:$G$3001,$X24)&amp;"")</f>
        <v/>
      </c>
      <c r="E24">
        <f>IF($X24="","",INDEX('Per Line'!$I$2:$I$3001,$X24)&amp;"")</f>
        <v/>
      </c>
      <c r="F24">
        <f>IF($X24="","",INDEX('Per Line'!$J$2:$J$3001,$X24)&amp;"")</f>
        <v/>
      </c>
      <c r="G24">
        <f>IF($X24="","",INDEX('Per Line'!$K$2:$K$3001,$X24)&amp;"")</f>
        <v/>
      </c>
      <c r="H24">
        <f>IF($X24="","",INDEX('Per Line'!$M$2:$M$3001,$X24))</f>
        <v/>
      </c>
      <c r="I24" s="7">
        <f>IF($X24="","",H24*V24/100)</f>
        <v/>
      </c>
      <c r="J24">
        <f>IF($X24="","",INDEX('Per Line'!$W$2:$W$3001,$X24)&amp;"")</f>
        <v/>
      </c>
      <c r="K24">
        <f>IF($X24="","",INDEX('Per Line'!$AD$2:$AD$3001,$X24))</f>
        <v/>
      </c>
      <c r="L24">
        <f>IF($X24="","",IF(AND(ISNUMBER(K24),K24&gt;0),V24&gt;K24,FALSE))</f>
        <v/>
      </c>
      <c r="M24" s="7">
        <f>IF($X24="","",SUMIFS('Per Line'!$V$2:$V$3001,'Per Line'!$D$2:$D$3001,$B24,'Per Line'!$AN$2:$AN$3001,1))</f>
        <v/>
      </c>
      <c r="N24">
        <f>IF($X24="","",Settings!$C$7)</f>
        <v/>
      </c>
      <c r="O24" s="7">
        <f>IF($X24="","",SUMIFS('Per Line'!$V$2:$V$3001,'Per Line'!$D$2:$D$3001,$B24,'Per Line'!$AM$2:$AM$3001,0,'Per Line'!$AN$2:$AN$3001,0))</f>
        <v/>
      </c>
      <c r="P24" s="7">
        <f>IF($X24="","",O24*N24)</f>
        <v/>
      </c>
      <c r="Q24">
        <f>IF($X24="","",Settings!$C$6)</f>
        <v/>
      </c>
      <c r="R24" s="7">
        <f>IF($X24="","",SUMIFS('Per Line'!$V$2:$V$3001,'Per Line'!$D$2:$D$3001,$B24,'Per Line'!$AM$2:$AM$3001,1,'Per Line'!$AN$2:$AN$3001,0))</f>
        <v/>
      </c>
      <c r="S24" s="7">
        <f>IF($X24="","",R24*Q24)</f>
        <v/>
      </c>
      <c r="T24" s="7">
        <f>IF($X24="","",S24+P24)</f>
        <v/>
      </c>
      <c r="U24" s="7">
        <f>IF($X24="","",V24-T24)</f>
        <v/>
      </c>
      <c r="V24" s="7">
        <f>IF($X24="","",O24+R24+M24)</f>
        <v/>
      </c>
      <c r="W24" s="7">
        <f>IF($X24="","",V24-T24-I24)</f>
        <v/>
      </c>
      <c r="X24" s="13">
        <f>IF(ROWS($X$2:$X24)&lt;=MAX('Per Line'!$AL$2:$AL$3001),MATCH(ROWS($X$2:$X24),'Per Line'!$AL$2:$AL$3001,0),"")</f>
        <v/>
      </c>
    </row>
    <row r="25">
      <c r="A25" s="12" t="n"/>
      <c r="B25">
        <f>IF($X25="","",INDEX('Per Line'!$D$2:$D$3001,$X25)&amp;"")</f>
        <v/>
      </c>
      <c r="C25" s="11">
        <f>IF($X25="","",INDEX('Per Line'!$F$2:$F$3001,$X25))</f>
        <v/>
      </c>
      <c r="D25">
        <f>IF($X25="","",INDEX('Per Line'!$G$2:$G$3001,$X25)&amp;"")</f>
        <v/>
      </c>
      <c r="E25">
        <f>IF($X25="","",INDEX('Per Line'!$I$2:$I$3001,$X25)&amp;"")</f>
        <v/>
      </c>
      <c r="F25">
        <f>IF($X25="","",INDEX('Per Line'!$J$2:$J$3001,$X25)&amp;"")</f>
        <v/>
      </c>
      <c r="G25">
        <f>IF($X25="","",INDEX('Per Line'!$K$2:$K$3001,$X25)&amp;"")</f>
        <v/>
      </c>
      <c r="H25">
        <f>IF($X25="","",INDEX('Per Line'!$M$2:$M$3001,$X25))</f>
        <v/>
      </c>
      <c r="I25" s="7">
        <f>IF($X25="","",H25*V25/100)</f>
        <v/>
      </c>
      <c r="J25">
        <f>IF($X25="","",INDEX('Per Line'!$W$2:$W$3001,$X25)&amp;"")</f>
        <v/>
      </c>
      <c r="K25">
        <f>IF($X25="","",INDEX('Per Line'!$AD$2:$AD$3001,$X25))</f>
        <v/>
      </c>
      <c r="L25">
        <f>IF($X25="","",IF(AND(ISNUMBER(K25),K25&gt;0),V25&gt;K25,FALSE))</f>
        <v/>
      </c>
      <c r="M25" s="7">
        <f>IF($X25="","",SUMIFS('Per Line'!$V$2:$V$3001,'Per Line'!$D$2:$D$3001,$B25,'Per Line'!$AN$2:$AN$3001,1))</f>
        <v/>
      </c>
      <c r="N25">
        <f>IF($X25="","",Settings!$C$7)</f>
        <v/>
      </c>
      <c r="O25" s="7">
        <f>IF($X25="","",SUMIFS('Per Line'!$V$2:$V$3001,'Per Line'!$D$2:$D$3001,$B25,'Per Line'!$AM$2:$AM$3001,0,'Per Line'!$AN$2:$AN$3001,0))</f>
        <v/>
      </c>
      <c r="P25" s="7">
        <f>IF($X25="","",O25*N25)</f>
        <v/>
      </c>
      <c r="Q25">
        <f>IF($X25="","",Settings!$C$6)</f>
        <v/>
      </c>
      <c r="R25" s="7">
        <f>IF($X25="","",SUMIFS('Per Line'!$V$2:$V$3001,'Per Line'!$D$2:$D$3001,$B25,'Per Line'!$AM$2:$AM$3001,1,'Per Line'!$AN$2:$AN$3001,0))</f>
        <v/>
      </c>
      <c r="S25" s="7">
        <f>IF($X25="","",R25*Q25)</f>
        <v/>
      </c>
      <c r="T25" s="7">
        <f>IF($X25="","",S25+P25)</f>
        <v/>
      </c>
      <c r="U25" s="7">
        <f>IF($X25="","",V25-T25)</f>
        <v/>
      </c>
      <c r="V25" s="7">
        <f>IF($X25="","",O25+R25+M25)</f>
        <v/>
      </c>
      <c r="W25" s="7">
        <f>IF($X25="","",V25-T25-I25)</f>
        <v/>
      </c>
      <c r="X25" s="13">
        <f>IF(ROWS($X$2:$X25)&lt;=MAX('Per Line'!$AL$2:$AL$3001),MATCH(ROWS($X$2:$X25),'Per Line'!$AL$2:$AL$3001,0),"")</f>
        <v/>
      </c>
    </row>
    <row r="26">
      <c r="A26" s="12" t="n"/>
      <c r="B26">
        <f>IF($X26="","",INDEX('Per Line'!$D$2:$D$3001,$X26)&amp;"")</f>
        <v/>
      </c>
      <c r="C26" s="11">
        <f>IF($X26="","",INDEX('Per Line'!$F$2:$F$3001,$X26))</f>
        <v/>
      </c>
      <c r="D26">
        <f>IF($X26="","",INDEX('Per Line'!$G$2:$G$3001,$X26)&amp;"")</f>
        <v/>
      </c>
      <c r="E26">
        <f>IF($X26="","",INDEX('Per Line'!$I$2:$I$3001,$X26)&amp;"")</f>
        <v/>
      </c>
      <c r="F26">
        <f>IF($X26="","",INDEX('Per Line'!$J$2:$J$3001,$X26)&amp;"")</f>
        <v/>
      </c>
      <c r="G26">
        <f>IF($X26="","",INDEX('Per Line'!$K$2:$K$3001,$X26)&amp;"")</f>
        <v/>
      </c>
      <c r="H26">
        <f>IF($X26="","",INDEX('Per Line'!$M$2:$M$3001,$X26))</f>
        <v/>
      </c>
      <c r="I26" s="7">
        <f>IF($X26="","",H26*V26/100)</f>
        <v/>
      </c>
      <c r="J26">
        <f>IF($X26="","",INDEX('Per Line'!$W$2:$W$3001,$X26)&amp;"")</f>
        <v/>
      </c>
      <c r="K26">
        <f>IF($X26="","",INDEX('Per Line'!$AD$2:$AD$3001,$X26))</f>
        <v/>
      </c>
      <c r="L26">
        <f>IF($X26="","",IF(AND(ISNUMBER(K26),K26&gt;0),V26&gt;K26,FALSE))</f>
        <v/>
      </c>
      <c r="M26" s="7">
        <f>IF($X26="","",SUMIFS('Per Line'!$V$2:$V$3001,'Per Line'!$D$2:$D$3001,$B26,'Per Line'!$AN$2:$AN$3001,1))</f>
        <v/>
      </c>
      <c r="N26">
        <f>IF($X26="","",Settings!$C$7)</f>
        <v/>
      </c>
      <c r="O26" s="7">
        <f>IF($X26="","",SUMIFS('Per Line'!$V$2:$V$3001,'Per Line'!$D$2:$D$3001,$B26,'Per Line'!$AM$2:$AM$3001,0,'Per Line'!$AN$2:$AN$3001,0))</f>
        <v/>
      </c>
      <c r="P26" s="7">
        <f>IF($X26="","",O26*N26)</f>
        <v/>
      </c>
      <c r="Q26">
        <f>IF($X26="","",Settings!$C$6)</f>
        <v/>
      </c>
      <c r="R26" s="7">
        <f>IF($X26="","",SUMIFS('Per Line'!$V$2:$V$3001,'Per Line'!$D$2:$D$3001,$B26,'Per Line'!$AM$2:$AM$3001,1,'Per Line'!$AN$2:$AN$3001,0))</f>
        <v/>
      </c>
      <c r="S26" s="7">
        <f>IF($X26="","",R26*Q26)</f>
        <v/>
      </c>
      <c r="T26" s="7">
        <f>IF($X26="","",S26+P26)</f>
        <v/>
      </c>
      <c r="U26" s="7">
        <f>IF($X26="","",V26-T26)</f>
        <v/>
      </c>
      <c r="V26" s="7">
        <f>IF($X26="","",O26+R26+M26)</f>
        <v/>
      </c>
      <c r="W26" s="7">
        <f>IF($X26="","",V26-T26-I26)</f>
        <v/>
      </c>
      <c r="X26" s="13">
        <f>IF(ROWS($X$2:$X26)&lt;=MAX('Per Line'!$AL$2:$AL$3001),MATCH(ROWS($X$2:$X26),'Per Line'!$AL$2:$AL$3001,0),"")</f>
        <v/>
      </c>
    </row>
    <row r="27">
      <c r="A27" s="12" t="n"/>
      <c r="B27">
        <f>IF($X27="","",INDEX('Per Line'!$D$2:$D$3001,$X27)&amp;"")</f>
        <v/>
      </c>
      <c r="C27" s="11">
        <f>IF($X27="","",INDEX('Per Line'!$F$2:$F$3001,$X27))</f>
        <v/>
      </c>
      <c r="D27">
        <f>IF($X27="","",INDEX('Per Line'!$G$2:$G$3001,$X27)&amp;"")</f>
        <v/>
      </c>
      <c r="E27">
        <f>IF($X27="","",INDEX('Per Line'!$I$2:$I$3001,$X27)&amp;"")</f>
        <v/>
      </c>
      <c r="F27">
        <f>IF($X27="","",INDEX('Per Line'!$J$2:$J$3001,$X27)&amp;"")</f>
        <v/>
      </c>
      <c r="G27">
        <f>IF($X27="","",INDEX('Per Line'!$K$2:$K$3001,$X27)&amp;"")</f>
        <v/>
      </c>
      <c r="H27">
        <f>IF($X27="","",INDEX('Per Line'!$M$2:$M$3001,$X27))</f>
        <v/>
      </c>
      <c r="I27" s="7">
        <f>IF($X27="","",H27*V27/100)</f>
        <v/>
      </c>
      <c r="J27">
        <f>IF($X27="","",INDEX('Per Line'!$W$2:$W$3001,$X27)&amp;"")</f>
        <v/>
      </c>
      <c r="K27">
        <f>IF($X27="","",INDEX('Per Line'!$AD$2:$AD$3001,$X27))</f>
        <v/>
      </c>
      <c r="L27">
        <f>IF($X27="","",IF(AND(ISNUMBER(K27),K27&gt;0),V27&gt;K27,FALSE))</f>
        <v/>
      </c>
      <c r="M27" s="7">
        <f>IF($X27="","",SUMIFS('Per Line'!$V$2:$V$3001,'Per Line'!$D$2:$D$3001,$B27,'Per Line'!$AN$2:$AN$3001,1))</f>
        <v/>
      </c>
      <c r="N27">
        <f>IF($X27="","",Settings!$C$7)</f>
        <v/>
      </c>
      <c r="O27" s="7">
        <f>IF($X27="","",SUMIFS('Per Line'!$V$2:$V$3001,'Per Line'!$D$2:$D$3001,$B27,'Per Line'!$AM$2:$AM$3001,0,'Per Line'!$AN$2:$AN$3001,0))</f>
        <v/>
      </c>
      <c r="P27" s="7">
        <f>IF($X27="","",O27*N27)</f>
        <v/>
      </c>
      <c r="Q27">
        <f>IF($X27="","",Settings!$C$6)</f>
        <v/>
      </c>
      <c r="R27" s="7">
        <f>IF($X27="","",SUMIFS('Per Line'!$V$2:$V$3001,'Per Line'!$D$2:$D$3001,$B27,'Per Line'!$AM$2:$AM$3001,1,'Per Line'!$AN$2:$AN$3001,0))</f>
        <v/>
      </c>
      <c r="S27" s="7">
        <f>IF($X27="","",R27*Q27)</f>
        <v/>
      </c>
      <c r="T27" s="7">
        <f>IF($X27="","",S27+P27)</f>
        <v/>
      </c>
      <c r="U27" s="7">
        <f>IF($X27="","",V27-T27)</f>
        <v/>
      </c>
      <c r="V27" s="7">
        <f>IF($X27="","",O27+R27+M27)</f>
        <v/>
      </c>
      <c r="W27" s="7">
        <f>IF($X27="","",V27-T27-I27)</f>
        <v/>
      </c>
      <c r="X27" s="13">
        <f>IF(ROWS($X$2:$X27)&lt;=MAX('Per Line'!$AL$2:$AL$3001),MATCH(ROWS($X$2:$X27),'Per Line'!$AL$2:$AL$3001,0),"")</f>
        <v/>
      </c>
    </row>
    <row r="28">
      <c r="A28" s="12" t="n"/>
      <c r="B28">
        <f>IF($X28="","",INDEX('Per Line'!$D$2:$D$3001,$X28)&amp;"")</f>
        <v/>
      </c>
      <c r="C28" s="11">
        <f>IF($X28="","",INDEX('Per Line'!$F$2:$F$3001,$X28))</f>
        <v/>
      </c>
      <c r="D28">
        <f>IF($X28="","",INDEX('Per Line'!$G$2:$G$3001,$X28)&amp;"")</f>
        <v/>
      </c>
      <c r="E28">
        <f>IF($X28="","",INDEX('Per Line'!$I$2:$I$3001,$X28)&amp;"")</f>
        <v/>
      </c>
      <c r="F28">
        <f>IF($X28="","",INDEX('Per Line'!$J$2:$J$3001,$X28)&amp;"")</f>
        <v/>
      </c>
      <c r="G28">
        <f>IF($X28="","",INDEX('Per Line'!$K$2:$K$3001,$X28)&amp;"")</f>
        <v/>
      </c>
      <c r="H28">
        <f>IF($X28="","",INDEX('Per Line'!$M$2:$M$3001,$X28))</f>
        <v/>
      </c>
      <c r="I28" s="7">
        <f>IF($X28="","",H28*V28/100)</f>
        <v/>
      </c>
      <c r="J28">
        <f>IF($X28="","",INDEX('Per Line'!$W$2:$W$3001,$X28)&amp;"")</f>
        <v/>
      </c>
      <c r="K28">
        <f>IF($X28="","",INDEX('Per Line'!$AD$2:$AD$3001,$X28))</f>
        <v/>
      </c>
      <c r="L28">
        <f>IF($X28="","",IF(AND(ISNUMBER(K28),K28&gt;0),V28&gt;K28,FALSE))</f>
        <v/>
      </c>
      <c r="M28" s="7">
        <f>IF($X28="","",SUMIFS('Per Line'!$V$2:$V$3001,'Per Line'!$D$2:$D$3001,$B28,'Per Line'!$AN$2:$AN$3001,1))</f>
        <v/>
      </c>
      <c r="N28">
        <f>IF($X28="","",Settings!$C$7)</f>
        <v/>
      </c>
      <c r="O28" s="7">
        <f>IF($X28="","",SUMIFS('Per Line'!$V$2:$V$3001,'Per Line'!$D$2:$D$3001,$B28,'Per Line'!$AM$2:$AM$3001,0,'Per Line'!$AN$2:$AN$3001,0))</f>
        <v/>
      </c>
      <c r="P28" s="7">
        <f>IF($X28="","",O28*N28)</f>
        <v/>
      </c>
      <c r="Q28">
        <f>IF($X28="","",Settings!$C$6)</f>
        <v/>
      </c>
      <c r="R28" s="7">
        <f>IF($X28="","",SUMIFS('Per Line'!$V$2:$V$3001,'Per Line'!$D$2:$D$3001,$B28,'Per Line'!$AM$2:$AM$3001,1,'Per Line'!$AN$2:$AN$3001,0))</f>
        <v/>
      </c>
      <c r="S28" s="7">
        <f>IF($X28="","",R28*Q28)</f>
        <v/>
      </c>
      <c r="T28" s="7">
        <f>IF($X28="","",S28+P28)</f>
        <v/>
      </c>
      <c r="U28" s="7">
        <f>IF($X28="","",V28-T28)</f>
        <v/>
      </c>
      <c r="V28" s="7">
        <f>IF($X28="","",O28+R28+M28)</f>
        <v/>
      </c>
      <c r="W28" s="7">
        <f>IF($X28="","",V28-T28-I28)</f>
        <v/>
      </c>
      <c r="X28" s="13">
        <f>IF(ROWS($X$2:$X28)&lt;=MAX('Per Line'!$AL$2:$AL$3001),MATCH(ROWS($X$2:$X28),'Per Line'!$AL$2:$AL$3001,0),"")</f>
        <v/>
      </c>
    </row>
    <row r="29">
      <c r="A29" s="12" t="n"/>
      <c r="B29">
        <f>IF($X29="","",INDEX('Per Line'!$D$2:$D$3001,$X29)&amp;"")</f>
        <v/>
      </c>
      <c r="C29" s="11">
        <f>IF($X29="","",INDEX('Per Line'!$F$2:$F$3001,$X29))</f>
        <v/>
      </c>
      <c r="D29">
        <f>IF($X29="","",INDEX('Per Line'!$G$2:$G$3001,$X29)&amp;"")</f>
        <v/>
      </c>
      <c r="E29">
        <f>IF($X29="","",INDEX('Per Line'!$I$2:$I$3001,$X29)&amp;"")</f>
        <v/>
      </c>
      <c r="F29">
        <f>IF($X29="","",INDEX('Per Line'!$J$2:$J$3001,$X29)&amp;"")</f>
        <v/>
      </c>
      <c r="G29">
        <f>IF($X29="","",INDEX('Per Line'!$K$2:$K$3001,$X29)&amp;"")</f>
        <v/>
      </c>
      <c r="H29">
        <f>IF($X29="","",INDEX('Per Line'!$M$2:$M$3001,$X29))</f>
        <v/>
      </c>
      <c r="I29" s="7">
        <f>IF($X29="","",H29*V29/100)</f>
        <v/>
      </c>
      <c r="J29">
        <f>IF($X29="","",INDEX('Per Line'!$W$2:$W$3001,$X29)&amp;"")</f>
        <v/>
      </c>
      <c r="K29">
        <f>IF($X29="","",INDEX('Per Line'!$AD$2:$AD$3001,$X29))</f>
        <v/>
      </c>
      <c r="L29">
        <f>IF($X29="","",IF(AND(ISNUMBER(K29),K29&gt;0),V29&gt;K29,FALSE))</f>
        <v/>
      </c>
      <c r="M29" s="7">
        <f>IF($X29="","",SUMIFS('Per Line'!$V$2:$V$3001,'Per Line'!$D$2:$D$3001,$B29,'Per Line'!$AN$2:$AN$3001,1))</f>
        <v/>
      </c>
      <c r="N29">
        <f>IF($X29="","",Settings!$C$7)</f>
        <v/>
      </c>
      <c r="O29" s="7">
        <f>IF($X29="","",SUMIFS('Per Line'!$V$2:$V$3001,'Per Line'!$D$2:$D$3001,$B29,'Per Line'!$AM$2:$AM$3001,0,'Per Line'!$AN$2:$AN$3001,0))</f>
        <v/>
      </c>
      <c r="P29" s="7">
        <f>IF($X29="","",O29*N29)</f>
        <v/>
      </c>
      <c r="Q29">
        <f>IF($X29="","",Settings!$C$6)</f>
        <v/>
      </c>
      <c r="R29" s="7">
        <f>IF($X29="","",SUMIFS('Per Line'!$V$2:$V$3001,'Per Line'!$D$2:$D$3001,$B29,'Per Line'!$AM$2:$AM$3001,1,'Per Line'!$AN$2:$AN$3001,0))</f>
        <v/>
      </c>
      <c r="S29" s="7">
        <f>IF($X29="","",R29*Q29)</f>
        <v/>
      </c>
      <c r="T29" s="7">
        <f>IF($X29="","",S29+P29)</f>
        <v/>
      </c>
      <c r="U29" s="7">
        <f>IF($X29="","",V29-T29)</f>
        <v/>
      </c>
      <c r="V29" s="7">
        <f>IF($X29="","",O29+R29+M29)</f>
        <v/>
      </c>
      <c r="W29" s="7">
        <f>IF($X29="","",V29-T29-I29)</f>
        <v/>
      </c>
      <c r="X29" s="13">
        <f>IF(ROWS($X$2:$X29)&lt;=MAX('Per Line'!$AL$2:$AL$3001),MATCH(ROWS($X$2:$X29),'Per Line'!$AL$2:$AL$3001,0),"")</f>
        <v/>
      </c>
    </row>
    <row r="30">
      <c r="A30" s="12" t="n"/>
      <c r="B30">
        <f>IF($X30="","",INDEX('Per Line'!$D$2:$D$3001,$X30)&amp;"")</f>
        <v/>
      </c>
      <c r="C30" s="11">
        <f>IF($X30="","",INDEX('Per Line'!$F$2:$F$3001,$X30))</f>
        <v/>
      </c>
      <c r="D30">
        <f>IF($X30="","",INDEX('Per Line'!$G$2:$G$3001,$X30)&amp;"")</f>
        <v/>
      </c>
      <c r="E30">
        <f>IF($X30="","",INDEX('Per Line'!$I$2:$I$3001,$X30)&amp;"")</f>
        <v/>
      </c>
      <c r="F30">
        <f>IF($X30="","",INDEX('Per Line'!$J$2:$J$3001,$X30)&amp;"")</f>
        <v/>
      </c>
      <c r="G30">
        <f>IF($X30="","",INDEX('Per Line'!$K$2:$K$3001,$X30)&amp;"")</f>
        <v/>
      </c>
      <c r="H30">
        <f>IF($X30="","",INDEX('Per Line'!$M$2:$M$3001,$X30))</f>
        <v/>
      </c>
      <c r="I30" s="7">
        <f>IF($X30="","",H30*V30/100)</f>
        <v/>
      </c>
      <c r="J30">
        <f>IF($X30="","",INDEX('Per Line'!$W$2:$W$3001,$X30)&amp;"")</f>
        <v/>
      </c>
      <c r="K30">
        <f>IF($X30="","",INDEX('Per Line'!$AD$2:$AD$3001,$X30))</f>
        <v/>
      </c>
      <c r="L30">
        <f>IF($X30="","",IF(AND(ISNUMBER(K30),K30&gt;0),V30&gt;K30,FALSE))</f>
        <v/>
      </c>
      <c r="M30" s="7">
        <f>IF($X30="","",SUMIFS('Per Line'!$V$2:$V$3001,'Per Line'!$D$2:$D$3001,$B30,'Per Line'!$AN$2:$AN$3001,1))</f>
        <v/>
      </c>
      <c r="N30">
        <f>IF($X30="","",Settings!$C$7)</f>
        <v/>
      </c>
      <c r="O30" s="7">
        <f>IF($X30="","",SUMIFS('Per Line'!$V$2:$V$3001,'Per Line'!$D$2:$D$3001,$B30,'Per Line'!$AM$2:$AM$3001,0,'Per Line'!$AN$2:$AN$3001,0))</f>
        <v/>
      </c>
      <c r="P30" s="7">
        <f>IF($X30="","",O30*N30)</f>
        <v/>
      </c>
      <c r="Q30">
        <f>IF($X30="","",Settings!$C$6)</f>
        <v/>
      </c>
      <c r="R30" s="7">
        <f>IF($X30="","",SUMIFS('Per Line'!$V$2:$V$3001,'Per Line'!$D$2:$D$3001,$B30,'Per Line'!$AM$2:$AM$3001,1,'Per Line'!$AN$2:$AN$3001,0))</f>
        <v/>
      </c>
      <c r="S30" s="7">
        <f>IF($X30="","",R30*Q30)</f>
        <v/>
      </c>
      <c r="T30" s="7">
        <f>IF($X30="","",S30+P30)</f>
        <v/>
      </c>
      <c r="U30" s="7">
        <f>IF($X30="","",V30-T30)</f>
        <v/>
      </c>
      <c r="V30" s="7">
        <f>IF($X30="","",O30+R30+M30)</f>
        <v/>
      </c>
      <c r="W30" s="7">
        <f>IF($X30="","",V30-T30-I30)</f>
        <v/>
      </c>
      <c r="X30" s="13">
        <f>IF(ROWS($X$2:$X30)&lt;=MAX('Per Line'!$AL$2:$AL$3001),MATCH(ROWS($X$2:$X30),'Per Line'!$AL$2:$AL$3001,0),"")</f>
        <v/>
      </c>
    </row>
    <row r="31">
      <c r="A31" s="12" t="n"/>
      <c r="B31">
        <f>IF($X31="","",INDEX('Per Line'!$D$2:$D$3001,$X31)&amp;"")</f>
        <v/>
      </c>
      <c r="C31" s="11">
        <f>IF($X31="","",INDEX('Per Line'!$F$2:$F$3001,$X31))</f>
        <v/>
      </c>
      <c r="D31">
        <f>IF($X31="","",INDEX('Per Line'!$G$2:$G$3001,$X31)&amp;"")</f>
        <v/>
      </c>
      <c r="E31">
        <f>IF($X31="","",INDEX('Per Line'!$I$2:$I$3001,$X31)&amp;"")</f>
        <v/>
      </c>
      <c r="F31">
        <f>IF($X31="","",INDEX('Per Line'!$J$2:$J$3001,$X31)&amp;"")</f>
        <v/>
      </c>
      <c r="G31">
        <f>IF($X31="","",INDEX('Per Line'!$K$2:$K$3001,$X31)&amp;"")</f>
        <v/>
      </c>
      <c r="H31">
        <f>IF($X31="","",INDEX('Per Line'!$M$2:$M$3001,$X31))</f>
        <v/>
      </c>
      <c r="I31" s="7">
        <f>IF($X31="","",H31*V31/100)</f>
        <v/>
      </c>
      <c r="J31">
        <f>IF($X31="","",INDEX('Per Line'!$W$2:$W$3001,$X31)&amp;"")</f>
        <v/>
      </c>
      <c r="K31">
        <f>IF($X31="","",INDEX('Per Line'!$AD$2:$AD$3001,$X31))</f>
        <v/>
      </c>
      <c r="L31">
        <f>IF($X31="","",IF(AND(ISNUMBER(K31),K31&gt;0),V31&gt;K31,FALSE))</f>
        <v/>
      </c>
      <c r="M31" s="7">
        <f>IF($X31="","",SUMIFS('Per Line'!$V$2:$V$3001,'Per Line'!$D$2:$D$3001,$B31,'Per Line'!$AN$2:$AN$3001,1))</f>
        <v/>
      </c>
      <c r="N31">
        <f>IF($X31="","",Settings!$C$7)</f>
        <v/>
      </c>
      <c r="O31" s="7">
        <f>IF($X31="","",SUMIFS('Per Line'!$V$2:$V$3001,'Per Line'!$D$2:$D$3001,$B31,'Per Line'!$AM$2:$AM$3001,0,'Per Line'!$AN$2:$AN$3001,0))</f>
        <v/>
      </c>
      <c r="P31" s="7">
        <f>IF($X31="","",O31*N31)</f>
        <v/>
      </c>
      <c r="Q31">
        <f>IF($X31="","",Settings!$C$6)</f>
        <v/>
      </c>
      <c r="R31" s="7">
        <f>IF($X31="","",SUMIFS('Per Line'!$V$2:$V$3001,'Per Line'!$D$2:$D$3001,$B31,'Per Line'!$AM$2:$AM$3001,1,'Per Line'!$AN$2:$AN$3001,0))</f>
        <v/>
      </c>
      <c r="S31" s="7">
        <f>IF($X31="","",R31*Q31)</f>
        <v/>
      </c>
      <c r="T31" s="7">
        <f>IF($X31="","",S31+P31)</f>
        <v/>
      </c>
      <c r="U31" s="7">
        <f>IF($X31="","",V31-T31)</f>
        <v/>
      </c>
      <c r="V31" s="7">
        <f>IF($X31="","",O31+R31+M31)</f>
        <v/>
      </c>
      <c r="W31" s="7">
        <f>IF($X31="","",V31-T31-I31)</f>
        <v/>
      </c>
      <c r="X31" s="13">
        <f>IF(ROWS($X$2:$X31)&lt;=MAX('Per Line'!$AL$2:$AL$3001),MATCH(ROWS($X$2:$X31),'Per Line'!$AL$2:$AL$3001,0),"")</f>
        <v/>
      </c>
    </row>
    <row r="32">
      <c r="A32" s="12" t="n"/>
      <c r="B32">
        <f>IF($X32="","",INDEX('Per Line'!$D$2:$D$3001,$X32)&amp;"")</f>
        <v/>
      </c>
      <c r="C32" s="11">
        <f>IF($X32="","",INDEX('Per Line'!$F$2:$F$3001,$X32))</f>
        <v/>
      </c>
      <c r="D32">
        <f>IF($X32="","",INDEX('Per Line'!$G$2:$G$3001,$X32)&amp;"")</f>
        <v/>
      </c>
      <c r="E32">
        <f>IF($X32="","",INDEX('Per Line'!$I$2:$I$3001,$X32)&amp;"")</f>
        <v/>
      </c>
      <c r="F32">
        <f>IF($X32="","",INDEX('Per Line'!$J$2:$J$3001,$X32)&amp;"")</f>
        <v/>
      </c>
      <c r="G32">
        <f>IF($X32="","",INDEX('Per Line'!$K$2:$K$3001,$X32)&amp;"")</f>
        <v/>
      </c>
      <c r="H32">
        <f>IF($X32="","",INDEX('Per Line'!$M$2:$M$3001,$X32))</f>
        <v/>
      </c>
      <c r="I32" s="7">
        <f>IF($X32="","",H32*V32/100)</f>
        <v/>
      </c>
      <c r="J32">
        <f>IF($X32="","",INDEX('Per Line'!$W$2:$W$3001,$X32)&amp;"")</f>
        <v/>
      </c>
      <c r="K32">
        <f>IF($X32="","",INDEX('Per Line'!$AD$2:$AD$3001,$X32))</f>
        <v/>
      </c>
      <c r="L32">
        <f>IF($X32="","",IF(AND(ISNUMBER(K32),K32&gt;0),V32&gt;K32,FALSE))</f>
        <v/>
      </c>
      <c r="M32" s="7">
        <f>IF($X32="","",SUMIFS('Per Line'!$V$2:$V$3001,'Per Line'!$D$2:$D$3001,$B32,'Per Line'!$AN$2:$AN$3001,1))</f>
        <v/>
      </c>
      <c r="N32">
        <f>IF($X32="","",Settings!$C$7)</f>
        <v/>
      </c>
      <c r="O32" s="7">
        <f>IF($X32="","",SUMIFS('Per Line'!$V$2:$V$3001,'Per Line'!$D$2:$D$3001,$B32,'Per Line'!$AM$2:$AM$3001,0,'Per Line'!$AN$2:$AN$3001,0))</f>
        <v/>
      </c>
      <c r="P32" s="7">
        <f>IF($X32="","",O32*N32)</f>
        <v/>
      </c>
      <c r="Q32">
        <f>IF($X32="","",Settings!$C$6)</f>
        <v/>
      </c>
      <c r="R32" s="7">
        <f>IF($X32="","",SUMIFS('Per Line'!$V$2:$V$3001,'Per Line'!$D$2:$D$3001,$B32,'Per Line'!$AM$2:$AM$3001,1,'Per Line'!$AN$2:$AN$3001,0))</f>
        <v/>
      </c>
      <c r="S32" s="7">
        <f>IF($X32="","",R32*Q32)</f>
        <v/>
      </c>
      <c r="T32" s="7">
        <f>IF($X32="","",S32+P32)</f>
        <v/>
      </c>
      <c r="U32" s="7">
        <f>IF($X32="","",V32-T32)</f>
        <v/>
      </c>
      <c r="V32" s="7">
        <f>IF($X32="","",O32+R32+M32)</f>
        <v/>
      </c>
      <c r="W32" s="7">
        <f>IF($X32="","",V32-T32-I32)</f>
        <v/>
      </c>
      <c r="X32" s="13">
        <f>IF(ROWS($X$2:$X32)&lt;=MAX('Per Line'!$AL$2:$AL$3001),MATCH(ROWS($X$2:$X32),'Per Line'!$AL$2:$AL$3001,0),"")</f>
        <v/>
      </c>
    </row>
    <row r="33">
      <c r="A33" s="12" t="n"/>
      <c r="B33">
        <f>IF($X33="","",INDEX('Per Line'!$D$2:$D$3001,$X33)&amp;"")</f>
        <v/>
      </c>
      <c r="C33" s="11">
        <f>IF($X33="","",INDEX('Per Line'!$F$2:$F$3001,$X33))</f>
        <v/>
      </c>
      <c r="D33">
        <f>IF($X33="","",INDEX('Per Line'!$G$2:$G$3001,$X33)&amp;"")</f>
        <v/>
      </c>
      <c r="E33">
        <f>IF($X33="","",INDEX('Per Line'!$I$2:$I$3001,$X33)&amp;"")</f>
        <v/>
      </c>
      <c r="F33">
        <f>IF($X33="","",INDEX('Per Line'!$J$2:$J$3001,$X33)&amp;"")</f>
        <v/>
      </c>
      <c r="G33">
        <f>IF($X33="","",INDEX('Per Line'!$K$2:$K$3001,$X33)&amp;"")</f>
        <v/>
      </c>
      <c r="H33">
        <f>IF($X33="","",INDEX('Per Line'!$M$2:$M$3001,$X33))</f>
        <v/>
      </c>
      <c r="I33" s="7">
        <f>IF($X33="","",H33*V33/100)</f>
        <v/>
      </c>
      <c r="J33">
        <f>IF($X33="","",INDEX('Per Line'!$W$2:$W$3001,$X33)&amp;"")</f>
        <v/>
      </c>
      <c r="K33">
        <f>IF($X33="","",INDEX('Per Line'!$AD$2:$AD$3001,$X33))</f>
        <v/>
      </c>
      <c r="L33">
        <f>IF($X33="","",IF(AND(ISNUMBER(K33),K33&gt;0),V33&gt;K33,FALSE))</f>
        <v/>
      </c>
      <c r="M33" s="7">
        <f>IF($X33="","",SUMIFS('Per Line'!$V$2:$V$3001,'Per Line'!$D$2:$D$3001,$B33,'Per Line'!$AN$2:$AN$3001,1))</f>
        <v/>
      </c>
      <c r="N33">
        <f>IF($X33="","",Settings!$C$7)</f>
        <v/>
      </c>
      <c r="O33" s="7">
        <f>IF($X33="","",SUMIFS('Per Line'!$V$2:$V$3001,'Per Line'!$D$2:$D$3001,$B33,'Per Line'!$AM$2:$AM$3001,0,'Per Line'!$AN$2:$AN$3001,0))</f>
        <v/>
      </c>
      <c r="P33" s="7">
        <f>IF($X33="","",O33*N33)</f>
        <v/>
      </c>
      <c r="Q33">
        <f>IF($X33="","",Settings!$C$6)</f>
        <v/>
      </c>
      <c r="R33" s="7">
        <f>IF($X33="","",SUMIFS('Per Line'!$V$2:$V$3001,'Per Line'!$D$2:$D$3001,$B33,'Per Line'!$AM$2:$AM$3001,1,'Per Line'!$AN$2:$AN$3001,0))</f>
        <v/>
      </c>
      <c r="S33" s="7">
        <f>IF($X33="","",R33*Q33)</f>
        <v/>
      </c>
      <c r="T33" s="7">
        <f>IF($X33="","",S33+P33)</f>
        <v/>
      </c>
      <c r="U33" s="7">
        <f>IF($X33="","",V33-T33)</f>
        <v/>
      </c>
      <c r="V33" s="7">
        <f>IF($X33="","",O33+R33+M33)</f>
        <v/>
      </c>
      <c r="W33" s="7">
        <f>IF($X33="","",V33-T33-I33)</f>
        <v/>
      </c>
      <c r="X33" s="13">
        <f>IF(ROWS($X$2:$X33)&lt;=MAX('Per Line'!$AL$2:$AL$3001),MATCH(ROWS($X$2:$X33),'Per Line'!$AL$2:$AL$3001,0),"")</f>
        <v/>
      </c>
    </row>
    <row r="34">
      <c r="A34" s="12" t="n"/>
      <c r="B34">
        <f>IF($X34="","",INDEX('Per Line'!$D$2:$D$3001,$X34)&amp;"")</f>
        <v/>
      </c>
      <c r="C34" s="11">
        <f>IF($X34="","",INDEX('Per Line'!$F$2:$F$3001,$X34))</f>
        <v/>
      </c>
      <c r="D34">
        <f>IF($X34="","",INDEX('Per Line'!$G$2:$G$3001,$X34)&amp;"")</f>
        <v/>
      </c>
      <c r="E34">
        <f>IF($X34="","",INDEX('Per Line'!$I$2:$I$3001,$X34)&amp;"")</f>
        <v/>
      </c>
      <c r="F34">
        <f>IF($X34="","",INDEX('Per Line'!$J$2:$J$3001,$X34)&amp;"")</f>
        <v/>
      </c>
      <c r="G34">
        <f>IF($X34="","",INDEX('Per Line'!$K$2:$K$3001,$X34)&amp;"")</f>
        <v/>
      </c>
      <c r="H34">
        <f>IF($X34="","",INDEX('Per Line'!$M$2:$M$3001,$X34))</f>
        <v/>
      </c>
      <c r="I34" s="7">
        <f>IF($X34="","",H34*V34/100)</f>
        <v/>
      </c>
      <c r="J34">
        <f>IF($X34="","",INDEX('Per Line'!$W$2:$W$3001,$X34)&amp;"")</f>
        <v/>
      </c>
      <c r="K34">
        <f>IF($X34="","",INDEX('Per Line'!$AD$2:$AD$3001,$X34))</f>
        <v/>
      </c>
      <c r="L34">
        <f>IF($X34="","",IF(AND(ISNUMBER(K34),K34&gt;0),V34&gt;K34,FALSE))</f>
        <v/>
      </c>
      <c r="M34" s="7">
        <f>IF($X34="","",SUMIFS('Per Line'!$V$2:$V$3001,'Per Line'!$D$2:$D$3001,$B34,'Per Line'!$AN$2:$AN$3001,1))</f>
        <v/>
      </c>
      <c r="N34">
        <f>IF($X34="","",Settings!$C$7)</f>
        <v/>
      </c>
      <c r="O34" s="7">
        <f>IF($X34="","",SUMIFS('Per Line'!$V$2:$V$3001,'Per Line'!$D$2:$D$3001,$B34,'Per Line'!$AM$2:$AM$3001,0,'Per Line'!$AN$2:$AN$3001,0))</f>
        <v/>
      </c>
      <c r="P34" s="7">
        <f>IF($X34="","",O34*N34)</f>
        <v/>
      </c>
      <c r="Q34">
        <f>IF($X34="","",Settings!$C$6)</f>
        <v/>
      </c>
      <c r="R34" s="7">
        <f>IF($X34="","",SUMIFS('Per Line'!$V$2:$V$3001,'Per Line'!$D$2:$D$3001,$B34,'Per Line'!$AM$2:$AM$3001,1,'Per Line'!$AN$2:$AN$3001,0))</f>
        <v/>
      </c>
      <c r="S34" s="7">
        <f>IF($X34="","",R34*Q34)</f>
        <v/>
      </c>
      <c r="T34" s="7">
        <f>IF($X34="","",S34+P34)</f>
        <v/>
      </c>
      <c r="U34" s="7">
        <f>IF($X34="","",V34-T34)</f>
        <v/>
      </c>
      <c r="V34" s="7">
        <f>IF($X34="","",O34+R34+M34)</f>
        <v/>
      </c>
      <c r="W34" s="7">
        <f>IF($X34="","",V34-T34-I34)</f>
        <v/>
      </c>
      <c r="X34" s="13">
        <f>IF(ROWS($X$2:$X34)&lt;=MAX('Per Line'!$AL$2:$AL$3001),MATCH(ROWS($X$2:$X34),'Per Line'!$AL$2:$AL$3001,0),"")</f>
        <v/>
      </c>
    </row>
    <row r="35">
      <c r="A35" s="12" t="n"/>
      <c r="B35">
        <f>IF($X35="","",INDEX('Per Line'!$D$2:$D$3001,$X35)&amp;"")</f>
        <v/>
      </c>
      <c r="C35" s="11">
        <f>IF($X35="","",INDEX('Per Line'!$F$2:$F$3001,$X35))</f>
        <v/>
      </c>
      <c r="D35">
        <f>IF($X35="","",INDEX('Per Line'!$G$2:$G$3001,$X35)&amp;"")</f>
        <v/>
      </c>
      <c r="E35">
        <f>IF($X35="","",INDEX('Per Line'!$I$2:$I$3001,$X35)&amp;"")</f>
        <v/>
      </c>
      <c r="F35">
        <f>IF($X35="","",INDEX('Per Line'!$J$2:$J$3001,$X35)&amp;"")</f>
        <v/>
      </c>
      <c r="G35">
        <f>IF($X35="","",INDEX('Per Line'!$K$2:$K$3001,$X35)&amp;"")</f>
        <v/>
      </c>
      <c r="H35">
        <f>IF($X35="","",INDEX('Per Line'!$M$2:$M$3001,$X35))</f>
        <v/>
      </c>
      <c r="I35" s="7">
        <f>IF($X35="","",H35*V35/100)</f>
        <v/>
      </c>
      <c r="J35">
        <f>IF($X35="","",INDEX('Per Line'!$W$2:$W$3001,$X35)&amp;"")</f>
        <v/>
      </c>
      <c r="K35">
        <f>IF($X35="","",INDEX('Per Line'!$AD$2:$AD$3001,$X35))</f>
        <v/>
      </c>
      <c r="L35">
        <f>IF($X35="","",IF(AND(ISNUMBER(K35),K35&gt;0),V35&gt;K35,FALSE))</f>
        <v/>
      </c>
      <c r="M35" s="7">
        <f>IF($X35="","",SUMIFS('Per Line'!$V$2:$V$3001,'Per Line'!$D$2:$D$3001,$B35,'Per Line'!$AN$2:$AN$3001,1))</f>
        <v/>
      </c>
      <c r="N35">
        <f>IF($X35="","",Settings!$C$7)</f>
        <v/>
      </c>
      <c r="O35" s="7">
        <f>IF($X35="","",SUMIFS('Per Line'!$V$2:$V$3001,'Per Line'!$D$2:$D$3001,$B35,'Per Line'!$AM$2:$AM$3001,0,'Per Line'!$AN$2:$AN$3001,0))</f>
        <v/>
      </c>
      <c r="P35" s="7">
        <f>IF($X35="","",O35*N35)</f>
        <v/>
      </c>
      <c r="Q35">
        <f>IF($X35="","",Settings!$C$6)</f>
        <v/>
      </c>
      <c r="R35" s="7">
        <f>IF($X35="","",SUMIFS('Per Line'!$V$2:$V$3001,'Per Line'!$D$2:$D$3001,$B35,'Per Line'!$AM$2:$AM$3001,1,'Per Line'!$AN$2:$AN$3001,0))</f>
        <v/>
      </c>
      <c r="S35" s="7">
        <f>IF($X35="","",R35*Q35)</f>
        <v/>
      </c>
      <c r="T35" s="7">
        <f>IF($X35="","",S35+P35)</f>
        <v/>
      </c>
      <c r="U35" s="7">
        <f>IF($X35="","",V35-T35)</f>
        <v/>
      </c>
      <c r="V35" s="7">
        <f>IF($X35="","",O35+R35+M35)</f>
        <v/>
      </c>
      <c r="W35" s="7">
        <f>IF($X35="","",V35-T35-I35)</f>
        <v/>
      </c>
      <c r="X35" s="13">
        <f>IF(ROWS($X$2:$X35)&lt;=MAX('Per Line'!$AL$2:$AL$3001),MATCH(ROWS($X$2:$X35),'Per Line'!$AL$2:$AL$3001,0),"")</f>
        <v/>
      </c>
    </row>
    <row r="36">
      <c r="A36" s="12" t="n"/>
      <c r="B36">
        <f>IF($X36="","",INDEX('Per Line'!$D$2:$D$3001,$X36)&amp;"")</f>
        <v/>
      </c>
      <c r="C36" s="11">
        <f>IF($X36="","",INDEX('Per Line'!$F$2:$F$3001,$X36))</f>
        <v/>
      </c>
      <c r="D36">
        <f>IF($X36="","",INDEX('Per Line'!$G$2:$G$3001,$X36)&amp;"")</f>
        <v/>
      </c>
      <c r="E36">
        <f>IF($X36="","",INDEX('Per Line'!$I$2:$I$3001,$X36)&amp;"")</f>
        <v/>
      </c>
      <c r="F36">
        <f>IF($X36="","",INDEX('Per Line'!$J$2:$J$3001,$X36)&amp;"")</f>
        <v/>
      </c>
      <c r="G36">
        <f>IF($X36="","",INDEX('Per Line'!$K$2:$K$3001,$X36)&amp;"")</f>
        <v/>
      </c>
      <c r="H36">
        <f>IF($X36="","",INDEX('Per Line'!$M$2:$M$3001,$X36))</f>
        <v/>
      </c>
      <c r="I36" s="7">
        <f>IF($X36="","",H36*V36/100)</f>
        <v/>
      </c>
      <c r="J36">
        <f>IF($X36="","",INDEX('Per Line'!$W$2:$W$3001,$X36)&amp;"")</f>
        <v/>
      </c>
      <c r="K36">
        <f>IF($X36="","",INDEX('Per Line'!$AD$2:$AD$3001,$X36))</f>
        <v/>
      </c>
      <c r="L36">
        <f>IF($X36="","",IF(AND(ISNUMBER(K36),K36&gt;0),V36&gt;K36,FALSE))</f>
        <v/>
      </c>
      <c r="M36" s="7">
        <f>IF($X36="","",SUMIFS('Per Line'!$V$2:$V$3001,'Per Line'!$D$2:$D$3001,$B36,'Per Line'!$AN$2:$AN$3001,1))</f>
        <v/>
      </c>
      <c r="N36">
        <f>IF($X36="","",Settings!$C$7)</f>
        <v/>
      </c>
      <c r="O36" s="7">
        <f>IF($X36="","",SUMIFS('Per Line'!$V$2:$V$3001,'Per Line'!$D$2:$D$3001,$B36,'Per Line'!$AM$2:$AM$3001,0,'Per Line'!$AN$2:$AN$3001,0))</f>
        <v/>
      </c>
      <c r="P36" s="7">
        <f>IF($X36="","",O36*N36)</f>
        <v/>
      </c>
      <c r="Q36">
        <f>IF($X36="","",Settings!$C$6)</f>
        <v/>
      </c>
      <c r="R36" s="7">
        <f>IF($X36="","",SUMIFS('Per Line'!$V$2:$V$3001,'Per Line'!$D$2:$D$3001,$B36,'Per Line'!$AM$2:$AM$3001,1,'Per Line'!$AN$2:$AN$3001,0))</f>
        <v/>
      </c>
      <c r="S36" s="7">
        <f>IF($X36="","",R36*Q36)</f>
        <v/>
      </c>
      <c r="T36" s="7">
        <f>IF($X36="","",S36+P36)</f>
        <v/>
      </c>
      <c r="U36" s="7">
        <f>IF($X36="","",V36-T36)</f>
        <v/>
      </c>
      <c r="V36" s="7">
        <f>IF($X36="","",O36+R36+M36)</f>
        <v/>
      </c>
      <c r="W36" s="7">
        <f>IF($X36="","",V36-T36-I36)</f>
        <v/>
      </c>
      <c r="X36" s="13">
        <f>IF(ROWS($X$2:$X36)&lt;=MAX('Per Line'!$AL$2:$AL$3001),MATCH(ROWS($X$2:$X36),'Per Line'!$AL$2:$AL$3001,0),"")</f>
        <v/>
      </c>
    </row>
    <row r="37">
      <c r="A37" s="12" t="n"/>
      <c r="B37">
        <f>IF($X37="","",INDEX('Per Line'!$D$2:$D$3001,$X37)&amp;"")</f>
        <v/>
      </c>
      <c r="C37" s="11">
        <f>IF($X37="","",INDEX('Per Line'!$F$2:$F$3001,$X37))</f>
        <v/>
      </c>
      <c r="D37">
        <f>IF($X37="","",INDEX('Per Line'!$G$2:$G$3001,$X37)&amp;"")</f>
        <v/>
      </c>
      <c r="E37">
        <f>IF($X37="","",INDEX('Per Line'!$I$2:$I$3001,$X37)&amp;"")</f>
        <v/>
      </c>
      <c r="F37">
        <f>IF($X37="","",INDEX('Per Line'!$J$2:$J$3001,$X37)&amp;"")</f>
        <v/>
      </c>
      <c r="G37">
        <f>IF($X37="","",INDEX('Per Line'!$K$2:$K$3001,$X37)&amp;"")</f>
        <v/>
      </c>
      <c r="H37">
        <f>IF($X37="","",INDEX('Per Line'!$M$2:$M$3001,$X37))</f>
        <v/>
      </c>
      <c r="I37" s="7">
        <f>IF($X37="","",H37*V37/100)</f>
        <v/>
      </c>
      <c r="J37">
        <f>IF($X37="","",INDEX('Per Line'!$W$2:$W$3001,$X37)&amp;"")</f>
        <v/>
      </c>
      <c r="K37">
        <f>IF($X37="","",INDEX('Per Line'!$AD$2:$AD$3001,$X37))</f>
        <v/>
      </c>
      <c r="L37">
        <f>IF($X37="","",IF(AND(ISNUMBER(K37),K37&gt;0),V37&gt;K37,FALSE))</f>
        <v/>
      </c>
      <c r="M37" s="7">
        <f>IF($X37="","",SUMIFS('Per Line'!$V$2:$V$3001,'Per Line'!$D$2:$D$3001,$B37,'Per Line'!$AN$2:$AN$3001,1))</f>
        <v/>
      </c>
      <c r="N37">
        <f>IF($X37="","",Settings!$C$7)</f>
        <v/>
      </c>
      <c r="O37" s="7">
        <f>IF($X37="","",SUMIFS('Per Line'!$V$2:$V$3001,'Per Line'!$D$2:$D$3001,$B37,'Per Line'!$AM$2:$AM$3001,0,'Per Line'!$AN$2:$AN$3001,0))</f>
        <v/>
      </c>
      <c r="P37" s="7">
        <f>IF($X37="","",O37*N37)</f>
        <v/>
      </c>
      <c r="Q37">
        <f>IF($X37="","",Settings!$C$6)</f>
        <v/>
      </c>
      <c r="R37" s="7">
        <f>IF($X37="","",SUMIFS('Per Line'!$V$2:$V$3001,'Per Line'!$D$2:$D$3001,$B37,'Per Line'!$AM$2:$AM$3001,1,'Per Line'!$AN$2:$AN$3001,0))</f>
        <v/>
      </c>
      <c r="S37" s="7">
        <f>IF($X37="","",R37*Q37)</f>
        <v/>
      </c>
      <c r="T37" s="7">
        <f>IF($X37="","",S37+P37)</f>
        <v/>
      </c>
      <c r="U37" s="7">
        <f>IF($X37="","",V37-T37)</f>
        <v/>
      </c>
      <c r="V37" s="7">
        <f>IF($X37="","",O37+R37+M37)</f>
        <v/>
      </c>
      <c r="W37" s="7">
        <f>IF($X37="","",V37-T37-I37)</f>
        <v/>
      </c>
      <c r="X37" s="13">
        <f>IF(ROWS($X$2:$X37)&lt;=MAX('Per Line'!$AL$2:$AL$3001),MATCH(ROWS($X$2:$X37),'Per Line'!$AL$2:$AL$3001,0),"")</f>
        <v/>
      </c>
    </row>
    <row r="38">
      <c r="A38" s="12" t="n"/>
      <c r="B38">
        <f>IF($X38="","",INDEX('Per Line'!$D$2:$D$3001,$X38)&amp;"")</f>
        <v/>
      </c>
      <c r="C38" s="11">
        <f>IF($X38="","",INDEX('Per Line'!$F$2:$F$3001,$X38))</f>
        <v/>
      </c>
      <c r="D38">
        <f>IF($X38="","",INDEX('Per Line'!$G$2:$G$3001,$X38)&amp;"")</f>
        <v/>
      </c>
      <c r="E38">
        <f>IF($X38="","",INDEX('Per Line'!$I$2:$I$3001,$X38)&amp;"")</f>
        <v/>
      </c>
      <c r="F38">
        <f>IF($X38="","",INDEX('Per Line'!$J$2:$J$3001,$X38)&amp;"")</f>
        <v/>
      </c>
      <c r="G38">
        <f>IF($X38="","",INDEX('Per Line'!$K$2:$K$3001,$X38)&amp;"")</f>
        <v/>
      </c>
      <c r="H38">
        <f>IF($X38="","",INDEX('Per Line'!$M$2:$M$3001,$X38))</f>
        <v/>
      </c>
      <c r="I38" s="7">
        <f>IF($X38="","",H38*V38/100)</f>
        <v/>
      </c>
      <c r="J38">
        <f>IF($X38="","",INDEX('Per Line'!$W$2:$W$3001,$X38)&amp;"")</f>
        <v/>
      </c>
      <c r="K38">
        <f>IF($X38="","",INDEX('Per Line'!$AD$2:$AD$3001,$X38))</f>
        <v/>
      </c>
      <c r="L38">
        <f>IF($X38="","",IF(AND(ISNUMBER(K38),K38&gt;0),V38&gt;K38,FALSE))</f>
        <v/>
      </c>
      <c r="M38" s="7">
        <f>IF($X38="","",SUMIFS('Per Line'!$V$2:$V$3001,'Per Line'!$D$2:$D$3001,$B38,'Per Line'!$AN$2:$AN$3001,1))</f>
        <v/>
      </c>
      <c r="N38">
        <f>IF($X38="","",Settings!$C$7)</f>
        <v/>
      </c>
      <c r="O38" s="7">
        <f>IF($X38="","",SUMIFS('Per Line'!$V$2:$V$3001,'Per Line'!$D$2:$D$3001,$B38,'Per Line'!$AM$2:$AM$3001,0,'Per Line'!$AN$2:$AN$3001,0))</f>
        <v/>
      </c>
      <c r="P38" s="7">
        <f>IF($X38="","",O38*N38)</f>
        <v/>
      </c>
      <c r="Q38">
        <f>IF($X38="","",Settings!$C$6)</f>
        <v/>
      </c>
      <c r="R38" s="7">
        <f>IF($X38="","",SUMIFS('Per Line'!$V$2:$V$3001,'Per Line'!$D$2:$D$3001,$B38,'Per Line'!$AM$2:$AM$3001,1,'Per Line'!$AN$2:$AN$3001,0))</f>
        <v/>
      </c>
      <c r="S38" s="7">
        <f>IF($X38="","",R38*Q38)</f>
        <v/>
      </c>
      <c r="T38" s="7">
        <f>IF($X38="","",S38+P38)</f>
        <v/>
      </c>
      <c r="U38" s="7">
        <f>IF($X38="","",V38-T38)</f>
        <v/>
      </c>
      <c r="V38" s="7">
        <f>IF($X38="","",O38+R38+M38)</f>
        <v/>
      </c>
      <c r="W38" s="7">
        <f>IF($X38="","",V38-T38-I38)</f>
        <v/>
      </c>
      <c r="X38" s="13">
        <f>IF(ROWS($X$2:$X38)&lt;=MAX('Per Line'!$AL$2:$AL$3001),MATCH(ROWS($X$2:$X38),'Per Line'!$AL$2:$AL$3001,0),"")</f>
        <v/>
      </c>
    </row>
    <row r="39">
      <c r="A39" s="12" t="n"/>
      <c r="B39">
        <f>IF($X39="","",INDEX('Per Line'!$D$2:$D$3001,$X39)&amp;"")</f>
        <v/>
      </c>
      <c r="C39" s="11">
        <f>IF($X39="","",INDEX('Per Line'!$F$2:$F$3001,$X39))</f>
        <v/>
      </c>
      <c r="D39">
        <f>IF($X39="","",INDEX('Per Line'!$G$2:$G$3001,$X39)&amp;"")</f>
        <v/>
      </c>
      <c r="E39">
        <f>IF($X39="","",INDEX('Per Line'!$I$2:$I$3001,$X39)&amp;"")</f>
        <v/>
      </c>
      <c r="F39">
        <f>IF($X39="","",INDEX('Per Line'!$J$2:$J$3001,$X39)&amp;"")</f>
        <v/>
      </c>
      <c r="G39">
        <f>IF($X39="","",INDEX('Per Line'!$K$2:$K$3001,$X39)&amp;"")</f>
        <v/>
      </c>
      <c r="H39">
        <f>IF($X39="","",INDEX('Per Line'!$M$2:$M$3001,$X39))</f>
        <v/>
      </c>
      <c r="I39" s="7">
        <f>IF($X39="","",H39*V39/100)</f>
        <v/>
      </c>
      <c r="J39">
        <f>IF($X39="","",INDEX('Per Line'!$W$2:$W$3001,$X39)&amp;"")</f>
        <v/>
      </c>
      <c r="K39">
        <f>IF($X39="","",INDEX('Per Line'!$AD$2:$AD$3001,$X39))</f>
        <v/>
      </c>
      <c r="L39">
        <f>IF($X39="","",IF(AND(ISNUMBER(K39),K39&gt;0),V39&gt;K39,FALSE))</f>
        <v/>
      </c>
      <c r="M39" s="7">
        <f>IF($X39="","",SUMIFS('Per Line'!$V$2:$V$3001,'Per Line'!$D$2:$D$3001,$B39,'Per Line'!$AN$2:$AN$3001,1))</f>
        <v/>
      </c>
      <c r="N39">
        <f>IF($X39="","",Settings!$C$7)</f>
        <v/>
      </c>
      <c r="O39" s="7">
        <f>IF($X39="","",SUMIFS('Per Line'!$V$2:$V$3001,'Per Line'!$D$2:$D$3001,$B39,'Per Line'!$AM$2:$AM$3001,0,'Per Line'!$AN$2:$AN$3001,0))</f>
        <v/>
      </c>
      <c r="P39" s="7">
        <f>IF($X39="","",O39*N39)</f>
        <v/>
      </c>
      <c r="Q39">
        <f>IF($X39="","",Settings!$C$6)</f>
        <v/>
      </c>
      <c r="R39" s="7">
        <f>IF($X39="","",SUMIFS('Per Line'!$V$2:$V$3001,'Per Line'!$D$2:$D$3001,$B39,'Per Line'!$AM$2:$AM$3001,1,'Per Line'!$AN$2:$AN$3001,0))</f>
        <v/>
      </c>
      <c r="S39" s="7">
        <f>IF($X39="","",R39*Q39)</f>
        <v/>
      </c>
      <c r="T39" s="7">
        <f>IF($X39="","",S39+P39)</f>
        <v/>
      </c>
      <c r="U39" s="7">
        <f>IF($X39="","",V39-T39)</f>
        <v/>
      </c>
      <c r="V39" s="7">
        <f>IF($X39="","",O39+R39+M39)</f>
        <v/>
      </c>
      <c r="W39" s="7">
        <f>IF($X39="","",V39-T39-I39)</f>
        <v/>
      </c>
      <c r="X39" s="13">
        <f>IF(ROWS($X$2:$X39)&lt;=MAX('Per Line'!$AL$2:$AL$3001),MATCH(ROWS($X$2:$X39),'Per Line'!$AL$2:$AL$3001,0),"")</f>
        <v/>
      </c>
    </row>
    <row r="40">
      <c r="A40" s="12" t="n"/>
      <c r="B40">
        <f>IF($X40="","",INDEX('Per Line'!$D$2:$D$3001,$X40)&amp;"")</f>
        <v/>
      </c>
      <c r="C40" s="11">
        <f>IF($X40="","",INDEX('Per Line'!$F$2:$F$3001,$X40))</f>
        <v/>
      </c>
      <c r="D40">
        <f>IF($X40="","",INDEX('Per Line'!$G$2:$G$3001,$X40)&amp;"")</f>
        <v/>
      </c>
      <c r="E40">
        <f>IF($X40="","",INDEX('Per Line'!$I$2:$I$3001,$X40)&amp;"")</f>
        <v/>
      </c>
      <c r="F40">
        <f>IF($X40="","",INDEX('Per Line'!$J$2:$J$3001,$X40)&amp;"")</f>
        <v/>
      </c>
      <c r="G40">
        <f>IF($X40="","",INDEX('Per Line'!$K$2:$K$3001,$X40)&amp;"")</f>
        <v/>
      </c>
      <c r="H40">
        <f>IF($X40="","",INDEX('Per Line'!$M$2:$M$3001,$X40))</f>
        <v/>
      </c>
      <c r="I40" s="7">
        <f>IF($X40="","",H40*V40/100)</f>
        <v/>
      </c>
      <c r="J40">
        <f>IF($X40="","",INDEX('Per Line'!$W$2:$W$3001,$X40)&amp;"")</f>
        <v/>
      </c>
      <c r="K40">
        <f>IF($X40="","",INDEX('Per Line'!$AD$2:$AD$3001,$X40))</f>
        <v/>
      </c>
      <c r="L40">
        <f>IF($X40="","",IF(AND(ISNUMBER(K40),K40&gt;0),V40&gt;K40,FALSE))</f>
        <v/>
      </c>
      <c r="M40" s="7">
        <f>IF($X40="","",SUMIFS('Per Line'!$V$2:$V$3001,'Per Line'!$D$2:$D$3001,$B40,'Per Line'!$AN$2:$AN$3001,1))</f>
        <v/>
      </c>
      <c r="N40">
        <f>IF($X40="","",Settings!$C$7)</f>
        <v/>
      </c>
      <c r="O40" s="7">
        <f>IF($X40="","",SUMIFS('Per Line'!$V$2:$V$3001,'Per Line'!$D$2:$D$3001,$B40,'Per Line'!$AM$2:$AM$3001,0,'Per Line'!$AN$2:$AN$3001,0))</f>
        <v/>
      </c>
      <c r="P40" s="7">
        <f>IF($X40="","",O40*N40)</f>
        <v/>
      </c>
      <c r="Q40">
        <f>IF($X40="","",Settings!$C$6)</f>
        <v/>
      </c>
      <c r="R40" s="7">
        <f>IF($X40="","",SUMIFS('Per Line'!$V$2:$V$3001,'Per Line'!$D$2:$D$3001,$B40,'Per Line'!$AM$2:$AM$3001,1,'Per Line'!$AN$2:$AN$3001,0))</f>
        <v/>
      </c>
      <c r="S40" s="7">
        <f>IF($X40="","",R40*Q40)</f>
        <v/>
      </c>
      <c r="T40" s="7">
        <f>IF($X40="","",S40+P40)</f>
        <v/>
      </c>
      <c r="U40" s="7">
        <f>IF($X40="","",V40-T40)</f>
        <v/>
      </c>
      <c r="V40" s="7">
        <f>IF($X40="","",O40+R40+M40)</f>
        <v/>
      </c>
      <c r="W40" s="7">
        <f>IF($X40="","",V40-T40-I40)</f>
        <v/>
      </c>
      <c r="X40" s="13">
        <f>IF(ROWS($X$2:$X40)&lt;=MAX('Per Line'!$AL$2:$AL$3001),MATCH(ROWS($X$2:$X40),'Per Line'!$AL$2:$AL$3001,0),"")</f>
        <v/>
      </c>
    </row>
    <row r="41">
      <c r="A41" s="12" t="n"/>
      <c r="B41">
        <f>IF($X41="","",INDEX('Per Line'!$D$2:$D$3001,$X41)&amp;"")</f>
        <v/>
      </c>
      <c r="C41" s="11">
        <f>IF($X41="","",INDEX('Per Line'!$F$2:$F$3001,$X41))</f>
        <v/>
      </c>
      <c r="D41">
        <f>IF($X41="","",INDEX('Per Line'!$G$2:$G$3001,$X41)&amp;"")</f>
        <v/>
      </c>
      <c r="E41">
        <f>IF($X41="","",INDEX('Per Line'!$I$2:$I$3001,$X41)&amp;"")</f>
        <v/>
      </c>
      <c r="F41">
        <f>IF($X41="","",INDEX('Per Line'!$J$2:$J$3001,$X41)&amp;"")</f>
        <v/>
      </c>
      <c r="G41">
        <f>IF($X41="","",INDEX('Per Line'!$K$2:$K$3001,$X41)&amp;"")</f>
        <v/>
      </c>
      <c r="H41">
        <f>IF($X41="","",INDEX('Per Line'!$M$2:$M$3001,$X41))</f>
        <v/>
      </c>
      <c r="I41" s="7">
        <f>IF($X41="","",H41*V41/100)</f>
        <v/>
      </c>
      <c r="J41">
        <f>IF($X41="","",INDEX('Per Line'!$W$2:$W$3001,$X41)&amp;"")</f>
        <v/>
      </c>
      <c r="K41">
        <f>IF($X41="","",INDEX('Per Line'!$AD$2:$AD$3001,$X41))</f>
        <v/>
      </c>
      <c r="L41">
        <f>IF($X41="","",IF(AND(ISNUMBER(K41),K41&gt;0),V41&gt;K41,FALSE))</f>
        <v/>
      </c>
      <c r="M41" s="7">
        <f>IF($X41="","",SUMIFS('Per Line'!$V$2:$V$3001,'Per Line'!$D$2:$D$3001,$B41,'Per Line'!$AN$2:$AN$3001,1))</f>
        <v/>
      </c>
      <c r="N41">
        <f>IF($X41="","",Settings!$C$7)</f>
        <v/>
      </c>
      <c r="O41" s="7">
        <f>IF($X41="","",SUMIFS('Per Line'!$V$2:$V$3001,'Per Line'!$D$2:$D$3001,$B41,'Per Line'!$AM$2:$AM$3001,0,'Per Line'!$AN$2:$AN$3001,0))</f>
        <v/>
      </c>
      <c r="P41" s="7">
        <f>IF($X41="","",O41*N41)</f>
        <v/>
      </c>
      <c r="Q41">
        <f>IF($X41="","",Settings!$C$6)</f>
        <v/>
      </c>
      <c r="R41" s="7">
        <f>IF($X41="","",SUMIFS('Per Line'!$V$2:$V$3001,'Per Line'!$D$2:$D$3001,$B41,'Per Line'!$AM$2:$AM$3001,1,'Per Line'!$AN$2:$AN$3001,0))</f>
        <v/>
      </c>
      <c r="S41" s="7">
        <f>IF($X41="","",R41*Q41)</f>
        <v/>
      </c>
      <c r="T41" s="7">
        <f>IF($X41="","",S41+P41)</f>
        <v/>
      </c>
      <c r="U41" s="7">
        <f>IF($X41="","",V41-T41)</f>
        <v/>
      </c>
      <c r="V41" s="7">
        <f>IF($X41="","",O41+R41+M41)</f>
        <v/>
      </c>
      <c r="W41" s="7">
        <f>IF($X41="","",V41-T41-I41)</f>
        <v/>
      </c>
      <c r="X41" s="13">
        <f>IF(ROWS($X$2:$X41)&lt;=MAX('Per Line'!$AL$2:$AL$3001),MATCH(ROWS($X$2:$X41),'Per Line'!$AL$2:$AL$3001,0),"")</f>
        <v/>
      </c>
    </row>
    <row r="42">
      <c r="A42" s="12" t="n"/>
      <c r="B42">
        <f>IF($X42="","",INDEX('Per Line'!$D$2:$D$3001,$X42)&amp;"")</f>
        <v/>
      </c>
      <c r="C42" s="11">
        <f>IF($X42="","",INDEX('Per Line'!$F$2:$F$3001,$X42))</f>
        <v/>
      </c>
      <c r="D42">
        <f>IF($X42="","",INDEX('Per Line'!$G$2:$G$3001,$X42)&amp;"")</f>
        <v/>
      </c>
      <c r="E42">
        <f>IF($X42="","",INDEX('Per Line'!$I$2:$I$3001,$X42)&amp;"")</f>
        <v/>
      </c>
      <c r="F42">
        <f>IF($X42="","",INDEX('Per Line'!$J$2:$J$3001,$X42)&amp;"")</f>
        <v/>
      </c>
      <c r="G42">
        <f>IF($X42="","",INDEX('Per Line'!$K$2:$K$3001,$X42)&amp;"")</f>
        <v/>
      </c>
      <c r="H42">
        <f>IF($X42="","",INDEX('Per Line'!$M$2:$M$3001,$X42))</f>
        <v/>
      </c>
      <c r="I42" s="7">
        <f>IF($X42="","",H42*V42/100)</f>
        <v/>
      </c>
      <c r="J42">
        <f>IF($X42="","",INDEX('Per Line'!$W$2:$W$3001,$X42)&amp;"")</f>
        <v/>
      </c>
      <c r="K42">
        <f>IF($X42="","",INDEX('Per Line'!$AD$2:$AD$3001,$X42))</f>
        <v/>
      </c>
      <c r="L42">
        <f>IF($X42="","",IF(AND(ISNUMBER(K42),K42&gt;0),V42&gt;K42,FALSE))</f>
        <v/>
      </c>
      <c r="M42" s="7">
        <f>IF($X42="","",SUMIFS('Per Line'!$V$2:$V$3001,'Per Line'!$D$2:$D$3001,$B42,'Per Line'!$AN$2:$AN$3001,1))</f>
        <v/>
      </c>
      <c r="N42">
        <f>IF($X42="","",Settings!$C$7)</f>
        <v/>
      </c>
      <c r="O42" s="7">
        <f>IF($X42="","",SUMIFS('Per Line'!$V$2:$V$3001,'Per Line'!$D$2:$D$3001,$B42,'Per Line'!$AM$2:$AM$3001,0,'Per Line'!$AN$2:$AN$3001,0))</f>
        <v/>
      </c>
      <c r="P42" s="7">
        <f>IF($X42="","",O42*N42)</f>
        <v/>
      </c>
      <c r="Q42">
        <f>IF($X42="","",Settings!$C$6)</f>
        <v/>
      </c>
      <c r="R42" s="7">
        <f>IF($X42="","",SUMIFS('Per Line'!$V$2:$V$3001,'Per Line'!$D$2:$D$3001,$B42,'Per Line'!$AM$2:$AM$3001,1,'Per Line'!$AN$2:$AN$3001,0))</f>
        <v/>
      </c>
      <c r="S42" s="7">
        <f>IF($X42="","",R42*Q42)</f>
        <v/>
      </c>
      <c r="T42" s="7">
        <f>IF($X42="","",S42+P42)</f>
        <v/>
      </c>
      <c r="U42" s="7">
        <f>IF($X42="","",V42-T42)</f>
        <v/>
      </c>
      <c r="V42" s="7">
        <f>IF($X42="","",O42+R42+M42)</f>
        <v/>
      </c>
      <c r="W42" s="7">
        <f>IF($X42="","",V42-T42-I42)</f>
        <v/>
      </c>
      <c r="X42" s="13">
        <f>IF(ROWS($X$2:$X42)&lt;=MAX('Per Line'!$AL$2:$AL$3001),MATCH(ROWS($X$2:$X42),'Per Line'!$AL$2:$AL$3001,0),"")</f>
        <v/>
      </c>
    </row>
    <row r="43">
      <c r="A43" s="12" t="n"/>
      <c r="B43">
        <f>IF($X43="","",INDEX('Per Line'!$D$2:$D$3001,$X43)&amp;"")</f>
        <v/>
      </c>
      <c r="C43" s="11">
        <f>IF($X43="","",INDEX('Per Line'!$F$2:$F$3001,$X43))</f>
        <v/>
      </c>
      <c r="D43">
        <f>IF($X43="","",INDEX('Per Line'!$G$2:$G$3001,$X43)&amp;"")</f>
        <v/>
      </c>
      <c r="E43">
        <f>IF($X43="","",INDEX('Per Line'!$I$2:$I$3001,$X43)&amp;"")</f>
        <v/>
      </c>
      <c r="F43">
        <f>IF($X43="","",INDEX('Per Line'!$J$2:$J$3001,$X43)&amp;"")</f>
        <v/>
      </c>
      <c r="G43">
        <f>IF($X43="","",INDEX('Per Line'!$K$2:$K$3001,$X43)&amp;"")</f>
        <v/>
      </c>
      <c r="H43">
        <f>IF($X43="","",INDEX('Per Line'!$M$2:$M$3001,$X43))</f>
        <v/>
      </c>
      <c r="I43" s="7">
        <f>IF($X43="","",H43*V43/100)</f>
        <v/>
      </c>
      <c r="J43">
        <f>IF($X43="","",INDEX('Per Line'!$W$2:$W$3001,$X43)&amp;"")</f>
        <v/>
      </c>
      <c r="K43">
        <f>IF($X43="","",INDEX('Per Line'!$AD$2:$AD$3001,$X43))</f>
        <v/>
      </c>
      <c r="L43">
        <f>IF($X43="","",IF(AND(ISNUMBER(K43),K43&gt;0),V43&gt;K43,FALSE))</f>
        <v/>
      </c>
      <c r="M43" s="7">
        <f>IF($X43="","",SUMIFS('Per Line'!$V$2:$V$3001,'Per Line'!$D$2:$D$3001,$B43,'Per Line'!$AN$2:$AN$3001,1))</f>
        <v/>
      </c>
      <c r="N43">
        <f>IF($X43="","",Settings!$C$7)</f>
        <v/>
      </c>
      <c r="O43" s="7">
        <f>IF($X43="","",SUMIFS('Per Line'!$V$2:$V$3001,'Per Line'!$D$2:$D$3001,$B43,'Per Line'!$AM$2:$AM$3001,0,'Per Line'!$AN$2:$AN$3001,0))</f>
        <v/>
      </c>
      <c r="P43" s="7">
        <f>IF($X43="","",O43*N43)</f>
        <v/>
      </c>
      <c r="Q43">
        <f>IF($X43="","",Settings!$C$6)</f>
        <v/>
      </c>
      <c r="R43" s="7">
        <f>IF($X43="","",SUMIFS('Per Line'!$V$2:$V$3001,'Per Line'!$D$2:$D$3001,$B43,'Per Line'!$AM$2:$AM$3001,1,'Per Line'!$AN$2:$AN$3001,0))</f>
        <v/>
      </c>
      <c r="S43" s="7">
        <f>IF($X43="","",R43*Q43)</f>
        <v/>
      </c>
      <c r="T43" s="7">
        <f>IF($X43="","",S43+P43)</f>
        <v/>
      </c>
      <c r="U43" s="7">
        <f>IF($X43="","",V43-T43)</f>
        <v/>
      </c>
      <c r="V43" s="7">
        <f>IF($X43="","",O43+R43+M43)</f>
        <v/>
      </c>
      <c r="W43" s="7">
        <f>IF($X43="","",V43-T43-I43)</f>
        <v/>
      </c>
      <c r="X43" s="13">
        <f>IF(ROWS($X$2:$X43)&lt;=MAX('Per Line'!$AL$2:$AL$3001),MATCH(ROWS($X$2:$X43),'Per Line'!$AL$2:$AL$3001,0),"")</f>
        <v/>
      </c>
    </row>
    <row r="44">
      <c r="A44" s="12" t="n"/>
      <c r="B44">
        <f>IF($X44="","",INDEX('Per Line'!$D$2:$D$3001,$X44)&amp;"")</f>
        <v/>
      </c>
      <c r="C44" s="11">
        <f>IF($X44="","",INDEX('Per Line'!$F$2:$F$3001,$X44))</f>
        <v/>
      </c>
      <c r="D44">
        <f>IF($X44="","",INDEX('Per Line'!$G$2:$G$3001,$X44)&amp;"")</f>
        <v/>
      </c>
      <c r="E44">
        <f>IF($X44="","",INDEX('Per Line'!$I$2:$I$3001,$X44)&amp;"")</f>
        <v/>
      </c>
      <c r="F44">
        <f>IF($X44="","",INDEX('Per Line'!$J$2:$J$3001,$X44)&amp;"")</f>
        <v/>
      </c>
      <c r="G44">
        <f>IF($X44="","",INDEX('Per Line'!$K$2:$K$3001,$X44)&amp;"")</f>
        <v/>
      </c>
      <c r="H44">
        <f>IF($X44="","",INDEX('Per Line'!$M$2:$M$3001,$X44))</f>
        <v/>
      </c>
      <c r="I44" s="7">
        <f>IF($X44="","",H44*V44/100)</f>
        <v/>
      </c>
      <c r="J44">
        <f>IF($X44="","",INDEX('Per Line'!$W$2:$W$3001,$X44)&amp;"")</f>
        <v/>
      </c>
      <c r="K44">
        <f>IF($X44="","",INDEX('Per Line'!$AD$2:$AD$3001,$X44))</f>
        <v/>
      </c>
      <c r="L44">
        <f>IF($X44="","",IF(AND(ISNUMBER(K44),K44&gt;0),V44&gt;K44,FALSE))</f>
        <v/>
      </c>
      <c r="M44" s="7">
        <f>IF($X44="","",SUMIFS('Per Line'!$V$2:$V$3001,'Per Line'!$D$2:$D$3001,$B44,'Per Line'!$AN$2:$AN$3001,1))</f>
        <v/>
      </c>
      <c r="N44">
        <f>IF($X44="","",Settings!$C$7)</f>
        <v/>
      </c>
      <c r="O44" s="7">
        <f>IF($X44="","",SUMIFS('Per Line'!$V$2:$V$3001,'Per Line'!$D$2:$D$3001,$B44,'Per Line'!$AM$2:$AM$3001,0,'Per Line'!$AN$2:$AN$3001,0))</f>
        <v/>
      </c>
      <c r="P44" s="7">
        <f>IF($X44="","",O44*N44)</f>
        <v/>
      </c>
      <c r="Q44">
        <f>IF($X44="","",Settings!$C$6)</f>
        <v/>
      </c>
      <c r="R44" s="7">
        <f>IF($X44="","",SUMIFS('Per Line'!$V$2:$V$3001,'Per Line'!$D$2:$D$3001,$B44,'Per Line'!$AM$2:$AM$3001,1,'Per Line'!$AN$2:$AN$3001,0))</f>
        <v/>
      </c>
      <c r="S44" s="7">
        <f>IF($X44="","",R44*Q44)</f>
        <v/>
      </c>
      <c r="T44" s="7">
        <f>IF($X44="","",S44+P44)</f>
        <v/>
      </c>
      <c r="U44" s="7">
        <f>IF($X44="","",V44-T44)</f>
        <v/>
      </c>
      <c r="V44" s="7">
        <f>IF($X44="","",O44+R44+M44)</f>
        <v/>
      </c>
      <c r="W44" s="7">
        <f>IF($X44="","",V44-T44-I44)</f>
        <v/>
      </c>
      <c r="X44" s="13">
        <f>IF(ROWS($X$2:$X44)&lt;=MAX('Per Line'!$AL$2:$AL$3001),MATCH(ROWS($X$2:$X44),'Per Line'!$AL$2:$AL$3001,0),"")</f>
        <v/>
      </c>
    </row>
    <row r="45">
      <c r="A45" s="12" t="n"/>
      <c r="B45">
        <f>IF($X45="","",INDEX('Per Line'!$D$2:$D$3001,$X45)&amp;"")</f>
        <v/>
      </c>
      <c r="C45" s="11">
        <f>IF($X45="","",INDEX('Per Line'!$F$2:$F$3001,$X45))</f>
        <v/>
      </c>
      <c r="D45">
        <f>IF($X45="","",INDEX('Per Line'!$G$2:$G$3001,$X45)&amp;"")</f>
        <v/>
      </c>
      <c r="E45">
        <f>IF($X45="","",INDEX('Per Line'!$I$2:$I$3001,$X45)&amp;"")</f>
        <v/>
      </c>
      <c r="F45">
        <f>IF($X45="","",INDEX('Per Line'!$J$2:$J$3001,$X45)&amp;"")</f>
        <v/>
      </c>
      <c r="G45">
        <f>IF($X45="","",INDEX('Per Line'!$K$2:$K$3001,$X45)&amp;"")</f>
        <v/>
      </c>
      <c r="H45">
        <f>IF($X45="","",INDEX('Per Line'!$M$2:$M$3001,$X45))</f>
        <v/>
      </c>
      <c r="I45" s="7">
        <f>IF($X45="","",H45*V45/100)</f>
        <v/>
      </c>
      <c r="J45">
        <f>IF($X45="","",INDEX('Per Line'!$W$2:$W$3001,$X45)&amp;"")</f>
        <v/>
      </c>
      <c r="K45">
        <f>IF($X45="","",INDEX('Per Line'!$AD$2:$AD$3001,$X45))</f>
        <v/>
      </c>
      <c r="L45">
        <f>IF($X45="","",IF(AND(ISNUMBER(K45),K45&gt;0),V45&gt;K45,FALSE))</f>
        <v/>
      </c>
      <c r="M45" s="7">
        <f>IF($X45="","",SUMIFS('Per Line'!$V$2:$V$3001,'Per Line'!$D$2:$D$3001,$B45,'Per Line'!$AN$2:$AN$3001,1))</f>
        <v/>
      </c>
      <c r="N45">
        <f>IF($X45="","",Settings!$C$7)</f>
        <v/>
      </c>
      <c r="O45" s="7">
        <f>IF($X45="","",SUMIFS('Per Line'!$V$2:$V$3001,'Per Line'!$D$2:$D$3001,$B45,'Per Line'!$AM$2:$AM$3001,0,'Per Line'!$AN$2:$AN$3001,0))</f>
        <v/>
      </c>
      <c r="P45" s="7">
        <f>IF($X45="","",O45*N45)</f>
        <v/>
      </c>
      <c r="Q45">
        <f>IF($X45="","",Settings!$C$6)</f>
        <v/>
      </c>
      <c r="R45" s="7">
        <f>IF($X45="","",SUMIFS('Per Line'!$V$2:$V$3001,'Per Line'!$D$2:$D$3001,$B45,'Per Line'!$AM$2:$AM$3001,1,'Per Line'!$AN$2:$AN$3001,0))</f>
        <v/>
      </c>
      <c r="S45" s="7">
        <f>IF($X45="","",R45*Q45)</f>
        <v/>
      </c>
      <c r="T45" s="7">
        <f>IF($X45="","",S45+P45)</f>
        <v/>
      </c>
      <c r="U45" s="7">
        <f>IF($X45="","",V45-T45)</f>
        <v/>
      </c>
      <c r="V45" s="7">
        <f>IF($X45="","",O45+R45+M45)</f>
        <v/>
      </c>
      <c r="W45" s="7">
        <f>IF($X45="","",V45-T45-I45)</f>
        <v/>
      </c>
      <c r="X45" s="13">
        <f>IF(ROWS($X$2:$X45)&lt;=MAX('Per Line'!$AL$2:$AL$3001),MATCH(ROWS($X$2:$X45),'Per Line'!$AL$2:$AL$3001,0),"")</f>
        <v/>
      </c>
    </row>
    <row r="46">
      <c r="A46" s="12" t="n"/>
      <c r="B46">
        <f>IF($X46="","",INDEX('Per Line'!$D$2:$D$3001,$X46)&amp;"")</f>
        <v/>
      </c>
      <c r="C46" s="11">
        <f>IF($X46="","",INDEX('Per Line'!$F$2:$F$3001,$X46))</f>
        <v/>
      </c>
      <c r="D46">
        <f>IF($X46="","",INDEX('Per Line'!$G$2:$G$3001,$X46)&amp;"")</f>
        <v/>
      </c>
      <c r="E46">
        <f>IF($X46="","",INDEX('Per Line'!$I$2:$I$3001,$X46)&amp;"")</f>
        <v/>
      </c>
      <c r="F46">
        <f>IF($X46="","",INDEX('Per Line'!$J$2:$J$3001,$X46)&amp;"")</f>
        <v/>
      </c>
      <c r="G46">
        <f>IF($X46="","",INDEX('Per Line'!$K$2:$K$3001,$X46)&amp;"")</f>
        <v/>
      </c>
      <c r="H46">
        <f>IF($X46="","",INDEX('Per Line'!$M$2:$M$3001,$X46))</f>
        <v/>
      </c>
      <c r="I46" s="7">
        <f>IF($X46="","",H46*V46/100)</f>
        <v/>
      </c>
      <c r="J46">
        <f>IF($X46="","",INDEX('Per Line'!$W$2:$W$3001,$X46)&amp;"")</f>
        <v/>
      </c>
      <c r="K46">
        <f>IF($X46="","",INDEX('Per Line'!$AD$2:$AD$3001,$X46))</f>
        <v/>
      </c>
      <c r="L46">
        <f>IF($X46="","",IF(AND(ISNUMBER(K46),K46&gt;0),V46&gt;K46,FALSE))</f>
        <v/>
      </c>
      <c r="M46" s="7">
        <f>IF($X46="","",SUMIFS('Per Line'!$V$2:$V$3001,'Per Line'!$D$2:$D$3001,$B46,'Per Line'!$AN$2:$AN$3001,1))</f>
        <v/>
      </c>
      <c r="N46">
        <f>IF($X46="","",Settings!$C$7)</f>
        <v/>
      </c>
      <c r="O46" s="7">
        <f>IF($X46="","",SUMIFS('Per Line'!$V$2:$V$3001,'Per Line'!$D$2:$D$3001,$B46,'Per Line'!$AM$2:$AM$3001,0,'Per Line'!$AN$2:$AN$3001,0))</f>
        <v/>
      </c>
      <c r="P46" s="7">
        <f>IF($X46="","",O46*N46)</f>
        <v/>
      </c>
      <c r="Q46">
        <f>IF($X46="","",Settings!$C$6)</f>
        <v/>
      </c>
      <c r="R46" s="7">
        <f>IF($X46="","",SUMIFS('Per Line'!$V$2:$V$3001,'Per Line'!$D$2:$D$3001,$B46,'Per Line'!$AM$2:$AM$3001,1,'Per Line'!$AN$2:$AN$3001,0))</f>
        <v/>
      </c>
      <c r="S46" s="7">
        <f>IF($X46="","",R46*Q46)</f>
        <v/>
      </c>
      <c r="T46" s="7">
        <f>IF($X46="","",S46+P46)</f>
        <v/>
      </c>
      <c r="U46" s="7">
        <f>IF($X46="","",V46-T46)</f>
        <v/>
      </c>
      <c r="V46" s="7">
        <f>IF($X46="","",O46+R46+M46)</f>
        <v/>
      </c>
      <c r="W46" s="7">
        <f>IF($X46="","",V46-T46-I46)</f>
        <v/>
      </c>
      <c r="X46" s="13">
        <f>IF(ROWS($X$2:$X46)&lt;=MAX('Per Line'!$AL$2:$AL$3001),MATCH(ROWS($X$2:$X46),'Per Line'!$AL$2:$AL$3001,0),"")</f>
        <v/>
      </c>
    </row>
    <row r="47">
      <c r="A47" s="12" t="n"/>
      <c r="B47">
        <f>IF($X47="","",INDEX('Per Line'!$D$2:$D$3001,$X47)&amp;"")</f>
        <v/>
      </c>
      <c r="C47" s="11">
        <f>IF($X47="","",INDEX('Per Line'!$F$2:$F$3001,$X47))</f>
        <v/>
      </c>
      <c r="D47">
        <f>IF($X47="","",INDEX('Per Line'!$G$2:$G$3001,$X47)&amp;"")</f>
        <v/>
      </c>
      <c r="E47">
        <f>IF($X47="","",INDEX('Per Line'!$I$2:$I$3001,$X47)&amp;"")</f>
        <v/>
      </c>
      <c r="F47">
        <f>IF($X47="","",INDEX('Per Line'!$J$2:$J$3001,$X47)&amp;"")</f>
        <v/>
      </c>
      <c r="G47">
        <f>IF($X47="","",INDEX('Per Line'!$K$2:$K$3001,$X47)&amp;"")</f>
        <v/>
      </c>
      <c r="H47">
        <f>IF($X47="","",INDEX('Per Line'!$M$2:$M$3001,$X47))</f>
        <v/>
      </c>
      <c r="I47" s="7">
        <f>IF($X47="","",H47*V47/100)</f>
        <v/>
      </c>
      <c r="J47">
        <f>IF($X47="","",INDEX('Per Line'!$W$2:$W$3001,$X47)&amp;"")</f>
        <v/>
      </c>
      <c r="K47">
        <f>IF($X47="","",INDEX('Per Line'!$AD$2:$AD$3001,$X47))</f>
        <v/>
      </c>
      <c r="L47">
        <f>IF($X47="","",IF(AND(ISNUMBER(K47),K47&gt;0),V47&gt;K47,FALSE))</f>
        <v/>
      </c>
      <c r="M47" s="7">
        <f>IF($X47="","",SUMIFS('Per Line'!$V$2:$V$3001,'Per Line'!$D$2:$D$3001,$B47,'Per Line'!$AN$2:$AN$3001,1))</f>
        <v/>
      </c>
      <c r="N47">
        <f>IF($X47="","",Settings!$C$7)</f>
        <v/>
      </c>
      <c r="O47" s="7">
        <f>IF($X47="","",SUMIFS('Per Line'!$V$2:$V$3001,'Per Line'!$D$2:$D$3001,$B47,'Per Line'!$AM$2:$AM$3001,0,'Per Line'!$AN$2:$AN$3001,0))</f>
        <v/>
      </c>
      <c r="P47" s="7">
        <f>IF($X47="","",O47*N47)</f>
        <v/>
      </c>
      <c r="Q47">
        <f>IF($X47="","",Settings!$C$6)</f>
        <v/>
      </c>
      <c r="R47" s="7">
        <f>IF($X47="","",SUMIFS('Per Line'!$V$2:$V$3001,'Per Line'!$D$2:$D$3001,$B47,'Per Line'!$AM$2:$AM$3001,1,'Per Line'!$AN$2:$AN$3001,0))</f>
        <v/>
      </c>
      <c r="S47" s="7">
        <f>IF($X47="","",R47*Q47)</f>
        <v/>
      </c>
      <c r="T47" s="7">
        <f>IF($X47="","",S47+P47)</f>
        <v/>
      </c>
      <c r="U47" s="7">
        <f>IF($X47="","",V47-T47)</f>
        <v/>
      </c>
      <c r="V47" s="7">
        <f>IF($X47="","",O47+R47+M47)</f>
        <v/>
      </c>
      <c r="W47" s="7">
        <f>IF($X47="","",V47-T47-I47)</f>
        <v/>
      </c>
      <c r="X47" s="13">
        <f>IF(ROWS($X$2:$X47)&lt;=MAX('Per Line'!$AL$2:$AL$3001),MATCH(ROWS($X$2:$X47),'Per Line'!$AL$2:$AL$3001,0),"")</f>
        <v/>
      </c>
    </row>
    <row r="48">
      <c r="A48" s="12" t="n"/>
      <c r="B48">
        <f>IF($X48="","",INDEX('Per Line'!$D$2:$D$3001,$X48)&amp;"")</f>
        <v/>
      </c>
      <c r="C48" s="11">
        <f>IF($X48="","",INDEX('Per Line'!$F$2:$F$3001,$X48))</f>
        <v/>
      </c>
      <c r="D48">
        <f>IF($X48="","",INDEX('Per Line'!$G$2:$G$3001,$X48)&amp;"")</f>
        <v/>
      </c>
      <c r="E48">
        <f>IF($X48="","",INDEX('Per Line'!$I$2:$I$3001,$X48)&amp;"")</f>
        <v/>
      </c>
      <c r="F48">
        <f>IF($X48="","",INDEX('Per Line'!$J$2:$J$3001,$X48)&amp;"")</f>
        <v/>
      </c>
      <c r="G48">
        <f>IF($X48="","",INDEX('Per Line'!$K$2:$K$3001,$X48)&amp;"")</f>
        <v/>
      </c>
      <c r="H48">
        <f>IF($X48="","",INDEX('Per Line'!$M$2:$M$3001,$X48))</f>
        <v/>
      </c>
      <c r="I48" s="7">
        <f>IF($X48="","",H48*V48/100)</f>
        <v/>
      </c>
      <c r="J48">
        <f>IF($X48="","",INDEX('Per Line'!$W$2:$W$3001,$X48)&amp;"")</f>
        <v/>
      </c>
      <c r="K48">
        <f>IF($X48="","",INDEX('Per Line'!$AD$2:$AD$3001,$X48))</f>
        <v/>
      </c>
      <c r="L48">
        <f>IF($X48="","",IF(AND(ISNUMBER(K48),K48&gt;0),V48&gt;K48,FALSE))</f>
        <v/>
      </c>
      <c r="M48" s="7">
        <f>IF($X48="","",SUMIFS('Per Line'!$V$2:$V$3001,'Per Line'!$D$2:$D$3001,$B48,'Per Line'!$AN$2:$AN$3001,1))</f>
        <v/>
      </c>
      <c r="N48">
        <f>IF($X48="","",Settings!$C$7)</f>
        <v/>
      </c>
      <c r="O48" s="7">
        <f>IF($X48="","",SUMIFS('Per Line'!$V$2:$V$3001,'Per Line'!$D$2:$D$3001,$B48,'Per Line'!$AM$2:$AM$3001,0,'Per Line'!$AN$2:$AN$3001,0))</f>
        <v/>
      </c>
      <c r="P48" s="7">
        <f>IF($X48="","",O48*N48)</f>
        <v/>
      </c>
      <c r="Q48">
        <f>IF($X48="","",Settings!$C$6)</f>
        <v/>
      </c>
      <c r="R48" s="7">
        <f>IF($X48="","",SUMIFS('Per Line'!$V$2:$V$3001,'Per Line'!$D$2:$D$3001,$B48,'Per Line'!$AM$2:$AM$3001,1,'Per Line'!$AN$2:$AN$3001,0))</f>
        <v/>
      </c>
      <c r="S48" s="7">
        <f>IF($X48="","",R48*Q48)</f>
        <v/>
      </c>
      <c r="T48" s="7">
        <f>IF($X48="","",S48+P48)</f>
        <v/>
      </c>
      <c r="U48" s="7">
        <f>IF($X48="","",V48-T48)</f>
        <v/>
      </c>
      <c r="V48" s="7">
        <f>IF($X48="","",O48+R48+M48)</f>
        <v/>
      </c>
      <c r="W48" s="7">
        <f>IF($X48="","",V48-T48-I48)</f>
        <v/>
      </c>
      <c r="X48" s="13">
        <f>IF(ROWS($X$2:$X48)&lt;=MAX('Per Line'!$AL$2:$AL$3001),MATCH(ROWS($X$2:$X48),'Per Line'!$AL$2:$AL$3001,0),"")</f>
        <v/>
      </c>
    </row>
    <row r="49">
      <c r="A49" s="12" t="n"/>
      <c r="B49">
        <f>IF($X49="","",INDEX('Per Line'!$D$2:$D$3001,$X49)&amp;"")</f>
        <v/>
      </c>
      <c r="C49" s="11">
        <f>IF($X49="","",INDEX('Per Line'!$F$2:$F$3001,$X49))</f>
        <v/>
      </c>
      <c r="D49">
        <f>IF($X49="","",INDEX('Per Line'!$G$2:$G$3001,$X49)&amp;"")</f>
        <v/>
      </c>
      <c r="E49">
        <f>IF($X49="","",INDEX('Per Line'!$I$2:$I$3001,$X49)&amp;"")</f>
        <v/>
      </c>
      <c r="F49">
        <f>IF($X49="","",INDEX('Per Line'!$J$2:$J$3001,$X49)&amp;"")</f>
        <v/>
      </c>
      <c r="G49">
        <f>IF($X49="","",INDEX('Per Line'!$K$2:$K$3001,$X49)&amp;"")</f>
        <v/>
      </c>
      <c r="H49">
        <f>IF($X49="","",INDEX('Per Line'!$M$2:$M$3001,$X49))</f>
        <v/>
      </c>
      <c r="I49" s="7">
        <f>IF($X49="","",H49*V49/100)</f>
        <v/>
      </c>
      <c r="J49">
        <f>IF($X49="","",INDEX('Per Line'!$W$2:$W$3001,$X49)&amp;"")</f>
        <v/>
      </c>
      <c r="K49">
        <f>IF($X49="","",INDEX('Per Line'!$AD$2:$AD$3001,$X49))</f>
        <v/>
      </c>
      <c r="L49">
        <f>IF($X49="","",IF(AND(ISNUMBER(K49),K49&gt;0),V49&gt;K49,FALSE))</f>
        <v/>
      </c>
      <c r="M49" s="7">
        <f>IF($X49="","",SUMIFS('Per Line'!$V$2:$V$3001,'Per Line'!$D$2:$D$3001,$B49,'Per Line'!$AN$2:$AN$3001,1))</f>
        <v/>
      </c>
      <c r="N49">
        <f>IF($X49="","",Settings!$C$7)</f>
        <v/>
      </c>
      <c r="O49" s="7">
        <f>IF($X49="","",SUMIFS('Per Line'!$V$2:$V$3001,'Per Line'!$D$2:$D$3001,$B49,'Per Line'!$AM$2:$AM$3001,0,'Per Line'!$AN$2:$AN$3001,0))</f>
        <v/>
      </c>
      <c r="P49" s="7">
        <f>IF($X49="","",O49*N49)</f>
        <v/>
      </c>
      <c r="Q49">
        <f>IF($X49="","",Settings!$C$6)</f>
        <v/>
      </c>
      <c r="R49" s="7">
        <f>IF($X49="","",SUMIFS('Per Line'!$V$2:$V$3001,'Per Line'!$D$2:$D$3001,$B49,'Per Line'!$AM$2:$AM$3001,1,'Per Line'!$AN$2:$AN$3001,0))</f>
        <v/>
      </c>
      <c r="S49" s="7">
        <f>IF($X49="","",R49*Q49)</f>
        <v/>
      </c>
      <c r="T49" s="7">
        <f>IF($X49="","",S49+P49)</f>
        <v/>
      </c>
      <c r="U49" s="7">
        <f>IF($X49="","",V49-T49)</f>
        <v/>
      </c>
      <c r="V49" s="7">
        <f>IF($X49="","",O49+R49+M49)</f>
        <v/>
      </c>
      <c r="W49" s="7">
        <f>IF($X49="","",V49-T49-I49)</f>
        <v/>
      </c>
      <c r="X49" s="13">
        <f>IF(ROWS($X$2:$X49)&lt;=MAX('Per Line'!$AL$2:$AL$3001),MATCH(ROWS($X$2:$X49),'Per Line'!$AL$2:$AL$3001,0),"")</f>
        <v/>
      </c>
    </row>
    <row r="50">
      <c r="A50" s="12" t="n"/>
      <c r="B50">
        <f>IF($X50="","",INDEX('Per Line'!$D$2:$D$3001,$X50)&amp;"")</f>
        <v/>
      </c>
      <c r="C50" s="11">
        <f>IF($X50="","",INDEX('Per Line'!$F$2:$F$3001,$X50))</f>
        <v/>
      </c>
      <c r="D50">
        <f>IF($X50="","",INDEX('Per Line'!$G$2:$G$3001,$X50)&amp;"")</f>
        <v/>
      </c>
      <c r="E50">
        <f>IF($X50="","",INDEX('Per Line'!$I$2:$I$3001,$X50)&amp;"")</f>
        <v/>
      </c>
      <c r="F50">
        <f>IF($X50="","",INDEX('Per Line'!$J$2:$J$3001,$X50)&amp;"")</f>
        <v/>
      </c>
      <c r="G50">
        <f>IF($X50="","",INDEX('Per Line'!$K$2:$K$3001,$X50)&amp;"")</f>
        <v/>
      </c>
      <c r="H50">
        <f>IF($X50="","",INDEX('Per Line'!$M$2:$M$3001,$X50))</f>
        <v/>
      </c>
      <c r="I50" s="7">
        <f>IF($X50="","",H50*V50/100)</f>
        <v/>
      </c>
      <c r="J50">
        <f>IF($X50="","",INDEX('Per Line'!$W$2:$W$3001,$X50)&amp;"")</f>
        <v/>
      </c>
      <c r="K50">
        <f>IF($X50="","",INDEX('Per Line'!$AD$2:$AD$3001,$X50))</f>
        <v/>
      </c>
      <c r="L50">
        <f>IF($X50="","",IF(AND(ISNUMBER(K50),K50&gt;0),V50&gt;K50,FALSE))</f>
        <v/>
      </c>
      <c r="M50" s="7">
        <f>IF($X50="","",SUMIFS('Per Line'!$V$2:$V$3001,'Per Line'!$D$2:$D$3001,$B50,'Per Line'!$AN$2:$AN$3001,1))</f>
        <v/>
      </c>
      <c r="N50">
        <f>IF($X50="","",Settings!$C$7)</f>
        <v/>
      </c>
      <c r="O50" s="7">
        <f>IF($X50="","",SUMIFS('Per Line'!$V$2:$V$3001,'Per Line'!$D$2:$D$3001,$B50,'Per Line'!$AM$2:$AM$3001,0,'Per Line'!$AN$2:$AN$3001,0))</f>
        <v/>
      </c>
      <c r="P50" s="7">
        <f>IF($X50="","",O50*N50)</f>
        <v/>
      </c>
      <c r="Q50">
        <f>IF($X50="","",Settings!$C$6)</f>
        <v/>
      </c>
      <c r="R50" s="7">
        <f>IF($X50="","",SUMIFS('Per Line'!$V$2:$V$3001,'Per Line'!$D$2:$D$3001,$B50,'Per Line'!$AM$2:$AM$3001,1,'Per Line'!$AN$2:$AN$3001,0))</f>
        <v/>
      </c>
      <c r="S50" s="7">
        <f>IF($X50="","",R50*Q50)</f>
        <v/>
      </c>
      <c r="T50" s="7">
        <f>IF($X50="","",S50+P50)</f>
        <v/>
      </c>
      <c r="U50" s="7">
        <f>IF($X50="","",V50-T50)</f>
        <v/>
      </c>
      <c r="V50" s="7">
        <f>IF($X50="","",O50+R50+M50)</f>
        <v/>
      </c>
      <c r="W50" s="7">
        <f>IF($X50="","",V50-T50-I50)</f>
        <v/>
      </c>
      <c r="X50" s="13">
        <f>IF(ROWS($X$2:$X50)&lt;=MAX('Per Line'!$AL$2:$AL$3001),MATCH(ROWS($X$2:$X50),'Per Line'!$AL$2:$AL$3001,0),"")</f>
        <v/>
      </c>
    </row>
    <row r="51">
      <c r="A51" s="12" t="n"/>
      <c r="B51">
        <f>IF($X51="","",INDEX('Per Line'!$D$2:$D$3001,$X51)&amp;"")</f>
        <v/>
      </c>
      <c r="C51" s="11">
        <f>IF($X51="","",INDEX('Per Line'!$F$2:$F$3001,$X51))</f>
        <v/>
      </c>
      <c r="D51">
        <f>IF($X51="","",INDEX('Per Line'!$G$2:$G$3001,$X51)&amp;"")</f>
        <v/>
      </c>
      <c r="E51">
        <f>IF($X51="","",INDEX('Per Line'!$I$2:$I$3001,$X51)&amp;"")</f>
        <v/>
      </c>
      <c r="F51">
        <f>IF($X51="","",INDEX('Per Line'!$J$2:$J$3001,$X51)&amp;"")</f>
        <v/>
      </c>
      <c r="G51">
        <f>IF($X51="","",INDEX('Per Line'!$K$2:$K$3001,$X51)&amp;"")</f>
        <v/>
      </c>
      <c r="H51">
        <f>IF($X51="","",INDEX('Per Line'!$M$2:$M$3001,$X51))</f>
        <v/>
      </c>
      <c r="I51" s="7">
        <f>IF($X51="","",H51*V51/100)</f>
        <v/>
      </c>
      <c r="J51">
        <f>IF($X51="","",INDEX('Per Line'!$W$2:$W$3001,$X51)&amp;"")</f>
        <v/>
      </c>
      <c r="K51">
        <f>IF($X51="","",INDEX('Per Line'!$AD$2:$AD$3001,$X51))</f>
        <v/>
      </c>
      <c r="L51">
        <f>IF($X51="","",IF(AND(ISNUMBER(K51),K51&gt;0),V51&gt;K51,FALSE))</f>
        <v/>
      </c>
      <c r="M51" s="7">
        <f>IF($X51="","",SUMIFS('Per Line'!$V$2:$V$3001,'Per Line'!$D$2:$D$3001,$B51,'Per Line'!$AN$2:$AN$3001,1))</f>
        <v/>
      </c>
      <c r="N51">
        <f>IF($X51="","",Settings!$C$7)</f>
        <v/>
      </c>
      <c r="O51" s="7">
        <f>IF($X51="","",SUMIFS('Per Line'!$V$2:$V$3001,'Per Line'!$D$2:$D$3001,$B51,'Per Line'!$AM$2:$AM$3001,0,'Per Line'!$AN$2:$AN$3001,0))</f>
        <v/>
      </c>
      <c r="P51" s="7">
        <f>IF($X51="","",O51*N51)</f>
        <v/>
      </c>
      <c r="Q51">
        <f>IF($X51="","",Settings!$C$6)</f>
        <v/>
      </c>
      <c r="R51" s="7">
        <f>IF($X51="","",SUMIFS('Per Line'!$V$2:$V$3001,'Per Line'!$D$2:$D$3001,$B51,'Per Line'!$AM$2:$AM$3001,1,'Per Line'!$AN$2:$AN$3001,0))</f>
        <v/>
      </c>
      <c r="S51" s="7">
        <f>IF($X51="","",R51*Q51)</f>
        <v/>
      </c>
      <c r="T51" s="7">
        <f>IF($X51="","",S51+P51)</f>
        <v/>
      </c>
      <c r="U51" s="7">
        <f>IF($X51="","",V51-T51)</f>
        <v/>
      </c>
      <c r="V51" s="7">
        <f>IF($X51="","",O51+R51+M51)</f>
        <v/>
      </c>
      <c r="W51" s="7">
        <f>IF($X51="","",V51-T51-I51)</f>
        <v/>
      </c>
      <c r="X51" s="13">
        <f>IF(ROWS($X$2:$X51)&lt;=MAX('Per Line'!$AL$2:$AL$3001),MATCH(ROWS($X$2:$X51),'Per Line'!$AL$2:$AL$3001,0),"")</f>
        <v/>
      </c>
    </row>
    <row r="52">
      <c r="A52" s="12" t="n"/>
      <c r="B52">
        <f>IF($X52="","",INDEX('Per Line'!$D$2:$D$3001,$X52)&amp;"")</f>
        <v/>
      </c>
      <c r="C52" s="11">
        <f>IF($X52="","",INDEX('Per Line'!$F$2:$F$3001,$X52))</f>
        <v/>
      </c>
      <c r="D52">
        <f>IF($X52="","",INDEX('Per Line'!$G$2:$G$3001,$X52)&amp;"")</f>
        <v/>
      </c>
      <c r="E52">
        <f>IF($X52="","",INDEX('Per Line'!$I$2:$I$3001,$X52)&amp;"")</f>
        <v/>
      </c>
      <c r="F52">
        <f>IF($X52="","",INDEX('Per Line'!$J$2:$J$3001,$X52)&amp;"")</f>
        <v/>
      </c>
      <c r="G52">
        <f>IF($X52="","",INDEX('Per Line'!$K$2:$K$3001,$X52)&amp;"")</f>
        <v/>
      </c>
      <c r="H52">
        <f>IF($X52="","",INDEX('Per Line'!$M$2:$M$3001,$X52))</f>
        <v/>
      </c>
      <c r="I52" s="7">
        <f>IF($X52="","",H52*V52/100)</f>
        <v/>
      </c>
      <c r="J52">
        <f>IF($X52="","",INDEX('Per Line'!$W$2:$W$3001,$X52)&amp;"")</f>
        <v/>
      </c>
      <c r="K52">
        <f>IF($X52="","",INDEX('Per Line'!$AD$2:$AD$3001,$X52))</f>
        <v/>
      </c>
      <c r="L52">
        <f>IF($X52="","",IF(AND(ISNUMBER(K52),K52&gt;0),V52&gt;K52,FALSE))</f>
        <v/>
      </c>
      <c r="M52" s="7">
        <f>IF($X52="","",SUMIFS('Per Line'!$V$2:$V$3001,'Per Line'!$D$2:$D$3001,$B52,'Per Line'!$AN$2:$AN$3001,1))</f>
        <v/>
      </c>
      <c r="N52">
        <f>IF($X52="","",Settings!$C$7)</f>
        <v/>
      </c>
      <c r="O52" s="7">
        <f>IF($X52="","",SUMIFS('Per Line'!$V$2:$V$3001,'Per Line'!$D$2:$D$3001,$B52,'Per Line'!$AM$2:$AM$3001,0,'Per Line'!$AN$2:$AN$3001,0))</f>
        <v/>
      </c>
      <c r="P52" s="7">
        <f>IF($X52="","",O52*N52)</f>
        <v/>
      </c>
      <c r="Q52">
        <f>IF($X52="","",Settings!$C$6)</f>
        <v/>
      </c>
      <c r="R52" s="7">
        <f>IF($X52="","",SUMIFS('Per Line'!$V$2:$V$3001,'Per Line'!$D$2:$D$3001,$B52,'Per Line'!$AM$2:$AM$3001,1,'Per Line'!$AN$2:$AN$3001,0))</f>
        <v/>
      </c>
      <c r="S52" s="7">
        <f>IF($X52="","",R52*Q52)</f>
        <v/>
      </c>
      <c r="T52" s="7">
        <f>IF($X52="","",S52+P52)</f>
        <v/>
      </c>
      <c r="U52" s="7">
        <f>IF($X52="","",V52-T52)</f>
        <v/>
      </c>
      <c r="V52" s="7">
        <f>IF($X52="","",O52+R52+M52)</f>
        <v/>
      </c>
      <c r="W52" s="7">
        <f>IF($X52="","",V52-T52-I52)</f>
        <v/>
      </c>
      <c r="X52" s="13">
        <f>IF(ROWS($X$2:$X52)&lt;=MAX('Per Line'!$AL$2:$AL$3001),MATCH(ROWS($X$2:$X52),'Per Line'!$AL$2:$AL$3001,0),"")</f>
        <v/>
      </c>
    </row>
    <row r="53">
      <c r="A53" s="12" t="n"/>
      <c r="B53">
        <f>IF($X53="","",INDEX('Per Line'!$D$2:$D$3001,$X53)&amp;"")</f>
        <v/>
      </c>
      <c r="C53" s="11">
        <f>IF($X53="","",INDEX('Per Line'!$F$2:$F$3001,$X53))</f>
        <v/>
      </c>
      <c r="D53">
        <f>IF($X53="","",INDEX('Per Line'!$G$2:$G$3001,$X53)&amp;"")</f>
        <v/>
      </c>
      <c r="E53">
        <f>IF($X53="","",INDEX('Per Line'!$I$2:$I$3001,$X53)&amp;"")</f>
        <v/>
      </c>
      <c r="F53">
        <f>IF($X53="","",INDEX('Per Line'!$J$2:$J$3001,$X53)&amp;"")</f>
        <v/>
      </c>
      <c r="G53">
        <f>IF($X53="","",INDEX('Per Line'!$K$2:$K$3001,$X53)&amp;"")</f>
        <v/>
      </c>
      <c r="H53">
        <f>IF($X53="","",INDEX('Per Line'!$M$2:$M$3001,$X53))</f>
        <v/>
      </c>
      <c r="I53" s="7">
        <f>IF($X53="","",H53*V53/100)</f>
        <v/>
      </c>
      <c r="J53">
        <f>IF($X53="","",INDEX('Per Line'!$W$2:$W$3001,$X53)&amp;"")</f>
        <v/>
      </c>
      <c r="K53">
        <f>IF($X53="","",INDEX('Per Line'!$AD$2:$AD$3001,$X53))</f>
        <v/>
      </c>
      <c r="L53">
        <f>IF($X53="","",IF(AND(ISNUMBER(K53),K53&gt;0),V53&gt;K53,FALSE))</f>
        <v/>
      </c>
      <c r="M53" s="7">
        <f>IF($X53="","",SUMIFS('Per Line'!$V$2:$V$3001,'Per Line'!$D$2:$D$3001,$B53,'Per Line'!$AN$2:$AN$3001,1))</f>
        <v/>
      </c>
      <c r="N53">
        <f>IF($X53="","",Settings!$C$7)</f>
        <v/>
      </c>
      <c r="O53" s="7">
        <f>IF($X53="","",SUMIFS('Per Line'!$V$2:$V$3001,'Per Line'!$D$2:$D$3001,$B53,'Per Line'!$AM$2:$AM$3001,0,'Per Line'!$AN$2:$AN$3001,0))</f>
        <v/>
      </c>
      <c r="P53" s="7">
        <f>IF($X53="","",O53*N53)</f>
        <v/>
      </c>
      <c r="Q53">
        <f>IF($X53="","",Settings!$C$6)</f>
        <v/>
      </c>
      <c r="R53" s="7">
        <f>IF($X53="","",SUMIFS('Per Line'!$V$2:$V$3001,'Per Line'!$D$2:$D$3001,$B53,'Per Line'!$AM$2:$AM$3001,1,'Per Line'!$AN$2:$AN$3001,0))</f>
        <v/>
      </c>
      <c r="S53" s="7">
        <f>IF($X53="","",R53*Q53)</f>
        <v/>
      </c>
      <c r="T53" s="7">
        <f>IF($X53="","",S53+P53)</f>
        <v/>
      </c>
      <c r="U53" s="7">
        <f>IF($X53="","",V53-T53)</f>
        <v/>
      </c>
      <c r="V53" s="7">
        <f>IF($X53="","",O53+R53+M53)</f>
        <v/>
      </c>
      <c r="W53" s="7">
        <f>IF($X53="","",V53-T53-I53)</f>
        <v/>
      </c>
      <c r="X53" s="13">
        <f>IF(ROWS($X$2:$X53)&lt;=MAX('Per Line'!$AL$2:$AL$3001),MATCH(ROWS($X$2:$X53),'Per Line'!$AL$2:$AL$3001,0),"")</f>
        <v/>
      </c>
    </row>
    <row r="54">
      <c r="A54" s="12" t="n"/>
      <c r="B54">
        <f>IF($X54="","",INDEX('Per Line'!$D$2:$D$3001,$X54)&amp;"")</f>
        <v/>
      </c>
      <c r="C54" s="11">
        <f>IF($X54="","",INDEX('Per Line'!$F$2:$F$3001,$X54))</f>
        <v/>
      </c>
      <c r="D54">
        <f>IF($X54="","",INDEX('Per Line'!$G$2:$G$3001,$X54)&amp;"")</f>
        <v/>
      </c>
      <c r="E54">
        <f>IF($X54="","",INDEX('Per Line'!$I$2:$I$3001,$X54)&amp;"")</f>
        <v/>
      </c>
      <c r="F54">
        <f>IF($X54="","",INDEX('Per Line'!$J$2:$J$3001,$X54)&amp;"")</f>
        <v/>
      </c>
      <c r="G54">
        <f>IF($X54="","",INDEX('Per Line'!$K$2:$K$3001,$X54)&amp;"")</f>
        <v/>
      </c>
      <c r="H54">
        <f>IF($X54="","",INDEX('Per Line'!$M$2:$M$3001,$X54))</f>
        <v/>
      </c>
      <c r="I54" s="7">
        <f>IF($X54="","",H54*V54/100)</f>
        <v/>
      </c>
      <c r="J54">
        <f>IF($X54="","",INDEX('Per Line'!$W$2:$W$3001,$X54)&amp;"")</f>
        <v/>
      </c>
      <c r="K54">
        <f>IF($X54="","",INDEX('Per Line'!$AD$2:$AD$3001,$X54))</f>
        <v/>
      </c>
      <c r="L54">
        <f>IF($X54="","",IF(AND(ISNUMBER(K54),K54&gt;0),V54&gt;K54,FALSE))</f>
        <v/>
      </c>
      <c r="M54" s="7">
        <f>IF($X54="","",SUMIFS('Per Line'!$V$2:$V$3001,'Per Line'!$D$2:$D$3001,$B54,'Per Line'!$AN$2:$AN$3001,1))</f>
        <v/>
      </c>
      <c r="N54">
        <f>IF($X54="","",Settings!$C$7)</f>
        <v/>
      </c>
      <c r="O54" s="7">
        <f>IF($X54="","",SUMIFS('Per Line'!$V$2:$V$3001,'Per Line'!$D$2:$D$3001,$B54,'Per Line'!$AM$2:$AM$3001,0,'Per Line'!$AN$2:$AN$3001,0))</f>
        <v/>
      </c>
      <c r="P54" s="7">
        <f>IF($X54="","",O54*N54)</f>
        <v/>
      </c>
      <c r="Q54">
        <f>IF($X54="","",Settings!$C$6)</f>
        <v/>
      </c>
      <c r="R54" s="7">
        <f>IF($X54="","",SUMIFS('Per Line'!$V$2:$V$3001,'Per Line'!$D$2:$D$3001,$B54,'Per Line'!$AM$2:$AM$3001,1,'Per Line'!$AN$2:$AN$3001,0))</f>
        <v/>
      </c>
      <c r="S54" s="7">
        <f>IF($X54="","",R54*Q54)</f>
        <v/>
      </c>
      <c r="T54" s="7">
        <f>IF($X54="","",S54+P54)</f>
        <v/>
      </c>
      <c r="U54" s="7">
        <f>IF($X54="","",V54-T54)</f>
        <v/>
      </c>
      <c r="V54" s="7">
        <f>IF($X54="","",O54+R54+M54)</f>
        <v/>
      </c>
      <c r="W54" s="7">
        <f>IF($X54="","",V54-T54-I54)</f>
        <v/>
      </c>
      <c r="X54" s="13">
        <f>IF(ROWS($X$2:$X54)&lt;=MAX('Per Line'!$AL$2:$AL$3001),MATCH(ROWS($X$2:$X54),'Per Line'!$AL$2:$AL$3001,0),"")</f>
        <v/>
      </c>
    </row>
    <row r="55">
      <c r="A55" s="12" t="n"/>
      <c r="B55">
        <f>IF($X55="","",INDEX('Per Line'!$D$2:$D$3001,$X55)&amp;"")</f>
        <v/>
      </c>
      <c r="C55" s="11">
        <f>IF($X55="","",INDEX('Per Line'!$F$2:$F$3001,$X55))</f>
        <v/>
      </c>
      <c r="D55">
        <f>IF($X55="","",INDEX('Per Line'!$G$2:$G$3001,$X55)&amp;"")</f>
        <v/>
      </c>
      <c r="E55">
        <f>IF($X55="","",INDEX('Per Line'!$I$2:$I$3001,$X55)&amp;"")</f>
        <v/>
      </c>
      <c r="F55">
        <f>IF($X55="","",INDEX('Per Line'!$J$2:$J$3001,$X55)&amp;"")</f>
        <v/>
      </c>
      <c r="G55">
        <f>IF($X55="","",INDEX('Per Line'!$K$2:$K$3001,$X55)&amp;"")</f>
        <v/>
      </c>
      <c r="H55">
        <f>IF($X55="","",INDEX('Per Line'!$M$2:$M$3001,$X55))</f>
        <v/>
      </c>
      <c r="I55" s="7">
        <f>IF($X55="","",H55*V55/100)</f>
        <v/>
      </c>
      <c r="J55">
        <f>IF($X55="","",INDEX('Per Line'!$W$2:$W$3001,$X55)&amp;"")</f>
        <v/>
      </c>
      <c r="K55">
        <f>IF($X55="","",INDEX('Per Line'!$AD$2:$AD$3001,$X55))</f>
        <v/>
      </c>
      <c r="L55">
        <f>IF($X55="","",IF(AND(ISNUMBER(K55),K55&gt;0),V55&gt;K55,FALSE))</f>
        <v/>
      </c>
      <c r="M55" s="7">
        <f>IF($X55="","",SUMIFS('Per Line'!$V$2:$V$3001,'Per Line'!$D$2:$D$3001,$B55,'Per Line'!$AN$2:$AN$3001,1))</f>
        <v/>
      </c>
      <c r="N55">
        <f>IF($X55="","",Settings!$C$7)</f>
        <v/>
      </c>
      <c r="O55" s="7">
        <f>IF($X55="","",SUMIFS('Per Line'!$V$2:$V$3001,'Per Line'!$D$2:$D$3001,$B55,'Per Line'!$AM$2:$AM$3001,0,'Per Line'!$AN$2:$AN$3001,0))</f>
        <v/>
      </c>
      <c r="P55" s="7">
        <f>IF($X55="","",O55*N55)</f>
        <v/>
      </c>
      <c r="Q55">
        <f>IF($X55="","",Settings!$C$6)</f>
        <v/>
      </c>
      <c r="R55" s="7">
        <f>IF($X55="","",SUMIFS('Per Line'!$V$2:$V$3001,'Per Line'!$D$2:$D$3001,$B55,'Per Line'!$AM$2:$AM$3001,1,'Per Line'!$AN$2:$AN$3001,0))</f>
        <v/>
      </c>
      <c r="S55" s="7">
        <f>IF($X55="","",R55*Q55)</f>
        <v/>
      </c>
      <c r="T55" s="7">
        <f>IF($X55="","",S55+P55)</f>
        <v/>
      </c>
      <c r="U55" s="7">
        <f>IF($X55="","",V55-T55)</f>
        <v/>
      </c>
      <c r="V55" s="7">
        <f>IF($X55="","",O55+R55+M55)</f>
        <v/>
      </c>
      <c r="W55" s="7">
        <f>IF($X55="","",V55-T55-I55)</f>
        <v/>
      </c>
      <c r="X55" s="13">
        <f>IF(ROWS($X$2:$X55)&lt;=MAX('Per Line'!$AL$2:$AL$3001),MATCH(ROWS($X$2:$X55),'Per Line'!$AL$2:$AL$3001,0),"")</f>
        <v/>
      </c>
    </row>
    <row r="56">
      <c r="A56" s="12" t="n"/>
      <c r="B56">
        <f>IF($X56="","",INDEX('Per Line'!$D$2:$D$3001,$X56)&amp;"")</f>
        <v/>
      </c>
      <c r="C56" s="11">
        <f>IF($X56="","",INDEX('Per Line'!$F$2:$F$3001,$X56))</f>
        <v/>
      </c>
      <c r="D56">
        <f>IF($X56="","",INDEX('Per Line'!$G$2:$G$3001,$X56)&amp;"")</f>
        <v/>
      </c>
      <c r="E56">
        <f>IF($X56="","",INDEX('Per Line'!$I$2:$I$3001,$X56)&amp;"")</f>
        <v/>
      </c>
      <c r="F56">
        <f>IF($X56="","",INDEX('Per Line'!$J$2:$J$3001,$X56)&amp;"")</f>
        <v/>
      </c>
      <c r="G56">
        <f>IF($X56="","",INDEX('Per Line'!$K$2:$K$3001,$X56)&amp;"")</f>
        <v/>
      </c>
      <c r="H56">
        <f>IF($X56="","",INDEX('Per Line'!$M$2:$M$3001,$X56))</f>
        <v/>
      </c>
      <c r="I56" s="7">
        <f>IF($X56="","",H56*V56/100)</f>
        <v/>
      </c>
      <c r="J56">
        <f>IF($X56="","",INDEX('Per Line'!$W$2:$W$3001,$X56)&amp;"")</f>
        <v/>
      </c>
      <c r="K56">
        <f>IF($X56="","",INDEX('Per Line'!$AD$2:$AD$3001,$X56))</f>
        <v/>
      </c>
      <c r="L56">
        <f>IF($X56="","",IF(AND(ISNUMBER(K56),K56&gt;0),V56&gt;K56,FALSE))</f>
        <v/>
      </c>
      <c r="M56" s="7">
        <f>IF($X56="","",SUMIFS('Per Line'!$V$2:$V$3001,'Per Line'!$D$2:$D$3001,$B56,'Per Line'!$AN$2:$AN$3001,1))</f>
        <v/>
      </c>
      <c r="N56">
        <f>IF($X56="","",Settings!$C$7)</f>
        <v/>
      </c>
      <c r="O56" s="7">
        <f>IF($X56="","",SUMIFS('Per Line'!$V$2:$V$3001,'Per Line'!$D$2:$D$3001,$B56,'Per Line'!$AM$2:$AM$3001,0,'Per Line'!$AN$2:$AN$3001,0))</f>
        <v/>
      </c>
      <c r="P56" s="7">
        <f>IF($X56="","",O56*N56)</f>
        <v/>
      </c>
      <c r="Q56">
        <f>IF($X56="","",Settings!$C$6)</f>
        <v/>
      </c>
      <c r="R56" s="7">
        <f>IF($X56="","",SUMIFS('Per Line'!$V$2:$V$3001,'Per Line'!$D$2:$D$3001,$B56,'Per Line'!$AM$2:$AM$3001,1,'Per Line'!$AN$2:$AN$3001,0))</f>
        <v/>
      </c>
      <c r="S56" s="7">
        <f>IF($X56="","",R56*Q56)</f>
        <v/>
      </c>
      <c r="T56" s="7">
        <f>IF($X56="","",S56+P56)</f>
        <v/>
      </c>
      <c r="U56" s="7">
        <f>IF($X56="","",V56-T56)</f>
        <v/>
      </c>
      <c r="V56" s="7">
        <f>IF($X56="","",O56+R56+M56)</f>
        <v/>
      </c>
      <c r="W56" s="7">
        <f>IF($X56="","",V56-T56-I56)</f>
        <v/>
      </c>
      <c r="X56" s="13">
        <f>IF(ROWS($X$2:$X56)&lt;=MAX('Per Line'!$AL$2:$AL$3001),MATCH(ROWS($X$2:$X56),'Per Line'!$AL$2:$AL$3001,0),"")</f>
        <v/>
      </c>
    </row>
    <row r="57">
      <c r="A57" s="12" t="n"/>
      <c r="B57">
        <f>IF($X57="","",INDEX('Per Line'!$D$2:$D$3001,$X57)&amp;"")</f>
        <v/>
      </c>
      <c r="C57" s="11">
        <f>IF($X57="","",INDEX('Per Line'!$F$2:$F$3001,$X57))</f>
        <v/>
      </c>
      <c r="D57">
        <f>IF($X57="","",INDEX('Per Line'!$G$2:$G$3001,$X57)&amp;"")</f>
        <v/>
      </c>
      <c r="E57">
        <f>IF($X57="","",INDEX('Per Line'!$I$2:$I$3001,$X57)&amp;"")</f>
        <v/>
      </c>
      <c r="F57">
        <f>IF($X57="","",INDEX('Per Line'!$J$2:$J$3001,$X57)&amp;"")</f>
        <v/>
      </c>
      <c r="G57">
        <f>IF($X57="","",INDEX('Per Line'!$K$2:$K$3001,$X57)&amp;"")</f>
        <v/>
      </c>
      <c r="H57">
        <f>IF($X57="","",INDEX('Per Line'!$M$2:$M$3001,$X57))</f>
        <v/>
      </c>
      <c r="I57" s="7">
        <f>IF($X57="","",H57*V57/100)</f>
        <v/>
      </c>
      <c r="J57">
        <f>IF($X57="","",INDEX('Per Line'!$W$2:$W$3001,$X57)&amp;"")</f>
        <v/>
      </c>
      <c r="K57">
        <f>IF($X57="","",INDEX('Per Line'!$AD$2:$AD$3001,$X57))</f>
        <v/>
      </c>
      <c r="L57">
        <f>IF($X57="","",IF(AND(ISNUMBER(K57),K57&gt;0),V57&gt;K57,FALSE))</f>
        <v/>
      </c>
      <c r="M57" s="7">
        <f>IF($X57="","",SUMIFS('Per Line'!$V$2:$V$3001,'Per Line'!$D$2:$D$3001,$B57,'Per Line'!$AN$2:$AN$3001,1))</f>
        <v/>
      </c>
      <c r="N57">
        <f>IF($X57="","",Settings!$C$7)</f>
        <v/>
      </c>
      <c r="O57" s="7">
        <f>IF($X57="","",SUMIFS('Per Line'!$V$2:$V$3001,'Per Line'!$D$2:$D$3001,$B57,'Per Line'!$AM$2:$AM$3001,0,'Per Line'!$AN$2:$AN$3001,0))</f>
        <v/>
      </c>
      <c r="P57" s="7">
        <f>IF($X57="","",O57*N57)</f>
        <v/>
      </c>
      <c r="Q57">
        <f>IF($X57="","",Settings!$C$6)</f>
        <v/>
      </c>
      <c r="R57" s="7">
        <f>IF($X57="","",SUMIFS('Per Line'!$V$2:$V$3001,'Per Line'!$D$2:$D$3001,$B57,'Per Line'!$AM$2:$AM$3001,1,'Per Line'!$AN$2:$AN$3001,0))</f>
        <v/>
      </c>
      <c r="S57" s="7">
        <f>IF($X57="","",R57*Q57)</f>
        <v/>
      </c>
      <c r="T57" s="7">
        <f>IF($X57="","",S57+P57)</f>
        <v/>
      </c>
      <c r="U57" s="7">
        <f>IF($X57="","",V57-T57)</f>
        <v/>
      </c>
      <c r="V57" s="7">
        <f>IF($X57="","",O57+R57+M57)</f>
        <v/>
      </c>
      <c r="W57" s="7">
        <f>IF($X57="","",V57-T57-I57)</f>
        <v/>
      </c>
      <c r="X57" s="13">
        <f>IF(ROWS($X$2:$X57)&lt;=MAX('Per Line'!$AL$2:$AL$3001),MATCH(ROWS($X$2:$X57),'Per Line'!$AL$2:$AL$3001,0),"")</f>
        <v/>
      </c>
    </row>
    <row r="58">
      <c r="A58" s="12" t="n"/>
      <c r="B58">
        <f>IF($X58="","",INDEX('Per Line'!$D$2:$D$3001,$X58)&amp;"")</f>
        <v/>
      </c>
      <c r="C58" s="11">
        <f>IF($X58="","",INDEX('Per Line'!$F$2:$F$3001,$X58))</f>
        <v/>
      </c>
      <c r="D58">
        <f>IF($X58="","",INDEX('Per Line'!$G$2:$G$3001,$X58)&amp;"")</f>
        <v/>
      </c>
      <c r="E58">
        <f>IF($X58="","",INDEX('Per Line'!$I$2:$I$3001,$X58)&amp;"")</f>
        <v/>
      </c>
      <c r="F58">
        <f>IF($X58="","",INDEX('Per Line'!$J$2:$J$3001,$X58)&amp;"")</f>
        <v/>
      </c>
      <c r="G58">
        <f>IF($X58="","",INDEX('Per Line'!$K$2:$K$3001,$X58)&amp;"")</f>
        <v/>
      </c>
      <c r="H58">
        <f>IF($X58="","",INDEX('Per Line'!$M$2:$M$3001,$X58))</f>
        <v/>
      </c>
      <c r="I58" s="7">
        <f>IF($X58="","",H58*V58/100)</f>
        <v/>
      </c>
      <c r="J58">
        <f>IF($X58="","",INDEX('Per Line'!$W$2:$W$3001,$X58)&amp;"")</f>
        <v/>
      </c>
      <c r="K58">
        <f>IF($X58="","",INDEX('Per Line'!$AD$2:$AD$3001,$X58))</f>
        <v/>
      </c>
      <c r="L58">
        <f>IF($X58="","",IF(AND(ISNUMBER(K58),K58&gt;0),V58&gt;K58,FALSE))</f>
        <v/>
      </c>
      <c r="M58" s="7">
        <f>IF($X58="","",SUMIFS('Per Line'!$V$2:$V$3001,'Per Line'!$D$2:$D$3001,$B58,'Per Line'!$AN$2:$AN$3001,1))</f>
        <v/>
      </c>
      <c r="N58">
        <f>IF($X58="","",Settings!$C$7)</f>
        <v/>
      </c>
      <c r="O58" s="7">
        <f>IF($X58="","",SUMIFS('Per Line'!$V$2:$V$3001,'Per Line'!$D$2:$D$3001,$B58,'Per Line'!$AM$2:$AM$3001,0,'Per Line'!$AN$2:$AN$3001,0))</f>
        <v/>
      </c>
      <c r="P58" s="7">
        <f>IF($X58="","",O58*N58)</f>
        <v/>
      </c>
      <c r="Q58">
        <f>IF($X58="","",Settings!$C$6)</f>
        <v/>
      </c>
      <c r="R58" s="7">
        <f>IF($X58="","",SUMIFS('Per Line'!$V$2:$V$3001,'Per Line'!$D$2:$D$3001,$B58,'Per Line'!$AM$2:$AM$3001,1,'Per Line'!$AN$2:$AN$3001,0))</f>
        <v/>
      </c>
      <c r="S58" s="7">
        <f>IF($X58="","",R58*Q58)</f>
        <v/>
      </c>
      <c r="T58" s="7">
        <f>IF($X58="","",S58+P58)</f>
        <v/>
      </c>
      <c r="U58" s="7">
        <f>IF($X58="","",V58-T58)</f>
        <v/>
      </c>
      <c r="V58" s="7">
        <f>IF($X58="","",O58+R58+M58)</f>
        <v/>
      </c>
      <c r="W58" s="7">
        <f>IF($X58="","",V58-T58-I58)</f>
        <v/>
      </c>
      <c r="X58" s="13">
        <f>IF(ROWS($X$2:$X58)&lt;=MAX('Per Line'!$AL$2:$AL$3001),MATCH(ROWS($X$2:$X58),'Per Line'!$AL$2:$AL$3001,0),"")</f>
        <v/>
      </c>
    </row>
    <row r="59">
      <c r="A59" s="12" t="n"/>
      <c r="B59">
        <f>IF($X59="","",INDEX('Per Line'!$D$2:$D$3001,$X59)&amp;"")</f>
        <v/>
      </c>
      <c r="C59" s="11">
        <f>IF($X59="","",INDEX('Per Line'!$F$2:$F$3001,$X59))</f>
        <v/>
      </c>
      <c r="D59">
        <f>IF($X59="","",INDEX('Per Line'!$G$2:$G$3001,$X59)&amp;"")</f>
        <v/>
      </c>
      <c r="E59">
        <f>IF($X59="","",INDEX('Per Line'!$I$2:$I$3001,$X59)&amp;"")</f>
        <v/>
      </c>
      <c r="F59">
        <f>IF($X59="","",INDEX('Per Line'!$J$2:$J$3001,$X59)&amp;"")</f>
        <v/>
      </c>
      <c r="G59">
        <f>IF($X59="","",INDEX('Per Line'!$K$2:$K$3001,$X59)&amp;"")</f>
        <v/>
      </c>
      <c r="H59">
        <f>IF($X59="","",INDEX('Per Line'!$M$2:$M$3001,$X59))</f>
        <v/>
      </c>
      <c r="I59" s="7">
        <f>IF($X59="","",H59*V59/100)</f>
        <v/>
      </c>
      <c r="J59">
        <f>IF($X59="","",INDEX('Per Line'!$W$2:$W$3001,$X59)&amp;"")</f>
        <v/>
      </c>
      <c r="K59">
        <f>IF($X59="","",INDEX('Per Line'!$AD$2:$AD$3001,$X59))</f>
        <v/>
      </c>
      <c r="L59">
        <f>IF($X59="","",IF(AND(ISNUMBER(K59),K59&gt;0),V59&gt;K59,FALSE))</f>
        <v/>
      </c>
      <c r="M59" s="7">
        <f>IF($X59="","",SUMIFS('Per Line'!$V$2:$V$3001,'Per Line'!$D$2:$D$3001,$B59,'Per Line'!$AN$2:$AN$3001,1))</f>
        <v/>
      </c>
      <c r="N59">
        <f>IF($X59="","",Settings!$C$7)</f>
        <v/>
      </c>
      <c r="O59" s="7">
        <f>IF($X59="","",SUMIFS('Per Line'!$V$2:$V$3001,'Per Line'!$D$2:$D$3001,$B59,'Per Line'!$AM$2:$AM$3001,0,'Per Line'!$AN$2:$AN$3001,0))</f>
        <v/>
      </c>
      <c r="P59" s="7">
        <f>IF($X59="","",O59*N59)</f>
        <v/>
      </c>
      <c r="Q59">
        <f>IF($X59="","",Settings!$C$6)</f>
        <v/>
      </c>
      <c r="R59" s="7">
        <f>IF($X59="","",SUMIFS('Per Line'!$V$2:$V$3001,'Per Line'!$D$2:$D$3001,$B59,'Per Line'!$AM$2:$AM$3001,1,'Per Line'!$AN$2:$AN$3001,0))</f>
        <v/>
      </c>
      <c r="S59" s="7">
        <f>IF($X59="","",R59*Q59)</f>
        <v/>
      </c>
      <c r="T59" s="7">
        <f>IF($X59="","",S59+P59)</f>
        <v/>
      </c>
      <c r="U59" s="7">
        <f>IF($X59="","",V59-T59)</f>
        <v/>
      </c>
      <c r="V59" s="7">
        <f>IF($X59="","",O59+R59+M59)</f>
        <v/>
      </c>
      <c r="W59" s="7">
        <f>IF($X59="","",V59-T59-I59)</f>
        <v/>
      </c>
      <c r="X59" s="13">
        <f>IF(ROWS($X$2:$X59)&lt;=MAX('Per Line'!$AL$2:$AL$3001),MATCH(ROWS($X$2:$X59),'Per Line'!$AL$2:$AL$3001,0),"")</f>
        <v/>
      </c>
    </row>
    <row r="60">
      <c r="A60" s="12" t="n"/>
      <c r="B60">
        <f>IF($X60="","",INDEX('Per Line'!$D$2:$D$3001,$X60)&amp;"")</f>
        <v/>
      </c>
      <c r="C60" s="11">
        <f>IF($X60="","",INDEX('Per Line'!$F$2:$F$3001,$X60))</f>
        <v/>
      </c>
      <c r="D60">
        <f>IF($X60="","",INDEX('Per Line'!$G$2:$G$3001,$X60)&amp;"")</f>
        <v/>
      </c>
      <c r="E60">
        <f>IF($X60="","",INDEX('Per Line'!$I$2:$I$3001,$X60)&amp;"")</f>
        <v/>
      </c>
      <c r="F60">
        <f>IF($X60="","",INDEX('Per Line'!$J$2:$J$3001,$X60)&amp;"")</f>
        <v/>
      </c>
      <c r="G60">
        <f>IF($X60="","",INDEX('Per Line'!$K$2:$K$3001,$X60)&amp;"")</f>
        <v/>
      </c>
      <c r="H60">
        <f>IF($X60="","",INDEX('Per Line'!$M$2:$M$3001,$X60))</f>
        <v/>
      </c>
      <c r="I60" s="7">
        <f>IF($X60="","",H60*V60/100)</f>
        <v/>
      </c>
      <c r="J60">
        <f>IF($X60="","",INDEX('Per Line'!$W$2:$W$3001,$X60)&amp;"")</f>
        <v/>
      </c>
      <c r="K60">
        <f>IF($X60="","",INDEX('Per Line'!$AD$2:$AD$3001,$X60))</f>
        <v/>
      </c>
      <c r="L60">
        <f>IF($X60="","",IF(AND(ISNUMBER(K60),K60&gt;0),V60&gt;K60,FALSE))</f>
        <v/>
      </c>
      <c r="M60" s="7">
        <f>IF($X60="","",SUMIFS('Per Line'!$V$2:$V$3001,'Per Line'!$D$2:$D$3001,$B60,'Per Line'!$AN$2:$AN$3001,1))</f>
        <v/>
      </c>
      <c r="N60">
        <f>IF($X60="","",Settings!$C$7)</f>
        <v/>
      </c>
      <c r="O60" s="7">
        <f>IF($X60="","",SUMIFS('Per Line'!$V$2:$V$3001,'Per Line'!$D$2:$D$3001,$B60,'Per Line'!$AM$2:$AM$3001,0,'Per Line'!$AN$2:$AN$3001,0))</f>
        <v/>
      </c>
      <c r="P60" s="7">
        <f>IF($X60="","",O60*N60)</f>
        <v/>
      </c>
      <c r="Q60">
        <f>IF($X60="","",Settings!$C$6)</f>
        <v/>
      </c>
      <c r="R60" s="7">
        <f>IF($X60="","",SUMIFS('Per Line'!$V$2:$V$3001,'Per Line'!$D$2:$D$3001,$B60,'Per Line'!$AM$2:$AM$3001,1,'Per Line'!$AN$2:$AN$3001,0))</f>
        <v/>
      </c>
      <c r="S60" s="7">
        <f>IF($X60="","",R60*Q60)</f>
        <v/>
      </c>
      <c r="T60" s="7">
        <f>IF($X60="","",S60+P60)</f>
        <v/>
      </c>
      <c r="U60" s="7">
        <f>IF($X60="","",V60-T60)</f>
        <v/>
      </c>
      <c r="V60" s="7">
        <f>IF($X60="","",O60+R60+M60)</f>
        <v/>
      </c>
      <c r="W60" s="7">
        <f>IF($X60="","",V60-T60-I60)</f>
        <v/>
      </c>
      <c r="X60" s="13">
        <f>IF(ROWS($X$2:$X60)&lt;=MAX('Per Line'!$AL$2:$AL$3001),MATCH(ROWS($X$2:$X60),'Per Line'!$AL$2:$AL$3001,0),"")</f>
        <v/>
      </c>
    </row>
    <row r="61">
      <c r="A61" s="12" t="n"/>
      <c r="B61">
        <f>IF($X61="","",INDEX('Per Line'!$D$2:$D$3001,$X61)&amp;"")</f>
        <v/>
      </c>
      <c r="C61" s="11">
        <f>IF($X61="","",INDEX('Per Line'!$F$2:$F$3001,$X61))</f>
        <v/>
      </c>
      <c r="D61">
        <f>IF($X61="","",INDEX('Per Line'!$G$2:$G$3001,$X61)&amp;"")</f>
        <v/>
      </c>
      <c r="E61">
        <f>IF($X61="","",INDEX('Per Line'!$I$2:$I$3001,$X61)&amp;"")</f>
        <v/>
      </c>
      <c r="F61">
        <f>IF($X61="","",INDEX('Per Line'!$J$2:$J$3001,$X61)&amp;"")</f>
        <v/>
      </c>
      <c r="G61">
        <f>IF($X61="","",INDEX('Per Line'!$K$2:$K$3001,$X61)&amp;"")</f>
        <v/>
      </c>
      <c r="H61">
        <f>IF($X61="","",INDEX('Per Line'!$M$2:$M$3001,$X61))</f>
        <v/>
      </c>
      <c r="I61" s="7">
        <f>IF($X61="","",H61*V61/100)</f>
        <v/>
      </c>
      <c r="J61">
        <f>IF($X61="","",INDEX('Per Line'!$W$2:$W$3001,$X61)&amp;"")</f>
        <v/>
      </c>
      <c r="K61">
        <f>IF($X61="","",INDEX('Per Line'!$AD$2:$AD$3001,$X61))</f>
        <v/>
      </c>
      <c r="L61">
        <f>IF($X61="","",IF(AND(ISNUMBER(K61),K61&gt;0),V61&gt;K61,FALSE))</f>
        <v/>
      </c>
      <c r="M61" s="7">
        <f>IF($X61="","",SUMIFS('Per Line'!$V$2:$V$3001,'Per Line'!$D$2:$D$3001,$B61,'Per Line'!$AN$2:$AN$3001,1))</f>
        <v/>
      </c>
      <c r="N61">
        <f>IF($X61="","",Settings!$C$7)</f>
        <v/>
      </c>
      <c r="O61" s="7">
        <f>IF($X61="","",SUMIFS('Per Line'!$V$2:$V$3001,'Per Line'!$D$2:$D$3001,$B61,'Per Line'!$AM$2:$AM$3001,0,'Per Line'!$AN$2:$AN$3001,0))</f>
        <v/>
      </c>
      <c r="P61" s="7">
        <f>IF($X61="","",O61*N61)</f>
        <v/>
      </c>
      <c r="Q61">
        <f>IF($X61="","",Settings!$C$6)</f>
        <v/>
      </c>
      <c r="R61" s="7">
        <f>IF($X61="","",SUMIFS('Per Line'!$V$2:$V$3001,'Per Line'!$D$2:$D$3001,$B61,'Per Line'!$AM$2:$AM$3001,1,'Per Line'!$AN$2:$AN$3001,0))</f>
        <v/>
      </c>
      <c r="S61" s="7">
        <f>IF($X61="","",R61*Q61)</f>
        <v/>
      </c>
      <c r="T61" s="7">
        <f>IF($X61="","",S61+P61)</f>
        <v/>
      </c>
      <c r="U61" s="7">
        <f>IF($X61="","",V61-T61)</f>
        <v/>
      </c>
      <c r="V61" s="7">
        <f>IF($X61="","",O61+R61+M61)</f>
        <v/>
      </c>
      <c r="W61" s="7">
        <f>IF($X61="","",V61-T61-I61)</f>
        <v/>
      </c>
      <c r="X61" s="13">
        <f>IF(ROWS($X$2:$X61)&lt;=MAX('Per Line'!$AL$2:$AL$3001),MATCH(ROWS($X$2:$X61),'Per Line'!$AL$2:$AL$3001,0),"")</f>
        <v/>
      </c>
    </row>
    <row r="62">
      <c r="A62" s="12" t="n"/>
      <c r="B62">
        <f>IF($X62="","",INDEX('Per Line'!$D$2:$D$3001,$X62)&amp;"")</f>
        <v/>
      </c>
      <c r="C62" s="11">
        <f>IF($X62="","",INDEX('Per Line'!$F$2:$F$3001,$X62))</f>
        <v/>
      </c>
      <c r="D62">
        <f>IF($X62="","",INDEX('Per Line'!$G$2:$G$3001,$X62)&amp;"")</f>
        <v/>
      </c>
      <c r="E62">
        <f>IF($X62="","",INDEX('Per Line'!$I$2:$I$3001,$X62)&amp;"")</f>
        <v/>
      </c>
      <c r="F62">
        <f>IF($X62="","",INDEX('Per Line'!$J$2:$J$3001,$X62)&amp;"")</f>
        <v/>
      </c>
      <c r="G62">
        <f>IF($X62="","",INDEX('Per Line'!$K$2:$K$3001,$X62)&amp;"")</f>
        <v/>
      </c>
      <c r="H62">
        <f>IF($X62="","",INDEX('Per Line'!$M$2:$M$3001,$X62))</f>
        <v/>
      </c>
      <c r="I62" s="7">
        <f>IF($X62="","",H62*V62/100)</f>
        <v/>
      </c>
      <c r="J62">
        <f>IF($X62="","",INDEX('Per Line'!$W$2:$W$3001,$X62)&amp;"")</f>
        <v/>
      </c>
      <c r="K62">
        <f>IF($X62="","",INDEX('Per Line'!$AD$2:$AD$3001,$X62))</f>
        <v/>
      </c>
      <c r="L62">
        <f>IF($X62="","",IF(AND(ISNUMBER(K62),K62&gt;0),V62&gt;K62,FALSE))</f>
        <v/>
      </c>
      <c r="M62" s="7">
        <f>IF($X62="","",SUMIFS('Per Line'!$V$2:$V$3001,'Per Line'!$D$2:$D$3001,$B62,'Per Line'!$AN$2:$AN$3001,1))</f>
        <v/>
      </c>
      <c r="N62">
        <f>IF($X62="","",Settings!$C$7)</f>
        <v/>
      </c>
      <c r="O62" s="7">
        <f>IF($X62="","",SUMIFS('Per Line'!$V$2:$V$3001,'Per Line'!$D$2:$D$3001,$B62,'Per Line'!$AM$2:$AM$3001,0,'Per Line'!$AN$2:$AN$3001,0))</f>
        <v/>
      </c>
      <c r="P62" s="7">
        <f>IF($X62="","",O62*N62)</f>
        <v/>
      </c>
      <c r="Q62">
        <f>IF($X62="","",Settings!$C$6)</f>
        <v/>
      </c>
      <c r="R62" s="7">
        <f>IF($X62="","",SUMIFS('Per Line'!$V$2:$V$3001,'Per Line'!$D$2:$D$3001,$B62,'Per Line'!$AM$2:$AM$3001,1,'Per Line'!$AN$2:$AN$3001,0))</f>
        <v/>
      </c>
      <c r="S62" s="7">
        <f>IF($X62="","",R62*Q62)</f>
        <v/>
      </c>
      <c r="T62" s="7">
        <f>IF($X62="","",S62+P62)</f>
        <v/>
      </c>
      <c r="U62" s="7">
        <f>IF($X62="","",V62-T62)</f>
        <v/>
      </c>
      <c r="V62" s="7">
        <f>IF($X62="","",O62+R62+M62)</f>
        <v/>
      </c>
      <c r="W62" s="7">
        <f>IF($X62="","",V62-T62-I62)</f>
        <v/>
      </c>
      <c r="X62" s="13">
        <f>IF(ROWS($X$2:$X62)&lt;=MAX('Per Line'!$AL$2:$AL$3001),MATCH(ROWS($X$2:$X62),'Per Line'!$AL$2:$AL$3001,0),"")</f>
        <v/>
      </c>
    </row>
    <row r="63">
      <c r="A63" s="12" t="n"/>
      <c r="B63">
        <f>IF($X63="","",INDEX('Per Line'!$D$2:$D$3001,$X63)&amp;"")</f>
        <v/>
      </c>
      <c r="C63" s="11">
        <f>IF($X63="","",INDEX('Per Line'!$F$2:$F$3001,$X63))</f>
        <v/>
      </c>
      <c r="D63">
        <f>IF($X63="","",INDEX('Per Line'!$G$2:$G$3001,$X63)&amp;"")</f>
        <v/>
      </c>
      <c r="E63">
        <f>IF($X63="","",INDEX('Per Line'!$I$2:$I$3001,$X63)&amp;"")</f>
        <v/>
      </c>
      <c r="F63">
        <f>IF($X63="","",INDEX('Per Line'!$J$2:$J$3001,$X63)&amp;"")</f>
        <v/>
      </c>
      <c r="G63">
        <f>IF($X63="","",INDEX('Per Line'!$K$2:$K$3001,$X63)&amp;"")</f>
        <v/>
      </c>
      <c r="H63">
        <f>IF($X63="","",INDEX('Per Line'!$M$2:$M$3001,$X63))</f>
        <v/>
      </c>
      <c r="I63" s="7">
        <f>IF($X63="","",H63*V63/100)</f>
        <v/>
      </c>
      <c r="J63">
        <f>IF($X63="","",INDEX('Per Line'!$W$2:$W$3001,$X63)&amp;"")</f>
        <v/>
      </c>
      <c r="K63">
        <f>IF($X63="","",INDEX('Per Line'!$AD$2:$AD$3001,$X63))</f>
        <v/>
      </c>
      <c r="L63">
        <f>IF($X63="","",IF(AND(ISNUMBER(K63),K63&gt;0),V63&gt;K63,FALSE))</f>
        <v/>
      </c>
      <c r="M63" s="7">
        <f>IF($X63="","",SUMIFS('Per Line'!$V$2:$V$3001,'Per Line'!$D$2:$D$3001,$B63,'Per Line'!$AN$2:$AN$3001,1))</f>
        <v/>
      </c>
      <c r="N63">
        <f>IF($X63="","",Settings!$C$7)</f>
        <v/>
      </c>
      <c r="O63" s="7">
        <f>IF($X63="","",SUMIFS('Per Line'!$V$2:$V$3001,'Per Line'!$D$2:$D$3001,$B63,'Per Line'!$AM$2:$AM$3001,0,'Per Line'!$AN$2:$AN$3001,0))</f>
        <v/>
      </c>
      <c r="P63" s="7">
        <f>IF($X63="","",O63*N63)</f>
        <v/>
      </c>
      <c r="Q63">
        <f>IF($X63="","",Settings!$C$6)</f>
        <v/>
      </c>
      <c r="R63" s="7">
        <f>IF($X63="","",SUMIFS('Per Line'!$V$2:$V$3001,'Per Line'!$D$2:$D$3001,$B63,'Per Line'!$AM$2:$AM$3001,1,'Per Line'!$AN$2:$AN$3001,0))</f>
        <v/>
      </c>
      <c r="S63" s="7">
        <f>IF($X63="","",R63*Q63)</f>
        <v/>
      </c>
      <c r="T63" s="7">
        <f>IF($X63="","",S63+P63)</f>
        <v/>
      </c>
      <c r="U63" s="7">
        <f>IF($X63="","",V63-T63)</f>
        <v/>
      </c>
      <c r="V63" s="7">
        <f>IF($X63="","",O63+R63+M63)</f>
        <v/>
      </c>
      <c r="W63" s="7">
        <f>IF($X63="","",V63-T63-I63)</f>
        <v/>
      </c>
      <c r="X63" s="13">
        <f>IF(ROWS($X$2:$X63)&lt;=MAX('Per Line'!$AL$2:$AL$3001),MATCH(ROWS($X$2:$X63),'Per Line'!$AL$2:$AL$3001,0),"")</f>
        <v/>
      </c>
    </row>
    <row r="64">
      <c r="A64" s="12" t="n"/>
      <c r="B64">
        <f>IF($X64="","",INDEX('Per Line'!$D$2:$D$3001,$X64)&amp;"")</f>
        <v/>
      </c>
      <c r="C64" s="11">
        <f>IF($X64="","",INDEX('Per Line'!$F$2:$F$3001,$X64))</f>
        <v/>
      </c>
      <c r="D64">
        <f>IF($X64="","",INDEX('Per Line'!$G$2:$G$3001,$X64)&amp;"")</f>
        <v/>
      </c>
      <c r="E64">
        <f>IF($X64="","",INDEX('Per Line'!$I$2:$I$3001,$X64)&amp;"")</f>
        <v/>
      </c>
      <c r="F64">
        <f>IF($X64="","",INDEX('Per Line'!$J$2:$J$3001,$X64)&amp;"")</f>
        <v/>
      </c>
      <c r="G64">
        <f>IF($X64="","",INDEX('Per Line'!$K$2:$K$3001,$X64)&amp;"")</f>
        <v/>
      </c>
      <c r="H64">
        <f>IF($X64="","",INDEX('Per Line'!$M$2:$M$3001,$X64))</f>
        <v/>
      </c>
      <c r="I64" s="7">
        <f>IF($X64="","",H64*V64/100)</f>
        <v/>
      </c>
      <c r="J64">
        <f>IF($X64="","",INDEX('Per Line'!$W$2:$W$3001,$X64)&amp;"")</f>
        <v/>
      </c>
      <c r="K64">
        <f>IF($X64="","",INDEX('Per Line'!$AD$2:$AD$3001,$X64))</f>
        <v/>
      </c>
      <c r="L64">
        <f>IF($X64="","",IF(AND(ISNUMBER(K64),K64&gt;0),V64&gt;K64,FALSE))</f>
        <v/>
      </c>
      <c r="M64" s="7">
        <f>IF($X64="","",SUMIFS('Per Line'!$V$2:$V$3001,'Per Line'!$D$2:$D$3001,$B64,'Per Line'!$AN$2:$AN$3001,1))</f>
        <v/>
      </c>
      <c r="N64">
        <f>IF($X64="","",Settings!$C$7)</f>
        <v/>
      </c>
      <c r="O64" s="7">
        <f>IF($X64="","",SUMIFS('Per Line'!$V$2:$V$3001,'Per Line'!$D$2:$D$3001,$B64,'Per Line'!$AM$2:$AM$3001,0,'Per Line'!$AN$2:$AN$3001,0))</f>
        <v/>
      </c>
      <c r="P64" s="7">
        <f>IF($X64="","",O64*N64)</f>
        <v/>
      </c>
      <c r="Q64">
        <f>IF($X64="","",Settings!$C$6)</f>
        <v/>
      </c>
      <c r="R64" s="7">
        <f>IF($X64="","",SUMIFS('Per Line'!$V$2:$V$3001,'Per Line'!$D$2:$D$3001,$B64,'Per Line'!$AM$2:$AM$3001,1,'Per Line'!$AN$2:$AN$3001,0))</f>
        <v/>
      </c>
      <c r="S64" s="7">
        <f>IF($X64="","",R64*Q64)</f>
        <v/>
      </c>
      <c r="T64" s="7">
        <f>IF($X64="","",S64+P64)</f>
        <v/>
      </c>
      <c r="U64" s="7">
        <f>IF($X64="","",V64-T64)</f>
        <v/>
      </c>
      <c r="V64" s="7">
        <f>IF($X64="","",O64+R64+M64)</f>
        <v/>
      </c>
      <c r="W64" s="7">
        <f>IF($X64="","",V64-T64-I64)</f>
        <v/>
      </c>
      <c r="X64" s="13">
        <f>IF(ROWS($X$2:$X64)&lt;=MAX('Per Line'!$AL$2:$AL$3001),MATCH(ROWS($X$2:$X64),'Per Line'!$AL$2:$AL$3001,0),"")</f>
        <v/>
      </c>
    </row>
    <row r="65">
      <c r="A65" s="12" t="n"/>
      <c r="B65">
        <f>IF($X65="","",INDEX('Per Line'!$D$2:$D$3001,$X65)&amp;"")</f>
        <v/>
      </c>
      <c r="C65" s="11">
        <f>IF($X65="","",INDEX('Per Line'!$F$2:$F$3001,$X65))</f>
        <v/>
      </c>
      <c r="D65">
        <f>IF($X65="","",INDEX('Per Line'!$G$2:$G$3001,$X65)&amp;"")</f>
        <v/>
      </c>
      <c r="E65">
        <f>IF($X65="","",INDEX('Per Line'!$I$2:$I$3001,$X65)&amp;"")</f>
        <v/>
      </c>
      <c r="F65">
        <f>IF($X65="","",INDEX('Per Line'!$J$2:$J$3001,$X65)&amp;"")</f>
        <v/>
      </c>
      <c r="G65">
        <f>IF($X65="","",INDEX('Per Line'!$K$2:$K$3001,$X65)&amp;"")</f>
        <v/>
      </c>
      <c r="H65">
        <f>IF($X65="","",INDEX('Per Line'!$M$2:$M$3001,$X65))</f>
        <v/>
      </c>
      <c r="I65" s="7">
        <f>IF($X65="","",H65*V65/100)</f>
        <v/>
      </c>
      <c r="J65">
        <f>IF($X65="","",INDEX('Per Line'!$W$2:$W$3001,$X65)&amp;"")</f>
        <v/>
      </c>
      <c r="K65">
        <f>IF($X65="","",INDEX('Per Line'!$AD$2:$AD$3001,$X65))</f>
        <v/>
      </c>
      <c r="L65">
        <f>IF($X65="","",IF(AND(ISNUMBER(K65),K65&gt;0),V65&gt;K65,FALSE))</f>
        <v/>
      </c>
      <c r="M65" s="7">
        <f>IF($X65="","",SUMIFS('Per Line'!$V$2:$V$3001,'Per Line'!$D$2:$D$3001,$B65,'Per Line'!$AN$2:$AN$3001,1))</f>
        <v/>
      </c>
      <c r="N65">
        <f>IF($X65="","",Settings!$C$7)</f>
        <v/>
      </c>
      <c r="O65" s="7">
        <f>IF($X65="","",SUMIFS('Per Line'!$V$2:$V$3001,'Per Line'!$D$2:$D$3001,$B65,'Per Line'!$AM$2:$AM$3001,0,'Per Line'!$AN$2:$AN$3001,0))</f>
        <v/>
      </c>
      <c r="P65" s="7">
        <f>IF($X65="","",O65*N65)</f>
        <v/>
      </c>
      <c r="Q65">
        <f>IF($X65="","",Settings!$C$6)</f>
        <v/>
      </c>
      <c r="R65" s="7">
        <f>IF($X65="","",SUMIFS('Per Line'!$V$2:$V$3001,'Per Line'!$D$2:$D$3001,$B65,'Per Line'!$AM$2:$AM$3001,1,'Per Line'!$AN$2:$AN$3001,0))</f>
        <v/>
      </c>
      <c r="S65" s="7">
        <f>IF($X65="","",R65*Q65)</f>
        <v/>
      </c>
      <c r="T65" s="7">
        <f>IF($X65="","",S65+P65)</f>
        <v/>
      </c>
      <c r="U65" s="7">
        <f>IF($X65="","",V65-T65)</f>
        <v/>
      </c>
      <c r="V65" s="7">
        <f>IF($X65="","",O65+R65+M65)</f>
        <v/>
      </c>
      <c r="W65" s="7">
        <f>IF($X65="","",V65-T65-I65)</f>
        <v/>
      </c>
      <c r="X65" s="13">
        <f>IF(ROWS($X$2:$X65)&lt;=MAX('Per Line'!$AL$2:$AL$3001),MATCH(ROWS($X$2:$X65),'Per Line'!$AL$2:$AL$3001,0),"")</f>
        <v/>
      </c>
    </row>
    <row r="66">
      <c r="A66" s="12" t="n"/>
      <c r="B66">
        <f>IF($X66="","",INDEX('Per Line'!$D$2:$D$3001,$X66)&amp;"")</f>
        <v/>
      </c>
      <c r="C66" s="11">
        <f>IF($X66="","",INDEX('Per Line'!$F$2:$F$3001,$X66))</f>
        <v/>
      </c>
      <c r="D66">
        <f>IF($X66="","",INDEX('Per Line'!$G$2:$G$3001,$X66)&amp;"")</f>
        <v/>
      </c>
      <c r="E66">
        <f>IF($X66="","",INDEX('Per Line'!$I$2:$I$3001,$X66)&amp;"")</f>
        <v/>
      </c>
      <c r="F66">
        <f>IF($X66="","",INDEX('Per Line'!$J$2:$J$3001,$X66)&amp;"")</f>
        <v/>
      </c>
      <c r="G66">
        <f>IF($X66="","",INDEX('Per Line'!$K$2:$K$3001,$X66)&amp;"")</f>
        <v/>
      </c>
      <c r="H66">
        <f>IF($X66="","",INDEX('Per Line'!$M$2:$M$3001,$X66))</f>
        <v/>
      </c>
      <c r="I66" s="7">
        <f>IF($X66="","",H66*V66/100)</f>
        <v/>
      </c>
      <c r="J66">
        <f>IF($X66="","",INDEX('Per Line'!$W$2:$W$3001,$X66)&amp;"")</f>
        <v/>
      </c>
      <c r="K66">
        <f>IF($X66="","",INDEX('Per Line'!$AD$2:$AD$3001,$X66))</f>
        <v/>
      </c>
      <c r="L66">
        <f>IF($X66="","",IF(AND(ISNUMBER(K66),K66&gt;0),V66&gt;K66,FALSE))</f>
        <v/>
      </c>
      <c r="M66" s="7">
        <f>IF($X66="","",SUMIFS('Per Line'!$V$2:$V$3001,'Per Line'!$D$2:$D$3001,$B66,'Per Line'!$AN$2:$AN$3001,1))</f>
        <v/>
      </c>
      <c r="N66">
        <f>IF($X66="","",Settings!$C$7)</f>
        <v/>
      </c>
      <c r="O66" s="7">
        <f>IF($X66="","",SUMIFS('Per Line'!$V$2:$V$3001,'Per Line'!$D$2:$D$3001,$B66,'Per Line'!$AM$2:$AM$3001,0,'Per Line'!$AN$2:$AN$3001,0))</f>
        <v/>
      </c>
      <c r="P66" s="7">
        <f>IF($X66="","",O66*N66)</f>
        <v/>
      </c>
      <c r="Q66">
        <f>IF($X66="","",Settings!$C$6)</f>
        <v/>
      </c>
      <c r="R66" s="7">
        <f>IF($X66="","",SUMIFS('Per Line'!$V$2:$V$3001,'Per Line'!$D$2:$D$3001,$B66,'Per Line'!$AM$2:$AM$3001,1,'Per Line'!$AN$2:$AN$3001,0))</f>
        <v/>
      </c>
      <c r="S66" s="7">
        <f>IF($X66="","",R66*Q66)</f>
        <v/>
      </c>
      <c r="T66" s="7">
        <f>IF($X66="","",S66+P66)</f>
        <v/>
      </c>
      <c r="U66" s="7">
        <f>IF($X66="","",V66-T66)</f>
        <v/>
      </c>
      <c r="V66" s="7">
        <f>IF($X66="","",O66+R66+M66)</f>
        <v/>
      </c>
      <c r="W66" s="7">
        <f>IF($X66="","",V66-T66-I66)</f>
        <v/>
      </c>
      <c r="X66" s="13">
        <f>IF(ROWS($X$2:$X66)&lt;=MAX('Per Line'!$AL$2:$AL$3001),MATCH(ROWS($X$2:$X66),'Per Line'!$AL$2:$AL$3001,0),"")</f>
        <v/>
      </c>
    </row>
    <row r="67">
      <c r="A67" s="12" t="n"/>
      <c r="B67">
        <f>IF($X67="","",INDEX('Per Line'!$D$2:$D$3001,$X67)&amp;"")</f>
        <v/>
      </c>
      <c r="C67" s="11">
        <f>IF($X67="","",INDEX('Per Line'!$F$2:$F$3001,$X67))</f>
        <v/>
      </c>
      <c r="D67">
        <f>IF($X67="","",INDEX('Per Line'!$G$2:$G$3001,$X67)&amp;"")</f>
        <v/>
      </c>
      <c r="E67">
        <f>IF($X67="","",INDEX('Per Line'!$I$2:$I$3001,$X67)&amp;"")</f>
        <v/>
      </c>
      <c r="F67">
        <f>IF($X67="","",INDEX('Per Line'!$J$2:$J$3001,$X67)&amp;"")</f>
        <v/>
      </c>
      <c r="G67">
        <f>IF($X67="","",INDEX('Per Line'!$K$2:$K$3001,$X67)&amp;"")</f>
        <v/>
      </c>
      <c r="H67">
        <f>IF($X67="","",INDEX('Per Line'!$M$2:$M$3001,$X67))</f>
        <v/>
      </c>
      <c r="I67" s="7">
        <f>IF($X67="","",H67*V67/100)</f>
        <v/>
      </c>
      <c r="J67">
        <f>IF($X67="","",INDEX('Per Line'!$W$2:$W$3001,$X67)&amp;"")</f>
        <v/>
      </c>
      <c r="K67">
        <f>IF($X67="","",INDEX('Per Line'!$AD$2:$AD$3001,$X67))</f>
        <v/>
      </c>
      <c r="L67">
        <f>IF($X67="","",IF(AND(ISNUMBER(K67),K67&gt;0),V67&gt;K67,FALSE))</f>
        <v/>
      </c>
      <c r="M67" s="7">
        <f>IF($X67="","",SUMIFS('Per Line'!$V$2:$V$3001,'Per Line'!$D$2:$D$3001,$B67,'Per Line'!$AN$2:$AN$3001,1))</f>
        <v/>
      </c>
      <c r="N67">
        <f>IF($X67="","",Settings!$C$7)</f>
        <v/>
      </c>
      <c r="O67" s="7">
        <f>IF($X67="","",SUMIFS('Per Line'!$V$2:$V$3001,'Per Line'!$D$2:$D$3001,$B67,'Per Line'!$AM$2:$AM$3001,0,'Per Line'!$AN$2:$AN$3001,0))</f>
        <v/>
      </c>
      <c r="P67" s="7">
        <f>IF($X67="","",O67*N67)</f>
        <v/>
      </c>
      <c r="Q67">
        <f>IF($X67="","",Settings!$C$6)</f>
        <v/>
      </c>
      <c r="R67" s="7">
        <f>IF($X67="","",SUMIFS('Per Line'!$V$2:$V$3001,'Per Line'!$D$2:$D$3001,$B67,'Per Line'!$AM$2:$AM$3001,1,'Per Line'!$AN$2:$AN$3001,0))</f>
        <v/>
      </c>
      <c r="S67" s="7">
        <f>IF($X67="","",R67*Q67)</f>
        <v/>
      </c>
      <c r="T67" s="7">
        <f>IF($X67="","",S67+P67)</f>
        <v/>
      </c>
      <c r="U67" s="7">
        <f>IF($X67="","",V67-T67)</f>
        <v/>
      </c>
      <c r="V67" s="7">
        <f>IF($X67="","",O67+R67+M67)</f>
        <v/>
      </c>
      <c r="W67" s="7">
        <f>IF($X67="","",V67-T67-I67)</f>
        <v/>
      </c>
      <c r="X67" s="13">
        <f>IF(ROWS($X$2:$X67)&lt;=MAX('Per Line'!$AL$2:$AL$3001),MATCH(ROWS($X$2:$X67),'Per Line'!$AL$2:$AL$3001,0),"")</f>
        <v/>
      </c>
    </row>
    <row r="68">
      <c r="A68" s="12" t="n"/>
      <c r="B68">
        <f>IF($X68="","",INDEX('Per Line'!$D$2:$D$3001,$X68)&amp;"")</f>
        <v/>
      </c>
      <c r="C68" s="11">
        <f>IF($X68="","",INDEX('Per Line'!$F$2:$F$3001,$X68))</f>
        <v/>
      </c>
      <c r="D68">
        <f>IF($X68="","",INDEX('Per Line'!$G$2:$G$3001,$X68)&amp;"")</f>
        <v/>
      </c>
      <c r="E68">
        <f>IF($X68="","",INDEX('Per Line'!$I$2:$I$3001,$X68)&amp;"")</f>
        <v/>
      </c>
      <c r="F68">
        <f>IF($X68="","",INDEX('Per Line'!$J$2:$J$3001,$X68)&amp;"")</f>
        <v/>
      </c>
      <c r="G68">
        <f>IF($X68="","",INDEX('Per Line'!$K$2:$K$3001,$X68)&amp;"")</f>
        <v/>
      </c>
      <c r="H68">
        <f>IF($X68="","",INDEX('Per Line'!$M$2:$M$3001,$X68))</f>
        <v/>
      </c>
      <c r="I68" s="7">
        <f>IF($X68="","",H68*V68/100)</f>
        <v/>
      </c>
      <c r="J68">
        <f>IF($X68="","",INDEX('Per Line'!$W$2:$W$3001,$X68)&amp;"")</f>
        <v/>
      </c>
      <c r="K68">
        <f>IF($X68="","",INDEX('Per Line'!$AD$2:$AD$3001,$X68))</f>
        <v/>
      </c>
      <c r="L68">
        <f>IF($X68="","",IF(AND(ISNUMBER(K68),K68&gt;0),V68&gt;K68,FALSE))</f>
        <v/>
      </c>
      <c r="M68" s="7">
        <f>IF($X68="","",SUMIFS('Per Line'!$V$2:$V$3001,'Per Line'!$D$2:$D$3001,$B68,'Per Line'!$AN$2:$AN$3001,1))</f>
        <v/>
      </c>
      <c r="N68">
        <f>IF($X68="","",Settings!$C$7)</f>
        <v/>
      </c>
      <c r="O68" s="7">
        <f>IF($X68="","",SUMIFS('Per Line'!$V$2:$V$3001,'Per Line'!$D$2:$D$3001,$B68,'Per Line'!$AM$2:$AM$3001,0,'Per Line'!$AN$2:$AN$3001,0))</f>
        <v/>
      </c>
      <c r="P68" s="7">
        <f>IF($X68="","",O68*N68)</f>
        <v/>
      </c>
      <c r="Q68">
        <f>IF($X68="","",Settings!$C$6)</f>
        <v/>
      </c>
      <c r="R68" s="7">
        <f>IF($X68="","",SUMIFS('Per Line'!$V$2:$V$3001,'Per Line'!$D$2:$D$3001,$B68,'Per Line'!$AM$2:$AM$3001,1,'Per Line'!$AN$2:$AN$3001,0))</f>
        <v/>
      </c>
      <c r="S68" s="7">
        <f>IF($X68="","",R68*Q68)</f>
        <v/>
      </c>
      <c r="T68" s="7">
        <f>IF($X68="","",S68+P68)</f>
        <v/>
      </c>
      <c r="U68" s="7">
        <f>IF($X68="","",V68-T68)</f>
        <v/>
      </c>
      <c r="V68" s="7">
        <f>IF($X68="","",O68+R68+M68)</f>
        <v/>
      </c>
      <c r="W68" s="7">
        <f>IF($X68="","",V68-T68-I68)</f>
        <v/>
      </c>
      <c r="X68" s="13">
        <f>IF(ROWS($X$2:$X68)&lt;=MAX('Per Line'!$AL$2:$AL$3001),MATCH(ROWS($X$2:$X68),'Per Line'!$AL$2:$AL$3001,0),"")</f>
        <v/>
      </c>
    </row>
    <row r="69">
      <c r="A69" s="12" t="n"/>
      <c r="B69">
        <f>IF($X69="","",INDEX('Per Line'!$D$2:$D$3001,$X69)&amp;"")</f>
        <v/>
      </c>
      <c r="C69" s="11">
        <f>IF($X69="","",INDEX('Per Line'!$F$2:$F$3001,$X69))</f>
        <v/>
      </c>
      <c r="D69">
        <f>IF($X69="","",INDEX('Per Line'!$G$2:$G$3001,$X69)&amp;"")</f>
        <v/>
      </c>
      <c r="E69">
        <f>IF($X69="","",INDEX('Per Line'!$I$2:$I$3001,$X69)&amp;"")</f>
        <v/>
      </c>
      <c r="F69">
        <f>IF($X69="","",INDEX('Per Line'!$J$2:$J$3001,$X69)&amp;"")</f>
        <v/>
      </c>
      <c r="G69">
        <f>IF($X69="","",INDEX('Per Line'!$K$2:$K$3001,$X69)&amp;"")</f>
        <v/>
      </c>
      <c r="H69">
        <f>IF($X69="","",INDEX('Per Line'!$M$2:$M$3001,$X69))</f>
        <v/>
      </c>
      <c r="I69" s="7">
        <f>IF($X69="","",H69*V69/100)</f>
        <v/>
      </c>
      <c r="J69">
        <f>IF($X69="","",INDEX('Per Line'!$W$2:$W$3001,$X69)&amp;"")</f>
        <v/>
      </c>
      <c r="K69">
        <f>IF($X69="","",INDEX('Per Line'!$AD$2:$AD$3001,$X69))</f>
        <v/>
      </c>
      <c r="L69">
        <f>IF($X69="","",IF(AND(ISNUMBER(K69),K69&gt;0),V69&gt;K69,FALSE))</f>
        <v/>
      </c>
      <c r="M69" s="7">
        <f>IF($X69="","",SUMIFS('Per Line'!$V$2:$V$3001,'Per Line'!$D$2:$D$3001,$B69,'Per Line'!$AN$2:$AN$3001,1))</f>
        <v/>
      </c>
      <c r="N69">
        <f>IF($X69="","",Settings!$C$7)</f>
        <v/>
      </c>
      <c r="O69" s="7">
        <f>IF($X69="","",SUMIFS('Per Line'!$V$2:$V$3001,'Per Line'!$D$2:$D$3001,$B69,'Per Line'!$AM$2:$AM$3001,0,'Per Line'!$AN$2:$AN$3001,0))</f>
        <v/>
      </c>
      <c r="P69" s="7">
        <f>IF($X69="","",O69*N69)</f>
        <v/>
      </c>
      <c r="Q69">
        <f>IF($X69="","",Settings!$C$6)</f>
        <v/>
      </c>
      <c r="R69" s="7">
        <f>IF($X69="","",SUMIFS('Per Line'!$V$2:$V$3001,'Per Line'!$D$2:$D$3001,$B69,'Per Line'!$AM$2:$AM$3001,1,'Per Line'!$AN$2:$AN$3001,0))</f>
        <v/>
      </c>
      <c r="S69" s="7">
        <f>IF($X69="","",R69*Q69)</f>
        <v/>
      </c>
      <c r="T69" s="7">
        <f>IF($X69="","",S69+P69)</f>
        <v/>
      </c>
      <c r="U69" s="7">
        <f>IF($X69="","",V69-T69)</f>
        <v/>
      </c>
      <c r="V69" s="7">
        <f>IF($X69="","",O69+R69+M69)</f>
        <v/>
      </c>
      <c r="W69" s="7">
        <f>IF($X69="","",V69-T69-I69)</f>
        <v/>
      </c>
      <c r="X69" s="13">
        <f>IF(ROWS($X$2:$X69)&lt;=MAX('Per Line'!$AL$2:$AL$3001),MATCH(ROWS($X$2:$X69),'Per Line'!$AL$2:$AL$3001,0),"")</f>
        <v/>
      </c>
    </row>
    <row r="70">
      <c r="A70" s="12" t="n"/>
      <c r="B70">
        <f>IF($X70="","",INDEX('Per Line'!$D$2:$D$3001,$X70)&amp;"")</f>
        <v/>
      </c>
      <c r="C70" s="11">
        <f>IF($X70="","",INDEX('Per Line'!$F$2:$F$3001,$X70))</f>
        <v/>
      </c>
      <c r="D70">
        <f>IF($X70="","",INDEX('Per Line'!$G$2:$G$3001,$X70)&amp;"")</f>
        <v/>
      </c>
      <c r="E70">
        <f>IF($X70="","",INDEX('Per Line'!$I$2:$I$3001,$X70)&amp;"")</f>
        <v/>
      </c>
      <c r="F70">
        <f>IF($X70="","",INDEX('Per Line'!$J$2:$J$3001,$X70)&amp;"")</f>
        <v/>
      </c>
      <c r="G70">
        <f>IF($X70="","",INDEX('Per Line'!$K$2:$K$3001,$X70)&amp;"")</f>
        <v/>
      </c>
      <c r="H70">
        <f>IF($X70="","",INDEX('Per Line'!$M$2:$M$3001,$X70))</f>
        <v/>
      </c>
      <c r="I70" s="7">
        <f>IF($X70="","",H70*V70/100)</f>
        <v/>
      </c>
      <c r="J70">
        <f>IF($X70="","",INDEX('Per Line'!$W$2:$W$3001,$X70)&amp;"")</f>
        <v/>
      </c>
      <c r="K70">
        <f>IF($X70="","",INDEX('Per Line'!$AD$2:$AD$3001,$X70))</f>
        <v/>
      </c>
      <c r="L70">
        <f>IF($X70="","",IF(AND(ISNUMBER(K70),K70&gt;0),V70&gt;K70,FALSE))</f>
        <v/>
      </c>
      <c r="M70" s="7">
        <f>IF($X70="","",SUMIFS('Per Line'!$V$2:$V$3001,'Per Line'!$D$2:$D$3001,$B70,'Per Line'!$AN$2:$AN$3001,1))</f>
        <v/>
      </c>
      <c r="N70">
        <f>IF($X70="","",Settings!$C$7)</f>
        <v/>
      </c>
      <c r="O70" s="7">
        <f>IF($X70="","",SUMIFS('Per Line'!$V$2:$V$3001,'Per Line'!$D$2:$D$3001,$B70,'Per Line'!$AM$2:$AM$3001,0,'Per Line'!$AN$2:$AN$3001,0))</f>
        <v/>
      </c>
      <c r="P70" s="7">
        <f>IF($X70="","",O70*N70)</f>
        <v/>
      </c>
      <c r="Q70">
        <f>IF($X70="","",Settings!$C$6)</f>
        <v/>
      </c>
      <c r="R70" s="7">
        <f>IF($X70="","",SUMIFS('Per Line'!$V$2:$V$3001,'Per Line'!$D$2:$D$3001,$B70,'Per Line'!$AM$2:$AM$3001,1,'Per Line'!$AN$2:$AN$3001,0))</f>
        <v/>
      </c>
      <c r="S70" s="7">
        <f>IF($X70="","",R70*Q70)</f>
        <v/>
      </c>
      <c r="T70" s="7">
        <f>IF($X70="","",S70+P70)</f>
        <v/>
      </c>
      <c r="U70" s="7">
        <f>IF($X70="","",V70-T70)</f>
        <v/>
      </c>
      <c r="V70" s="7">
        <f>IF($X70="","",O70+R70+M70)</f>
        <v/>
      </c>
      <c r="W70" s="7">
        <f>IF($X70="","",V70-T70-I70)</f>
        <v/>
      </c>
      <c r="X70" s="13">
        <f>IF(ROWS($X$2:$X70)&lt;=MAX('Per Line'!$AL$2:$AL$3001),MATCH(ROWS($X$2:$X70),'Per Line'!$AL$2:$AL$3001,0),"")</f>
        <v/>
      </c>
    </row>
    <row r="71">
      <c r="A71" s="12" t="n"/>
      <c r="B71">
        <f>IF($X71="","",INDEX('Per Line'!$D$2:$D$3001,$X71)&amp;"")</f>
        <v/>
      </c>
      <c r="C71" s="11">
        <f>IF($X71="","",INDEX('Per Line'!$F$2:$F$3001,$X71))</f>
        <v/>
      </c>
      <c r="D71">
        <f>IF($X71="","",INDEX('Per Line'!$G$2:$G$3001,$X71)&amp;"")</f>
        <v/>
      </c>
      <c r="E71">
        <f>IF($X71="","",INDEX('Per Line'!$I$2:$I$3001,$X71)&amp;"")</f>
        <v/>
      </c>
      <c r="F71">
        <f>IF($X71="","",INDEX('Per Line'!$J$2:$J$3001,$X71)&amp;"")</f>
        <v/>
      </c>
      <c r="G71">
        <f>IF($X71="","",INDEX('Per Line'!$K$2:$K$3001,$X71)&amp;"")</f>
        <v/>
      </c>
      <c r="H71">
        <f>IF($X71="","",INDEX('Per Line'!$M$2:$M$3001,$X71))</f>
        <v/>
      </c>
      <c r="I71" s="7">
        <f>IF($X71="","",H71*V71/100)</f>
        <v/>
      </c>
      <c r="J71">
        <f>IF($X71="","",INDEX('Per Line'!$W$2:$W$3001,$X71)&amp;"")</f>
        <v/>
      </c>
      <c r="K71">
        <f>IF($X71="","",INDEX('Per Line'!$AD$2:$AD$3001,$X71))</f>
        <v/>
      </c>
      <c r="L71">
        <f>IF($X71="","",IF(AND(ISNUMBER(K71),K71&gt;0),V71&gt;K71,FALSE))</f>
        <v/>
      </c>
      <c r="M71" s="7">
        <f>IF($X71="","",SUMIFS('Per Line'!$V$2:$V$3001,'Per Line'!$D$2:$D$3001,$B71,'Per Line'!$AN$2:$AN$3001,1))</f>
        <v/>
      </c>
      <c r="N71">
        <f>IF($X71="","",Settings!$C$7)</f>
        <v/>
      </c>
      <c r="O71" s="7">
        <f>IF($X71="","",SUMIFS('Per Line'!$V$2:$V$3001,'Per Line'!$D$2:$D$3001,$B71,'Per Line'!$AM$2:$AM$3001,0,'Per Line'!$AN$2:$AN$3001,0))</f>
        <v/>
      </c>
      <c r="P71" s="7">
        <f>IF($X71="","",O71*N71)</f>
        <v/>
      </c>
      <c r="Q71">
        <f>IF($X71="","",Settings!$C$6)</f>
        <v/>
      </c>
      <c r="R71" s="7">
        <f>IF($X71="","",SUMIFS('Per Line'!$V$2:$V$3001,'Per Line'!$D$2:$D$3001,$B71,'Per Line'!$AM$2:$AM$3001,1,'Per Line'!$AN$2:$AN$3001,0))</f>
        <v/>
      </c>
      <c r="S71" s="7">
        <f>IF($X71="","",R71*Q71)</f>
        <v/>
      </c>
      <c r="T71" s="7">
        <f>IF($X71="","",S71+P71)</f>
        <v/>
      </c>
      <c r="U71" s="7">
        <f>IF($X71="","",V71-T71)</f>
        <v/>
      </c>
      <c r="V71" s="7">
        <f>IF($X71="","",O71+R71+M71)</f>
        <v/>
      </c>
      <c r="W71" s="7">
        <f>IF($X71="","",V71-T71-I71)</f>
        <v/>
      </c>
      <c r="X71" s="13">
        <f>IF(ROWS($X$2:$X71)&lt;=MAX('Per Line'!$AL$2:$AL$3001),MATCH(ROWS($X$2:$X71),'Per Line'!$AL$2:$AL$3001,0),"")</f>
        <v/>
      </c>
    </row>
    <row r="72">
      <c r="A72" s="12" t="n"/>
      <c r="B72">
        <f>IF($X72="","",INDEX('Per Line'!$D$2:$D$3001,$X72)&amp;"")</f>
        <v/>
      </c>
      <c r="C72" s="11">
        <f>IF($X72="","",INDEX('Per Line'!$F$2:$F$3001,$X72))</f>
        <v/>
      </c>
      <c r="D72">
        <f>IF($X72="","",INDEX('Per Line'!$G$2:$G$3001,$X72)&amp;"")</f>
        <v/>
      </c>
      <c r="E72">
        <f>IF($X72="","",INDEX('Per Line'!$I$2:$I$3001,$X72)&amp;"")</f>
        <v/>
      </c>
      <c r="F72">
        <f>IF($X72="","",INDEX('Per Line'!$J$2:$J$3001,$X72)&amp;"")</f>
        <v/>
      </c>
      <c r="G72">
        <f>IF($X72="","",INDEX('Per Line'!$K$2:$K$3001,$X72)&amp;"")</f>
        <v/>
      </c>
      <c r="H72">
        <f>IF($X72="","",INDEX('Per Line'!$M$2:$M$3001,$X72))</f>
        <v/>
      </c>
      <c r="I72" s="7">
        <f>IF($X72="","",H72*V72/100)</f>
        <v/>
      </c>
      <c r="J72">
        <f>IF($X72="","",INDEX('Per Line'!$W$2:$W$3001,$X72)&amp;"")</f>
        <v/>
      </c>
      <c r="K72">
        <f>IF($X72="","",INDEX('Per Line'!$AD$2:$AD$3001,$X72))</f>
        <v/>
      </c>
      <c r="L72">
        <f>IF($X72="","",IF(AND(ISNUMBER(K72),K72&gt;0),V72&gt;K72,FALSE))</f>
        <v/>
      </c>
      <c r="M72" s="7">
        <f>IF($X72="","",SUMIFS('Per Line'!$V$2:$V$3001,'Per Line'!$D$2:$D$3001,$B72,'Per Line'!$AN$2:$AN$3001,1))</f>
        <v/>
      </c>
      <c r="N72">
        <f>IF($X72="","",Settings!$C$7)</f>
        <v/>
      </c>
      <c r="O72" s="7">
        <f>IF($X72="","",SUMIFS('Per Line'!$V$2:$V$3001,'Per Line'!$D$2:$D$3001,$B72,'Per Line'!$AM$2:$AM$3001,0,'Per Line'!$AN$2:$AN$3001,0))</f>
        <v/>
      </c>
      <c r="P72" s="7">
        <f>IF($X72="","",O72*N72)</f>
        <v/>
      </c>
      <c r="Q72">
        <f>IF($X72="","",Settings!$C$6)</f>
        <v/>
      </c>
      <c r="R72" s="7">
        <f>IF($X72="","",SUMIFS('Per Line'!$V$2:$V$3001,'Per Line'!$D$2:$D$3001,$B72,'Per Line'!$AM$2:$AM$3001,1,'Per Line'!$AN$2:$AN$3001,0))</f>
        <v/>
      </c>
      <c r="S72" s="7">
        <f>IF($X72="","",R72*Q72)</f>
        <v/>
      </c>
      <c r="T72" s="7">
        <f>IF($X72="","",S72+P72)</f>
        <v/>
      </c>
      <c r="U72" s="7">
        <f>IF($X72="","",V72-T72)</f>
        <v/>
      </c>
      <c r="V72" s="7">
        <f>IF($X72="","",O72+R72+M72)</f>
        <v/>
      </c>
      <c r="W72" s="7">
        <f>IF($X72="","",V72-T72-I72)</f>
        <v/>
      </c>
      <c r="X72" s="13">
        <f>IF(ROWS($X$2:$X72)&lt;=MAX('Per Line'!$AL$2:$AL$3001),MATCH(ROWS($X$2:$X72),'Per Line'!$AL$2:$AL$3001,0),"")</f>
        <v/>
      </c>
    </row>
    <row r="73">
      <c r="A73" s="12" t="n"/>
      <c r="B73">
        <f>IF($X73="","",INDEX('Per Line'!$D$2:$D$3001,$X73)&amp;"")</f>
        <v/>
      </c>
      <c r="C73" s="11">
        <f>IF($X73="","",INDEX('Per Line'!$F$2:$F$3001,$X73))</f>
        <v/>
      </c>
      <c r="D73">
        <f>IF($X73="","",INDEX('Per Line'!$G$2:$G$3001,$X73)&amp;"")</f>
        <v/>
      </c>
      <c r="E73">
        <f>IF($X73="","",INDEX('Per Line'!$I$2:$I$3001,$X73)&amp;"")</f>
        <v/>
      </c>
      <c r="F73">
        <f>IF($X73="","",INDEX('Per Line'!$J$2:$J$3001,$X73)&amp;"")</f>
        <v/>
      </c>
      <c r="G73">
        <f>IF($X73="","",INDEX('Per Line'!$K$2:$K$3001,$X73)&amp;"")</f>
        <v/>
      </c>
      <c r="H73">
        <f>IF($X73="","",INDEX('Per Line'!$M$2:$M$3001,$X73))</f>
        <v/>
      </c>
      <c r="I73" s="7">
        <f>IF($X73="","",H73*V73/100)</f>
        <v/>
      </c>
      <c r="J73">
        <f>IF($X73="","",INDEX('Per Line'!$W$2:$W$3001,$X73)&amp;"")</f>
        <v/>
      </c>
      <c r="K73">
        <f>IF($X73="","",INDEX('Per Line'!$AD$2:$AD$3001,$X73))</f>
        <v/>
      </c>
      <c r="L73">
        <f>IF($X73="","",IF(AND(ISNUMBER(K73),K73&gt;0),V73&gt;K73,FALSE))</f>
        <v/>
      </c>
      <c r="M73" s="7">
        <f>IF($X73="","",SUMIFS('Per Line'!$V$2:$V$3001,'Per Line'!$D$2:$D$3001,$B73,'Per Line'!$AN$2:$AN$3001,1))</f>
        <v/>
      </c>
      <c r="N73">
        <f>IF($X73="","",Settings!$C$7)</f>
        <v/>
      </c>
      <c r="O73" s="7">
        <f>IF($X73="","",SUMIFS('Per Line'!$V$2:$V$3001,'Per Line'!$D$2:$D$3001,$B73,'Per Line'!$AM$2:$AM$3001,0,'Per Line'!$AN$2:$AN$3001,0))</f>
        <v/>
      </c>
      <c r="P73" s="7">
        <f>IF($X73="","",O73*N73)</f>
        <v/>
      </c>
      <c r="Q73">
        <f>IF($X73="","",Settings!$C$6)</f>
        <v/>
      </c>
      <c r="R73" s="7">
        <f>IF($X73="","",SUMIFS('Per Line'!$V$2:$V$3001,'Per Line'!$D$2:$D$3001,$B73,'Per Line'!$AM$2:$AM$3001,1,'Per Line'!$AN$2:$AN$3001,0))</f>
        <v/>
      </c>
      <c r="S73" s="7">
        <f>IF($X73="","",R73*Q73)</f>
        <v/>
      </c>
      <c r="T73" s="7">
        <f>IF($X73="","",S73+P73)</f>
        <v/>
      </c>
      <c r="U73" s="7">
        <f>IF($X73="","",V73-T73)</f>
        <v/>
      </c>
      <c r="V73" s="7">
        <f>IF($X73="","",O73+R73+M73)</f>
        <v/>
      </c>
      <c r="W73" s="7">
        <f>IF($X73="","",V73-T73-I73)</f>
        <v/>
      </c>
      <c r="X73" s="13">
        <f>IF(ROWS($X$2:$X73)&lt;=MAX('Per Line'!$AL$2:$AL$3001),MATCH(ROWS($X$2:$X73),'Per Line'!$AL$2:$AL$3001,0),"")</f>
        <v/>
      </c>
    </row>
    <row r="74">
      <c r="A74" s="12" t="n"/>
      <c r="B74">
        <f>IF($X74="","",INDEX('Per Line'!$D$2:$D$3001,$X74)&amp;"")</f>
        <v/>
      </c>
      <c r="C74" s="11">
        <f>IF($X74="","",INDEX('Per Line'!$F$2:$F$3001,$X74))</f>
        <v/>
      </c>
      <c r="D74">
        <f>IF($X74="","",INDEX('Per Line'!$G$2:$G$3001,$X74)&amp;"")</f>
        <v/>
      </c>
      <c r="E74">
        <f>IF($X74="","",INDEX('Per Line'!$I$2:$I$3001,$X74)&amp;"")</f>
        <v/>
      </c>
      <c r="F74">
        <f>IF($X74="","",INDEX('Per Line'!$J$2:$J$3001,$X74)&amp;"")</f>
        <v/>
      </c>
      <c r="G74">
        <f>IF($X74="","",INDEX('Per Line'!$K$2:$K$3001,$X74)&amp;"")</f>
        <v/>
      </c>
      <c r="H74">
        <f>IF($X74="","",INDEX('Per Line'!$M$2:$M$3001,$X74))</f>
        <v/>
      </c>
      <c r="I74" s="7">
        <f>IF($X74="","",H74*V74/100)</f>
        <v/>
      </c>
      <c r="J74">
        <f>IF($X74="","",INDEX('Per Line'!$W$2:$W$3001,$X74)&amp;"")</f>
        <v/>
      </c>
      <c r="K74">
        <f>IF($X74="","",INDEX('Per Line'!$AD$2:$AD$3001,$X74))</f>
        <v/>
      </c>
      <c r="L74">
        <f>IF($X74="","",IF(AND(ISNUMBER(K74),K74&gt;0),V74&gt;K74,FALSE))</f>
        <v/>
      </c>
      <c r="M74" s="7">
        <f>IF($X74="","",SUMIFS('Per Line'!$V$2:$V$3001,'Per Line'!$D$2:$D$3001,$B74,'Per Line'!$AN$2:$AN$3001,1))</f>
        <v/>
      </c>
      <c r="N74">
        <f>IF($X74="","",Settings!$C$7)</f>
        <v/>
      </c>
      <c r="O74" s="7">
        <f>IF($X74="","",SUMIFS('Per Line'!$V$2:$V$3001,'Per Line'!$D$2:$D$3001,$B74,'Per Line'!$AM$2:$AM$3001,0,'Per Line'!$AN$2:$AN$3001,0))</f>
        <v/>
      </c>
      <c r="P74" s="7">
        <f>IF($X74="","",O74*N74)</f>
        <v/>
      </c>
      <c r="Q74">
        <f>IF($X74="","",Settings!$C$6)</f>
        <v/>
      </c>
      <c r="R74" s="7">
        <f>IF($X74="","",SUMIFS('Per Line'!$V$2:$V$3001,'Per Line'!$D$2:$D$3001,$B74,'Per Line'!$AM$2:$AM$3001,1,'Per Line'!$AN$2:$AN$3001,0))</f>
        <v/>
      </c>
      <c r="S74" s="7">
        <f>IF($X74="","",R74*Q74)</f>
        <v/>
      </c>
      <c r="T74" s="7">
        <f>IF($X74="","",S74+P74)</f>
        <v/>
      </c>
      <c r="U74" s="7">
        <f>IF($X74="","",V74-T74)</f>
        <v/>
      </c>
      <c r="V74" s="7">
        <f>IF($X74="","",O74+R74+M74)</f>
        <v/>
      </c>
      <c r="W74" s="7">
        <f>IF($X74="","",V74-T74-I74)</f>
        <v/>
      </c>
      <c r="X74" s="13">
        <f>IF(ROWS($X$2:$X74)&lt;=MAX('Per Line'!$AL$2:$AL$3001),MATCH(ROWS($X$2:$X74),'Per Line'!$AL$2:$AL$3001,0),"")</f>
        <v/>
      </c>
    </row>
    <row r="75">
      <c r="A75" s="12" t="n"/>
      <c r="B75">
        <f>IF($X75="","",INDEX('Per Line'!$D$2:$D$3001,$X75)&amp;"")</f>
        <v/>
      </c>
      <c r="C75" s="11">
        <f>IF($X75="","",INDEX('Per Line'!$F$2:$F$3001,$X75))</f>
        <v/>
      </c>
      <c r="D75">
        <f>IF($X75="","",INDEX('Per Line'!$G$2:$G$3001,$X75)&amp;"")</f>
        <v/>
      </c>
      <c r="E75">
        <f>IF($X75="","",INDEX('Per Line'!$I$2:$I$3001,$X75)&amp;"")</f>
        <v/>
      </c>
      <c r="F75">
        <f>IF($X75="","",INDEX('Per Line'!$J$2:$J$3001,$X75)&amp;"")</f>
        <v/>
      </c>
      <c r="G75">
        <f>IF($X75="","",INDEX('Per Line'!$K$2:$K$3001,$X75)&amp;"")</f>
        <v/>
      </c>
      <c r="H75">
        <f>IF($X75="","",INDEX('Per Line'!$M$2:$M$3001,$X75))</f>
        <v/>
      </c>
      <c r="I75" s="7">
        <f>IF($X75="","",H75*V75/100)</f>
        <v/>
      </c>
      <c r="J75">
        <f>IF($X75="","",INDEX('Per Line'!$W$2:$W$3001,$X75)&amp;"")</f>
        <v/>
      </c>
      <c r="K75">
        <f>IF($X75="","",INDEX('Per Line'!$AD$2:$AD$3001,$X75))</f>
        <v/>
      </c>
      <c r="L75">
        <f>IF($X75="","",IF(AND(ISNUMBER(K75),K75&gt;0),V75&gt;K75,FALSE))</f>
        <v/>
      </c>
      <c r="M75" s="7">
        <f>IF($X75="","",SUMIFS('Per Line'!$V$2:$V$3001,'Per Line'!$D$2:$D$3001,$B75,'Per Line'!$AN$2:$AN$3001,1))</f>
        <v/>
      </c>
      <c r="N75">
        <f>IF($X75="","",Settings!$C$7)</f>
        <v/>
      </c>
      <c r="O75" s="7">
        <f>IF($X75="","",SUMIFS('Per Line'!$V$2:$V$3001,'Per Line'!$D$2:$D$3001,$B75,'Per Line'!$AM$2:$AM$3001,0,'Per Line'!$AN$2:$AN$3001,0))</f>
        <v/>
      </c>
      <c r="P75" s="7">
        <f>IF($X75="","",O75*N75)</f>
        <v/>
      </c>
      <c r="Q75">
        <f>IF($X75="","",Settings!$C$6)</f>
        <v/>
      </c>
      <c r="R75" s="7">
        <f>IF($X75="","",SUMIFS('Per Line'!$V$2:$V$3001,'Per Line'!$D$2:$D$3001,$B75,'Per Line'!$AM$2:$AM$3001,1,'Per Line'!$AN$2:$AN$3001,0))</f>
        <v/>
      </c>
      <c r="S75" s="7">
        <f>IF($X75="","",R75*Q75)</f>
        <v/>
      </c>
      <c r="T75" s="7">
        <f>IF($X75="","",S75+P75)</f>
        <v/>
      </c>
      <c r="U75" s="7">
        <f>IF($X75="","",V75-T75)</f>
        <v/>
      </c>
      <c r="V75" s="7">
        <f>IF($X75="","",O75+R75+M75)</f>
        <v/>
      </c>
      <c r="W75" s="7">
        <f>IF($X75="","",V75-T75-I75)</f>
        <v/>
      </c>
      <c r="X75" s="13">
        <f>IF(ROWS($X$2:$X75)&lt;=MAX('Per Line'!$AL$2:$AL$3001),MATCH(ROWS($X$2:$X75),'Per Line'!$AL$2:$AL$3001,0),"")</f>
        <v/>
      </c>
    </row>
    <row r="76">
      <c r="A76" s="12" t="n"/>
      <c r="B76">
        <f>IF($X76="","",INDEX('Per Line'!$D$2:$D$3001,$X76)&amp;"")</f>
        <v/>
      </c>
      <c r="C76" s="11">
        <f>IF($X76="","",INDEX('Per Line'!$F$2:$F$3001,$X76))</f>
        <v/>
      </c>
      <c r="D76">
        <f>IF($X76="","",INDEX('Per Line'!$G$2:$G$3001,$X76)&amp;"")</f>
        <v/>
      </c>
      <c r="E76">
        <f>IF($X76="","",INDEX('Per Line'!$I$2:$I$3001,$X76)&amp;"")</f>
        <v/>
      </c>
      <c r="F76">
        <f>IF($X76="","",INDEX('Per Line'!$J$2:$J$3001,$X76)&amp;"")</f>
        <v/>
      </c>
      <c r="G76">
        <f>IF($X76="","",INDEX('Per Line'!$K$2:$K$3001,$X76)&amp;"")</f>
        <v/>
      </c>
      <c r="H76">
        <f>IF($X76="","",INDEX('Per Line'!$M$2:$M$3001,$X76))</f>
        <v/>
      </c>
      <c r="I76" s="7">
        <f>IF($X76="","",H76*V76/100)</f>
        <v/>
      </c>
      <c r="J76">
        <f>IF($X76="","",INDEX('Per Line'!$W$2:$W$3001,$X76)&amp;"")</f>
        <v/>
      </c>
      <c r="K76">
        <f>IF($X76="","",INDEX('Per Line'!$AD$2:$AD$3001,$X76))</f>
        <v/>
      </c>
      <c r="L76">
        <f>IF($X76="","",IF(AND(ISNUMBER(K76),K76&gt;0),V76&gt;K76,FALSE))</f>
        <v/>
      </c>
      <c r="M76" s="7">
        <f>IF($X76="","",SUMIFS('Per Line'!$V$2:$V$3001,'Per Line'!$D$2:$D$3001,$B76,'Per Line'!$AN$2:$AN$3001,1))</f>
        <v/>
      </c>
      <c r="N76">
        <f>IF($X76="","",Settings!$C$7)</f>
        <v/>
      </c>
      <c r="O76" s="7">
        <f>IF($X76="","",SUMIFS('Per Line'!$V$2:$V$3001,'Per Line'!$D$2:$D$3001,$B76,'Per Line'!$AM$2:$AM$3001,0,'Per Line'!$AN$2:$AN$3001,0))</f>
        <v/>
      </c>
      <c r="P76" s="7">
        <f>IF($X76="","",O76*N76)</f>
        <v/>
      </c>
      <c r="Q76">
        <f>IF($X76="","",Settings!$C$6)</f>
        <v/>
      </c>
      <c r="R76" s="7">
        <f>IF($X76="","",SUMIFS('Per Line'!$V$2:$V$3001,'Per Line'!$D$2:$D$3001,$B76,'Per Line'!$AM$2:$AM$3001,1,'Per Line'!$AN$2:$AN$3001,0))</f>
        <v/>
      </c>
      <c r="S76" s="7">
        <f>IF($X76="","",R76*Q76)</f>
        <v/>
      </c>
      <c r="T76" s="7">
        <f>IF($X76="","",S76+P76)</f>
        <v/>
      </c>
      <c r="U76" s="7">
        <f>IF($X76="","",V76-T76)</f>
        <v/>
      </c>
      <c r="V76" s="7">
        <f>IF($X76="","",O76+R76+M76)</f>
        <v/>
      </c>
      <c r="W76" s="7">
        <f>IF($X76="","",V76-T76-I76)</f>
        <v/>
      </c>
      <c r="X76" s="13">
        <f>IF(ROWS($X$2:$X76)&lt;=MAX('Per Line'!$AL$2:$AL$3001),MATCH(ROWS($X$2:$X76),'Per Line'!$AL$2:$AL$3001,0),"")</f>
        <v/>
      </c>
    </row>
    <row r="77">
      <c r="A77" s="12" t="n"/>
      <c r="B77">
        <f>IF($X77="","",INDEX('Per Line'!$D$2:$D$3001,$X77)&amp;"")</f>
        <v/>
      </c>
      <c r="C77" s="11">
        <f>IF($X77="","",INDEX('Per Line'!$F$2:$F$3001,$X77))</f>
        <v/>
      </c>
      <c r="D77">
        <f>IF($X77="","",INDEX('Per Line'!$G$2:$G$3001,$X77)&amp;"")</f>
        <v/>
      </c>
      <c r="E77">
        <f>IF($X77="","",INDEX('Per Line'!$I$2:$I$3001,$X77)&amp;"")</f>
        <v/>
      </c>
      <c r="F77">
        <f>IF($X77="","",INDEX('Per Line'!$J$2:$J$3001,$X77)&amp;"")</f>
        <v/>
      </c>
      <c r="G77">
        <f>IF($X77="","",INDEX('Per Line'!$K$2:$K$3001,$X77)&amp;"")</f>
        <v/>
      </c>
      <c r="H77">
        <f>IF($X77="","",INDEX('Per Line'!$M$2:$M$3001,$X77))</f>
        <v/>
      </c>
      <c r="I77" s="7">
        <f>IF($X77="","",H77*V77/100)</f>
        <v/>
      </c>
      <c r="J77">
        <f>IF($X77="","",INDEX('Per Line'!$W$2:$W$3001,$X77)&amp;"")</f>
        <v/>
      </c>
      <c r="K77">
        <f>IF($X77="","",INDEX('Per Line'!$AD$2:$AD$3001,$X77))</f>
        <v/>
      </c>
      <c r="L77">
        <f>IF($X77="","",IF(AND(ISNUMBER(K77),K77&gt;0),V77&gt;K77,FALSE))</f>
        <v/>
      </c>
      <c r="M77" s="7">
        <f>IF($X77="","",SUMIFS('Per Line'!$V$2:$V$3001,'Per Line'!$D$2:$D$3001,$B77,'Per Line'!$AN$2:$AN$3001,1))</f>
        <v/>
      </c>
      <c r="N77">
        <f>IF($X77="","",Settings!$C$7)</f>
        <v/>
      </c>
      <c r="O77" s="7">
        <f>IF($X77="","",SUMIFS('Per Line'!$V$2:$V$3001,'Per Line'!$D$2:$D$3001,$B77,'Per Line'!$AM$2:$AM$3001,0,'Per Line'!$AN$2:$AN$3001,0))</f>
        <v/>
      </c>
      <c r="P77" s="7">
        <f>IF($X77="","",O77*N77)</f>
        <v/>
      </c>
      <c r="Q77">
        <f>IF($X77="","",Settings!$C$6)</f>
        <v/>
      </c>
      <c r="R77" s="7">
        <f>IF($X77="","",SUMIFS('Per Line'!$V$2:$V$3001,'Per Line'!$D$2:$D$3001,$B77,'Per Line'!$AM$2:$AM$3001,1,'Per Line'!$AN$2:$AN$3001,0))</f>
        <v/>
      </c>
      <c r="S77" s="7">
        <f>IF($X77="","",R77*Q77)</f>
        <v/>
      </c>
      <c r="T77" s="7">
        <f>IF($X77="","",S77+P77)</f>
        <v/>
      </c>
      <c r="U77" s="7">
        <f>IF($X77="","",V77-T77)</f>
        <v/>
      </c>
      <c r="V77" s="7">
        <f>IF($X77="","",O77+R77+M77)</f>
        <v/>
      </c>
      <c r="W77" s="7">
        <f>IF($X77="","",V77-T77-I77)</f>
        <v/>
      </c>
      <c r="X77" s="13">
        <f>IF(ROWS($X$2:$X77)&lt;=MAX('Per Line'!$AL$2:$AL$3001),MATCH(ROWS($X$2:$X77),'Per Line'!$AL$2:$AL$3001,0),"")</f>
        <v/>
      </c>
    </row>
    <row r="78">
      <c r="A78" s="12" t="n"/>
      <c r="B78">
        <f>IF($X78="","",INDEX('Per Line'!$D$2:$D$3001,$X78)&amp;"")</f>
        <v/>
      </c>
      <c r="C78" s="11">
        <f>IF($X78="","",INDEX('Per Line'!$F$2:$F$3001,$X78))</f>
        <v/>
      </c>
      <c r="D78">
        <f>IF($X78="","",INDEX('Per Line'!$G$2:$G$3001,$X78)&amp;"")</f>
        <v/>
      </c>
      <c r="E78">
        <f>IF($X78="","",INDEX('Per Line'!$I$2:$I$3001,$X78)&amp;"")</f>
        <v/>
      </c>
      <c r="F78">
        <f>IF($X78="","",INDEX('Per Line'!$J$2:$J$3001,$X78)&amp;"")</f>
        <v/>
      </c>
      <c r="G78">
        <f>IF($X78="","",INDEX('Per Line'!$K$2:$K$3001,$X78)&amp;"")</f>
        <v/>
      </c>
      <c r="H78">
        <f>IF($X78="","",INDEX('Per Line'!$M$2:$M$3001,$X78))</f>
        <v/>
      </c>
      <c r="I78" s="7">
        <f>IF($X78="","",H78*V78/100)</f>
        <v/>
      </c>
      <c r="J78">
        <f>IF($X78="","",INDEX('Per Line'!$W$2:$W$3001,$X78)&amp;"")</f>
        <v/>
      </c>
      <c r="K78">
        <f>IF($X78="","",INDEX('Per Line'!$AD$2:$AD$3001,$X78))</f>
        <v/>
      </c>
      <c r="L78">
        <f>IF($X78="","",IF(AND(ISNUMBER(K78),K78&gt;0),V78&gt;K78,FALSE))</f>
        <v/>
      </c>
      <c r="M78" s="7">
        <f>IF($X78="","",SUMIFS('Per Line'!$V$2:$V$3001,'Per Line'!$D$2:$D$3001,$B78,'Per Line'!$AN$2:$AN$3001,1))</f>
        <v/>
      </c>
      <c r="N78">
        <f>IF($X78="","",Settings!$C$7)</f>
        <v/>
      </c>
      <c r="O78" s="7">
        <f>IF($X78="","",SUMIFS('Per Line'!$V$2:$V$3001,'Per Line'!$D$2:$D$3001,$B78,'Per Line'!$AM$2:$AM$3001,0,'Per Line'!$AN$2:$AN$3001,0))</f>
        <v/>
      </c>
      <c r="P78" s="7">
        <f>IF($X78="","",O78*N78)</f>
        <v/>
      </c>
      <c r="Q78">
        <f>IF($X78="","",Settings!$C$6)</f>
        <v/>
      </c>
      <c r="R78" s="7">
        <f>IF($X78="","",SUMIFS('Per Line'!$V$2:$V$3001,'Per Line'!$D$2:$D$3001,$B78,'Per Line'!$AM$2:$AM$3001,1,'Per Line'!$AN$2:$AN$3001,0))</f>
        <v/>
      </c>
      <c r="S78" s="7">
        <f>IF($X78="","",R78*Q78)</f>
        <v/>
      </c>
      <c r="T78" s="7">
        <f>IF($X78="","",S78+P78)</f>
        <v/>
      </c>
      <c r="U78" s="7">
        <f>IF($X78="","",V78-T78)</f>
        <v/>
      </c>
      <c r="V78" s="7">
        <f>IF($X78="","",O78+R78+M78)</f>
        <v/>
      </c>
      <c r="W78" s="7">
        <f>IF($X78="","",V78-T78-I78)</f>
        <v/>
      </c>
      <c r="X78" s="13">
        <f>IF(ROWS($X$2:$X78)&lt;=MAX('Per Line'!$AL$2:$AL$3001),MATCH(ROWS($X$2:$X78),'Per Line'!$AL$2:$AL$3001,0),"")</f>
        <v/>
      </c>
    </row>
    <row r="79">
      <c r="A79" s="12" t="n"/>
      <c r="B79">
        <f>IF($X79="","",INDEX('Per Line'!$D$2:$D$3001,$X79)&amp;"")</f>
        <v/>
      </c>
      <c r="C79" s="11">
        <f>IF($X79="","",INDEX('Per Line'!$F$2:$F$3001,$X79))</f>
        <v/>
      </c>
      <c r="D79">
        <f>IF($X79="","",INDEX('Per Line'!$G$2:$G$3001,$X79)&amp;"")</f>
        <v/>
      </c>
      <c r="E79">
        <f>IF($X79="","",INDEX('Per Line'!$I$2:$I$3001,$X79)&amp;"")</f>
        <v/>
      </c>
      <c r="F79">
        <f>IF($X79="","",INDEX('Per Line'!$J$2:$J$3001,$X79)&amp;"")</f>
        <v/>
      </c>
      <c r="G79">
        <f>IF($X79="","",INDEX('Per Line'!$K$2:$K$3001,$X79)&amp;"")</f>
        <v/>
      </c>
      <c r="H79">
        <f>IF($X79="","",INDEX('Per Line'!$M$2:$M$3001,$X79))</f>
        <v/>
      </c>
      <c r="I79" s="7">
        <f>IF($X79="","",H79*V79/100)</f>
        <v/>
      </c>
      <c r="J79">
        <f>IF($X79="","",INDEX('Per Line'!$W$2:$W$3001,$X79)&amp;"")</f>
        <v/>
      </c>
      <c r="K79">
        <f>IF($X79="","",INDEX('Per Line'!$AD$2:$AD$3001,$X79))</f>
        <v/>
      </c>
      <c r="L79">
        <f>IF($X79="","",IF(AND(ISNUMBER(K79),K79&gt;0),V79&gt;K79,FALSE))</f>
        <v/>
      </c>
      <c r="M79" s="7">
        <f>IF($X79="","",SUMIFS('Per Line'!$V$2:$V$3001,'Per Line'!$D$2:$D$3001,$B79,'Per Line'!$AN$2:$AN$3001,1))</f>
        <v/>
      </c>
      <c r="N79">
        <f>IF($X79="","",Settings!$C$7)</f>
        <v/>
      </c>
      <c r="O79" s="7">
        <f>IF($X79="","",SUMIFS('Per Line'!$V$2:$V$3001,'Per Line'!$D$2:$D$3001,$B79,'Per Line'!$AM$2:$AM$3001,0,'Per Line'!$AN$2:$AN$3001,0))</f>
        <v/>
      </c>
      <c r="P79" s="7">
        <f>IF($X79="","",O79*N79)</f>
        <v/>
      </c>
      <c r="Q79">
        <f>IF($X79="","",Settings!$C$6)</f>
        <v/>
      </c>
      <c r="R79" s="7">
        <f>IF($X79="","",SUMIFS('Per Line'!$V$2:$V$3001,'Per Line'!$D$2:$D$3001,$B79,'Per Line'!$AM$2:$AM$3001,1,'Per Line'!$AN$2:$AN$3001,0))</f>
        <v/>
      </c>
      <c r="S79" s="7">
        <f>IF($X79="","",R79*Q79)</f>
        <v/>
      </c>
      <c r="T79" s="7">
        <f>IF($X79="","",S79+P79)</f>
        <v/>
      </c>
      <c r="U79" s="7">
        <f>IF($X79="","",V79-T79)</f>
        <v/>
      </c>
      <c r="V79" s="7">
        <f>IF($X79="","",O79+R79+M79)</f>
        <v/>
      </c>
      <c r="W79" s="7">
        <f>IF($X79="","",V79-T79-I79)</f>
        <v/>
      </c>
      <c r="X79" s="13">
        <f>IF(ROWS($X$2:$X79)&lt;=MAX('Per Line'!$AL$2:$AL$3001),MATCH(ROWS($X$2:$X79),'Per Line'!$AL$2:$AL$3001,0),"")</f>
        <v/>
      </c>
    </row>
    <row r="80">
      <c r="A80" s="12" t="n"/>
      <c r="B80">
        <f>IF($X80="","",INDEX('Per Line'!$D$2:$D$3001,$X80)&amp;"")</f>
        <v/>
      </c>
      <c r="C80" s="11">
        <f>IF($X80="","",INDEX('Per Line'!$F$2:$F$3001,$X80))</f>
        <v/>
      </c>
      <c r="D80">
        <f>IF($X80="","",INDEX('Per Line'!$G$2:$G$3001,$X80)&amp;"")</f>
        <v/>
      </c>
      <c r="E80">
        <f>IF($X80="","",INDEX('Per Line'!$I$2:$I$3001,$X80)&amp;"")</f>
        <v/>
      </c>
      <c r="F80">
        <f>IF($X80="","",INDEX('Per Line'!$J$2:$J$3001,$X80)&amp;"")</f>
        <v/>
      </c>
      <c r="G80">
        <f>IF($X80="","",INDEX('Per Line'!$K$2:$K$3001,$X80)&amp;"")</f>
        <v/>
      </c>
      <c r="H80">
        <f>IF($X80="","",INDEX('Per Line'!$M$2:$M$3001,$X80))</f>
        <v/>
      </c>
      <c r="I80" s="7">
        <f>IF($X80="","",H80*V80/100)</f>
        <v/>
      </c>
      <c r="J80">
        <f>IF($X80="","",INDEX('Per Line'!$W$2:$W$3001,$X80)&amp;"")</f>
        <v/>
      </c>
      <c r="K80">
        <f>IF($X80="","",INDEX('Per Line'!$AD$2:$AD$3001,$X80))</f>
        <v/>
      </c>
      <c r="L80">
        <f>IF($X80="","",IF(AND(ISNUMBER(K80),K80&gt;0),V80&gt;K80,FALSE))</f>
        <v/>
      </c>
      <c r="M80" s="7">
        <f>IF($X80="","",SUMIFS('Per Line'!$V$2:$V$3001,'Per Line'!$D$2:$D$3001,$B80,'Per Line'!$AN$2:$AN$3001,1))</f>
        <v/>
      </c>
      <c r="N80">
        <f>IF($X80="","",Settings!$C$7)</f>
        <v/>
      </c>
      <c r="O80" s="7">
        <f>IF($X80="","",SUMIFS('Per Line'!$V$2:$V$3001,'Per Line'!$D$2:$D$3001,$B80,'Per Line'!$AM$2:$AM$3001,0,'Per Line'!$AN$2:$AN$3001,0))</f>
        <v/>
      </c>
      <c r="P80" s="7">
        <f>IF($X80="","",O80*N80)</f>
        <v/>
      </c>
      <c r="Q80">
        <f>IF($X80="","",Settings!$C$6)</f>
        <v/>
      </c>
      <c r="R80" s="7">
        <f>IF($X80="","",SUMIFS('Per Line'!$V$2:$V$3001,'Per Line'!$D$2:$D$3001,$B80,'Per Line'!$AM$2:$AM$3001,1,'Per Line'!$AN$2:$AN$3001,0))</f>
        <v/>
      </c>
      <c r="S80" s="7">
        <f>IF($X80="","",R80*Q80)</f>
        <v/>
      </c>
      <c r="T80" s="7">
        <f>IF($X80="","",S80+P80)</f>
        <v/>
      </c>
      <c r="U80" s="7">
        <f>IF($X80="","",V80-T80)</f>
        <v/>
      </c>
      <c r="V80" s="7">
        <f>IF($X80="","",O80+R80+M80)</f>
        <v/>
      </c>
      <c r="W80" s="7">
        <f>IF($X80="","",V80-T80-I80)</f>
        <v/>
      </c>
      <c r="X80" s="13">
        <f>IF(ROWS($X$2:$X80)&lt;=MAX('Per Line'!$AL$2:$AL$3001),MATCH(ROWS($X$2:$X80),'Per Line'!$AL$2:$AL$3001,0),"")</f>
        <v/>
      </c>
    </row>
    <row r="81">
      <c r="A81" s="12" t="n"/>
      <c r="B81">
        <f>IF($X81="","",INDEX('Per Line'!$D$2:$D$3001,$X81)&amp;"")</f>
        <v/>
      </c>
      <c r="C81" s="11">
        <f>IF($X81="","",INDEX('Per Line'!$F$2:$F$3001,$X81))</f>
        <v/>
      </c>
      <c r="D81">
        <f>IF($X81="","",INDEX('Per Line'!$G$2:$G$3001,$X81)&amp;"")</f>
        <v/>
      </c>
      <c r="E81">
        <f>IF($X81="","",INDEX('Per Line'!$I$2:$I$3001,$X81)&amp;"")</f>
        <v/>
      </c>
      <c r="F81">
        <f>IF($X81="","",INDEX('Per Line'!$J$2:$J$3001,$X81)&amp;"")</f>
        <v/>
      </c>
      <c r="G81">
        <f>IF($X81="","",INDEX('Per Line'!$K$2:$K$3001,$X81)&amp;"")</f>
        <v/>
      </c>
      <c r="H81">
        <f>IF($X81="","",INDEX('Per Line'!$M$2:$M$3001,$X81))</f>
        <v/>
      </c>
      <c r="I81" s="7">
        <f>IF($X81="","",H81*V81/100)</f>
        <v/>
      </c>
      <c r="J81">
        <f>IF($X81="","",INDEX('Per Line'!$W$2:$W$3001,$X81)&amp;"")</f>
        <v/>
      </c>
      <c r="K81">
        <f>IF($X81="","",INDEX('Per Line'!$AD$2:$AD$3001,$X81))</f>
        <v/>
      </c>
      <c r="L81">
        <f>IF($X81="","",IF(AND(ISNUMBER(K81),K81&gt;0),V81&gt;K81,FALSE))</f>
        <v/>
      </c>
      <c r="M81" s="7">
        <f>IF($X81="","",SUMIFS('Per Line'!$V$2:$V$3001,'Per Line'!$D$2:$D$3001,$B81,'Per Line'!$AN$2:$AN$3001,1))</f>
        <v/>
      </c>
      <c r="N81">
        <f>IF($X81="","",Settings!$C$7)</f>
        <v/>
      </c>
      <c r="O81" s="7">
        <f>IF($X81="","",SUMIFS('Per Line'!$V$2:$V$3001,'Per Line'!$D$2:$D$3001,$B81,'Per Line'!$AM$2:$AM$3001,0,'Per Line'!$AN$2:$AN$3001,0))</f>
        <v/>
      </c>
      <c r="P81" s="7">
        <f>IF($X81="","",O81*N81)</f>
        <v/>
      </c>
      <c r="Q81">
        <f>IF($X81="","",Settings!$C$6)</f>
        <v/>
      </c>
      <c r="R81" s="7">
        <f>IF($X81="","",SUMIFS('Per Line'!$V$2:$V$3001,'Per Line'!$D$2:$D$3001,$B81,'Per Line'!$AM$2:$AM$3001,1,'Per Line'!$AN$2:$AN$3001,0))</f>
        <v/>
      </c>
      <c r="S81" s="7">
        <f>IF($X81="","",R81*Q81)</f>
        <v/>
      </c>
      <c r="T81" s="7">
        <f>IF($X81="","",S81+P81)</f>
        <v/>
      </c>
      <c r="U81" s="7">
        <f>IF($X81="","",V81-T81)</f>
        <v/>
      </c>
      <c r="V81" s="7">
        <f>IF($X81="","",O81+R81+M81)</f>
        <v/>
      </c>
      <c r="W81" s="7">
        <f>IF($X81="","",V81-T81-I81)</f>
        <v/>
      </c>
      <c r="X81" s="13">
        <f>IF(ROWS($X$2:$X81)&lt;=MAX('Per Line'!$AL$2:$AL$3001),MATCH(ROWS($X$2:$X81),'Per Line'!$AL$2:$AL$3001,0),"")</f>
        <v/>
      </c>
    </row>
    <row r="82">
      <c r="A82" s="12" t="n"/>
      <c r="B82">
        <f>IF($X82="","",INDEX('Per Line'!$D$2:$D$3001,$X82)&amp;"")</f>
        <v/>
      </c>
      <c r="C82" s="11">
        <f>IF($X82="","",INDEX('Per Line'!$F$2:$F$3001,$X82))</f>
        <v/>
      </c>
      <c r="D82">
        <f>IF($X82="","",INDEX('Per Line'!$G$2:$G$3001,$X82)&amp;"")</f>
        <v/>
      </c>
      <c r="E82">
        <f>IF($X82="","",INDEX('Per Line'!$I$2:$I$3001,$X82)&amp;"")</f>
        <v/>
      </c>
      <c r="F82">
        <f>IF($X82="","",INDEX('Per Line'!$J$2:$J$3001,$X82)&amp;"")</f>
        <v/>
      </c>
      <c r="G82">
        <f>IF($X82="","",INDEX('Per Line'!$K$2:$K$3001,$X82)&amp;"")</f>
        <v/>
      </c>
      <c r="H82">
        <f>IF($X82="","",INDEX('Per Line'!$M$2:$M$3001,$X82))</f>
        <v/>
      </c>
      <c r="I82" s="7">
        <f>IF($X82="","",H82*V82/100)</f>
        <v/>
      </c>
      <c r="J82">
        <f>IF($X82="","",INDEX('Per Line'!$W$2:$W$3001,$X82)&amp;"")</f>
        <v/>
      </c>
      <c r="K82">
        <f>IF($X82="","",INDEX('Per Line'!$AD$2:$AD$3001,$X82))</f>
        <v/>
      </c>
      <c r="L82">
        <f>IF($X82="","",IF(AND(ISNUMBER(K82),K82&gt;0),V82&gt;K82,FALSE))</f>
        <v/>
      </c>
      <c r="M82" s="7">
        <f>IF($X82="","",SUMIFS('Per Line'!$V$2:$V$3001,'Per Line'!$D$2:$D$3001,$B82,'Per Line'!$AN$2:$AN$3001,1))</f>
        <v/>
      </c>
      <c r="N82">
        <f>IF($X82="","",Settings!$C$7)</f>
        <v/>
      </c>
      <c r="O82" s="7">
        <f>IF($X82="","",SUMIFS('Per Line'!$V$2:$V$3001,'Per Line'!$D$2:$D$3001,$B82,'Per Line'!$AM$2:$AM$3001,0,'Per Line'!$AN$2:$AN$3001,0))</f>
        <v/>
      </c>
      <c r="P82" s="7">
        <f>IF($X82="","",O82*N82)</f>
        <v/>
      </c>
      <c r="Q82">
        <f>IF($X82="","",Settings!$C$6)</f>
        <v/>
      </c>
      <c r="R82" s="7">
        <f>IF($X82="","",SUMIFS('Per Line'!$V$2:$V$3001,'Per Line'!$D$2:$D$3001,$B82,'Per Line'!$AM$2:$AM$3001,1,'Per Line'!$AN$2:$AN$3001,0))</f>
        <v/>
      </c>
      <c r="S82" s="7">
        <f>IF($X82="","",R82*Q82)</f>
        <v/>
      </c>
      <c r="T82" s="7">
        <f>IF($X82="","",S82+P82)</f>
        <v/>
      </c>
      <c r="U82" s="7">
        <f>IF($X82="","",V82-T82)</f>
        <v/>
      </c>
      <c r="V82" s="7">
        <f>IF($X82="","",O82+R82+M82)</f>
        <v/>
      </c>
      <c r="W82" s="7">
        <f>IF($X82="","",V82-T82-I82)</f>
        <v/>
      </c>
      <c r="X82" s="13">
        <f>IF(ROWS($X$2:$X82)&lt;=MAX('Per Line'!$AL$2:$AL$3001),MATCH(ROWS($X$2:$X82),'Per Line'!$AL$2:$AL$3001,0),"")</f>
        <v/>
      </c>
    </row>
    <row r="83">
      <c r="A83" s="12" t="n"/>
      <c r="B83">
        <f>IF($X83="","",INDEX('Per Line'!$D$2:$D$3001,$X83)&amp;"")</f>
        <v/>
      </c>
      <c r="C83" s="11">
        <f>IF($X83="","",INDEX('Per Line'!$F$2:$F$3001,$X83))</f>
        <v/>
      </c>
      <c r="D83">
        <f>IF($X83="","",INDEX('Per Line'!$G$2:$G$3001,$X83)&amp;"")</f>
        <v/>
      </c>
      <c r="E83">
        <f>IF($X83="","",INDEX('Per Line'!$I$2:$I$3001,$X83)&amp;"")</f>
        <v/>
      </c>
      <c r="F83">
        <f>IF($X83="","",INDEX('Per Line'!$J$2:$J$3001,$X83)&amp;"")</f>
        <v/>
      </c>
      <c r="G83">
        <f>IF($X83="","",INDEX('Per Line'!$K$2:$K$3001,$X83)&amp;"")</f>
        <v/>
      </c>
      <c r="H83">
        <f>IF($X83="","",INDEX('Per Line'!$M$2:$M$3001,$X83))</f>
        <v/>
      </c>
      <c r="I83" s="7">
        <f>IF($X83="","",H83*V83/100)</f>
        <v/>
      </c>
      <c r="J83">
        <f>IF($X83="","",INDEX('Per Line'!$W$2:$W$3001,$X83)&amp;"")</f>
        <v/>
      </c>
      <c r="K83">
        <f>IF($X83="","",INDEX('Per Line'!$AD$2:$AD$3001,$X83))</f>
        <v/>
      </c>
      <c r="L83">
        <f>IF($X83="","",IF(AND(ISNUMBER(K83),K83&gt;0),V83&gt;K83,FALSE))</f>
        <v/>
      </c>
      <c r="M83" s="7">
        <f>IF($X83="","",SUMIFS('Per Line'!$V$2:$V$3001,'Per Line'!$D$2:$D$3001,$B83,'Per Line'!$AN$2:$AN$3001,1))</f>
        <v/>
      </c>
      <c r="N83">
        <f>IF($X83="","",Settings!$C$7)</f>
        <v/>
      </c>
      <c r="O83" s="7">
        <f>IF($X83="","",SUMIFS('Per Line'!$V$2:$V$3001,'Per Line'!$D$2:$D$3001,$B83,'Per Line'!$AM$2:$AM$3001,0,'Per Line'!$AN$2:$AN$3001,0))</f>
        <v/>
      </c>
      <c r="P83" s="7">
        <f>IF($X83="","",O83*N83)</f>
        <v/>
      </c>
      <c r="Q83">
        <f>IF($X83="","",Settings!$C$6)</f>
        <v/>
      </c>
      <c r="R83" s="7">
        <f>IF($X83="","",SUMIFS('Per Line'!$V$2:$V$3001,'Per Line'!$D$2:$D$3001,$B83,'Per Line'!$AM$2:$AM$3001,1,'Per Line'!$AN$2:$AN$3001,0))</f>
        <v/>
      </c>
      <c r="S83" s="7">
        <f>IF($X83="","",R83*Q83)</f>
        <v/>
      </c>
      <c r="T83" s="7">
        <f>IF($X83="","",S83+P83)</f>
        <v/>
      </c>
      <c r="U83" s="7">
        <f>IF($X83="","",V83-T83)</f>
        <v/>
      </c>
      <c r="V83" s="7">
        <f>IF($X83="","",O83+R83+M83)</f>
        <v/>
      </c>
      <c r="W83" s="7">
        <f>IF($X83="","",V83-T83-I83)</f>
        <v/>
      </c>
      <c r="X83" s="13">
        <f>IF(ROWS($X$2:$X83)&lt;=MAX('Per Line'!$AL$2:$AL$3001),MATCH(ROWS($X$2:$X83),'Per Line'!$AL$2:$AL$3001,0),"")</f>
        <v/>
      </c>
    </row>
    <row r="84">
      <c r="A84" s="12" t="n"/>
      <c r="B84">
        <f>IF($X84="","",INDEX('Per Line'!$D$2:$D$3001,$X84)&amp;"")</f>
        <v/>
      </c>
      <c r="C84" s="11">
        <f>IF($X84="","",INDEX('Per Line'!$F$2:$F$3001,$X84))</f>
        <v/>
      </c>
      <c r="D84">
        <f>IF($X84="","",INDEX('Per Line'!$G$2:$G$3001,$X84)&amp;"")</f>
        <v/>
      </c>
      <c r="E84">
        <f>IF($X84="","",INDEX('Per Line'!$I$2:$I$3001,$X84)&amp;"")</f>
        <v/>
      </c>
      <c r="F84">
        <f>IF($X84="","",INDEX('Per Line'!$J$2:$J$3001,$X84)&amp;"")</f>
        <v/>
      </c>
      <c r="G84">
        <f>IF($X84="","",INDEX('Per Line'!$K$2:$K$3001,$X84)&amp;"")</f>
        <v/>
      </c>
      <c r="H84">
        <f>IF($X84="","",INDEX('Per Line'!$M$2:$M$3001,$X84))</f>
        <v/>
      </c>
      <c r="I84" s="7">
        <f>IF($X84="","",H84*V84/100)</f>
        <v/>
      </c>
      <c r="J84">
        <f>IF($X84="","",INDEX('Per Line'!$W$2:$W$3001,$X84)&amp;"")</f>
        <v/>
      </c>
      <c r="K84">
        <f>IF($X84="","",INDEX('Per Line'!$AD$2:$AD$3001,$X84))</f>
        <v/>
      </c>
      <c r="L84">
        <f>IF($X84="","",IF(AND(ISNUMBER(K84),K84&gt;0),V84&gt;K84,FALSE))</f>
        <v/>
      </c>
      <c r="M84" s="7">
        <f>IF($X84="","",SUMIFS('Per Line'!$V$2:$V$3001,'Per Line'!$D$2:$D$3001,$B84,'Per Line'!$AN$2:$AN$3001,1))</f>
        <v/>
      </c>
      <c r="N84">
        <f>IF($X84="","",Settings!$C$7)</f>
        <v/>
      </c>
      <c r="O84" s="7">
        <f>IF($X84="","",SUMIFS('Per Line'!$V$2:$V$3001,'Per Line'!$D$2:$D$3001,$B84,'Per Line'!$AM$2:$AM$3001,0,'Per Line'!$AN$2:$AN$3001,0))</f>
        <v/>
      </c>
      <c r="P84" s="7">
        <f>IF($X84="","",O84*N84)</f>
        <v/>
      </c>
      <c r="Q84">
        <f>IF($X84="","",Settings!$C$6)</f>
        <v/>
      </c>
      <c r="R84" s="7">
        <f>IF($X84="","",SUMIFS('Per Line'!$V$2:$V$3001,'Per Line'!$D$2:$D$3001,$B84,'Per Line'!$AM$2:$AM$3001,1,'Per Line'!$AN$2:$AN$3001,0))</f>
        <v/>
      </c>
      <c r="S84" s="7">
        <f>IF($X84="","",R84*Q84)</f>
        <v/>
      </c>
      <c r="T84" s="7">
        <f>IF($X84="","",S84+P84)</f>
        <v/>
      </c>
      <c r="U84" s="7">
        <f>IF($X84="","",V84-T84)</f>
        <v/>
      </c>
      <c r="V84" s="7">
        <f>IF($X84="","",O84+R84+M84)</f>
        <v/>
      </c>
      <c r="W84" s="7">
        <f>IF($X84="","",V84-T84-I84)</f>
        <v/>
      </c>
      <c r="X84" s="13">
        <f>IF(ROWS($X$2:$X84)&lt;=MAX('Per Line'!$AL$2:$AL$3001),MATCH(ROWS($X$2:$X84),'Per Line'!$AL$2:$AL$3001,0),"")</f>
        <v/>
      </c>
    </row>
    <row r="85">
      <c r="A85" s="12" t="n"/>
      <c r="B85">
        <f>IF($X85="","",INDEX('Per Line'!$D$2:$D$3001,$X85)&amp;"")</f>
        <v/>
      </c>
      <c r="C85" s="11">
        <f>IF($X85="","",INDEX('Per Line'!$F$2:$F$3001,$X85))</f>
        <v/>
      </c>
      <c r="D85">
        <f>IF($X85="","",INDEX('Per Line'!$G$2:$G$3001,$X85)&amp;"")</f>
        <v/>
      </c>
      <c r="E85">
        <f>IF($X85="","",INDEX('Per Line'!$I$2:$I$3001,$X85)&amp;"")</f>
        <v/>
      </c>
      <c r="F85">
        <f>IF($X85="","",INDEX('Per Line'!$J$2:$J$3001,$X85)&amp;"")</f>
        <v/>
      </c>
      <c r="G85">
        <f>IF($X85="","",INDEX('Per Line'!$K$2:$K$3001,$X85)&amp;"")</f>
        <v/>
      </c>
      <c r="H85">
        <f>IF($X85="","",INDEX('Per Line'!$M$2:$M$3001,$X85))</f>
        <v/>
      </c>
      <c r="I85" s="7">
        <f>IF($X85="","",H85*V85/100)</f>
        <v/>
      </c>
      <c r="J85">
        <f>IF($X85="","",INDEX('Per Line'!$W$2:$W$3001,$X85)&amp;"")</f>
        <v/>
      </c>
      <c r="K85">
        <f>IF($X85="","",INDEX('Per Line'!$AD$2:$AD$3001,$X85))</f>
        <v/>
      </c>
      <c r="L85">
        <f>IF($X85="","",IF(AND(ISNUMBER(K85),K85&gt;0),V85&gt;K85,FALSE))</f>
        <v/>
      </c>
      <c r="M85" s="7">
        <f>IF($X85="","",SUMIFS('Per Line'!$V$2:$V$3001,'Per Line'!$D$2:$D$3001,$B85,'Per Line'!$AN$2:$AN$3001,1))</f>
        <v/>
      </c>
      <c r="N85">
        <f>IF($X85="","",Settings!$C$7)</f>
        <v/>
      </c>
      <c r="O85" s="7">
        <f>IF($X85="","",SUMIFS('Per Line'!$V$2:$V$3001,'Per Line'!$D$2:$D$3001,$B85,'Per Line'!$AM$2:$AM$3001,0,'Per Line'!$AN$2:$AN$3001,0))</f>
        <v/>
      </c>
      <c r="P85" s="7">
        <f>IF($X85="","",O85*N85)</f>
        <v/>
      </c>
      <c r="Q85">
        <f>IF($X85="","",Settings!$C$6)</f>
        <v/>
      </c>
      <c r="R85" s="7">
        <f>IF($X85="","",SUMIFS('Per Line'!$V$2:$V$3001,'Per Line'!$D$2:$D$3001,$B85,'Per Line'!$AM$2:$AM$3001,1,'Per Line'!$AN$2:$AN$3001,0))</f>
        <v/>
      </c>
      <c r="S85" s="7">
        <f>IF($X85="","",R85*Q85)</f>
        <v/>
      </c>
      <c r="T85" s="7">
        <f>IF($X85="","",S85+P85)</f>
        <v/>
      </c>
      <c r="U85" s="7">
        <f>IF($X85="","",V85-T85)</f>
        <v/>
      </c>
      <c r="V85" s="7">
        <f>IF($X85="","",O85+R85+M85)</f>
        <v/>
      </c>
      <c r="W85" s="7">
        <f>IF($X85="","",V85-T85-I85)</f>
        <v/>
      </c>
      <c r="X85" s="13">
        <f>IF(ROWS($X$2:$X85)&lt;=MAX('Per Line'!$AL$2:$AL$3001),MATCH(ROWS($X$2:$X85),'Per Line'!$AL$2:$AL$3001,0),"")</f>
        <v/>
      </c>
    </row>
    <row r="86">
      <c r="A86" s="12" t="n"/>
      <c r="B86">
        <f>IF($X86="","",INDEX('Per Line'!$D$2:$D$3001,$X86)&amp;"")</f>
        <v/>
      </c>
      <c r="C86" s="11">
        <f>IF($X86="","",INDEX('Per Line'!$F$2:$F$3001,$X86))</f>
        <v/>
      </c>
      <c r="D86">
        <f>IF($X86="","",INDEX('Per Line'!$G$2:$G$3001,$X86)&amp;"")</f>
        <v/>
      </c>
      <c r="E86">
        <f>IF($X86="","",INDEX('Per Line'!$I$2:$I$3001,$X86)&amp;"")</f>
        <v/>
      </c>
      <c r="F86">
        <f>IF($X86="","",INDEX('Per Line'!$J$2:$J$3001,$X86)&amp;"")</f>
        <v/>
      </c>
      <c r="G86">
        <f>IF($X86="","",INDEX('Per Line'!$K$2:$K$3001,$X86)&amp;"")</f>
        <v/>
      </c>
      <c r="H86">
        <f>IF($X86="","",INDEX('Per Line'!$M$2:$M$3001,$X86))</f>
        <v/>
      </c>
      <c r="I86" s="7">
        <f>IF($X86="","",H86*V86/100)</f>
        <v/>
      </c>
      <c r="J86">
        <f>IF($X86="","",INDEX('Per Line'!$W$2:$W$3001,$X86)&amp;"")</f>
        <v/>
      </c>
      <c r="K86">
        <f>IF($X86="","",INDEX('Per Line'!$AD$2:$AD$3001,$X86))</f>
        <v/>
      </c>
      <c r="L86">
        <f>IF($X86="","",IF(AND(ISNUMBER(K86),K86&gt;0),V86&gt;K86,FALSE))</f>
        <v/>
      </c>
      <c r="M86" s="7">
        <f>IF($X86="","",SUMIFS('Per Line'!$V$2:$V$3001,'Per Line'!$D$2:$D$3001,$B86,'Per Line'!$AN$2:$AN$3001,1))</f>
        <v/>
      </c>
      <c r="N86">
        <f>IF($X86="","",Settings!$C$7)</f>
        <v/>
      </c>
      <c r="O86" s="7">
        <f>IF($X86="","",SUMIFS('Per Line'!$V$2:$V$3001,'Per Line'!$D$2:$D$3001,$B86,'Per Line'!$AM$2:$AM$3001,0,'Per Line'!$AN$2:$AN$3001,0))</f>
        <v/>
      </c>
      <c r="P86" s="7">
        <f>IF($X86="","",O86*N86)</f>
        <v/>
      </c>
      <c r="Q86">
        <f>IF($X86="","",Settings!$C$6)</f>
        <v/>
      </c>
      <c r="R86" s="7">
        <f>IF($X86="","",SUMIFS('Per Line'!$V$2:$V$3001,'Per Line'!$D$2:$D$3001,$B86,'Per Line'!$AM$2:$AM$3001,1,'Per Line'!$AN$2:$AN$3001,0))</f>
        <v/>
      </c>
      <c r="S86" s="7">
        <f>IF($X86="","",R86*Q86)</f>
        <v/>
      </c>
      <c r="T86" s="7">
        <f>IF($X86="","",S86+P86)</f>
        <v/>
      </c>
      <c r="U86" s="7">
        <f>IF($X86="","",V86-T86)</f>
        <v/>
      </c>
      <c r="V86" s="7">
        <f>IF($X86="","",O86+R86+M86)</f>
        <v/>
      </c>
      <c r="W86" s="7">
        <f>IF($X86="","",V86-T86-I86)</f>
        <v/>
      </c>
      <c r="X86" s="13">
        <f>IF(ROWS($X$2:$X86)&lt;=MAX('Per Line'!$AL$2:$AL$3001),MATCH(ROWS($X$2:$X86),'Per Line'!$AL$2:$AL$3001,0),"")</f>
        <v/>
      </c>
    </row>
    <row r="87">
      <c r="A87" s="12" t="n"/>
      <c r="B87">
        <f>IF($X87="","",INDEX('Per Line'!$D$2:$D$3001,$X87)&amp;"")</f>
        <v/>
      </c>
      <c r="C87" s="11">
        <f>IF($X87="","",INDEX('Per Line'!$F$2:$F$3001,$X87))</f>
        <v/>
      </c>
      <c r="D87">
        <f>IF($X87="","",INDEX('Per Line'!$G$2:$G$3001,$X87)&amp;"")</f>
        <v/>
      </c>
      <c r="E87">
        <f>IF($X87="","",INDEX('Per Line'!$I$2:$I$3001,$X87)&amp;"")</f>
        <v/>
      </c>
      <c r="F87">
        <f>IF($X87="","",INDEX('Per Line'!$J$2:$J$3001,$X87)&amp;"")</f>
        <v/>
      </c>
      <c r="G87">
        <f>IF($X87="","",INDEX('Per Line'!$K$2:$K$3001,$X87)&amp;"")</f>
        <v/>
      </c>
      <c r="H87">
        <f>IF($X87="","",INDEX('Per Line'!$M$2:$M$3001,$X87))</f>
        <v/>
      </c>
      <c r="I87" s="7">
        <f>IF($X87="","",H87*V87/100)</f>
        <v/>
      </c>
      <c r="J87">
        <f>IF($X87="","",INDEX('Per Line'!$W$2:$W$3001,$X87)&amp;"")</f>
        <v/>
      </c>
      <c r="K87">
        <f>IF($X87="","",INDEX('Per Line'!$AD$2:$AD$3001,$X87))</f>
        <v/>
      </c>
      <c r="L87">
        <f>IF($X87="","",IF(AND(ISNUMBER(K87),K87&gt;0),V87&gt;K87,FALSE))</f>
        <v/>
      </c>
      <c r="M87" s="7">
        <f>IF($X87="","",SUMIFS('Per Line'!$V$2:$V$3001,'Per Line'!$D$2:$D$3001,$B87,'Per Line'!$AN$2:$AN$3001,1))</f>
        <v/>
      </c>
      <c r="N87">
        <f>IF($X87="","",Settings!$C$7)</f>
        <v/>
      </c>
      <c r="O87" s="7">
        <f>IF($X87="","",SUMIFS('Per Line'!$V$2:$V$3001,'Per Line'!$D$2:$D$3001,$B87,'Per Line'!$AM$2:$AM$3001,0,'Per Line'!$AN$2:$AN$3001,0))</f>
        <v/>
      </c>
      <c r="P87" s="7">
        <f>IF($X87="","",O87*N87)</f>
        <v/>
      </c>
      <c r="Q87">
        <f>IF($X87="","",Settings!$C$6)</f>
        <v/>
      </c>
      <c r="R87" s="7">
        <f>IF($X87="","",SUMIFS('Per Line'!$V$2:$V$3001,'Per Line'!$D$2:$D$3001,$B87,'Per Line'!$AM$2:$AM$3001,1,'Per Line'!$AN$2:$AN$3001,0))</f>
        <v/>
      </c>
      <c r="S87" s="7">
        <f>IF($X87="","",R87*Q87)</f>
        <v/>
      </c>
      <c r="T87" s="7">
        <f>IF($X87="","",S87+P87)</f>
        <v/>
      </c>
      <c r="U87" s="7">
        <f>IF($X87="","",V87-T87)</f>
        <v/>
      </c>
      <c r="V87" s="7">
        <f>IF($X87="","",O87+R87+M87)</f>
        <v/>
      </c>
      <c r="W87" s="7">
        <f>IF($X87="","",V87-T87-I87)</f>
        <v/>
      </c>
      <c r="X87" s="13">
        <f>IF(ROWS($X$2:$X87)&lt;=MAX('Per Line'!$AL$2:$AL$3001),MATCH(ROWS($X$2:$X87),'Per Line'!$AL$2:$AL$3001,0),"")</f>
        <v/>
      </c>
    </row>
    <row r="88">
      <c r="A88" s="12" t="n"/>
      <c r="B88">
        <f>IF($X88="","",INDEX('Per Line'!$D$2:$D$3001,$X88)&amp;"")</f>
        <v/>
      </c>
      <c r="C88" s="11">
        <f>IF($X88="","",INDEX('Per Line'!$F$2:$F$3001,$X88))</f>
        <v/>
      </c>
      <c r="D88">
        <f>IF($X88="","",INDEX('Per Line'!$G$2:$G$3001,$X88)&amp;"")</f>
        <v/>
      </c>
      <c r="E88">
        <f>IF($X88="","",INDEX('Per Line'!$I$2:$I$3001,$X88)&amp;"")</f>
        <v/>
      </c>
      <c r="F88">
        <f>IF($X88="","",INDEX('Per Line'!$J$2:$J$3001,$X88)&amp;"")</f>
        <v/>
      </c>
      <c r="G88">
        <f>IF($X88="","",INDEX('Per Line'!$K$2:$K$3001,$X88)&amp;"")</f>
        <v/>
      </c>
      <c r="H88">
        <f>IF($X88="","",INDEX('Per Line'!$M$2:$M$3001,$X88))</f>
        <v/>
      </c>
      <c r="I88" s="7">
        <f>IF($X88="","",H88*V88/100)</f>
        <v/>
      </c>
      <c r="J88">
        <f>IF($X88="","",INDEX('Per Line'!$W$2:$W$3001,$X88)&amp;"")</f>
        <v/>
      </c>
      <c r="K88">
        <f>IF($X88="","",INDEX('Per Line'!$AD$2:$AD$3001,$X88))</f>
        <v/>
      </c>
      <c r="L88">
        <f>IF($X88="","",IF(AND(ISNUMBER(K88),K88&gt;0),V88&gt;K88,FALSE))</f>
        <v/>
      </c>
      <c r="M88" s="7">
        <f>IF($X88="","",SUMIFS('Per Line'!$V$2:$V$3001,'Per Line'!$D$2:$D$3001,$B88,'Per Line'!$AN$2:$AN$3001,1))</f>
        <v/>
      </c>
      <c r="N88">
        <f>IF($X88="","",Settings!$C$7)</f>
        <v/>
      </c>
      <c r="O88" s="7">
        <f>IF($X88="","",SUMIFS('Per Line'!$V$2:$V$3001,'Per Line'!$D$2:$D$3001,$B88,'Per Line'!$AM$2:$AM$3001,0,'Per Line'!$AN$2:$AN$3001,0))</f>
        <v/>
      </c>
      <c r="P88" s="7">
        <f>IF($X88="","",O88*N88)</f>
        <v/>
      </c>
      <c r="Q88">
        <f>IF($X88="","",Settings!$C$6)</f>
        <v/>
      </c>
      <c r="R88" s="7">
        <f>IF($X88="","",SUMIFS('Per Line'!$V$2:$V$3001,'Per Line'!$D$2:$D$3001,$B88,'Per Line'!$AM$2:$AM$3001,1,'Per Line'!$AN$2:$AN$3001,0))</f>
        <v/>
      </c>
      <c r="S88" s="7">
        <f>IF($X88="","",R88*Q88)</f>
        <v/>
      </c>
      <c r="T88" s="7">
        <f>IF($X88="","",S88+P88)</f>
        <v/>
      </c>
      <c r="U88" s="7">
        <f>IF($X88="","",V88-T88)</f>
        <v/>
      </c>
      <c r="V88" s="7">
        <f>IF($X88="","",O88+R88+M88)</f>
        <v/>
      </c>
      <c r="W88" s="7">
        <f>IF($X88="","",V88-T88-I88)</f>
        <v/>
      </c>
      <c r="X88" s="13">
        <f>IF(ROWS($X$2:$X88)&lt;=MAX('Per Line'!$AL$2:$AL$3001),MATCH(ROWS($X$2:$X88),'Per Line'!$AL$2:$AL$3001,0),"")</f>
        <v/>
      </c>
    </row>
    <row r="89">
      <c r="A89" s="12" t="n"/>
      <c r="B89">
        <f>IF($X89="","",INDEX('Per Line'!$D$2:$D$3001,$X89)&amp;"")</f>
        <v/>
      </c>
      <c r="C89" s="11">
        <f>IF($X89="","",INDEX('Per Line'!$F$2:$F$3001,$X89))</f>
        <v/>
      </c>
      <c r="D89">
        <f>IF($X89="","",INDEX('Per Line'!$G$2:$G$3001,$X89)&amp;"")</f>
        <v/>
      </c>
      <c r="E89">
        <f>IF($X89="","",INDEX('Per Line'!$I$2:$I$3001,$X89)&amp;"")</f>
        <v/>
      </c>
      <c r="F89">
        <f>IF($X89="","",INDEX('Per Line'!$J$2:$J$3001,$X89)&amp;"")</f>
        <v/>
      </c>
      <c r="G89">
        <f>IF($X89="","",INDEX('Per Line'!$K$2:$K$3001,$X89)&amp;"")</f>
        <v/>
      </c>
      <c r="H89">
        <f>IF($X89="","",INDEX('Per Line'!$M$2:$M$3001,$X89))</f>
        <v/>
      </c>
      <c r="I89" s="7">
        <f>IF($X89="","",H89*V89/100)</f>
        <v/>
      </c>
      <c r="J89">
        <f>IF($X89="","",INDEX('Per Line'!$W$2:$W$3001,$X89)&amp;"")</f>
        <v/>
      </c>
      <c r="K89">
        <f>IF($X89="","",INDEX('Per Line'!$AD$2:$AD$3001,$X89))</f>
        <v/>
      </c>
      <c r="L89">
        <f>IF($X89="","",IF(AND(ISNUMBER(K89),K89&gt;0),V89&gt;K89,FALSE))</f>
        <v/>
      </c>
      <c r="M89" s="7">
        <f>IF($X89="","",SUMIFS('Per Line'!$V$2:$V$3001,'Per Line'!$D$2:$D$3001,$B89,'Per Line'!$AN$2:$AN$3001,1))</f>
        <v/>
      </c>
      <c r="N89">
        <f>IF($X89="","",Settings!$C$7)</f>
        <v/>
      </c>
      <c r="O89" s="7">
        <f>IF($X89="","",SUMIFS('Per Line'!$V$2:$V$3001,'Per Line'!$D$2:$D$3001,$B89,'Per Line'!$AM$2:$AM$3001,0,'Per Line'!$AN$2:$AN$3001,0))</f>
        <v/>
      </c>
      <c r="P89" s="7">
        <f>IF($X89="","",O89*N89)</f>
        <v/>
      </c>
      <c r="Q89">
        <f>IF($X89="","",Settings!$C$6)</f>
        <v/>
      </c>
      <c r="R89" s="7">
        <f>IF($X89="","",SUMIFS('Per Line'!$V$2:$V$3001,'Per Line'!$D$2:$D$3001,$B89,'Per Line'!$AM$2:$AM$3001,1,'Per Line'!$AN$2:$AN$3001,0))</f>
        <v/>
      </c>
      <c r="S89" s="7">
        <f>IF($X89="","",R89*Q89)</f>
        <v/>
      </c>
      <c r="T89" s="7">
        <f>IF($X89="","",S89+P89)</f>
        <v/>
      </c>
      <c r="U89" s="7">
        <f>IF($X89="","",V89-T89)</f>
        <v/>
      </c>
      <c r="V89" s="7">
        <f>IF($X89="","",O89+R89+M89)</f>
        <v/>
      </c>
      <c r="W89" s="7">
        <f>IF($X89="","",V89-T89-I89)</f>
        <v/>
      </c>
      <c r="X89" s="13">
        <f>IF(ROWS($X$2:$X89)&lt;=MAX('Per Line'!$AL$2:$AL$3001),MATCH(ROWS($X$2:$X89),'Per Line'!$AL$2:$AL$3001,0),"")</f>
        <v/>
      </c>
    </row>
    <row r="90">
      <c r="A90" s="12" t="n"/>
      <c r="B90">
        <f>IF($X90="","",INDEX('Per Line'!$D$2:$D$3001,$X90)&amp;"")</f>
        <v/>
      </c>
      <c r="C90" s="11">
        <f>IF($X90="","",INDEX('Per Line'!$F$2:$F$3001,$X90))</f>
        <v/>
      </c>
      <c r="D90">
        <f>IF($X90="","",INDEX('Per Line'!$G$2:$G$3001,$X90)&amp;"")</f>
        <v/>
      </c>
      <c r="E90">
        <f>IF($X90="","",INDEX('Per Line'!$I$2:$I$3001,$X90)&amp;"")</f>
        <v/>
      </c>
      <c r="F90">
        <f>IF($X90="","",INDEX('Per Line'!$J$2:$J$3001,$X90)&amp;"")</f>
        <v/>
      </c>
      <c r="G90">
        <f>IF($X90="","",INDEX('Per Line'!$K$2:$K$3001,$X90)&amp;"")</f>
        <v/>
      </c>
      <c r="H90">
        <f>IF($X90="","",INDEX('Per Line'!$M$2:$M$3001,$X90))</f>
        <v/>
      </c>
      <c r="I90" s="7">
        <f>IF($X90="","",H90*V90/100)</f>
        <v/>
      </c>
      <c r="J90">
        <f>IF($X90="","",INDEX('Per Line'!$W$2:$W$3001,$X90)&amp;"")</f>
        <v/>
      </c>
      <c r="K90">
        <f>IF($X90="","",INDEX('Per Line'!$AD$2:$AD$3001,$X90))</f>
        <v/>
      </c>
      <c r="L90">
        <f>IF($X90="","",IF(AND(ISNUMBER(K90),K90&gt;0),V90&gt;K90,FALSE))</f>
        <v/>
      </c>
      <c r="M90" s="7">
        <f>IF($X90="","",SUMIFS('Per Line'!$V$2:$V$3001,'Per Line'!$D$2:$D$3001,$B90,'Per Line'!$AN$2:$AN$3001,1))</f>
        <v/>
      </c>
      <c r="N90">
        <f>IF($X90="","",Settings!$C$7)</f>
        <v/>
      </c>
      <c r="O90" s="7">
        <f>IF($X90="","",SUMIFS('Per Line'!$V$2:$V$3001,'Per Line'!$D$2:$D$3001,$B90,'Per Line'!$AM$2:$AM$3001,0,'Per Line'!$AN$2:$AN$3001,0))</f>
        <v/>
      </c>
      <c r="P90" s="7">
        <f>IF($X90="","",O90*N90)</f>
        <v/>
      </c>
      <c r="Q90">
        <f>IF($X90="","",Settings!$C$6)</f>
        <v/>
      </c>
      <c r="R90" s="7">
        <f>IF($X90="","",SUMIFS('Per Line'!$V$2:$V$3001,'Per Line'!$D$2:$D$3001,$B90,'Per Line'!$AM$2:$AM$3001,1,'Per Line'!$AN$2:$AN$3001,0))</f>
        <v/>
      </c>
      <c r="S90" s="7">
        <f>IF($X90="","",R90*Q90)</f>
        <v/>
      </c>
      <c r="T90" s="7">
        <f>IF($X90="","",S90+P90)</f>
        <v/>
      </c>
      <c r="U90" s="7">
        <f>IF($X90="","",V90-T90)</f>
        <v/>
      </c>
      <c r="V90" s="7">
        <f>IF($X90="","",O90+R90+M90)</f>
        <v/>
      </c>
      <c r="W90" s="7">
        <f>IF($X90="","",V90-T90-I90)</f>
        <v/>
      </c>
      <c r="X90" s="13">
        <f>IF(ROWS($X$2:$X90)&lt;=MAX('Per Line'!$AL$2:$AL$3001),MATCH(ROWS($X$2:$X90),'Per Line'!$AL$2:$AL$3001,0),"")</f>
        <v/>
      </c>
    </row>
    <row r="91">
      <c r="A91" s="12" t="n"/>
      <c r="B91">
        <f>IF($X91="","",INDEX('Per Line'!$D$2:$D$3001,$X91)&amp;"")</f>
        <v/>
      </c>
      <c r="C91" s="11">
        <f>IF($X91="","",INDEX('Per Line'!$F$2:$F$3001,$X91))</f>
        <v/>
      </c>
      <c r="D91">
        <f>IF($X91="","",INDEX('Per Line'!$G$2:$G$3001,$X91)&amp;"")</f>
        <v/>
      </c>
      <c r="E91">
        <f>IF($X91="","",INDEX('Per Line'!$I$2:$I$3001,$X91)&amp;"")</f>
        <v/>
      </c>
      <c r="F91">
        <f>IF($X91="","",INDEX('Per Line'!$J$2:$J$3001,$X91)&amp;"")</f>
        <v/>
      </c>
      <c r="G91">
        <f>IF($X91="","",INDEX('Per Line'!$K$2:$K$3001,$X91)&amp;"")</f>
        <v/>
      </c>
      <c r="H91">
        <f>IF($X91="","",INDEX('Per Line'!$M$2:$M$3001,$X91))</f>
        <v/>
      </c>
      <c r="I91" s="7">
        <f>IF($X91="","",H91*V91/100)</f>
        <v/>
      </c>
      <c r="J91">
        <f>IF($X91="","",INDEX('Per Line'!$W$2:$W$3001,$X91)&amp;"")</f>
        <v/>
      </c>
      <c r="K91">
        <f>IF($X91="","",INDEX('Per Line'!$AD$2:$AD$3001,$X91))</f>
        <v/>
      </c>
      <c r="L91">
        <f>IF($X91="","",IF(AND(ISNUMBER(K91),K91&gt;0),V91&gt;K91,FALSE))</f>
        <v/>
      </c>
      <c r="M91" s="7">
        <f>IF($X91="","",SUMIFS('Per Line'!$V$2:$V$3001,'Per Line'!$D$2:$D$3001,$B91,'Per Line'!$AN$2:$AN$3001,1))</f>
        <v/>
      </c>
      <c r="N91">
        <f>IF($X91="","",Settings!$C$7)</f>
        <v/>
      </c>
      <c r="O91" s="7">
        <f>IF($X91="","",SUMIFS('Per Line'!$V$2:$V$3001,'Per Line'!$D$2:$D$3001,$B91,'Per Line'!$AM$2:$AM$3001,0,'Per Line'!$AN$2:$AN$3001,0))</f>
        <v/>
      </c>
      <c r="P91" s="7">
        <f>IF($X91="","",O91*N91)</f>
        <v/>
      </c>
      <c r="Q91">
        <f>IF($X91="","",Settings!$C$6)</f>
        <v/>
      </c>
      <c r="R91" s="7">
        <f>IF($X91="","",SUMIFS('Per Line'!$V$2:$V$3001,'Per Line'!$D$2:$D$3001,$B91,'Per Line'!$AM$2:$AM$3001,1,'Per Line'!$AN$2:$AN$3001,0))</f>
        <v/>
      </c>
      <c r="S91" s="7">
        <f>IF($X91="","",R91*Q91)</f>
        <v/>
      </c>
      <c r="T91" s="7">
        <f>IF($X91="","",S91+P91)</f>
        <v/>
      </c>
      <c r="U91" s="7">
        <f>IF($X91="","",V91-T91)</f>
        <v/>
      </c>
      <c r="V91" s="7">
        <f>IF($X91="","",O91+R91+M91)</f>
        <v/>
      </c>
      <c r="W91" s="7">
        <f>IF($X91="","",V91-T91-I91)</f>
        <v/>
      </c>
      <c r="X91" s="13">
        <f>IF(ROWS($X$2:$X91)&lt;=MAX('Per Line'!$AL$2:$AL$3001),MATCH(ROWS($X$2:$X91),'Per Line'!$AL$2:$AL$3001,0),"")</f>
        <v/>
      </c>
    </row>
    <row r="92">
      <c r="A92" s="12" t="n"/>
      <c r="B92">
        <f>IF($X92="","",INDEX('Per Line'!$D$2:$D$3001,$X92)&amp;"")</f>
        <v/>
      </c>
      <c r="C92" s="11">
        <f>IF($X92="","",INDEX('Per Line'!$F$2:$F$3001,$X92))</f>
        <v/>
      </c>
      <c r="D92">
        <f>IF($X92="","",INDEX('Per Line'!$G$2:$G$3001,$X92)&amp;"")</f>
        <v/>
      </c>
      <c r="E92">
        <f>IF($X92="","",INDEX('Per Line'!$I$2:$I$3001,$X92)&amp;"")</f>
        <v/>
      </c>
      <c r="F92">
        <f>IF($X92="","",INDEX('Per Line'!$J$2:$J$3001,$X92)&amp;"")</f>
        <v/>
      </c>
      <c r="G92">
        <f>IF($X92="","",INDEX('Per Line'!$K$2:$K$3001,$X92)&amp;"")</f>
        <v/>
      </c>
      <c r="H92">
        <f>IF($X92="","",INDEX('Per Line'!$M$2:$M$3001,$X92))</f>
        <v/>
      </c>
      <c r="I92" s="7">
        <f>IF($X92="","",H92*V92/100)</f>
        <v/>
      </c>
      <c r="J92">
        <f>IF($X92="","",INDEX('Per Line'!$W$2:$W$3001,$X92)&amp;"")</f>
        <v/>
      </c>
      <c r="K92">
        <f>IF($X92="","",INDEX('Per Line'!$AD$2:$AD$3001,$X92))</f>
        <v/>
      </c>
      <c r="L92">
        <f>IF($X92="","",IF(AND(ISNUMBER(K92),K92&gt;0),V92&gt;K92,FALSE))</f>
        <v/>
      </c>
      <c r="M92" s="7">
        <f>IF($X92="","",SUMIFS('Per Line'!$V$2:$V$3001,'Per Line'!$D$2:$D$3001,$B92,'Per Line'!$AN$2:$AN$3001,1))</f>
        <v/>
      </c>
      <c r="N92">
        <f>IF($X92="","",Settings!$C$7)</f>
        <v/>
      </c>
      <c r="O92" s="7">
        <f>IF($X92="","",SUMIFS('Per Line'!$V$2:$V$3001,'Per Line'!$D$2:$D$3001,$B92,'Per Line'!$AM$2:$AM$3001,0,'Per Line'!$AN$2:$AN$3001,0))</f>
        <v/>
      </c>
      <c r="P92" s="7">
        <f>IF($X92="","",O92*N92)</f>
        <v/>
      </c>
      <c r="Q92">
        <f>IF($X92="","",Settings!$C$6)</f>
        <v/>
      </c>
      <c r="R92" s="7">
        <f>IF($X92="","",SUMIFS('Per Line'!$V$2:$V$3001,'Per Line'!$D$2:$D$3001,$B92,'Per Line'!$AM$2:$AM$3001,1,'Per Line'!$AN$2:$AN$3001,0))</f>
        <v/>
      </c>
      <c r="S92" s="7">
        <f>IF($X92="","",R92*Q92)</f>
        <v/>
      </c>
      <c r="T92" s="7">
        <f>IF($X92="","",S92+P92)</f>
        <v/>
      </c>
      <c r="U92" s="7">
        <f>IF($X92="","",V92-T92)</f>
        <v/>
      </c>
      <c r="V92" s="7">
        <f>IF($X92="","",O92+R92+M92)</f>
        <v/>
      </c>
      <c r="W92" s="7">
        <f>IF($X92="","",V92-T92-I92)</f>
        <v/>
      </c>
      <c r="X92" s="13">
        <f>IF(ROWS($X$2:$X92)&lt;=MAX('Per Line'!$AL$2:$AL$3001),MATCH(ROWS($X$2:$X92),'Per Line'!$AL$2:$AL$3001,0),"")</f>
        <v/>
      </c>
    </row>
    <row r="93">
      <c r="A93" s="12" t="n"/>
      <c r="B93">
        <f>IF($X93="","",INDEX('Per Line'!$D$2:$D$3001,$X93)&amp;"")</f>
        <v/>
      </c>
      <c r="C93" s="11">
        <f>IF($X93="","",INDEX('Per Line'!$F$2:$F$3001,$X93))</f>
        <v/>
      </c>
      <c r="D93">
        <f>IF($X93="","",INDEX('Per Line'!$G$2:$G$3001,$X93)&amp;"")</f>
        <v/>
      </c>
      <c r="E93">
        <f>IF($X93="","",INDEX('Per Line'!$I$2:$I$3001,$X93)&amp;"")</f>
        <v/>
      </c>
      <c r="F93">
        <f>IF($X93="","",INDEX('Per Line'!$J$2:$J$3001,$X93)&amp;"")</f>
        <v/>
      </c>
      <c r="G93">
        <f>IF($X93="","",INDEX('Per Line'!$K$2:$K$3001,$X93)&amp;"")</f>
        <v/>
      </c>
      <c r="H93">
        <f>IF($X93="","",INDEX('Per Line'!$M$2:$M$3001,$X93))</f>
        <v/>
      </c>
      <c r="I93" s="7">
        <f>IF($X93="","",H93*V93/100)</f>
        <v/>
      </c>
      <c r="J93">
        <f>IF($X93="","",INDEX('Per Line'!$W$2:$W$3001,$X93)&amp;"")</f>
        <v/>
      </c>
      <c r="K93">
        <f>IF($X93="","",INDEX('Per Line'!$AD$2:$AD$3001,$X93))</f>
        <v/>
      </c>
      <c r="L93">
        <f>IF($X93="","",IF(AND(ISNUMBER(K93),K93&gt;0),V93&gt;K93,FALSE))</f>
        <v/>
      </c>
      <c r="M93" s="7">
        <f>IF($X93="","",SUMIFS('Per Line'!$V$2:$V$3001,'Per Line'!$D$2:$D$3001,$B93,'Per Line'!$AN$2:$AN$3001,1))</f>
        <v/>
      </c>
      <c r="N93">
        <f>IF($X93="","",Settings!$C$7)</f>
        <v/>
      </c>
      <c r="O93" s="7">
        <f>IF($X93="","",SUMIFS('Per Line'!$V$2:$V$3001,'Per Line'!$D$2:$D$3001,$B93,'Per Line'!$AM$2:$AM$3001,0,'Per Line'!$AN$2:$AN$3001,0))</f>
        <v/>
      </c>
      <c r="P93" s="7">
        <f>IF($X93="","",O93*N93)</f>
        <v/>
      </c>
      <c r="Q93">
        <f>IF($X93="","",Settings!$C$6)</f>
        <v/>
      </c>
      <c r="R93" s="7">
        <f>IF($X93="","",SUMIFS('Per Line'!$V$2:$V$3001,'Per Line'!$D$2:$D$3001,$B93,'Per Line'!$AM$2:$AM$3001,1,'Per Line'!$AN$2:$AN$3001,0))</f>
        <v/>
      </c>
      <c r="S93" s="7">
        <f>IF($X93="","",R93*Q93)</f>
        <v/>
      </c>
      <c r="T93" s="7">
        <f>IF($X93="","",S93+P93)</f>
        <v/>
      </c>
      <c r="U93" s="7">
        <f>IF($X93="","",V93-T93)</f>
        <v/>
      </c>
      <c r="V93" s="7">
        <f>IF($X93="","",O93+R93+M93)</f>
        <v/>
      </c>
      <c r="W93" s="7">
        <f>IF($X93="","",V93-T93-I93)</f>
        <v/>
      </c>
      <c r="X93" s="13">
        <f>IF(ROWS($X$2:$X93)&lt;=MAX('Per Line'!$AL$2:$AL$3001),MATCH(ROWS($X$2:$X93),'Per Line'!$AL$2:$AL$3001,0),"")</f>
        <v/>
      </c>
    </row>
    <row r="94">
      <c r="A94" s="12" t="n"/>
      <c r="B94">
        <f>IF($X94="","",INDEX('Per Line'!$D$2:$D$3001,$X94)&amp;"")</f>
        <v/>
      </c>
      <c r="C94" s="11">
        <f>IF($X94="","",INDEX('Per Line'!$F$2:$F$3001,$X94))</f>
        <v/>
      </c>
      <c r="D94">
        <f>IF($X94="","",INDEX('Per Line'!$G$2:$G$3001,$X94)&amp;"")</f>
        <v/>
      </c>
      <c r="E94">
        <f>IF($X94="","",INDEX('Per Line'!$I$2:$I$3001,$X94)&amp;"")</f>
        <v/>
      </c>
      <c r="F94">
        <f>IF($X94="","",INDEX('Per Line'!$J$2:$J$3001,$X94)&amp;"")</f>
        <v/>
      </c>
      <c r="G94">
        <f>IF($X94="","",INDEX('Per Line'!$K$2:$K$3001,$X94)&amp;"")</f>
        <v/>
      </c>
      <c r="H94">
        <f>IF($X94="","",INDEX('Per Line'!$M$2:$M$3001,$X94))</f>
        <v/>
      </c>
      <c r="I94" s="7">
        <f>IF($X94="","",H94*V94/100)</f>
        <v/>
      </c>
      <c r="J94">
        <f>IF($X94="","",INDEX('Per Line'!$W$2:$W$3001,$X94)&amp;"")</f>
        <v/>
      </c>
      <c r="K94">
        <f>IF($X94="","",INDEX('Per Line'!$AD$2:$AD$3001,$X94))</f>
        <v/>
      </c>
      <c r="L94">
        <f>IF($X94="","",IF(AND(ISNUMBER(K94),K94&gt;0),V94&gt;K94,FALSE))</f>
        <v/>
      </c>
      <c r="M94" s="7">
        <f>IF($X94="","",SUMIFS('Per Line'!$V$2:$V$3001,'Per Line'!$D$2:$D$3001,$B94,'Per Line'!$AN$2:$AN$3001,1))</f>
        <v/>
      </c>
      <c r="N94">
        <f>IF($X94="","",Settings!$C$7)</f>
        <v/>
      </c>
      <c r="O94" s="7">
        <f>IF($X94="","",SUMIFS('Per Line'!$V$2:$V$3001,'Per Line'!$D$2:$D$3001,$B94,'Per Line'!$AM$2:$AM$3001,0,'Per Line'!$AN$2:$AN$3001,0))</f>
        <v/>
      </c>
      <c r="P94" s="7">
        <f>IF($X94="","",O94*N94)</f>
        <v/>
      </c>
      <c r="Q94">
        <f>IF($X94="","",Settings!$C$6)</f>
        <v/>
      </c>
      <c r="R94" s="7">
        <f>IF($X94="","",SUMIFS('Per Line'!$V$2:$V$3001,'Per Line'!$D$2:$D$3001,$B94,'Per Line'!$AM$2:$AM$3001,1,'Per Line'!$AN$2:$AN$3001,0))</f>
        <v/>
      </c>
      <c r="S94" s="7">
        <f>IF($X94="","",R94*Q94)</f>
        <v/>
      </c>
      <c r="T94" s="7">
        <f>IF($X94="","",S94+P94)</f>
        <v/>
      </c>
      <c r="U94" s="7">
        <f>IF($X94="","",V94-T94)</f>
        <v/>
      </c>
      <c r="V94" s="7">
        <f>IF($X94="","",O94+R94+M94)</f>
        <v/>
      </c>
      <c r="W94" s="7">
        <f>IF($X94="","",V94-T94-I94)</f>
        <v/>
      </c>
      <c r="X94" s="13">
        <f>IF(ROWS($X$2:$X94)&lt;=MAX('Per Line'!$AL$2:$AL$3001),MATCH(ROWS($X$2:$X94),'Per Line'!$AL$2:$AL$3001,0),"")</f>
        <v/>
      </c>
    </row>
    <row r="95">
      <c r="A95" s="12" t="n"/>
      <c r="B95">
        <f>IF($X95="","",INDEX('Per Line'!$D$2:$D$3001,$X95)&amp;"")</f>
        <v/>
      </c>
      <c r="C95" s="11">
        <f>IF($X95="","",INDEX('Per Line'!$F$2:$F$3001,$X95))</f>
        <v/>
      </c>
      <c r="D95">
        <f>IF($X95="","",INDEX('Per Line'!$G$2:$G$3001,$X95)&amp;"")</f>
        <v/>
      </c>
      <c r="E95">
        <f>IF($X95="","",INDEX('Per Line'!$I$2:$I$3001,$X95)&amp;"")</f>
        <v/>
      </c>
      <c r="F95">
        <f>IF($X95="","",INDEX('Per Line'!$J$2:$J$3001,$X95)&amp;"")</f>
        <v/>
      </c>
      <c r="G95">
        <f>IF($X95="","",INDEX('Per Line'!$K$2:$K$3001,$X95)&amp;"")</f>
        <v/>
      </c>
      <c r="H95">
        <f>IF($X95="","",INDEX('Per Line'!$M$2:$M$3001,$X95))</f>
        <v/>
      </c>
      <c r="I95" s="7">
        <f>IF($X95="","",H95*V95/100)</f>
        <v/>
      </c>
      <c r="J95">
        <f>IF($X95="","",INDEX('Per Line'!$W$2:$W$3001,$X95)&amp;"")</f>
        <v/>
      </c>
      <c r="K95">
        <f>IF($X95="","",INDEX('Per Line'!$AD$2:$AD$3001,$X95))</f>
        <v/>
      </c>
      <c r="L95">
        <f>IF($X95="","",IF(AND(ISNUMBER(K95),K95&gt;0),V95&gt;K95,FALSE))</f>
        <v/>
      </c>
      <c r="M95" s="7">
        <f>IF($X95="","",SUMIFS('Per Line'!$V$2:$V$3001,'Per Line'!$D$2:$D$3001,$B95,'Per Line'!$AN$2:$AN$3001,1))</f>
        <v/>
      </c>
      <c r="N95">
        <f>IF($X95="","",Settings!$C$7)</f>
        <v/>
      </c>
      <c r="O95" s="7">
        <f>IF($X95="","",SUMIFS('Per Line'!$V$2:$V$3001,'Per Line'!$D$2:$D$3001,$B95,'Per Line'!$AM$2:$AM$3001,0,'Per Line'!$AN$2:$AN$3001,0))</f>
        <v/>
      </c>
      <c r="P95" s="7">
        <f>IF($X95="","",O95*N95)</f>
        <v/>
      </c>
      <c r="Q95">
        <f>IF($X95="","",Settings!$C$6)</f>
        <v/>
      </c>
      <c r="R95" s="7">
        <f>IF($X95="","",SUMIFS('Per Line'!$V$2:$V$3001,'Per Line'!$D$2:$D$3001,$B95,'Per Line'!$AM$2:$AM$3001,1,'Per Line'!$AN$2:$AN$3001,0))</f>
        <v/>
      </c>
      <c r="S95" s="7">
        <f>IF($X95="","",R95*Q95)</f>
        <v/>
      </c>
      <c r="T95" s="7">
        <f>IF($X95="","",S95+P95)</f>
        <v/>
      </c>
      <c r="U95" s="7">
        <f>IF($X95="","",V95-T95)</f>
        <v/>
      </c>
      <c r="V95" s="7">
        <f>IF($X95="","",O95+R95+M95)</f>
        <v/>
      </c>
      <c r="W95" s="7">
        <f>IF($X95="","",V95-T95-I95)</f>
        <v/>
      </c>
      <c r="X95" s="13">
        <f>IF(ROWS($X$2:$X95)&lt;=MAX('Per Line'!$AL$2:$AL$3001),MATCH(ROWS($X$2:$X95),'Per Line'!$AL$2:$AL$3001,0),"")</f>
        <v/>
      </c>
    </row>
    <row r="96">
      <c r="A96" s="12" t="n"/>
      <c r="B96">
        <f>IF($X96="","",INDEX('Per Line'!$D$2:$D$3001,$X96)&amp;"")</f>
        <v/>
      </c>
      <c r="C96" s="11">
        <f>IF($X96="","",INDEX('Per Line'!$F$2:$F$3001,$X96))</f>
        <v/>
      </c>
      <c r="D96">
        <f>IF($X96="","",INDEX('Per Line'!$G$2:$G$3001,$X96)&amp;"")</f>
        <v/>
      </c>
      <c r="E96">
        <f>IF($X96="","",INDEX('Per Line'!$I$2:$I$3001,$X96)&amp;"")</f>
        <v/>
      </c>
      <c r="F96">
        <f>IF($X96="","",INDEX('Per Line'!$J$2:$J$3001,$X96)&amp;"")</f>
        <v/>
      </c>
      <c r="G96">
        <f>IF($X96="","",INDEX('Per Line'!$K$2:$K$3001,$X96)&amp;"")</f>
        <v/>
      </c>
      <c r="H96">
        <f>IF($X96="","",INDEX('Per Line'!$M$2:$M$3001,$X96))</f>
        <v/>
      </c>
      <c r="I96" s="7">
        <f>IF($X96="","",H96*V96/100)</f>
        <v/>
      </c>
      <c r="J96">
        <f>IF($X96="","",INDEX('Per Line'!$W$2:$W$3001,$X96)&amp;"")</f>
        <v/>
      </c>
      <c r="K96">
        <f>IF($X96="","",INDEX('Per Line'!$AD$2:$AD$3001,$X96))</f>
        <v/>
      </c>
      <c r="L96">
        <f>IF($X96="","",IF(AND(ISNUMBER(K96),K96&gt;0),V96&gt;K96,FALSE))</f>
        <v/>
      </c>
      <c r="M96" s="7">
        <f>IF($X96="","",SUMIFS('Per Line'!$V$2:$V$3001,'Per Line'!$D$2:$D$3001,$B96,'Per Line'!$AN$2:$AN$3001,1))</f>
        <v/>
      </c>
      <c r="N96">
        <f>IF($X96="","",Settings!$C$7)</f>
        <v/>
      </c>
      <c r="O96" s="7">
        <f>IF($X96="","",SUMIFS('Per Line'!$V$2:$V$3001,'Per Line'!$D$2:$D$3001,$B96,'Per Line'!$AM$2:$AM$3001,0,'Per Line'!$AN$2:$AN$3001,0))</f>
        <v/>
      </c>
      <c r="P96" s="7">
        <f>IF($X96="","",O96*N96)</f>
        <v/>
      </c>
      <c r="Q96">
        <f>IF($X96="","",Settings!$C$6)</f>
        <v/>
      </c>
      <c r="R96" s="7">
        <f>IF($X96="","",SUMIFS('Per Line'!$V$2:$V$3001,'Per Line'!$D$2:$D$3001,$B96,'Per Line'!$AM$2:$AM$3001,1,'Per Line'!$AN$2:$AN$3001,0))</f>
        <v/>
      </c>
      <c r="S96" s="7">
        <f>IF($X96="","",R96*Q96)</f>
        <v/>
      </c>
      <c r="T96" s="7">
        <f>IF($X96="","",S96+P96)</f>
        <v/>
      </c>
      <c r="U96" s="7">
        <f>IF($X96="","",V96-T96)</f>
        <v/>
      </c>
      <c r="V96" s="7">
        <f>IF($X96="","",O96+R96+M96)</f>
        <v/>
      </c>
      <c r="W96" s="7">
        <f>IF($X96="","",V96-T96-I96)</f>
        <v/>
      </c>
      <c r="X96" s="13">
        <f>IF(ROWS($X$2:$X96)&lt;=MAX('Per Line'!$AL$2:$AL$3001),MATCH(ROWS($X$2:$X96),'Per Line'!$AL$2:$AL$3001,0),"")</f>
        <v/>
      </c>
    </row>
    <row r="97">
      <c r="A97" s="12" t="n"/>
      <c r="B97">
        <f>IF($X97="","",INDEX('Per Line'!$D$2:$D$3001,$X97)&amp;"")</f>
        <v/>
      </c>
      <c r="C97" s="11">
        <f>IF($X97="","",INDEX('Per Line'!$F$2:$F$3001,$X97))</f>
        <v/>
      </c>
      <c r="D97">
        <f>IF($X97="","",INDEX('Per Line'!$G$2:$G$3001,$X97)&amp;"")</f>
        <v/>
      </c>
      <c r="E97">
        <f>IF($X97="","",INDEX('Per Line'!$I$2:$I$3001,$X97)&amp;"")</f>
        <v/>
      </c>
      <c r="F97">
        <f>IF($X97="","",INDEX('Per Line'!$J$2:$J$3001,$X97)&amp;"")</f>
        <v/>
      </c>
      <c r="G97">
        <f>IF($X97="","",INDEX('Per Line'!$K$2:$K$3001,$X97)&amp;"")</f>
        <v/>
      </c>
      <c r="H97">
        <f>IF($X97="","",INDEX('Per Line'!$M$2:$M$3001,$X97))</f>
        <v/>
      </c>
      <c r="I97" s="7">
        <f>IF($X97="","",H97*V97/100)</f>
        <v/>
      </c>
      <c r="J97">
        <f>IF($X97="","",INDEX('Per Line'!$W$2:$W$3001,$X97)&amp;"")</f>
        <v/>
      </c>
      <c r="K97">
        <f>IF($X97="","",INDEX('Per Line'!$AD$2:$AD$3001,$X97))</f>
        <v/>
      </c>
      <c r="L97">
        <f>IF($X97="","",IF(AND(ISNUMBER(K97),K97&gt;0),V97&gt;K97,FALSE))</f>
        <v/>
      </c>
      <c r="M97" s="7">
        <f>IF($X97="","",SUMIFS('Per Line'!$V$2:$V$3001,'Per Line'!$D$2:$D$3001,$B97,'Per Line'!$AN$2:$AN$3001,1))</f>
        <v/>
      </c>
      <c r="N97">
        <f>IF($X97="","",Settings!$C$7)</f>
        <v/>
      </c>
      <c r="O97" s="7">
        <f>IF($X97="","",SUMIFS('Per Line'!$V$2:$V$3001,'Per Line'!$D$2:$D$3001,$B97,'Per Line'!$AM$2:$AM$3001,0,'Per Line'!$AN$2:$AN$3001,0))</f>
        <v/>
      </c>
      <c r="P97" s="7">
        <f>IF($X97="","",O97*N97)</f>
        <v/>
      </c>
      <c r="Q97">
        <f>IF($X97="","",Settings!$C$6)</f>
        <v/>
      </c>
      <c r="R97" s="7">
        <f>IF($X97="","",SUMIFS('Per Line'!$V$2:$V$3001,'Per Line'!$D$2:$D$3001,$B97,'Per Line'!$AM$2:$AM$3001,1,'Per Line'!$AN$2:$AN$3001,0))</f>
        <v/>
      </c>
      <c r="S97" s="7">
        <f>IF($X97="","",R97*Q97)</f>
        <v/>
      </c>
      <c r="T97" s="7">
        <f>IF($X97="","",S97+P97)</f>
        <v/>
      </c>
      <c r="U97" s="7">
        <f>IF($X97="","",V97-T97)</f>
        <v/>
      </c>
      <c r="V97" s="7">
        <f>IF($X97="","",O97+R97+M97)</f>
        <v/>
      </c>
      <c r="W97" s="7">
        <f>IF($X97="","",V97-T97-I97)</f>
        <v/>
      </c>
      <c r="X97" s="13">
        <f>IF(ROWS($X$2:$X97)&lt;=MAX('Per Line'!$AL$2:$AL$3001),MATCH(ROWS($X$2:$X97),'Per Line'!$AL$2:$AL$3001,0),"")</f>
        <v/>
      </c>
    </row>
    <row r="98">
      <c r="A98" s="12" t="n"/>
      <c r="B98">
        <f>IF($X98="","",INDEX('Per Line'!$D$2:$D$3001,$X98)&amp;"")</f>
        <v/>
      </c>
      <c r="C98" s="11">
        <f>IF($X98="","",INDEX('Per Line'!$F$2:$F$3001,$X98))</f>
        <v/>
      </c>
      <c r="D98">
        <f>IF($X98="","",INDEX('Per Line'!$G$2:$G$3001,$X98)&amp;"")</f>
        <v/>
      </c>
      <c r="E98">
        <f>IF($X98="","",INDEX('Per Line'!$I$2:$I$3001,$X98)&amp;"")</f>
        <v/>
      </c>
      <c r="F98">
        <f>IF($X98="","",INDEX('Per Line'!$J$2:$J$3001,$X98)&amp;"")</f>
        <v/>
      </c>
      <c r="G98">
        <f>IF($X98="","",INDEX('Per Line'!$K$2:$K$3001,$X98)&amp;"")</f>
        <v/>
      </c>
      <c r="H98">
        <f>IF($X98="","",INDEX('Per Line'!$M$2:$M$3001,$X98))</f>
        <v/>
      </c>
      <c r="I98" s="7">
        <f>IF($X98="","",H98*V98/100)</f>
        <v/>
      </c>
      <c r="J98">
        <f>IF($X98="","",INDEX('Per Line'!$W$2:$W$3001,$X98)&amp;"")</f>
        <v/>
      </c>
      <c r="K98">
        <f>IF($X98="","",INDEX('Per Line'!$AD$2:$AD$3001,$X98))</f>
        <v/>
      </c>
      <c r="L98">
        <f>IF($X98="","",IF(AND(ISNUMBER(K98),K98&gt;0),V98&gt;K98,FALSE))</f>
        <v/>
      </c>
      <c r="M98" s="7">
        <f>IF($X98="","",SUMIFS('Per Line'!$V$2:$V$3001,'Per Line'!$D$2:$D$3001,$B98,'Per Line'!$AN$2:$AN$3001,1))</f>
        <v/>
      </c>
      <c r="N98">
        <f>IF($X98="","",Settings!$C$7)</f>
        <v/>
      </c>
      <c r="O98" s="7">
        <f>IF($X98="","",SUMIFS('Per Line'!$V$2:$V$3001,'Per Line'!$D$2:$D$3001,$B98,'Per Line'!$AM$2:$AM$3001,0,'Per Line'!$AN$2:$AN$3001,0))</f>
        <v/>
      </c>
      <c r="P98" s="7">
        <f>IF($X98="","",O98*N98)</f>
        <v/>
      </c>
      <c r="Q98">
        <f>IF($X98="","",Settings!$C$6)</f>
        <v/>
      </c>
      <c r="R98" s="7">
        <f>IF($X98="","",SUMIFS('Per Line'!$V$2:$V$3001,'Per Line'!$D$2:$D$3001,$B98,'Per Line'!$AM$2:$AM$3001,1,'Per Line'!$AN$2:$AN$3001,0))</f>
        <v/>
      </c>
      <c r="S98" s="7">
        <f>IF($X98="","",R98*Q98)</f>
        <v/>
      </c>
      <c r="T98" s="7">
        <f>IF($X98="","",S98+P98)</f>
        <v/>
      </c>
      <c r="U98" s="7">
        <f>IF($X98="","",V98-T98)</f>
        <v/>
      </c>
      <c r="V98" s="7">
        <f>IF($X98="","",O98+R98+M98)</f>
        <v/>
      </c>
      <c r="W98" s="7">
        <f>IF($X98="","",V98-T98-I98)</f>
        <v/>
      </c>
      <c r="X98" s="13">
        <f>IF(ROWS($X$2:$X98)&lt;=MAX('Per Line'!$AL$2:$AL$3001),MATCH(ROWS($X$2:$X98),'Per Line'!$AL$2:$AL$3001,0),"")</f>
        <v/>
      </c>
    </row>
    <row r="99">
      <c r="A99" s="12" t="n"/>
      <c r="B99">
        <f>IF($X99="","",INDEX('Per Line'!$D$2:$D$3001,$X99)&amp;"")</f>
        <v/>
      </c>
      <c r="C99" s="11">
        <f>IF($X99="","",INDEX('Per Line'!$F$2:$F$3001,$X99))</f>
        <v/>
      </c>
      <c r="D99">
        <f>IF($X99="","",INDEX('Per Line'!$G$2:$G$3001,$X99)&amp;"")</f>
        <v/>
      </c>
      <c r="E99">
        <f>IF($X99="","",INDEX('Per Line'!$I$2:$I$3001,$X99)&amp;"")</f>
        <v/>
      </c>
      <c r="F99">
        <f>IF($X99="","",INDEX('Per Line'!$J$2:$J$3001,$X99)&amp;"")</f>
        <v/>
      </c>
      <c r="G99">
        <f>IF($X99="","",INDEX('Per Line'!$K$2:$K$3001,$X99)&amp;"")</f>
        <v/>
      </c>
      <c r="H99">
        <f>IF($X99="","",INDEX('Per Line'!$M$2:$M$3001,$X99))</f>
        <v/>
      </c>
      <c r="I99" s="7">
        <f>IF($X99="","",H99*V99/100)</f>
        <v/>
      </c>
      <c r="J99">
        <f>IF($X99="","",INDEX('Per Line'!$W$2:$W$3001,$X99)&amp;"")</f>
        <v/>
      </c>
      <c r="K99">
        <f>IF($X99="","",INDEX('Per Line'!$AD$2:$AD$3001,$X99))</f>
        <v/>
      </c>
      <c r="L99">
        <f>IF($X99="","",IF(AND(ISNUMBER(K99),K99&gt;0),V99&gt;K99,FALSE))</f>
        <v/>
      </c>
      <c r="M99" s="7">
        <f>IF($X99="","",SUMIFS('Per Line'!$V$2:$V$3001,'Per Line'!$D$2:$D$3001,$B99,'Per Line'!$AN$2:$AN$3001,1))</f>
        <v/>
      </c>
      <c r="N99">
        <f>IF($X99="","",Settings!$C$7)</f>
        <v/>
      </c>
      <c r="O99" s="7">
        <f>IF($X99="","",SUMIFS('Per Line'!$V$2:$V$3001,'Per Line'!$D$2:$D$3001,$B99,'Per Line'!$AM$2:$AM$3001,0,'Per Line'!$AN$2:$AN$3001,0))</f>
        <v/>
      </c>
      <c r="P99" s="7">
        <f>IF($X99="","",O99*N99)</f>
        <v/>
      </c>
      <c r="Q99">
        <f>IF($X99="","",Settings!$C$6)</f>
        <v/>
      </c>
      <c r="R99" s="7">
        <f>IF($X99="","",SUMIFS('Per Line'!$V$2:$V$3001,'Per Line'!$D$2:$D$3001,$B99,'Per Line'!$AM$2:$AM$3001,1,'Per Line'!$AN$2:$AN$3001,0))</f>
        <v/>
      </c>
      <c r="S99" s="7">
        <f>IF($X99="","",R99*Q99)</f>
        <v/>
      </c>
      <c r="T99" s="7">
        <f>IF($X99="","",S99+P99)</f>
        <v/>
      </c>
      <c r="U99" s="7">
        <f>IF($X99="","",V99-T99)</f>
        <v/>
      </c>
      <c r="V99" s="7">
        <f>IF($X99="","",O99+R99+M99)</f>
        <v/>
      </c>
      <c r="W99" s="7">
        <f>IF($X99="","",V99-T99-I99)</f>
        <v/>
      </c>
      <c r="X99" s="13">
        <f>IF(ROWS($X$2:$X99)&lt;=MAX('Per Line'!$AL$2:$AL$3001),MATCH(ROWS($X$2:$X99),'Per Line'!$AL$2:$AL$3001,0),"")</f>
        <v/>
      </c>
    </row>
    <row r="100">
      <c r="A100" s="12" t="n"/>
      <c r="B100">
        <f>IF($X100="","",INDEX('Per Line'!$D$2:$D$3001,$X100)&amp;"")</f>
        <v/>
      </c>
      <c r="C100" s="11">
        <f>IF($X100="","",INDEX('Per Line'!$F$2:$F$3001,$X100))</f>
        <v/>
      </c>
      <c r="D100">
        <f>IF($X100="","",INDEX('Per Line'!$G$2:$G$3001,$X100)&amp;"")</f>
        <v/>
      </c>
      <c r="E100">
        <f>IF($X100="","",INDEX('Per Line'!$I$2:$I$3001,$X100)&amp;"")</f>
        <v/>
      </c>
      <c r="F100">
        <f>IF($X100="","",INDEX('Per Line'!$J$2:$J$3001,$X100)&amp;"")</f>
        <v/>
      </c>
      <c r="G100">
        <f>IF($X100="","",INDEX('Per Line'!$K$2:$K$3001,$X100)&amp;"")</f>
        <v/>
      </c>
      <c r="H100">
        <f>IF($X100="","",INDEX('Per Line'!$M$2:$M$3001,$X100))</f>
        <v/>
      </c>
      <c r="I100" s="7">
        <f>IF($X100="","",H100*V100/100)</f>
        <v/>
      </c>
      <c r="J100">
        <f>IF($X100="","",INDEX('Per Line'!$W$2:$W$3001,$X100)&amp;"")</f>
        <v/>
      </c>
      <c r="K100">
        <f>IF($X100="","",INDEX('Per Line'!$AD$2:$AD$3001,$X100))</f>
        <v/>
      </c>
      <c r="L100">
        <f>IF($X100="","",IF(AND(ISNUMBER(K100),K100&gt;0),V100&gt;K100,FALSE))</f>
        <v/>
      </c>
      <c r="M100" s="7">
        <f>IF($X100="","",SUMIFS('Per Line'!$V$2:$V$3001,'Per Line'!$D$2:$D$3001,$B100,'Per Line'!$AN$2:$AN$3001,1))</f>
        <v/>
      </c>
      <c r="N100">
        <f>IF($X100="","",Settings!$C$7)</f>
        <v/>
      </c>
      <c r="O100" s="7">
        <f>IF($X100="","",SUMIFS('Per Line'!$V$2:$V$3001,'Per Line'!$D$2:$D$3001,$B100,'Per Line'!$AM$2:$AM$3001,0,'Per Line'!$AN$2:$AN$3001,0))</f>
        <v/>
      </c>
      <c r="P100" s="7">
        <f>IF($X100="","",O100*N100)</f>
        <v/>
      </c>
      <c r="Q100">
        <f>IF($X100="","",Settings!$C$6)</f>
        <v/>
      </c>
      <c r="R100" s="7">
        <f>IF($X100="","",SUMIFS('Per Line'!$V$2:$V$3001,'Per Line'!$D$2:$D$3001,$B100,'Per Line'!$AM$2:$AM$3001,1,'Per Line'!$AN$2:$AN$3001,0))</f>
        <v/>
      </c>
      <c r="S100" s="7">
        <f>IF($X100="","",R100*Q100)</f>
        <v/>
      </c>
      <c r="T100" s="7">
        <f>IF($X100="","",S100+P100)</f>
        <v/>
      </c>
      <c r="U100" s="7">
        <f>IF($X100="","",V100-T100)</f>
        <v/>
      </c>
      <c r="V100" s="7">
        <f>IF($X100="","",O100+R100+M100)</f>
        <v/>
      </c>
      <c r="W100" s="7">
        <f>IF($X100="","",V100-T100-I100)</f>
        <v/>
      </c>
      <c r="X100" s="13">
        <f>IF(ROWS($X$2:$X100)&lt;=MAX('Per Line'!$AL$2:$AL$3001),MATCH(ROWS($X$2:$X100),'Per Line'!$AL$2:$AL$3001,0),"")</f>
        <v/>
      </c>
    </row>
    <row r="101">
      <c r="A101" s="12" t="n"/>
      <c r="B101">
        <f>IF($X101="","",INDEX('Per Line'!$D$2:$D$3001,$X101)&amp;"")</f>
        <v/>
      </c>
      <c r="C101" s="11">
        <f>IF($X101="","",INDEX('Per Line'!$F$2:$F$3001,$X101))</f>
        <v/>
      </c>
      <c r="D101">
        <f>IF($X101="","",INDEX('Per Line'!$G$2:$G$3001,$X101)&amp;"")</f>
        <v/>
      </c>
      <c r="E101">
        <f>IF($X101="","",INDEX('Per Line'!$I$2:$I$3001,$X101)&amp;"")</f>
        <v/>
      </c>
      <c r="F101">
        <f>IF($X101="","",INDEX('Per Line'!$J$2:$J$3001,$X101)&amp;"")</f>
        <v/>
      </c>
      <c r="G101">
        <f>IF($X101="","",INDEX('Per Line'!$K$2:$K$3001,$X101)&amp;"")</f>
        <v/>
      </c>
      <c r="H101">
        <f>IF($X101="","",INDEX('Per Line'!$M$2:$M$3001,$X101))</f>
        <v/>
      </c>
      <c r="I101" s="7">
        <f>IF($X101="","",H101*V101/100)</f>
        <v/>
      </c>
      <c r="J101">
        <f>IF($X101="","",INDEX('Per Line'!$W$2:$W$3001,$X101)&amp;"")</f>
        <v/>
      </c>
      <c r="K101">
        <f>IF($X101="","",INDEX('Per Line'!$AD$2:$AD$3001,$X101))</f>
        <v/>
      </c>
      <c r="L101">
        <f>IF($X101="","",IF(AND(ISNUMBER(K101),K101&gt;0),V101&gt;K101,FALSE))</f>
        <v/>
      </c>
      <c r="M101" s="7">
        <f>IF($X101="","",SUMIFS('Per Line'!$V$2:$V$3001,'Per Line'!$D$2:$D$3001,$B101,'Per Line'!$AN$2:$AN$3001,1))</f>
        <v/>
      </c>
      <c r="N101">
        <f>IF($X101="","",Settings!$C$7)</f>
        <v/>
      </c>
      <c r="O101" s="7">
        <f>IF($X101="","",SUMIFS('Per Line'!$V$2:$V$3001,'Per Line'!$D$2:$D$3001,$B101,'Per Line'!$AM$2:$AM$3001,0,'Per Line'!$AN$2:$AN$3001,0))</f>
        <v/>
      </c>
      <c r="P101" s="7">
        <f>IF($X101="","",O101*N101)</f>
        <v/>
      </c>
      <c r="Q101">
        <f>IF($X101="","",Settings!$C$6)</f>
        <v/>
      </c>
      <c r="R101" s="7">
        <f>IF($X101="","",SUMIFS('Per Line'!$V$2:$V$3001,'Per Line'!$D$2:$D$3001,$B101,'Per Line'!$AM$2:$AM$3001,1,'Per Line'!$AN$2:$AN$3001,0))</f>
        <v/>
      </c>
      <c r="S101" s="7">
        <f>IF($X101="","",R101*Q101)</f>
        <v/>
      </c>
      <c r="T101" s="7">
        <f>IF($X101="","",S101+P101)</f>
        <v/>
      </c>
      <c r="U101" s="7">
        <f>IF($X101="","",V101-T101)</f>
        <v/>
      </c>
      <c r="V101" s="7">
        <f>IF($X101="","",O101+R101+M101)</f>
        <v/>
      </c>
      <c r="W101" s="7">
        <f>IF($X101="","",V101-T101-I101)</f>
        <v/>
      </c>
      <c r="X101" s="13">
        <f>IF(ROWS($X$2:$X101)&lt;=MAX('Per Line'!$AL$2:$AL$3001),MATCH(ROWS($X$2:$X101),'Per Line'!$AL$2:$AL$3001,0),"")</f>
        <v/>
      </c>
    </row>
    <row r="102">
      <c r="A102" s="12" t="n"/>
      <c r="B102">
        <f>IF($X102="","",INDEX('Per Line'!$D$2:$D$3001,$X102)&amp;"")</f>
        <v/>
      </c>
      <c r="C102" s="11">
        <f>IF($X102="","",INDEX('Per Line'!$F$2:$F$3001,$X102))</f>
        <v/>
      </c>
      <c r="D102">
        <f>IF($X102="","",INDEX('Per Line'!$G$2:$G$3001,$X102)&amp;"")</f>
        <v/>
      </c>
      <c r="E102">
        <f>IF($X102="","",INDEX('Per Line'!$I$2:$I$3001,$X102)&amp;"")</f>
        <v/>
      </c>
      <c r="F102">
        <f>IF($X102="","",INDEX('Per Line'!$J$2:$J$3001,$X102)&amp;"")</f>
        <v/>
      </c>
      <c r="G102">
        <f>IF($X102="","",INDEX('Per Line'!$K$2:$K$3001,$X102)&amp;"")</f>
        <v/>
      </c>
      <c r="H102">
        <f>IF($X102="","",INDEX('Per Line'!$M$2:$M$3001,$X102))</f>
        <v/>
      </c>
      <c r="I102" s="7">
        <f>IF($X102="","",H102*V102/100)</f>
        <v/>
      </c>
      <c r="J102">
        <f>IF($X102="","",INDEX('Per Line'!$W$2:$W$3001,$X102)&amp;"")</f>
        <v/>
      </c>
      <c r="K102">
        <f>IF($X102="","",INDEX('Per Line'!$AD$2:$AD$3001,$X102))</f>
        <v/>
      </c>
      <c r="L102">
        <f>IF($X102="","",IF(AND(ISNUMBER(K102),K102&gt;0),V102&gt;K102,FALSE))</f>
        <v/>
      </c>
      <c r="M102" s="7">
        <f>IF($X102="","",SUMIFS('Per Line'!$V$2:$V$3001,'Per Line'!$D$2:$D$3001,$B102,'Per Line'!$AN$2:$AN$3001,1))</f>
        <v/>
      </c>
      <c r="N102">
        <f>IF($X102="","",Settings!$C$7)</f>
        <v/>
      </c>
      <c r="O102" s="7">
        <f>IF($X102="","",SUMIFS('Per Line'!$V$2:$V$3001,'Per Line'!$D$2:$D$3001,$B102,'Per Line'!$AM$2:$AM$3001,0,'Per Line'!$AN$2:$AN$3001,0))</f>
        <v/>
      </c>
      <c r="P102" s="7">
        <f>IF($X102="","",O102*N102)</f>
        <v/>
      </c>
      <c r="Q102">
        <f>IF($X102="","",Settings!$C$6)</f>
        <v/>
      </c>
      <c r="R102" s="7">
        <f>IF($X102="","",SUMIFS('Per Line'!$V$2:$V$3001,'Per Line'!$D$2:$D$3001,$B102,'Per Line'!$AM$2:$AM$3001,1,'Per Line'!$AN$2:$AN$3001,0))</f>
        <v/>
      </c>
      <c r="S102" s="7">
        <f>IF($X102="","",R102*Q102)</f>
        <v/>
      </c>
      <c r="T102" s="7">
        <f>IF($X102="","",S102+P102)</f>
        <v/>
      </c>
      <c r="U102" s="7">
        <f>IF($X102="","",V102-T102)</f>
        <v/>
      </c>
      <c r="V102" s="7">
        <f>IF($X102="","",O102+R102+M102)</f>
        <v/>
      </c>
      <c r="W102" s="7">
        <f>IF($X102="","",V102-T102-I102)</f>
        <v/>
      </c>
      <c r="X102" s="13">
        <f>IF(ROWS($X$2:$X102)&lt;=MAX('Per Line'!$AL$2:$AL$3001),MATCH(ROWS($X$2:$X102),'Per Line'!$AL$2:$AL$3001,0),"")</f>
        <v/>
      </c>
    </row>
    <row r="103">
      <c r="A103" s="12" t="n"/>
      <c r="B103">
        <f>IF($X103="","",INDEX('Per Line'!$D$2:$D$3001,$X103)&amp;"")</f>
        <v/>
      </c>
      <c r="C103" s="11">
        <f>IF($X103="","",INDEX('Per Line'!$F$2:$F$3001,$X103))</f>
        <v/>
      </c>
      <c r="D103">
        <f>IF($X103="","",INDEX('Per Line'!$G$2:$G$3001,$X103)&amp;"")</f>
        <v/>
      </c>
      <c r="E103">
        <f>IF($X103="","",INDEX('Per Line'!$I$2:$I$3001,$X103)&amp;"")</f>
        <v/>
      </c>
      <c r="F103">
        <f>IF($X103="","",INDEX('Per Line'!$J$2:$J$3001,$X103)&amp;"")</f>
        <v/>
      </c>
      <c r="G103">
        <f>IF($X103="","",INDEX('Per Line'!$K$2:$K$3001,$X103)&amp;"")</f>
        <v/>
      </c>
      <c r="H103">
        <f>IF($X103="","",INDEX('Per Line'!$M$2:$M$3001,$X103))</f>
        <v/>
      </c>
      <c r="I103" s="7">
        <f>IF($X103="","",H103*V103/100)</f>
        <v/>
      </c>
      <c r="J103">
        <f>IF($X103="","",INDEX('Per Line'!$W$2:$W$3001,$X103)&amp;"")</f>
        <v/>
      </c>
      <c r="K103">
        <f>IF($X103="","",INDEX('Per Line'!$AD$2:$AD$3001,$X103))</f>
        <v/>
      </c>
      <c r="L103">
        <f>IF($X103="","",IF(AND(ISNUMBER(K103),K103&gt;0),V103&gt;K103,FALSE))</f>
        <v/>
      </c>
      <c r="M103" s="7">
        <f>IF($X103="","",SUMIFS('Per Line'!$V$2:$V$3001,'Per Line'!$D$2:$D$3001,$B103,'Per Line'!$AN$2:$AN$3001,1))</f>
        <v/>
      </c>
      <c r="N103">
        <f>IF($X103="","",Settings!$C$7)</f>
        <v/>
      </c>
      <c r="O103" s="7">
        <f>IF($X103="","",SUMIFS('Per Line'!$V$2:$V$3001,'Per Line'!$D$2:$D$3001,$B103,'Per Line'!$AM$2:$AM$3001,0,'Per Line'!$AN$2:$AN$3001,0))</f>
        <v/>
      </c>
      <c r="P103" s="7">
        <f>IF($X103="","",O103*N103)</f>
        <v/>
      </c>
      <c r="Q103">
        <f>IF($X103="","",Settings!$C$6)</f>
        <v/>
      </c>
      <c r="R103" s="7">
        <f>IF($X103="","",SUMIFS('Per Line'!$V$2:$V$3001,'Per Line'!$D$2:$D$3001,$B103,'Per Line'!$AM$2:$AM$3001,1,'Per Line'!$AN$2:$AN$3001,0))</f>
        <v/>
      </c>
      <c r="S103" s="7">
        <f>IF($X103="","",R103*Q103)</f>
        <v/>
      </c>
      <c r="T103" s="7">
        <f>IF($X103="","",S103+P103)</f>
        <v/>
      </c>
      <c r="U103" s="7">
        <f>IF($X103="","",V103-T103)</f>
        <v/>
      </c>
      <c r="V103" s="7">
        <f>IF($X103="","",O103+R103+M103)</f>
        <v/>
      </c>
      <c r="W103" s="7">
        <f>IF($X103="","",V103-T103-I103)</f>
        <v/>
      </c>
      <c r="X103" s="13">
        <f>IF(ROWS($X$2:$X103)&lt;=MAX('Per Line'!$AL$2:$AL$3001),MATCH(ROWS($X$2:$X103),'Per Line'!$AL$2:$AL$3001,0),"")</f>
        <v/>
      </c>
    </row>
    <row r="104">
      <c r="A104" s="12" t="n"/>
      <c r="B104">
        <f>IF($X104="","",INDEX('Per Line'!$D$2:$D$3001,$X104)&amp;"")</f>
        <v/>
      </c>
      <c r="C104" s="11">
        <f>IF($X104="","",INDEX('Per Line'!$F$2:$F$3001,$X104))</f>
        <v/>
      </c>
      <c r="D104">
        <f>IF($X104="","",INDEX('Per Line'!$G$2:$G$3001,$X104)&amp;"")</f>
        <v/>
      </c>
      <c r="E104">
        <f>IF($X104="","",INDEX('Per Line'!$I$2:$I$3001,$X104)&amp;"")</f>
        <v/>
      </c>
      <c r="F104">
        <f>IF($X104="","",INDEX('Per Line'!$J$2:$J$3001,$X104)&amp;"")</f>
        <v/>
      </c>
      <c r="G104">
        <f>IF($X104="","",INDEX('Per Line'!$K$2:$K$3001,$X104)&amp;"")</f>
        <v/>
      </c>
      <c r="H104">
        <f>IF($X104="","",INDEX('Per Line'!$M$2:$M$3001,$X104))</f>
        <v/>
      </c>
      <c r="I104" s="7">
        <f>IF($X104="","",H104*V104/100)</f>
        <v/>
      </c>
      <c r="J104">
        <f>IF($X104="","",INDEX('Per Line'!$W$2:$W$3001,$X104)&amp;"")</f>
        <v/>
      </c>
      <c r="K104">
        <f>IF($X104="","",INDEX('Per Line'!$AD$2:$AD$3001,$X104))</f>
        <v/>
      </c>
      <c r="L104">
        <f>IF($X104="","",IF(AND(ISNUMBER(K104),K104&gt;0),V104&gt;K104,FALSE))</f>
        <v/>
      </c>
      <c r="M104" s="7">
        <f>IF($X104="","",SUMIFS('Per Line'!$V$2:$V$3001,'Per Line'!$D$2:$D$3001,$B104,'Per Line'!$AN$2:$AN$3001,1))</f>
        <v/>
      </c>
      <c r="N104">
        <f>IF($X104="","",Settings!$C$7)</f>
        <v/>
      </c>
      <c r="O104" s="7">
        <f>IF($X104="","",SUMIFS('Per Line'!$V$2:$V$3001,'Per Line'!$D$2:$D$3001,$B104,'Per Line'!$AM$2:$AM$3001,0,'Per Line'!$AN$2:$AN$3001,0))</f>
        <v/>
      </c>
      <c r="P104" s="7">
        <f>IF($X104="","",O104*N104)</f>
        <v/>
      </c>
      <c r="Q104">
        <f>IF($X104="","",Settings!$C$6)</f>
        <v/>
      </c>
      <c r="R104" s="7">
        <f>IF($X104="","",SUMIFS('Per Line'!$V$2:$V$3001,'Per Line'!$D$2:$D$3001,$B104,'Per Line'!$AM$2:$AM$3001,1,'Per Line'!$AN$2:$AN$3001,0))</f>
        <v/>
      </c>
      <c r="S104" s="7">
        <f>IF($X104="","",R104*Q104)</f>
        <v/>
      </c>
      <c r="T104" s="7">
        <f>IF($X104="","",S104+P104)</f>
        <v/>
      </c>
      <c r="U104" s="7">
        <f>IF($X104="","",V104-T104)</f>
        <v/>
      </c>
      <c r="V104" s="7">
        <f>IF($X104="","",O104+R104+M104)</f>
        <v/>
      </c>
      <c r="W104" s="7">
        <f>IF($X104="","",V104-T104-I104)</f>
        <v/>
      </c>
      <c r="X104" s="13">
        <f>IF(ROWS($X$2:$X104)&lt;=MAX('Per Line'!$AL$2:$AL$3001),MATCH(ROWS($X$2:$X104),'Per Line'!$AL$2:$AL$3001,0),"")</f>
        <v/>
      </c>
    </row>
    <row r="105">
      <c r="A105" s="12" t="n"/>
      <c r="B105">
        <f>IF($X105="","",INDEX('Per Line'!$D$2:$D$3001,$X105)&amp;"")</f>
        <v/>
      </c>
      <c r="C105" s="11">
        <f>IF($X105="","",INDEX('Per Line'!$F$2:$F$3001,$X105))</f>
        <v/>
      </c>
      <c r="D105">
        <f>IF($X105="","",INDEX('Per Line'!$G$2:$G$3001,$X105)&amp;"")</f>
        <v/>
      </c>
      <c r="E105">
        <f>IF($X105="","",INDEX('Per Line'!$I$2:$I$3001,$X105)&amp;"")</f>
        <v/>
      </c>
      <c r="F105">
        <f>IF($X105="","",INDEX('Per Line'!$J$2:$J$3001,$X105)&amp;"")</f>
        <v/>
      </c>
      <c r="G105">
        <f>IF($X105="","",INDEX('Per Line'!$K$2:$K$3001,$X105)&amp;"")</f>
        <v/>
      </c>
      <c r="H105">
        <f>IF($X105="","",INDEX('Per Line'!$M$2:$M$3001,$X105))</f>
        <v/>
      </c>
      <c r="I105" s="7">
        <f>IF($X105="","",H105*V105/100)</f>
        <v/>
      </c>
      <c r="J105">
        <f>IF($X105="","",INDEX('Per Line'!$W$2:$W$3001,$X105)&amp;"")</f>
        <v/>
      </c>
      <c r="K105">
        <f>IF($X105="","",INDEX('Per Line'!$AD$2:$AD$3001,$X105))</f>
        <v/>
      </c>
      <c r="L105">
        <f>IF($X105="","",IF(AND(ISNUMBER(K105),K105&gt;0),V105&gt;K105,FALSE))</f>
        <v/>
      </c>
      <c r="M105" s="7">
        <f>IF($X105="","",SUMIFS('Per Line'!$V$2:$V$3001,'Per Line'!$D$2:$D$3001,$B105,'Per Line'!$AN$2:$AN$3001,1))</f>
        <v/>
      </c>
      <c r="N105">
        <f>IF($X105="","",Settings!$C$7)</f>
        <v/>
      </c>
      <c r="O105" s="7">
        <f>IF($X105="","",SUMIFS('Per Line'!$V$2:$V$3001,'Per Line'!$D$2:$D$3001,$B105,'Per Line'!$AM$2:$AM$3001,0,'Per Line'!$AN$2:$AN$3001,0))</f>
        <v/>
      </c>
      <c r="P105" s="7">
        <f>IF($X105="","",O105*N105)</f>
        <v/>
      </c>
      <c r="Q105">
        <f>IF($X105="","",Settings!$C$6)</f>
        <v/>
      </c>
      <c r="R105" s="7">
        <f>IF($X105="","",SUMIFS('Per Line'!$V$2:$V$3001,'Per Line'!$D$2:$D$3001,$B105,'Per Line'!$AM$2:$AM$3001,1,'Per Line'!$AN$2:$AN$3001,0))</f>
        <v/>
      </c>
      <c r="S105" s="7">
        <f>IF($X105="","",R105*Q105)</f>
        <v/>
      </c>
      <c r="T105" s="7">
        <f>IF($X105="","",S105+P105)</f>
        <v/>
      </c>
      <c r="U105" s="7">
        <f>IF($X105="","",V105-T105)</f>
        <v/>
      </c>
      <c r="V105" s="7">
        <f>IF($X105="","",O105+R105+M105)</f>
        <v/>
      </c>
      <c r="W105" s="7">
        <f>IF($X105="","",V105-T105-I105)</f>
        <v/>
      </c>
      <c r="X105" s="13">
        <f>IF(ROWS($X$2:$X105)&lt;=MAX('Per Line'!$AL$2:$AL$3001),MATCH(ROWS($X$2:$X105),'Per Line'!$AL$2:$AL$3001,0),"")</f>
        <v/>
      </c>
    </row>
    <row r="106">
      <c r="A106" s="12" t="n"/>
      <c r="B106">
        <f>IF($X106="","",INDEX('Per Line'!$D$2:$D$3001,$X106)&amp;"")</f>
        <v/>
      </c>
      <c r="C106" s="11">
        <f>IF($X106="","",INDEX('Per Line'!$F$2:$F$3001,$X106))</f>
        <v/>
      </c>
      <c r="D106">
        <f>IF($X106="","",INDEX('Per Line'!$G$2:$G$3001,$X106)&amp;"")</f>
        <v/>
      </c>
      <c r="E106">
        <f>IF($X106="","",INDEX('Per Line'!$I$2:$I$3001,$X106)&amp;"")</f>
        <v/>
      </c>
      <c r="F106">
        <f>IF($X106="","",INDEX('Per Line'!$J$2:$J$3001,$X106)&amp;"")</f>
        <v/>
      </c>
      <c r="G106">
        <f>IF($X106="","",INDEX('Per Line'!$K$2:$K$3001,$X106)&amp;"")</f>
        <v/>
      </c>
      <c r="H106">
        <f>IF($X106="","",INDEX('Per Line'!$M$2:$M$3001,$X106))</f>
        <v/>
      </c>
      <c r="I106" s="7">
        <f>IF($X106="","",H106*V106/100)</f>
        <v/>
      </c>
      <c r="J106">
        <f>IF($X106="","",INDEX('Per Line'!$W$2:$W$3001,$X106)&amp;"")</f>
        <v/>
      </c>
      <c r="K106">
        <f>IF($X106="","",INDEX('Per Line'!$AD$2:$AD$3001,$X106))</f>
        <v/>
      </c>
      <c r="L106">
        <f>IF($X106="","",IF(AND(ISNUMBER(K106),K106&gt;0),V106&gt;K106,FALSE))</f>
        <v/>
      </c>
      <c r="M106" s="7">
        <f>IF($X106="","",SUMIFS('Per Line'!$V$2:$V$3001,'Per Line'!$D$2:$D$3001,$B106,'Per Line'!$AN$2:$AN$3001,1))</f>
        <v/>
      </c>
      <c r="N106">
        <f>IF($X106="","",Settings!$C$7)</f>
        <v/>
      </c>
      <c r="O106" s="7">
        <f>IF($X106="","",SUMIFS('Per Line'!$V$2:$V$3001,'Per Line'!$D$2:$D$3001,$B106,'Per Line'!$AM$2:$AM$3001,0,'Per Line'!$AN$2:$AN$3001,0))</f>
        <v/>
      </c>
      <c r="P106" s="7">
        <f>IF($X106="","",O106*N106)</f>
        <v/>
      </c>
      <c r="Q106">
        <f>IF($X106="","",Settings!$C$6)</f>
        <v/>
      </c>
      <c r="R106" s="7">
        <f>IF($X106="","",SUMIFS('Per Line'!$V$2:$V$3001,'Per Line'!$D$2:$D$3001,$B106,'Per Line'!$AM$2:$AM$3001,1,'Per Line'!$AN$2:$AN$3001,0))</f>
        <v/>
      </c>
      <c r="S106" s="7">
        <f>IF($X106="","",R106*Q106)</f>
        <v/>
      </c>
      <c r="T106" s="7">
        <f>IF($X106="","",S106+P106)</f>
        <v/>
      </c>
      <c r="U106" s="7">
        <f>IF($X106="","",V106-T106)</f>
        <v/>
      </c>
      <c r="V106" s="7">
        <f>IF($X106="","",O106+R106+M106)</f>
        <v/>
      </c>
      <c r="W106" s="7">
        <f>IF($X106="","",V106-T106-I106)</f>
        <v/>
      </c>
      <c r="X106" s="13">
        <f>IF(ROWS($X$2:$X106)&lt;=MAX('Per Line'!$AL$2:$AL$3001),MATCH(ROWS($X$2:$X106),'Per Line'!$AL$2:$AL$3001,0),"")</f>
        <v/>
      </c>
    </row>
    <row r="107">
      <c r="A107" s="12" t="n"/>
      <c r="B107">
        <f>IF($X107="","",INDEX('Per Line'!$D$2:$D$3001,$X107)&amp;"")</f>
        <v/>
      </c>
      <c r="C107" s="11">
        <f>IF($X107="","",INDEX('Per Line'!$F$2:$F$3001,$X107))</f>
        <v/>
      </c>
      <c r="D107">
        <f>IF($X107="","",INDEX('Per Line'!$G$2:$G$3001,$X107)&amp;"")</f>
        <v/>
      </c>
      <c r="E107">
        <f>IF($X107="","",INDEX('Per Line'!$I$2:$I$3001,$X107)&amp;"")</f>
        <v/>
      </c>
      <c r="F107">
        <f>IF($X107="","",INDEX('Per Line'!$J$2:$J$3001,$X107)&amp;"")</f>
        <v/>
      </c>
      <c r="G107">
        <f>IF($X107="","",INDEX('Per Line'!$K$2:$K$3001,$X107)&amp;"")</f>
        <v/>
      </c>
      <c r="H107">
        <f>IF($X107="","",INDEX('Per Line'!$M$2:$M$3001,$X107))</f>
        <v/>
      </c>
      <c r="I107" s="7">
        <f>IF($X107="","",H107*V107/100)</f>
        <v/>
      </c>
      <c r="J107">
        <f>IF($X107="","",INDEX('Per Line'!$W$2:$W$3001,$X107)&amp;"")</f>
        <v/>
      </c>
      <c r="K107">
        <f>IF($X107="","",INDEX('Per Line'!$AD$2:$AD$3001,$X107))</f>
        <v/>
      </c>
      <c r="L107">
        <f>IF($X107="","",IF(AND(ISNUMBER(K107),K107&gt;0),V107&gt;K107,FALSE))</f>
        <v/>
      </c>
      <c r="M107" s="7">
        <f>IF($X107="","",SUMIFS('Per Line'!$V$2:$V$3001,'Per Line'!$D$2:$D$3001,$B107,'Per Line'!$AN$2:$AN$3001,1))</f>
        <v/>
      </c>
      <c r="N107">
        <f>IF($X107="","",Settings!$C$7)</f>
        <v/>
      </c>
      <c r="O107" s="7">
        <f>IF($X107="","",SUMIFS('Per Line'!$V$2:$V$3001,'Per Line'!$D$2:$D$3001,$B107,'Per Line'!$AM$2:$AM$3001,0,'Per Line'!$AN$2:$AN$3001,0))</f>
        <v/>
      </c>
      <c r="P107" s="7">
        <f>IF($X107="","",O107*N107)</f>
        <v/>
      </c>
      <c r="Q107">
        <f>IF($X107="","",Settings!$C$6)</f>
        <v/>
      </c>
      <c r="R107" s="7">
        <f>IF($X107="","",SUMIFS('Per Line'!$V$2:$V$3001,'Per Line'!$D$2:$D$3001,$B107,'Per Line'!$AM$2:$AM$3001,1,'Per Line'!$AN$2:$AN$3001,0))</f>
        <v/>
      </c>
      <c r="S107" s="7">
        <f>IF($X107="","",R107*Q107)</f>
        <v/>
      </c>
      <c r="T107" s="7">
        <f>IF($X107="","",S107+P107)</f>
        <v/>
      </c>
      <c r="U107" s="7">
        <f>IF($X107="","",V107-T107)</f>
        <v/>
      </c>
      <c r="V107" s="7">
        <f>IF($X107="","",O107+R107+M107)</f>
        <v/>
      </c>
      <c r="W107" s="7">
        <f>IF($X107="","",V107-T107-I107)</f>
        <v/>
      </c>
      <c r="X107" s="13">
        <f>IF(ROWS($X$2:$X107)&lt;=MAX('Per Line'!$AL$2:$AL$3001),MATCH(ROWS($X$2:$X107),'Per Line'!$AL$2:$AL$3001,0),"")</f>
        <v/>
      </c>
    </row>
    <row r="108">
      <c r="A108" s="12" t="n"/>
      <c r="B108">
        <f>IF($X108="","",INDEX('Per Line'!$D$2:$D$3001,$X108)&amp;"")</f>
        <v/>
      </c>
      <c r="C108" s="11">
        <f>IF($X108="","",INDEX('Per Line'!$F$2:$F$3001,$X108))</f>
        <v/>
      </c>
      <c r="D108">
        <f>IF($X108="","",INDEX('Per Line'!$G$2:$G$3001,$X108)&amp;"")</f>
        <v/>
      </c>
      <c r="E108">
        <f>IF($X108="","",INDEX('Per Line'!$I$2:$I$3001,$X108)&amp;"")</f>
        <v/>
      </c>
      <c r="F108">
        <f>IF($X108="","",INDEX('Per Line'!$J$2:$J$3001,$X108)&amp;"")</f>
        <v/>
      </c>
      <c r="G108">
        <f>IF($X108="","",INDEX('Per Line'!$K$2:$K$3001,$X108)&amp;"")</f>
        <v/>
      </c>
      <c r="H108">
        <f>IF($X108="","",INDEX('Per Line'!$M$2:$M$3001,$X108))</f>
        <v/>
      </c>
      <c r="I108" s="7">
        <f>IF($X108="","",H108*V108/100)</f>
        <v/>
      </c>
      <c r="J108">
        <f>IF($X108="","",INDEX('Per Line'!$W$2:$W$3001,$X108)&amp;"")</f>
        <v/>
      </c>
      <c r="K108">
        <f>IF($X108="","",INDEX('Per Line'!$AD$2:$AD$3001,$X108))</f>
        <v/>
      </c>
      <c r="L108">
        <f>IF($X108="","",IF(AND(ISNUMBER(K108),K108&gt;0),V108&gt;K108,FALSE))</f>
        <v/>
      </c>
      <c r="M108" s="7">
        <f>IF($X108="","",SUMIFS('Per Line'!$V$2:$V$3001,'Per Line'!$D$2:$D$3001,$B108,'Per Line'!$AN$2:$AN$3001,1))</f>
        <v/>
      </c>
      <c r="N108">
        <f>IF($X108="","",Settings!$C$7)</f>
        <v/>
      </c>
      <c r="O108" s="7">
        <f>IF($X108="","",SUMIFS('Per Line'!$V$2:$V$3001,'Per Line'!$D$2:$D$3001,$B108,'Per Line'!$AM$2:$AM$3001,0,'Per Line'!$AN$2:$AN$3001,0))</f>
        <v/>
      </c>
      <c r="P108" s="7">
        <f>IF($X108="","",O108*N108)</f>
        <v/>
      </c>
      <c r="Q108">
        <f>IF($X108="","",Settings!$C$6)</f>
        <v/>
      </c>
      <c r="R108" s="7">
        <f>IF($X108="","",SUMIFS('Per Line'!$V$2:$V$3001,'Per Line'!$D$2:$D$3001,$B108,'Per Line'!$AM$2:$AM$3001,1,'Per Line'!$AN$2:$AN$3001,0))</f>
        <v/>
      </c>
      <c r="S108" s="7">
        <f>IF($X108="","",R108*Q108)</f>
        <v/>
      </c>
      <c r="T108" s="7">
        <f>IF($X108="","",S108+P108)</f>
        <v/>
      </c>
      <c r="U108" s="7">
        <f>IF($X108="","",V108-T108)</f>
        <v/>
      </c>
      <c r="V108" s="7">
        <f>IF($X108="","",O108+R108+M108)</f>
        <v/>
      </c>
      <c r="W108" s="7">
        <f>IF($X108="","",V108-T108-I108)</f>
        <v/>
      </c>
      <c r="X108" s="13">
        <f>IF(ROWS($X$2:$X108)&lt;=MAX('Per Line'!$AL$2:$AL$3001),MATCH(ROWS($X$2:$X108),'Per Line'!$AL$2:$AL$3001,0),"")</f>
        <v/>
      </c>
    </row>
    <row r="109">
      <c r="A109" s="12" t="n"/>
      <c r="B109">
        <f>IF($X109="","",INDEX('Per Line'!$D$2:$D$3001,$X109)&amp;"")</f>
        <v/>
      </c>
      <c r="C109" s="11">
        <f>IF($X109="","",INDEX('Per Line'!$F$2:$F$3001,$X109))</f>
        <v/>
      </c>
      <c r="D109">
        <f>IF($X109="","",INDEX('Per Line'!$G$2:$G$3001,$X109)&amp;"")</f>
        <v/>
      </c>
      <c r="E109">
        <f>IF($X109="","",INDEX('Per Line'!$I$2:$I$3001,$X109)&amp;"")</f>
        <v/>
      </c>
      <c r="F109">
        <f>IF($X109="","",INDEX('Per Line'!$J$2:$J$3001,$X109)&amp;"")</f>
        <v/>
      </c>
      <c r="G109">
        <f>IF($X109="","",INDEX('Per Line'!$K$2:$K$3001,$X109)&amp;"")</f>
        <v/>
      </c>
      <c r="H109">
        <f>IF($X109="","",INDEX('Per Line'!$M$2:$M$3001,$X109))</f>
        <v/>
      </c>
      <c r="I109" s="7">
        <f>IF($X109="","",H109*V109/100)</f>
        <v/>
      </c>
      <c r="J109">
        <f>IF($X109="","",INDEX('Per Line'!$W$2:$W$3001,$X109)&amp;"")</f>
        <v/>
      </c>
      <c r="K109">
        <f>IF($X109="","",INDEX('Per Line'!$AD$2:$AD$3001,$X109))</f>
        <v/>
      </c>
      <c r="L109">
        <f>IF($X109="","",IF(AND(ISNUMBER(K109),K109&gt;0),V109&gt;K109,FALSE))</f>
        <v/>
      </c>
      <c r="M109" s="7">
        <f>IF($X109="","",SUMIFS('Per Line'!$V$2:$V$3001,'Per Line'!$D$2:$D$3001,$B109,'Per Line'!$AN$2:$AN$3001,1))</f>
        <v/>
      </c>
      <c r="N109">
        <f>IF($X109="","",Settings!$C$7)</f>
        <v/>
      </c>
      <c r="O109" s="7">
        <f>IF($X109="","",SUMIFS('Per Line'!$V$2:$V$3001,'Per Line'!$D$2:$D$3001,$B109,'Per Line'!$AM$2:$AM$3001,0,'Per Line'!$AN$2:$AN$3001,0))</f>
        <v/>
      </c>
      <c r="P109" s="7">
        <f>IF($X109="","",O109*N109)</f>
        <v/>
      </c>
      <c r="Q109">
        <f>IF($X109="","",Settings!$C$6)</f>
        <v/>
      </c>
      <c r="R109" s="7">
        <f>IF($X109="","",SUMIFS('Per Line'!$V$2:$V$3001,'Per Line'!$D$2:$D$3001,$B109,'Per Line'!$AM$2:$AM$3001,1,'Per Line'!$AN$2:$AN$3001,0))</f>
        <v/>
      </c>
      <c r="S109" s="7">
        <f>IF($X109="","",R109*Q109)</f>
        <v/>
      </c>
      <c r="T109" s="7">
        <f>IF($X109="","",S109+P109)</f>
        <v/>
      </c>
      <c r="U109" s="7">
        <f>IF($X109="","",V109-T109)</f>
        <v/>
      </c>
      <c r="V109" s="7">
        <f>IF($X109="","",O109+R109+M109)</f>
        <v/>
      </c>
      <c r="W109" s="7">
        <f>IF($X109="","",V109-T109-I109)</f>
        <v/>
      </c>
      <c r="X109" s="13">
        <f>IF(ROWS($X$2:$X109)&lt;=MAX('Per Line'!$AL$2:$AL$3001),MATCH(ROWS($X$2:$X109),'Per Line'!$AL$2:$AL$3001,0),"")</f>
        <v/>
      </c>
    </row>
    <row r="110">
      <c r="A110" s="12" t="n"/>
      <c r="B110">
        <f>IF($X110="","",INDEX('Per Line'!$D$2:$D$3001,$X110)&amp;"")</f>
        <v/>
      </c>
      <c r="C110" s="11">
        <f>IF($X110="","",INDEX('Per Line'!$F$2:$F$3001,$X110))</f>
        <v/>
      </c>
      <c r="D110">
        <f>IF($X110="","",INDEX('Per Line'!$G$2:$G$3001,$X110)&amp;"")</f>
        <v/>
      </c>
      <c r="E110">
        <f>IF($X110="","",INDEX('Per Line'!$I$2:$I$3001,$X110)&amp;"")</f>
        <v/>
      </c>
      <c r="F110">
        <f>IF($X110="","",INDEX('Per Line'!$J$2:$J$3001,$X110)&amp;"")</f>
        <v/>
      </c>
      <c r="G110">
        <f>IF($X110="","",INDEX('Per Line'!$K$2:$K$3001,$X110)&amp;"")</f>
        <v/>
      </c>
      <c r="H110">
        <f>IF($X110="","",INDEX('Per Line'!$M$2:$M$3001,$X110))</f>
        <v/>
      </c>
      <c r="I110" s="7">
        <f>IF($X110="","",H110*V110/100)</f>
        <v/>
      </c>
      <c r="J110">
        <f>IF($X110="","",INDEX('Per Line'!$W$2:$W$3001,$X110)&amp;"")</f>
        <v/>
      </c>
      <c r="K110">
        <f>IF($X110="","",INDEX('Per Line'!$AD$2:$AD$3001,$X110))</f>
        <v/>
      </c>
      <c r="L110">
        <f>IF($X110="","",IF(AND(ISNUMBER(K110),K110&gt;0),V110&gt;K110,FALSE))</f>
        <v/>
      </c>
      <c r="M110" s="7">
        <f>IF($X110="","",SUMIFS('Per Line'!$V$2:$V$3001,'Per Line'!$D$2:$D$3001,$B110,'Per Line'!$AN$2:$AN$3001,1))</f>
        <v/>
      </c>
      <c r="N110">
        <f>IF($X110="","",Settings!$C$7)</f>
        <v/>
      </c>
      <c r="O110" s="7">
        <f>IF($X110="","",SUMIFS('Per Line'!$V$2:$V$3001,'Per Line'!$D$2:$D$3001,$B110,'Per Line'!$AM$2:$AM$3001,0,'Per Line'!$AN$2:$AN$3001,0))</f>
        <v/>
      </c>
      <c r="P110" s="7">
        <f>IF($X110="","",O110*N110)</f>
        <v/>
      </c>
      <c r="Q110">
        <f>IF($X110="","",Settings!$C$6)</f>
        <v/>
      </c>
      <c r="R110" s="7">
        <f>IF($X110="","",SUMIFS('Per Line'!$V$2:$V$3001,'Per Line'!$D$2:$D$3001,$B110,'Per Line'!$AM$2:$AM$3001,1,'Per Line'!$AN$2:$AN$3001,0))</f>
        <v/>
      </c>
      <c r="S110" s="7">
        <f>IF($X110="","",R110*Q110)</f>
        <v/>
      </c>
      <c r="T110" s="7">
        <f>IF($X110="","",S110+P110)</f>
        <v/>
      </c>
      <c r="U110" s="7">
        <f>IF($X110="","",V110-T110)</f>
        <v/>
      </c>
      <c r="V110" s="7">
        <f>IF($X110="","",O110+R110+M110)</f>
        <v/>
      </c>
      <c r="W110" s="7">
        <f>IF($X110="","",V110-T110-I110)</f>
        <v/>
      </c>
      <c r="X110" s="13">
        <f>IF(ROWS($X$2:$X110)&lt;=MAX('Per Line'!$AL$2:$AL$3001),MATCH(ROWS($X$2:$X110),'Per Line'!$AL$2:$AL$3001,0),"")</f>
        <v/>
      </c>
    </row>
    <row r="111">
      <c r="A111" s="12" t="n"/>
      <c r="B111">
        <f>IF($X111="","",INDEX('Per Line'!$D$2:$D$3001,$X111)&amp;"")</f>
        <v/>
      </c>
      <c r="C111" s="11">
        <f>IF($X111="","",INDEX('Per Line'!$F$2:$F$3001,$X111))</f>
        <v/>
      </c>
      <c r="D111">
        <f>IF($X111="","",INDEX('Per Line'!$G$2:$G$3001,$X111)&amp;"")</f>
        <v/>
      </c>
      <c r="E111">
        <f>IF($X111="","",INDEX('Per Line'!$I$2:$I$3001,$X111)&amp;"")</f>
        <v/>
      </c>
      <c r="F111">
        <f>IF($X111="","",INDEX('Per Line'!$J$2:$J$3001,$X111)&amp;"")</f>
        <v/>
      </c>
      <c r="G111">
        <f>IF($X111="","",INDEX('Per Line'!$K$2:$K$3001,$X111)&amp;"")</f>
        <v/>
      </c>
      <c r="H111">
        <f>IF($X111="","",INDEX('Per Line'!$M$2:$M$3001,$X111))</f>
        <v/>
      </c>
      <c r="I111" s="7">
        <f>IF($X111="","",H111*V111/100)</f>
        <v/>
      </c>
      <c r="J111">
        <f>IF($X111="","",INDEX('Per Line'!$W$2:$W$3001,$X111)&amp;"")</f>
        <v/>
      </c>
      <c r="K111">
        <f>IF($X111="","",INDEX('Per Line'!$AD$2:$AD$3001,$X111))</f>
        <v/>
      </c>
      <c r="L111">
        <f>IF($X111="","",IF(AND(ISNUMBER(K111),K111&gt;0),V111&gt;K111,FALSE))</f>
        <v/>
      </c>
      <c r="M111" s="7">
        <f>IF($X111="","",SUMIFS('Per Line'!$V$2:$V$3001,'Per Line'!$D$2:$D$3001,$B111,'Per Line'!$AN$2:$AN$3001,1))</f>
        <v/>
      </c>
      <c r="N111">
        <f>IF($X111="","",Settings!$C$7)</f>
        <v/>
      </c>
      <c r="O111" s="7">
        <f>IF($X111="","",SUMIFS('Per Line'!$V$2:$V$3001,'Per Line'!$D$2:$D$3001,$B111,'Per Line'!$AM$2:$AM$3001,0,'Per Line'!$AN$2:$AN$3001,0))</f>
        <v/>
      </c>
      <c r="P111" s="7">
        <f>IF($X111="","",O111*N111)</f>
        <v/>
      </c>
      <c r="Q111">
        <f>IF($X111="","",Settings!$C$6)</f>
        <v/>
      </c>
      <c r="R111" s="7">
        <f>IF($X111="","",SUMIFS('Per Line'!$V$2:$V$3001,'Per Line'!$D$2:$D$3001,$B111,'Per Line'!$AM$2:$AM$3001,1,'Per Line'!$AN$2:$AN$3001,0))</f>
        <v/>
      </c>
      <c r="S111" s="7">
        <f>IF($X111="","",R111*Q111)</f>
        <v/>
      </c>
      <c r="T111" s="7">
        <f>IF($X111="","",S111+P111)</f>
        <v/>
      </c>
      <c r="U111" s="7">
        <f>IF($X111="","",V111-T111)</f>
        <v/>
      </c>
      <c r="V111" s="7">
        <f>IF($X111="","",O111+R111+M111)</f>
        <v/>
      </c>
      <c r="W111" s="7">
        <f>IF($X111="","",V111-T111-I111)</f>
        <v/>
      </c>
      <c r="X111" s="13">
        <f>IF(ROWS($X$2:$X111)&lt;=MAX('Per Line'!$AL$2:$AL$3001),MATCH(ROWS($X$2:$X111),'Per Line'!$AL$2:$AL$3001,0),"")</f>
        <v/>
      </c>
    </row>
    <row r="112">
      <c r="A112" s="12" t="n"/>
      <c r="B112">
        <f>IF($X112="","",INDEX('Per Line'!$D$2:$D$3001,$X112)&amp;"")</f>
        <v/>
      </c>
      <c r="C112" s="11">
        <f>IF($X112="","",INDEX('Per Line'!$F$2:$F$3001,$X112))</f>
        <v/>
      </c>
      <c r="D112">
        <f>IF($X112="","",INDEX('Per Line'!$G$2:$G$3001,$X112)&amp;"")</f>
        <v/>
      </c>
      <c r="E112">
        <f>IF($X112="","",INDEX('Per Line'!$I$2:$I$3001,$X112)&amp;"")</f>
        <v/>
      </c>
      <c r="F112">
        <f>IF($X112="","",INDEX('Per Line'!$J$2:$J$3001,$X112)&amp;"")</f>
        <v/>
      </c>
      <c r="G112">
        <f>IF($X112="","",INDEX('Per Line'!$K$2:$K$3001,$X112)&amp;"")</f>
        <v/>
      </c>
      <c r="H112">
        <f>IF($X112="","",INDEX('Per Line'!$M$2:$M$3001,$X112))</f>
        <v/>
      </c>
      <c r="I112" s="7">
        <f>IF($X112="","",H112*V112/100)</f>
        <v/>
      </c>
      <c r="J112">
        <f>IF($X112="","",INDEX('Per Line'!$W$2:$W$3001,$X112)&amp;"")</f>
        <v/>
      </c>
      <c r="K112">
        <f>IF($X112="","",INDEX('Per Line'!$AD$2:$AD$3001,$X112))</f>
        <v/>
      </c>
      <c r="L112">
        <f>IF($X112="","",IF(AND(ISNUMBER(K112),K112&gt;0),V112&gt;K112,FALSE))</f>
        <v/>
      </c>
      <c r="M112" s="7">
        <f>IF($X112="","",SUMIFS('Per Line'!$V$2:$V$3001,'Per Line'!$D$2:$D$3001,$B112,'Per Line'!$AN$2:$AN$3001,1))</f>
        <v/>
      </c>
      <c r="N112">
        <f>IF($X112="","",Settings!$C$7)</f>
        <v/>
      </c>
      <c r="O112" s="7">
        <f>IF($X112="","",SUMIFS('Per Line'!$V$2:$V$3001,'Per Line'!$D$2:$D$3001,$B112,'Per Line'!$AM$2:$AM$3001,0,'Per Line'!$AN$2:$AN$3001,0))</f>
        <v/>
      </c>
      <c r="P112" s="7">
        <f>IF($X112="","",O112*N112)</f>
        <v/>
      </c>
      <c r="Q112">
        <f>IF($X112="","",Settings!$C$6)</f>
        <v/>
      </c>
      <c r="R112" s="7">
        <f>IF($X112="","",SUMIFS('Per Line'!$V$2:$V$3001,'Per Line'!$D$2:$D$3001,$B112,'Per Line'!$AM$2:$AM$3001,1,'Per Line'!$AN$2:$AN$3001,0))</f>
        <v/>
      </c>
      <c r="S112" s="7">
        <f>IF($X112="","",R112*Q112)</f>
        <v/>
      </c>
      <c r="T112" s="7">
        <f>IF($X112="","",S112+P112)</f>
        <v/>
      </c>
      <c r="U112" s="7">
        <f>IF($X112="","",V112-T112)</f>
        <v/>
      </c>
      <c r="V112" s="7">
        <f>IF($X112="","",O112+R112+M112)</f>
        <v/>
      </c>
      <c r="W112" s="7">
        <f>IF($X112="","",V112-T112-I112)</f>
        <v/>
      </c>
      <c r="X112" s="13">
        <f>IF(ROWS($X$2:$X112)&lt;=MAX('Per Line'!$AL$2:$AL$3001),MATCH(ROWS($X$2:$X112),'Per Line'!$AL$2:$AL$3001,0),"")</f>
        <v/>
      </c>
    </row>
    <row r="113">
      <c r="A113" s="12" t="n"/>
      <c r="B113">
        <f>IF($X113="","",INDEX('Per Line'!$D$2:$D$3001,$X113)&amp;"")</f>
        <v/>
      </c>
      <c r="C113" s="11">
        <f>IF($X113="","",INDEX('Per Line'!$F$2:$F$3001,$X113))</f>
        <v/>
      </c>
      <c r="D113">
        <f>IF($X113="","",INDEX('Per Line'!$G$2:$G$3001,$X113)&amp;"")</f>
        <v/>
      </c>
      <c r="E113">
        <f>IF($X113="","",INDEX('Per Line'!$I$2:$I$3001,$X113)&amp;"")</f>
        <v/>
      </c>
      <c r="F113">
        <f>IF($X113="","",INDEX('Per Line'!$J$2:$J$3001,$X113)&amp;"")</f>
        <v/>
      </c>
      <c r="G113">
        <f>IF($X113="","",INDEX('Per Line'!$K$2:$K$3001,$X113)&amp;"")</f>
        <v/>
      </c>
      <c r="H113">
        <f>IF($X113="","",INDEX('Per Line'!$M$2:$M$3001,$X113))</f>
        <v/>
      </c>
      <c r="I113" s="7">
        <f>IF($X113="","",H113*V113/100)</f>
        <v/>
      </c>
      <c r="J113">
        <f>IF($X113="","",INDEX('Per Line'!$W$2:$W$3001,$X113)&amp;"")</f>
        <v/>
      </c>
      <c r="K113">
        <f>IF($X113="","",INDEX('Per Line'!$AD$2:$AD$3001,$X113))</f>
        <v/>
      </c>
      <c r="L113">
        <f>IF($X113="","",IF(AND(ISNUMBER(K113),K113&gt;0),V113&gt;K113,FALSE))</f>
        <v/>
      </c>
      <c r="M113" s="7">
        <f>IF($X113="","",SUMIFS('Per Line'!$V$2:$V$3001,'Per Line'!$D$2:$D$3001,$B113,'Per Line'!$AN$2:$AN$3001,1))</f>
        <v/>
      </c>
      <c r="N113">
        <f>IF($X113="","",Settings!$C$7)</f>
        <v/>
      </c>
      <c r="O113" s="7">
        <f>IF($X113="","",SUMIFS('Per Line'!$V$2:$V$3001,'Per Line'!$D$2:$D$3001,$B113,'Per Line'!$AM$2:$AM$3001,0,'Per Line'!$AN$2:$AN$3001,0))</f>
        <v/>
      </c>
      <c r="P113" s="7">
        <f>IF($X113="","",O113*N113)</f>
        <v/>
      </c>
      <c r="Q113">
        <f>IF($X113="","",Settings!$C$6)</f>
        <v/>
      </c>
      <c r="R113" s="7">
        <f>IF($X113="","",SUMIFS('Per Line'!$V$2:$V$3001,'Per Line'!$D$2:$D$3001,$B113,'Per Line'!$AM$2:$AM$3001,1,'Per Line'!$AN$2:$AN$3001,0))</f>
        <v/>
      </c>
      <c r="S113" s="7">
        <f>IF($X113="","",R113*Q113)</f>
        <v/>
      </c>
      <c r="T113" s="7">
        <f>IF($X113="","",S113+P113)</f>
        <v/>
      </c>
      <c r="U113" s="7">
        <f>IF($X113="","",V113-T113)</f>
        <v/>
      </c>
      <c r="V113" s="7">
        <f>IF($X113="","",O113+R113+M113)</f>
        <v/>
      </c>
      <c r="W113" s="7">
        <f>IF($X113="","",V113-T113-I113)</f>
        <v/>
      </c>
      <c r="X113" s="13">
        <f>IF(ROWS($X$2:$X113)&lt;=MAX('Per Line'!$AL$2:$AL$3001),MATCH(ROWS($X$2:$X113),'Per Line'!$AL$2:$AL$3001,0),"")</f>
        <v/>
      </c>
    </row>
    <row r="114">
      <c r="A114" s="12" t="n"/>
      <c r="B114">
        <f>IF($X114="","",INDEX('Per Line'!$D$2:$D$3001,$X114)&amp;"")</f>
        <v/>
      </c>
      <c r="C114" s="11">
        <f>IF($X114="","",INDEX('Per Line'!$F$2:$F$3001,$X114))</f>
        <v/>
      </c>
      <c r="D114">
        <f>IF($X114="","",INDEX('Per Line'!$G$2:$G$3001,$X114)&amp;"")</f>
        <v/>
      </c>
      <c r="E114">
        <f>IF($X114="","",INDEX('Per Line'!$I$2:$I$3001,$X114)&amp;"")</f>
        <v/>
      </c>
      <c r="F114">
        <f>IF($X114="","",INDEX('Per Line'!$J$2:$J$3001,$X114)&amp;"")</f>
        <v/>
      </c>
      <c r="G114">
        <f>IF($X114="","",INDEX('Per Line'!$K$2:$K$3001,$X114)&amp;"")</f>
        <v/>
      </c>
      <c r="H114">
        <f>IF($X114="","",INDEX('Per Line'!$M$2:$M$3001,$X114))</f>
        <v/>
      </c>
      <c r="I114" s="7">
        <f>IF($X114="","",H114*V114/100)</f>
        <v/>
      </c>
      <c r="J114">
        <f>IF($X114="","",INDEX('Per Line'!$W$2:$W$3001,$X114)&amp;"")</f>
        <v/>
      </c>
      <c r="K114">
        <f>IF($X114="","",INDEX('Per Line'!$AD$2:$AD$3001,$X114))</f>
        <v/>
      </c>
      <c r="L114">
        <f>IF($X114="","",IF(AND(ISNUMBER(K114),K114&gt;0),V114&gt;K114,FALSE))</f>
        <v/>
      </c>
      <c r="M114" s="7">
        <f>IF($X114="","",SUMIFS('Per Line'!$V$2:$V$3001,'Per Line'!$D$2:$D$3001,$B114,'Per Line'!$AN$2:$AN$3001,1))</f>
        <v/>
      </c>
      <c r="N114">
        <f>IF($X114="","",Settings!$C$7)</f>
        <v/>
      </c>
      <c r="O114" s="7">
        <f>IF($X114="","",SUMIFS('Per Line'!$V$2:$V$3001,'Per Line'!$D$2:$D$3001,$B114,'Per Line'!$AM$2:$AM$3001,0,'Per Line'!$AN$2:$AN$3001,0))</f>
        <v/>
      </c>
      <c r="P114" s="7">
        <f>IF($X114="","",O114*N114)</f>
        <v/>
      </c>
      <c r="Q114">
        <f>IF($X114="","",Settings!$C$6)</f>
        <v/>
      </c>
      <c r="R114" s="7">
        <f>IF($X114="","",SUMIFS('Per Line'!$V$2:$V$3001,'Per Line'!$D$2:$D$3001,$B114,'Per Line'!$AM$2:$AM$3001,1,'Per Line'!$AN$2:$AN$3001,0))</f>
        <v/>
      </c>
      <c r="S114" s="7">
        <f>IF($X114="","",R114*Q114)</f>
        <v/>
      </c>
      <c r="T114" s="7">
        <f>IF($X114="","",S114+P114)</f>
        <v/>
      </c>
      <c r="U114" s="7">
        <f>IF($X114="","",V114-T114)</f>
        <v/>
      </c>
      <c r="V114" s="7">
        <f>IF($X114="","",O114+R114+M114)</f>
        <v/>
      </c>
      <c r="W114" s="7">
        <f>IF($X114="","",V114-T114-I114)</f>
        <v/>
      </c>
      <c r="X114" s="13">
        <f>IF(ROWS($X$2:$X114)&lt;=MAX('Per Line'!$AL$2:$AL$3001),MATCH(ROWS($X$2:$X114),'Per Line'!$AL$2:$AL$3001,0),"")</f>
        <v/>
      </c>
    </row>
    <row r="115">
      <c r="A115" s="12" t="n"/>
      <c r="B115">
        <f>IF($X115="","",INDEX('Per Line'!$D$2:$D$3001,$X115)&amp;"")</f>
        <v/>
      </c>
      <c r="C115" s="11">
        <f>IF($X115="","",INDEX('Per Line'!$F$2:$F$3001,$X115))</f>
        <v/>
      </c>
      <c r="D115">
        <f>IF($X115="","",INDEX('Per Line'!$G$2:$G$3001,$X115)&amp;"")</f>
        <v/>
      </c>
      <c r="E115">
        <f>IF($X115="","",INDEX('Per Line'!$I$2:$I$3001,$X115)&amp;"")</f>
        <v/>
      </c>
      <c r="F115">
        <f>IF($X115="","",INDEX('Per Line'!$J$2:$J$3001,$X115)&amp;"")</f>
        <v/>
      </c>
      <c r="G115">
        <f>IF($X115="","",INDEX('Per Line'!$K$2:$K$3001,$X115)&amp;"")</f>
        <v/>
      </c>
      <c r="H115">
        <f>IF($X115="","",INDEX('Per Line'!$M$2:$M$3001,$X115))</f>
        <v/>
      </c>
      <c r="I115" s="7">
        <f>IF($X115="","",H115*V115/100)</f>
        <v/>
      </c>
      <c r="J115">
        <f>IF($X115="","",INDEX('Per Line'!$W$2:$W$3001,$X115)&amp;"")</f>
        <v/>
      </c>
      <c r="K115">
        <f>IF($X115="","",INDEX('Per Line'!$AD$2:$AD$3001,$X115))</f>
        <v/>
      </c>
      <c r="L115">
        <f>IF($X115="","",IF(AND(ISNUMBER(K115),K115&gt;0),V115&gt;K115,FALSE))</f>
        <v/>
      </c>
      <c r="M115" s="7">
        <f>IF($X115="","",SUMIFS('Per Line'!$V$2:$V$3001,'Per Line'!$D$2:$D$3001,$B115,'Per Line'!$AN$2:$AN$3001,1))</f>
        <v/>
      </c>
      <c r="N115">
        <f>IF($X115="","",Settings!$C$7)</f>
        <v/>
      </c>
      <c r="O115" s="7">
        <f>IF($X115="","",SUMIFS('Per Line'!$V$2:$V$3001,'Per Line'!$D$2:$D$3001,$B115,'Per Line'!$AM$2:$AM$3001,0,'Per Line'!$AN$2:$AN$3001,0))</f>
        <v/>
      </c>
      <c r="P115" s="7">
        <f>IF($X115="","",O115*N115)</f>
        <v/>
      </c>
      <c r="Q115">
        <f>IF($X115="","",Settings!$C$6)</f>
        <v/>
      </c>
      <c r="R115" s="7">
        <f>IF($X115="","",SUMIFS('Per Line'!$V$2:$V$3001,'Per Line'!$D$2:$D$3001,$B115,'Per Line'!$AM$2:$AM$3001,1,'Per Line'!$AN$2:$AN$3001,0))</f>
        <v/>
      </c>
      <c r="S115" s="7">
        <f>IF($X115="","",R115*Q115)</f>
        <v/>
      </c>
      <c r="T115" s="7">
        <f>IF($X115="","",S115+P115)</f>
        <v/>
      </c>
      <c r="U115" s="7">
        <f>IF($X115="","",V115-T115)</f>
        <v/>
      </c>
      <c r="V115" s="7">
        <f>IF($X115="","",O115+R115+M115)</f>
        <v/>
      </c>
      <c r="W115" s="7">
        <f>IF($X115="","",V115-T115-I115)</f>
        <v/>
      </c>
      <c r="X115" s="13">
        <f>IF(ROWS($X$2:$X115)&lt;=MAX('Per Line'!$AL$2:$AL$3001),MATCH(ROWS($X$2:$X115),'Per Line'!$AL$2:$AL$3001,0),"")</f>
        <v/>
      </c>
    </row>
    <row r="116">
      <c r="A116" s="12" t="n"/>
      <c r="B116">
        <f>IF($X116="","",INDEX('Per Line'!$D$2:$D$3001,$X116)&amp;"")</f>
        <v/>
      </c>
      <c r="C116" s="11">
        <f>IF($X116="","",INDEX('Per Line'!$F$2:$F$3001,$X116))</f>
        <v/>
      </c>
      <c r="D116">
        <f>IF($X116="","",INDEX('Per Line'!$G$2:$G$3001,$X116)&amp;"")</f>
        <v/>
      </c>
      <c r="E116">
        <f>IF($X116="","",INDEX('Per Line'!$I$2:$I$3001,$X116)&amp;"")</f>
        <v/>
      </c>
      <c r="F116">
        <f>IF($X116="","",INDEX('Per Line'!$J$2:$J$3001,$X116)&amp;"")</f>
        <v/>
      </c>
      <c r="G116">
        <f>IF($X116="","",INDEX('Per Line'!$K$2:$K$3001,$X116)&amp;"")</f>
        <v/>
      </c>
      <c r="H116">
        <f>IF($X116="","",INDEX('Per Line'!$M$2:$M$3001,$X116))</f>
        <v/>
      </c>
      <c r="I116" s="7">
        <f>IF($X116="","",H116*V116/100)</f>
        <v/>
      </c>
      <c r="J116">
        <f>IF($X116="","",INDEX('Per Line'!$W$2:$W$3001,$X116)&amp;"")</f>
        <v/>
      </c>
      <c r="K116">
        <f>IF($X116="","",INDEX('Per Line'!$AD$2:$AD$3001,$X116))</f>
        <v/>
      </c>
      <c r="L116">
        <f>IF($X116="","",IF(AND(ISNUMBER(K116),K116&gt;0),V116&gt;K116,FALSE))</f>
        <v/>
      </c>
      <c r="M116" s="7">
        <f>IF($X116="","",SUMIFS('Per Line'!$V$2:$V$3001,'Per Line'!$D$2:$D$3001,$B116,'Per Line'!$AN$2:$AN$3001,1))</f>
        <v/>
      </c>
      <c r="N116">
        <f>IF($X116="","",Settings!$C$7)</f>
        <v/>
      </c>
      <c r="O116" s="7">
        <f>IF($X116="","",SUMIFS('Per Line'!$V$2:$V$3001,'Per Line'!$D$2:$D$3001,$B116,'Per Line'!$AM$2:$AM$3001,0,'Per Line'!$AN$2:$AN$3001,0))</f>
        <v/>
      </c>
      <c r="P116" s="7">
        <f>IF($X116="","",O116*N116)</f>
        <v/>
      </c>
      <c r="Q116">
        <f>IF($X116="","",Settings!$C$6)</f>
        <v/>
      </c>
      <c r="R116" s="7">
        <f>IF($X116="","",SUMIFS('Per Line'!$V$2:$V$3001,'Per Line'!$D$2:$D$3001,$B116,'Per Line'!$AM$2:$AM$3001,1,'Per Line'!$AN$2:$AN$3001,0))</f>
        <v/>
      </c>
      <c r="S116" s="7">
        <f>IF($X116="","",R116*Q116)</f>
        <v/>
      </c>
      <c r="T116" s="7">
        <f>IF($X116="","",S116+P116)</f>
        <v/>
      </c>
      <c r="U116" s="7">
        <f>IF($X116="","",V116-T116)</f>
        <v/>
      </c>
      <c r="V116" s="7">
        <f>IF($X116="","",O116+R116+M116)</f>
        <v/>
      </c>
      <c r="W116" s="7">
        <f>IF($X116="","",V116-T116-I116)</f>
        <v/>
      </c>
      <c r="X116" s="13">
        <f>IF(ROWS($X$2:$X116)&lt;=MAX('Per Line'!$AL$2:$AL$3001),MATCH(ROWS($X$2:$X116),'Per Line'!$AL$2:$AL$3001,0),"")</f>
        <v/>
      </c>
    </row>
    <row r="117">
      <c r="A117" s="12" t="n"/>
      <c r="B117">
        <f>IF($X117="","",INDEX('Per Line'!$D$2:$D$3001,$X117)&amp;"")</f>
        <v/>
      </c>
      <c r="C117" s="11">
        <f>IF($X117="","",INDEX('Per Line'!$F$2:$F$3001,$X117))</f>
        <v/>
      </c>
      <c r="D117">
        <f>IF($X117="","",INDEX('Per Line'!$G$2:$G$3001,$X117)&amp;"")</f>
        <v/>
      </c>
      <c r="E117">
        <f>IF($X117="","",INDEX('Per Line'!$I$2:$I$3001,$X117)&amp;"")</f>
        <v/>
      </c>
      <c r="F117">
        <f>IF($X117="","",INDEX('Per Line'!$J$2:$J$3001,$X117)&amp;"")</f>
        <v/>
      </c>
      <c r="G117">
        <f>IF($X117="","",INDEX('Per Line'!$K$2:$K$3001,$X117)&amp;"")</f>
        <v/>
      </c>
      <c r="H117">
        <f>IF($X117="","",INDEX('Per Line'!$M$2:$M$3001,$X117))</f>
        <v/>
      </c>
      <c r="I117" s="7">
        <f>IF($X117="","",H117*V117/100)</f>
        <v/>
      </c>
      <c r="J117">
        <f>IF($X117="","",INDEX('Per Line'!$W$2:$W$3001,$X117)&amp;"")</f>
        <v/>
      </c>
      <c r="K117">
        <f>IF($X117="","",INDEX('Per Line'!$AD$2:$AD$3001,$X117))</f>
        <v/>
      </c>
      <c r="L117">
        <f>IF($X117="","",IF(AND(ISNUMBER(K117),K117&gt;0),V117&gt;K117,FALSE))</f>
        <v/>
      </c>
      <c r="M117" s="7">
        <f>IF($X117="","",SUMIFS('Per Line'!$V$2:$V$3001,'Per Line'!$D$2:$D$3001,$B117,'Per Line'!$AN$2:$AN$3001,1))</f>
        <v/>
      </c>
      <c r="N117">
        <f>IF($X117="","",Settings!$C$7)</f>
        <v/>
      </c>
      <c r="O117" s="7">
        <f>IF($X117="","",SUMIFS('Per Line'!$V$2:$V$3001,'Per Line'!$D$2:$D$3001,$B117,'Per Line'!$AM$2:$AM$3001,0,'Per Line'!$AN$2:$AN$3001,0))</f>
        <v/>
      </c>
      <c r="P117" s="7">
        <f>IF($X117="","",O117*N117)</f>
        <v/>
      </c>
      <c r="Q117">
        <f>IF($X117="","",Settings!$C$6)</f>
        <v/>
      </c>
      <c r="R117" s="7">
        <f>IF($X117="","",SUMIFS('Per Line'!$V$2:$V$3001,'Per Line'!$D$2:$D$3001,$B117,'Per Line'!$AM$2:$AM$3001,1,'Per Line'!$AN$2:$AN$3001,0))</f>
        <v/>
      </c>
      <c r="S117" s="7">
        <f>IF($X117="","",R117*Q117)</f>
        <v/>
      </c>
      <c r="T117" s="7">
        <f>IF($X117="","",S117+P117)</f>
        <v/>
      </c>
      <c r="U117" s="7">
        <f>IF($X117="","",V117-T117)</f>
        <v/>
      </c>
      <c r="V117" s="7">
        <f>IF($X117="","",O117+R117+M117)</f>
        <v/>
      </c>
      <c r="W117" s="7">
        <f>IF($X117="","",V117-T117-I117)</f>
        <v/>
      </c>
      <c r="X117" s="13">
        <f>IF(ROWS($X$2:$X117)&lt;=MAX('Per Line'!$AL$2:$AL$3001),MATCH(ROWS($X$2:$X117),'Per Line'!$AL$2:$AL$3001,0),"")</f>
        <v/>
      </c>
    </row>
    <row r="118">
      <c r="A118" s="12" t="n"/>
      <c r="B118">
        <f>IF($X118="","",INDEX('Per Line'!$D$2:$D$3001,$X118)&amp;"")</f>
        <v/>
      </c>
      <c r="C118" s="11">
        <f>IF($X118="","",INDEX('Per Line'!$F$2:$F$3001,$X118))</f>
        <v/>
      </c>
      <c r="D118">
        <f>IF($X118="","",INDEX('Per Line'!$G$2:$G$3001,$X118)&amp;"")</f>
        <v/>
      </c>
      <c r="E118">
        <f>IF($X118="","",INDEX('Per Line'!$I$2:$I$3001,$X118)&amp;"")</f>
        <v/>
      </c>
      <c r="F118">
        <f>IF($X118="","",INDEX('Per Line'!$J$2:$J$3001,$X118)&amp;"")</f>
        <v/>
      </c>
      <c r="G118">
        <f>IF($X118="","",INDEX('Per Line'!$K$2:$K$3001,$X118)&amp;"")</f>
        <v/>
      </c>
      <c r="H118">
        <f>IF($X118="","",INDEX('Per Line'!$M$2:$M$3001,$X118))</f>
        <v/>
      </c>
      <c r="I118" s="7">
        <f>IF($X118="","",H118*V118/100)</f>
        <v/>
      </c>
      <c r="J118">
        <f>IF($X118="","",INDEX('Per Line'!$W$2:$W$3001,$X118)&amp;"")</f>
        <v/>
      </c>
      <c r="K118">
        <f>IF($X118="","",INDEX('Per Line'!$AD$2:$AD$3001,$X118))</f>
        <v/>
      </c>
      <c r="L118">
        <f>IF($X118="","",IF(AND(ISNUMBER(K118),K118&gt;0),V118&gt;K118,FALSE))</f>
        <v/>
      </c>
      <c r="M118" s="7">
        <f>IF($X118="","",SUMIFS('Per Line'!$V$2:$V$3001,'Per Line'!$D$2:$D$3001,$B118,'Per Line'!$AN$2:$AN$3001,1))</f>
        <v/>
      </c>
      <c r="N118">
        <f>IF($X118="","",Settings!$C$7)</f>
        <v/>
      </c>
      <c r="O118" s="7">
        <f>IF($X118="","",SUMIFS('Per Line'!$V$2:$V$3001,'Per Line'!$D$2:$D$3001,$B118,'Per Line'!$AM$2:$AM$3001,0,'Per Line'!$AN$2:$AN$3001,0))</f>
        <v/>
      </c>
      <c r="P118" s="7">
        <f>IF($X118="","",O118*N118)</f>
        <v/>
      </c>
      <c r="Q118">
        <f>IF($X118="","",Settings!$C$6)</f>
        <v/>
      </c>
      <c r="R118" s="7">
        <f>IF($X118="","",SUMIFS('Per Line'!$V$2:$V$3001,'Per Line'!$D$2:$D$3001,$B118,'Per Line'!$AM$2:$AM$3001,1,'Per Line'!$AN$2:$AN$3001,0))</f>
        <v/>
      </c>
      <c r="S118" s="7">
        <f>IF($X118="","",R118*Q118)</f>
        <v/>
      </c>
      <c r="T118" s="7">
        <f>IF($X118="","",S118+P118)</f>
        <v/>
      </c>
      <c r="U118" s="7">
        <f>IF($X118="","",V118-T118)</f>
        <v/>
      </c>
      <c r="V118" s="7">
        <f>IF($X118="","",O118+R118+M118)</f>
        <v/>
      </c>
      <c r="W118" s="7">
        <f>IF($X118="","",V118-T118-I118)</f>
        <v/>
      </c>
      <c r="X118" s="13">
        <f>IF(ROWS($X$2:$X118)&lt;=MAX('Per Line'!$AL$2:$AL$3001),MATCH(ROWS($X$2:$X118),'Per Line'!$AL$2:$AL$3001,0),"")</f>
        <v/>
      </c>
    </row>
    <row r="119">
      <c r="A119" s="12" t="n"/>
      <c r="B119">
        <f>IF($X119="","",INDEX('Per Line'!$D$2:$D$3001,$X119)&amp;"")</f>
        <v/>
      </c>
      <c r="C119" s="11">
        <f>IF($X119="","",INDEX('Per Line'!$F$2:$F$3001,$X119))</f>
        <v/>
      </c>
      <c r="D119">
        <f>IF($X119="","",INDEX('Per Line'!$G$2:$G$3001,$X119)&amp;"")</f>
        <v/>
      </c>
      <c r="E119">
        <f>IF($X119="","",INDEX('Per Line'!$I$2:$I$3001,$X119)&amp;"")</f>
        <v/>
      </c>
      <c r="F119">
        <f>IF($X119="","",INDEX('Per Line'!$J$2:$J$3001,$X119)&amp;"")</f>
        <v/>
      </c>
      <c r="G119">
        <f>IF($X119="","",INDEX('Per Line'!$K$2:$K$3001,$X119)&amp;"")</f>
        <v/>
      </c>
      <c r="H119">
        <f>IF($X119="","",INDEX('Per Line'!$M$2:$M$3001,$X119))</f>
        <v/>
      </c>
      <c r="I119" s="7">
        <f>IF($X119="","",H119*V119/100)</f>
        <v/>
      </c>
      <c r="J119">
        <f>IF($X119="","",INDEX('Per Line'!$W$2:$W$3001,$X119)&amp;"")</f>
        <v/>
      </c>
      <c r="K119">
        <f>IF($X119="","",INDEX('Per Line'!$AD$2:$AD$3001,$X119))</f>
        <v/>
      </c>
      <c r="L119">
        <f>IF($X119="","",IF(AND(ISNUMBER(K119),K119&gt;0),V119&gt;K119,FALSE))</f>
        <v/>
      </c>
      <c r="M119" s="7">
        <f>IF($X119="","",SUMIFS('Per Line'!$V$2:$V$3001,'Per Line'!$D$2:$D$3001,$B119,'Per Line'!$AN$2:$AN$3001,1))</f>
        <v/>
      </c>
      <c r="N119">
        <f>IF($X119="","",Settings!$C$7)</f>
        <v/>
      </c>
      <c r="O119" s="7">
        <f>IF($X119="","",SUMIFS('Per Line'!$V$2:$V$3001,'Per Line'!$D$2:$D$3001,$B119,'Per Line'!$AM$2:$AM$3001,0,'Per Line'!$AN$2:$AN$3001,0))</f>
        <v/>
      </c>
      <c r="P119" s="7">
        <f>IF($X119="","",O119*N119)</f>
        <v/>
      </c>
      <c r="Q119">
        <f>IF($X119="","",Settings!$C$6)</f>
        <v/>
      </c>
      <c r="R119" s="7">
        <f>IF($X119="","",SUMIFS('Per Line'!$V$2:$V$3001,'Per Line'!$D$2:$D$3001,$B119,'Per Line'!$AM$2:$AM$3001,1,'Per Line'!$AN$2:$AN$3001,0))</f>
        <v/>
      </c>
      <c r="S119" s="7">
        <f>IF($X119="","",R119*Q119)</f>
        <v/>
      </c>
      <c r="T119" s="7">
        <f>IF($X119="","",S119+P119)</f>
        <v/>
      </c>
      <c r="U119" s="7">
        <f>IF($X119="","",V119-T119)</f>
        <v/>
      </c>
      <c r="V119" s="7">
        <f>IF($X119="","",O119+R119+M119)</f>
        <v/>
      </c>
      <c r="W119" s="7">
        <f>IF($X119="","",V119-T119-I119)</f>
        <v/>
      </c>
      <c r="X119" s="13">
        <f>IF(ROWS($X$2:$X119)&lt;=MAX('Per Line'!$AL$2:$AL$3001),MATCH(ROWS($X$2:$X119),'Per Line'!$AL$2:$AL$3001,0),"")</f>
        <v/>
      </c>
    </row>
    <row r="120">
      <c r="A120" s="12" t="n"/>
      <c r="B120">
        <f>IF($X120="","",INDEX('Per Line'!$D$2:$D$3001,$X120)&amp;"")</f>
        <v/>
      </c>
      <c r="C120" s="11">
        <f>IF($X120="","",INDEX('Per Line'!$F$2:$F$3001,$X120))</f>
        <v/>
      </c>
      <c r="D120">
        <f>IF($X120="","",INDEX('Per Line'!$G$2:$G$3001,$X120)&amp;"")</f>
        <v/>
      </c>
      <c r="E120">
        <f>IF($X120="","",INDEX('Per Line'!$I$2:$I$3001,$X120)&amp;"")</f>
        <v/>
      </c>
      <c r="F120">
        <f>IF($X120="","",INDEX('Per Line'!$J$2:$J$3001,$X120)&amp;"")</f>
        <v/>
      </c>
      <c r="G120">
        <f>IF($X120="","",INDEX('Per Line'!$K$2:$K$3001,$X120)&amp;"")</f>
        <v/>
      </c>
      <c r="H120">
        <f>IF($X120="","",INDEX('Per Line'!$M$2:$M$3001,$X120))</f>
        <v/>
      </c>
      <c r="I120" s="7">
        <f>IF($X120="","",H120*V120/100)</f>
        <v/>
      </c>
      <c r="J120">
        <f>IF($X120="","",INDEX('Per Line'!$W$2:$W$3001,$X120)&amp;"")</f>
        <v/>
      </c>
      <c r="K120">
        <f>IF($X120="","",INDEX('Per Line'!$AD$2:$AD$3001,$X120))</f>
        <v/>
      </c>
      <c r="L120">
        <f>IF($X120="","",IF(AND(ISNUMBER(K120),K120&gt;0),V120&gt;K120,FALSE))</f>
        <v/>
      </c>
      <c r="M120" s="7">
        <f>IF($X120="","",SUMIFS('Per Line'!$V$2:$V$3001,'Per Line'!$D$2:$D$3001,$B120,'Per Line'!$AN$2:$AN$3001,1))</f>
        <v/>
      </c>
      <c r="N120">
        <f>IF($X120="","",Settings!$C$7)</f>
        <v/>
      </c>
      <c r="O120" s="7">
        <f>IF($X120="","",SUMIFS('Per Line'!$V$2:$V$3001,'Per Line'!$D$2:$D$3001,$B120,'Per Line'!$AM$2:$AM$3001,0,'Per Line'!$AN$2:$AN$3001,0))</f>
        <v/>
      </c>
      <c r="P120" s="7">
        <f>IF($X120="","",O120*N120)</f>
        <v/>
      </c>
      <c r="Q120">
        <f>IF($X120="","",Settings!$C$6)</f>
        <v/>
      </c>
      <c r="R120" s="7">
        <f>IF($X120="","",SUMIFS('Per Line'!$V$2:$V$3001,'Per Line'!$D$2:$D$3001,$B120,'Per Line'!$AM$2:$AM$3001,1,'Per Line'!$AN$2:$AN$3001,0))</f>
        <v/>
      </c>
      <c r="S120" s="7">
        <f>IF($X120="","",R120*Q120)</f>
        <v/>
      </c>
      <c r="T120" s="7">
        <f>IF($X120="","",S120+P120)</f>
        <v/>
      </c>
      <c r="U120" s="7">
        <f>IF($X120="","",V120-T120)</f>
        <v/>
      </c>
      <c r="V120" s="7">
        <f>IF($X120="","",O120+R120+M120)</f>
        <v/>
      </c>
      <c r="W120" s="7">
        <f>IF($X120="","",V120-T120-I120)</f>
        <v/>
      </c>
      <c r="X120" s="13">
        <f>IF(ROWS($X$2:$X120)&lt;=MAX('Per Line'!$AL$2:$AL$3001),MATCH(ROWS($X$2:$X120),'Per Line'!$AL$2:$AL$3001,0),"")</f>
        <v/>
      </c>
    </row>
    <row r="121">
      <c r="A121" s="12" t="n"/>
      <c r="B121">
        <f>IF($X121="","",INDEX('Per Line'!$D$2:$D$3001,$X121)&amp;"")</f>
        <v/>
      </c>
      <c r="C121" s="11">
        <f>IF($X121="","",INDEX('Per Line'!$F$2:$F$3001,$X121))</f>
        <v/>
      </c>
      <c r="D121">
        <f>IF($X121="","",INDEX('Per Line'!$G$2:$G$3001,$X121)&amp;"")</f>
        <v/>
      </c>
      <c r="E121">
        <f>IF($X121="","",INDEX('Per Line'!$I$2:$I$3001,$X121)&amp;"")</f>
        <v/>
      </c>
      <c r="F121">
        <f>IF($X121="","",INDEX('Per Line'!$J$2:$J$3001,$X121)&amp;"")</f>
        <v/>
      </c>
      <c r="G121">
        <f>IF($X121="","",INDEX('Per Line'!$K$2:$K$3001,$X121)&amp;"")</f>
        <v/>
      </c>
      <c r="H121">
        <f>IF($X121="","",INDEX('Per Line'!$M$2:$M$3001,$X121))</f>
        <v/>
      </c>
      <c r="I121" s="7">
        <f>IF($X121="","",H121*V121/100)</f>
        <v/>
      </c>
      <c r="J121">
        <f>IF($X121="","",INDEX('Per Line'!$W$2:$W$3001,$X121)&amp;"")</f>
        <v/>
      </c>
      <c r="K121">
        <f>IF($X121="","",INDEX('Per Line'!$AD$2:$AD$3001,$X121))</f>
        <v/>
      </c>
      <c r="L121">
        <f>IF($X121="","",IF(AND(ISNUMBER(K121),K121&gt;0),V121&gt;K121,FALSE))</f>
        <v/>
      </c>
      <c r="M121" s="7">
        <f>IF($X121="","",SUMIFS('Per Line'!$V$2:$V$3001,'Per Line'!$D$2:$D$3001,$B121,'Per Line'!$AN$2:$AN$3001,1))</f>
        <v/>
      </c>
      <c r="N121">
        <f>IF($X121="","",Settings!$C$7)</f>
        <v/>
      </c>
      <c r="O121" s="7">
        <f>IF($X121="","",SUMIFS('Per Line'!$V$2:$V$3001,'Per Line'!$D$2:$D$3001,$B121,'Per Line'!$AM$2:$AM$3001,0,'Per Line'!$AN$2:$AN$3001,0))</f>
        <v/>
      </c>
      <c r="P121" s="7">
        <f>IF($X121="","",O121*N121)</f>
        <v/>
      </c>
      <c r="Q121">
        <f>IF($X121="","",Settings!$C$6)</f>
        <v/>
      </c>
      <c r="R121" s="7">
        <f>IF($X121="","",SUMIFS('Per Line'!$V$2:$V$3001,'Per Line'!$D$2:$D$3001,$B121,'Per Line'!$AM$2:$AM$3001,1,'Per Line'!$AN$2:$AN$3001,0))</f>
        <v/>
      </c>
      <c r="S121" s="7">
        <f>IF($X121="","",R121*Q121)</f>
        <v/>
      </c>
      <c r="T121" s="7">
        <f>IF($X121="","",S121+P121)</f>
        <v/>
      </c>
      <c r="U121" s="7">
        <f>IF($X121="","",V121-T121)</f>
        <v/>
      </c>
      <c r="V121" s="7">
        <f>IF($X121="","",O121+R121+M121)</f>
        <v/>
      </c>
      <c r="W121" s="7">
        <f>IF($X121="","",V121-T121-I121)</f>
        <v/>
      </c>
      <c r="X121" s="13">
        <f>IF(ROWS($X$2:$X121)&lt;=MAX('Per Line'!$AL$2:$AL$3001),MATCH(ROWS($X$2:$X121),'Per Line'!$AL$2:$AL$3001,0),"")</f>
        <v/>
      </c>
    </row>
    <row r="122">
      <c r="A122" s="12" t="n"/>
      <c r="B122">
        <f>IF($X122="","",INDEX('Per Line'!$D$2:$D$3001,$X122)&amp;"")</f>
        <v/>
      </c>
      <c r="C122" s="11">
        <f>IF($X122="","",INDEX('Per Line'!$F$2:$F$3001,$X122))</f>
        <v/>
      </c>
      <c r="D122">
        <f>IF($X122="","",INDEX('Per Line'!$G$2:$G$3001,$X122)&amp;"")</f>
        <v/>
      </c>
      <c r="E122">
        <f>IF($X122="","",INDEX('Per Line'!$I$2:$I$3001,$X122)&amp;"")</f>
        <v/>
      </c>
      <c r="F122">
        <f>IF($X122="","",INDEX('Per Line'!$J$2:$J$3001,$X122)&amp;"")</f>
        <v/>
      </c>
      <c r="G122">
        <f>IF($X122="","",INDEX('Per Line'!$K$2:$K$3001,$X122)&amp;"")</f>
        <v/>
      </c>
      <c r="H122">
        <f>IF($X122="","",INDEX('Per Line'!$M$2:$M$3001,$X122))</f>
        <v/>
      </c>
      <c r="I122" s="7">
        <f>IF($X122="","",H122*V122/100)</f>
        <v/>
      </c>
      <c r="J122">
        <f>IF($X122="","",INDEX('Per Line'!$W$2:$W$3001,$X122)&amp;"")</f>
        <v/>
      </c>
      <c r="K122">
        <f>IF($X122="","",INDEX('Per Line'!$AD$2:$AD$3001,$X122))</f>
        <v/>
      </c>
      <c r="L122">
        <f>IF($X122="","",IF(AND(ISNUMBER(K122),K122&gt;0),V122&gt;K122,FALSE))</f>
        <v/>
      </c>
      <c r="M122" s="7">
        <f>IF($X122="","",SUMIFS('Per Line'!$V$2:$V$3001,'Per Line'!$D$2:$D$3001,$B122,'Per Line'!$AN$2:$AN$3001,1))</f>
        <v/>
      </c>
      <c r="N122">
        <f>IF($X122="","",Settings!$C$7)</f>
        <v/>
      </c>
      <c r="O122" s="7">
        <f>IF($X122="","",SUMIFS('Per Line'!$V$2:$V$3001,'Per Line'!$D$2:$D$3001,$B122,'Per Line'!$AM$2:$AM$3001,0,'Per Line'!$AN$2:$AN$3001,0))</f>
        <v/>
      </c>
      <c r="P122" s="7">
        <f>IF($X122="","",O122*N122)</f>
        <v/>
      </c>
      <c r="Q122">
        <f>IF($X122="","",Settings!$C$6)</f>
        <v/>
      </c>
      <c r="R122" s="7">
        <f>IF($X122="","",SUMIFS('Per Line'!$V$2:$V$3001,'Per Line'!$D$2:$D$3001,$B122,'Per Line'!$AM$2:$AM$3001,1,'Per Line'!$AN$2:$AN$3001,0))</f>
        <v/>
      </c>
      <c r="S122" s="7">
        <f>IF($X122="","",R122*Q122)</f>
        <v/>
      </c>
      <c r="T122" s="7">
        <f>IF($X122="","",S122+P122)</f>
        <v/>
      </c>
      <c r="U122" s="7">
        <f>IF($X122="","",V122-T122)</f>
        <v/>
      </c>
      <c r="V122" s="7">
        <f>IF($X122="","",O122+R122+M122)</f>
        <v/>
      </c>
      <c r="W122" s="7">
        <f>IF($X122="","",V122-T122-I122)</f>
        <v/>
      </c>
      <c r="X122" s="13">
        <f>IF(ROWS($X$2:$X122)&lt;=MAX('Per Line'!$AL$2:$AL$3001),MATCH(ROWS($X$2:$X122),'Per Line'!$AL$2:$AL$3001,0),"")</f>
        <v/>
      </c>
    </row>
    <row r="123">
      <c r="A123" s="12" t="n"/>
      <c r="B123">
        <f>IF($X123="","",INDEX('Per Line'!$D$2:$D$3001,$X123)&amp;"")</f>
        <v/>
      </c>
      <c r="C123" s="11">
        <f>IF($X123="","",INDEX('Per Line'!$F$2:$F$3001,$X123))</f>
        <v/>
      </c>
      <c r="D123">
        <f>IF($X123="","",INDEX('Per Line'!$G$2:$G$3001,$X123)&amp;"")</f>
        <v/>
      </c>
      <c r="E123">
        <f>IF($X123="","",INDEX('Per Line'!$I$2:$I$3001,$X123)&amp;"")</f>
        <v/>
      </c>
      <c r="F123">
        <f>IF($X123="","",INDEX('Per Line'!$J$2:$J$3001,$X123)&amp;"")</f>
        <v/>
      </c>
      <c r="G123">
        <f>IF($X123="","",INDEX('Per Line'!$K$2:$K$3001,$X123)&amp;"")</f>
        <v/>
      </c>
      <c r="H123">
        <f>IF($X123="","",INDEX('Per Line'!$M$2:$M$3001,$X123))</f>
        <v/>
      </c>
      <c r="I123" s="7">
        <f>IF($X123="","",H123*V123/100)</f>
        <v/>
      </c>
      <c r="J123">
        <f>IF($X123="","",INDEX('Per Line'!$W$2:$W$3001,$X123)&amp;"")</f>
        <v/>
      </c>
      <c r="K123">
        <f>IF($X123="","",INDEX('Per Line'!$AD$2:$AD$3001,$X123))</f>
        <v/>
      </c>
      <c r="L123">
        <f>IF($X123="","",IF(AND(ISNUMBER(K123),K123&gt;0),V123&gt;K123,FALSE))</f>
        <v/>
      </c>
      <c r="M123" s="7">
        <f>IF($X123="","",SUMIFS('Per Line'!$V$2:$V$3001,'Per Line'!$D$2:$D$3001,$B123,'Per Line'!$AN$2:$AN$3001,1))</f>
        <v/>
      </c>
      <c r="N123">
        <f>IF($X123="","",Settings!$C$7)</f>
        <v/>
      </c>
      <c r="O123" s="7">
        <f>IF($X123="","",SUMIFS('Per Line'!$V$2:$V$3001,'Per Line'!$D$2:$D$3001,$B123,'Per Line'!$AM$2:$AM$3001,0,'Per Line'!$AN$2:$AN$3001,0))</f>
        <v/>
      </c>
      <c r="P123" s="7">
        <f>IF($X123="","",O123*N123)</f>
        <v/>
      </c>
      <c r="Q123">
        <f>IF($X123="","",Settings!$C$6)</f>
        <v/>
      </c>
      <c r="R123" s="7">
        <f>IF($X123="","",SUMIFS('Per Line'!$V$2:$V$3001,'Per Line'!$D$2:$D$3001,$B123,'Per Line'!$AM$2:$AM$3001,1,'Per Line'!$AN$2:$AN$3001,0))</f>
        <v/>
      </c>
      <c r="S123" s="7">
        <f>IF($X123="","",R123*Q123)</f>
        <v/>
      </c>
      <c r="T123" s="7">
        <f>IF($X123="","",S123+P123)</f>
        <v/>
      </c>
      <c r="U123" s="7">
        <f>IF($X123="","",V123-T123)</f>
        <v/>
      </c>
      <c r="V123" s="7">
        <f>IF($X123="","",O123+R123+M123)</f>
        <v/>
      </c>
      <c r="W123" s="7">
        <f>IF($X123="","",V123-T123-I123)</f>
        <v/>
      </c>
      <c r="X123" s="13">
        <f>IF(ROWS($X$2:$X123)&lt;=MAX('Per Line'!$AL$2:$AL$3001),MATCH(ROWS($X$2:$X123),'Per Line'!$AL$2:$AL$3001,0),"")</f>
        <v/>
      </c>
    </row>
    <row r="124">
      <c r="A124" s="12" t="n"/>
      <c r="B124">
        <f>IF($X124="","",INDEX('Per Line'!$D$2:$D$3001,$X124)&amp;"")</f>
        <v/>
      </c>
      <c r="C124" s="11">
        <f>IF($X124="","",INDEX('Per Line'!$F$2:$F$3001,$X124))</f>
        <v/>
      </c>
      <c r="D124">
        <f>IF($X124="","",INDEX('Per Line'!$G$2:$G$3001,$X124)&amp;"")</f>
        <v/>
      </c>
      <c r="E124">
        <f>IF($X124="","",INDEX('Per Line'!$I$2:$I$3001,$X124)&amp;"")</f>
        <v/>
      </c>
      <c r="F124">
        <f>IF($X124="","",INDEX('Per Line'!$J$2:$J$3001,$X124)&amp;"")</f>
        <v/>
      </c>
      <c r="G124">
        <f>IF($X124="","",INDEX('Per Line'!$K$2:$K$3001,$X124)&amp;"")</f>
        <v/>
      </c>
      <c r="H124">
        <f>IF($X124="","",INDEX('Per Line'!$M$2:$M$3001,$X124))</f>
        <v/>
      </c>
      <c r="I124" s="7">
        <f>IF($X124="","",H124*V124/100)</f>
        <v/>
      </c>
      <c r="J124">
        <f>IF($X124="","",INDEX('Per Line'!$W$2:$W$3001,$X124)&amp;"")</f>
        <v/>
      </c>
      <c r="K124">
        <f>IF($X124="","",INDEX('Per Line'!$AD$2:$AD$3001,$X124))</f>
        <v/>
      </c>
      <c r="L124">
        <f>IF($X124="","",IF(AND(ISNUMBER(K124),K124&gt;0),V124&gt;K124,FALSE))</f>
        <v/>
      </c>
      <c r="M124" s="7">
        <f>IF($X124="","",SUMIFS('Per Line'!$V$2:$V$3001,'Per Line'!$D$2:$D$3001,$B124,'Per Line'!$AN$2:$AN$3001,1))</f>
        <v/>
      </c>
      <c r="N124">
        <f>IF($X124="","",Settings!$C$7)</f>
        <v/>
      </c>
      <c r="O124" s="7">
        <f>IF($X124="","",SUMIFS('Per Line'!$V$2:$V$3001,'Per Line'!$D$2:$D$3001,$B124,'Per Line'!$AM$2:$AM$3001,0,'Per Line'!$AN$2:$AN$3001,0))</f>
        <v/>
      </c>
      <c r="P124" s="7">
        <f>IF($X124="","",O124*N124)</f>
        <v/>
      </c>
      <c r="Q124">
        <f>IF($X124="","",Settings!$C$6)</f>
        <v/>
      </c>
      <c r="R124" s="7">
        <f>IF($X124="","",SUMIFS('Per Line'!$V$2:$V$3001,'Per Line'!$D$2:$D$3001,$B124,'Per Line'!$AM$2:$AM$3001,1,'Per Line'!$AN$2:$AN$3001,0))</f>
        <v/>
      </c>
      <c r="S124" s="7">
        <f>IF($X124="","",R124*Q124)</f>
        <v/>
      </c>
      <c r="T124" s="7">
        <f>IF($X124="","",S124+P124)</f>
        <v/>
      </c>
      <c r="U124" s="7">
        <f>IF($X124="","",V124-T124)</f>
        <v/>
      </c>
      <c r="V124" s="7">
        <f>IF($X124="","",O124+R124+M124)</f>
        <v/>
      </c>
      <c r="W124" s="7">
        <f>IF($X124="","",V124-T124-I124)</f>
        <v/>
      </c>
      <c r="X124" s="13">
        <f>IF(ROWS($X$2:$X124)&lt;=MAX('Per Line'!$AL$2:$AL$3001),MATCH(ROWS($X$2:$X124),'Per Line'!$AL$2:$AL$3001,0),"")</f>
        <v/>
      </c>
    </row>
    <row r="125">
      <c r="A125" s="12" t="n"/>
      <c r="B125">
        <f>IF($X125="","",INDEX('Per Line'!$D$2:$D$3001,$X125)&amp;"")</f>
        <v/>
      </c>
      <c r="C125" s="11">
        <f>IF($X125="","",INDEX('Per Line'!$F$2:$F$3001,$X125))</f>
        <v/>
      </c>
      <c r="D125">
        <f>IF($X125="","",INDEX('Per Line'!$G$2:$G$3001,$X125)&amp;"")</f>
        <v/>
      </c>
      <c r="E125">
        <f>IF($X125="","",INDEX('Per Line'!$I$2:$I$3001,$X125)&amp;"")</f>
        <v/>
      </c>
      <c r="F125">
        <f>IF($X125="","",INDEX('Per Line'!$J$2:$J$3001,$X125)&amp;"")</f>
        <v/>
      </c>
      <c r="G125">
        <f>IF($X125="","",INDEX('Per Line'!$K$2:$K$3001,$X125)&amp;"")</f>
        <v/>
      </c>
      <c r="H125">
        <f>IF($X125="","",INDEX('Per Line'!$M$2:$M$3001,$X125))</f>
        <v/>
      </c>
      <c r="I125" s="7">
        <f>IF($X125="","",H125*V125/100)</f>
        <v/>
      </c>
      <c r="J125">
        <f>IF($X125="","",INDEX('Per Line'!$W$2:$W$3001,$X125)&amp;"")</f>
        <v/>
      </c>
      <c r="K125">
        <f>IF($X125="","",INDEX('Per Line'!$AD$2:$AD$3001,$X125))</f>
        <v/>
      </c>
      <c r="L125">
        <f>IF($X125="","",IF(AND(ISNUMBER(K125),K125&gt;0),V125&gt;K125,FALSE))</f>
        <v/>
      </c>
      <c r="M125" s="7">
        <f>IF($X125="","",SUMIFS('Per Line'!$V$2:$V$3001,'Per Line'!$D$2:$D$3001,$B125,'Per Line'!$AN$2:$AN$3001,1))</f>
        <v/>
      </c>
      <c r="N125">
        <f>IF($X125="","",Settings!$C$7)</f>
        <v/>
      </c>
      <c r="O125" s="7">
        <f>IF($X125="","",SUMIFS('Per Line'!$V$2:$V$3001,'Per Line'!$D$2:$D$3001,$B125,'Per Line'!$AM$2:$AM$3001,0,'Per Line'!$AN$2:$AN$3001,0))</f>
        <v/>
      </c>
      <c r="P125" s="7">
        <f>IF($X125="","",O125*N125)</f>
        <v/>
      </c>
      <c r="Q125">
        <f>IF($X125="","",Settings!$C$6)</f>
        <v/>
      </c>
      <c r="R125" s="7">
        <f>IF($X125="","",SUMIFS('Per Line'!$V$2:$V$3001,'Per Line'!$D$2:$D$3001,$B125,'Per Line'!$AM$2:$AM$3001,1,'Per Line'!$AN$2:$AN$3001,0))</f>
        <v/>
      </c>
      <c r="S125" s="7">
        <f>IF($X125="","",R125*Q125)</f>
        <v/>
      </c>
      <c r="T125" s="7">
        <f>IF($X125="","",S125+P125)</f>
        <v/>
      </c>
      <c r="U125" s="7">
        <f>IF($X125="","",V125-T125)</f>
        <v/>
      </c>
      <c r="V125" s="7">
        <f>IF($X125="","",O125+R125+M125)</f>
        <v/>
      </c>
      <c r="W125" s="7">
        <f>IF($X125="","",V125-T125-I125)</f>
        <v/>
      </c>
      <c r="X125" s="13">
        <f>IF(ROWS($X$2:$X125)&lt;=MAX('Per Line'!$AL$2:$AL$3001),MATCH(ROWS($X$2:$X125),'Per Line'!$AL$2:$AL$3001,0),"")</f>
        <v/>
      </c>
    </row>
    <row r="126">
      <c r="A126" s="12" t="n"/>
      <c r="B126">
        <f>IF($X126="","",INDEX('Per Line'!$D$2:$D$3001,$X126)&amp;"")</f>
        <v/>
      </c>
      <c r="C126" s="11">
        <f>IF($X126="","",INDEX('Per Line'!$F$2:$F$3001,$X126))</f>
        <v/>
      </c>
      <c r="D126">
        <f>IF($X126="","",INDEX('Per Line'!$G$2:$G$3001,$X126)&amp;"")</f>
        <v/>
      </c>
      <c r="E126">
        <f>IF($X126="","",INDEX('Per Line'!$I$2:$I$3001,$X126)&amp;"")</f>
        <v/>
      </c>
      <c r="F126">
        <f>IF($X126="","",INDEX('Per Line'!$J$2:$J$3001,$X126)&amp;"")</f>
        <v/>
      </c>
      <c r="G126">
        <f>IF($X126="","",INDEX('Per Line'!$K$2:$K$3001,$X126)&amp;"")</f>
        <v/>
      </c>
      <c r="H126">
        <f>IF($X126="","",INDEX('Per Line'!$M$2:$M$3001,$X126))</f>
        <v/>
      </c>
      <c r="I126" s="7">
        <f>IF($X126="","",H126*V126/100)</f>
        <v/>
      </c>
      <c r="J126">
        <f>IF($X126="","",INDEX('Per Line'!$W$2:$W$3001,$X126)&amp;"")</f>
        <v/>
      </c>
      <c r="K126">
        <f>IF($X126="","",INDEX('Per Line'!$AD$2:$AD$3001,$X126))</f>
        <v/>
      </c>
      <c r="L126">
        <f>IF($X126="","",IF(AND(ISNUMBER(K126),K126&gt;0),V126&gt;K126,FALSE))</f>
        <v/>
      </c>
      <c r="M126" s="7">
        <f>IF($X126="","",SUMIFS('Per Line'!$V$2:$V$3001,'Per Line'!$D$2:$D$3001,$B126,'Per Line'!$AN$2:$AN$3001,1))</f>
        <v/>
      </c>
      <c r="N126">
        <f>IF($X126="","",Settings!$C$7)</f>
        <v/>
      </c>
      <c r="O126" s="7">
        <f>IF($X126="","",SUMIFS('Per Line'!$V$2:$V$3001,'Per Line'!$D$2:$D$3001,$B126,'Per Line'!$AM$2:$AM$3001,0,'Per Line'!$AN$2:$AN$3001,0))</f>
        <v/>
      </c>
      <c r="P126" s="7">
        <f>IF($X126="","",O126*N126)</f>
        <v/>
      </c>
      <c r="Q126">
        <f>IF($X126="","",Settings!$C$6)</f>
        <v/>
      </c>
      <c r="R126" s="7">
        <f>IF($X126="","",SUMIFS('Per Line'!$V$2:$V$3001,'Per Line'!$D$2:$D$3001,$B126,'Per Line'!$AM$2:$AM$3001,1,'Per Line'!$AN$2:$AN$3001,0))</f>
        <v/>
      </c>
      <c r="S126" s="7">
        <f>IF($X126="","",R126*Q126)</f>
        <v/>
      </c>
      <c r="T126" s="7">
        <f>IF($X126="","",S126+P126)</f>
        <v/>
      </c>
      <c r="U126" s="7">
        <f>IF($X126="","",V126-T126)</f>
        <v/>
      </c>
      <c r="V126" s="7">
        <f>IF($X126="","",O126+R126+M126)</f>
        <v/>
      </c>
      <c r="W126" s="7">
        <f>IF($X126="","",V126-T126-I126)</f>
        <v/>
      </c>
      <c r="X126" s="13">
        <f>IF(ROWS($X$2:$X126)&lt;=MAX('Per Line'!$AL$2:$AL$3001),MATCH(ROWS($X$2:$X126),'Per Line'!$AL$2:$AL$3001,0),"")</f>
        <v/>
      </c>
    </row>
    <row r="127">
      <c r="A127" s="12" t="n"/>
      <c r="B127">
        <f>IF($X127="","",INDEX('Per Line'!$D$2:$D$3001,$X127)&amp;"")</f>
        <v/>
      </c>
      <c r="C127" s="11">
        <f>IF($X127="","",INDEX('Per Line'!$F$2:$F$3001,$X127))</f>
        <v/>
      </c>
      <c r="D127">
        <f>IF($X127="","",INDEX('Per Line'!$G$2:$G$3001,$X127)&amp;"")</f>
        <v/>
      </c>
      <c r="E127">
        <f>IF($X127="","",INDEX('Per Line'!$I$2:$I$3001,$X127)&amp;"")</f>
        <v/>
      </c>
      <c r="F127">
        <f>IF($X127="","",INDEX('Per Line'!$J$2:$J$3001,$X127)&amp;"")</f>
        <v/>
      </c>
      <c r="G127">
        <f>IF($X127="","",INDEX('Per Line'!$K$2:$K$3001,$X127)&amp;"")</f>
        <v/>
      </c>
      <c r="H127">
        <f>IF($X127="","",INDEX('Per Line'!$M$2:$M$3001,$X127))</f>
        <v/>
      </c>
      <c r="I127" s="7">
        <f>IF($X127="","",H127*V127/100)</f>
        <v/>
      </c>
      <c r="J127">
        <f>IF($X127="","",INDEX('Per Line'!$W$2:$W$3001,$X127)&amp;"")</f>
        <v/>
      </c>
      <c r="K127">
        <f>IF($X127="","",INDEX('Per Line'!$AD$2:$AD$3001,$X127))</f>
        <v/>
      </c>
      <c r="L127">
        <f>IF($X127="","",IF(AND(ISNUMBER(K127),K127&gt;0),V127&gt;K127,FALSE))</f>
        <v/>
      </c>
      <c r="M127" s="7">
        <f>IF($X127="","",SUMIFS('Per Line'!$V$2:$V$3001,'Per Line'!$D$2:$D$3001,$B127,'Per Line'!$AN$2:$AN$3001,1))</f>
        <v/>
      </c>
      <c r="N127">
        <f>IF($X127="","",Settings!$C$7)</f>
        <v/>
      </c>
      <c r="O127" s="7">
        <f>IF($X127="","",SUMIFS('Per Line'!$V$2:$V$3001,'Per Line'!$D$2:$D$3001,$B127,'Per Line'!$AM$2:$AM$3001,0,'Per Line'!$AN$2:$AN$3001,0))</f>
        <v/>
      </c>
      <c r="P127" s="7">
        <f>IF($X127="","",O127*N127)</f>
        <v/>
      </c>
      <c r="Q127">
        <f>IF($X127="","",Settings!$C$6)</f>
        <v/>
      </c>
      <c r="R127" s="7">
        <f>IF($X127="","",SUMIFS('Per Line'!$V$2:$V$3001,'Per Line'!$D$2:$D$3001,$B127,'Per Line'!$AM$2:$AM$3001,1,'Per Line'!$AN$2:$AN$3001,0))</f>
        <v/>
      </c>
      <c r="S127" s="7">
        <f>IF($X127="","",R127*Q127)</f>
        <v/>
      </c>
      <c r="T127" s="7">
        <f>IF($X127="","",S127+P127)</f>
        <v/>
      </c>
      <c r="U127" s="7">
        <f>IF($X127="","",V127-T127)</f>
        <v/>
      </c>
      <c r="V127" s="7">
        <f>IF($X127="","",O127+R127+M127)</f>
        <v/>
      </c>
      <c r="W127" s="7">
        <f>IF($X127="","",V127-T127-I127)</f>
        <v/>
      </c>
      <c r="X127" s="13">
        <f>IF(ROWS($X$2:$X127)&lt;=MAX('Per Line'!$AL$2:$AL$3001),MATCH(ROWS($X$2:$X127),'Per Line'!$AL$2:$AL$3001,0),"")</f>
        <v/>
      </c>
    </row>
    <row r="128">
      <c r="A128" s="12" t="n"/>
      <c r="B128">
        <f>IF($X128="","",INDEX('Per Line'!$D$2:$D$3001,$X128)&amp;"")</f>
        <v/>
      </c>
      <c r="C128" s="11">
        <f>IF($X128="","",INDEX('Per Line'!$F$2:$F$3001,$X128))</f>
        <v/>
      </c>
      <c r="D128">
        <f>IF($X128="","",INDEX('Per Line'!$G$2:$G$3001,$X128)&amp;"")</f>
        <v/>
      </c>
      <c r="E128">
        <f>IF($X128="","",INDEX('Per Line'!$I$2:$I$3001,$X128)&amp;"")</f>
        <v/>
      </c>
      <c r="F128">
        <f>IF($X128="","",INDEX('Per Line'!$J$2:$J$3001,$X128)&amp;"")</f>
        <v/>
      </c>
      <c r="G128">
        <f>IF($X128="","",INDEX('Per Line'!$K$2:$K$3001,$X128)&amp;"")</f>
        <v/>
      </c>
      <c r="H128">
        <f>IF($X128="","",INDEX('Per Line'!$M$2:$M$3001,$X128))</f>
        <v/>
      </c>
      <c r="I128" s="7">
        <f>IF($X128="","",H128*V128/100)</f>
        <v/>
      </c>
      <c r="J128">
        <f>IF($X128="","",INDEX('Per Line'!$W$2:$W$3001,$X128)&amp;"")</f>
        <v/>
      </c>
      <c r="K128">
        <f>IF($X128="","",INDEX('Per Line'!$AD$2:$AD$3001,$X128))</f>
        <v/>
      </c>
      <c r="L128">
        <f>IF($X128="","",IF(AND(ISNUMBER(K128),K128&gt;0),V128&gt;K128,FALSE))</f>
        <v/>
      </c>
      <c r="M128" s="7">
        <f>IF($X128="","",SUMIFS('Per Line'!$V$2:$V$3001,'Per Line'!$D$2:$D$3001,$B128,'Per Line'!$AN$2:$AN$3001,1))</f>
        <v/>
      </c>
      <c r="N128">
        <f>IF($X128="","",Settings!$C$7)</f>
        <v/>
      </c>
      <c r="O128" s="7">
        <f>IF($X128="","",SUMIFS('Per Line'!$V$2:$V$3001,'Per Line'!$D$2:$D$3001,$B128,'Per Line'!$AM$2:$AM$3001,0,'Per Line'!$AN$2:$AN$3001,0))</f>
        <v/>
      </c>
      <c r="P128" s="7">
        <f>IF($X128="","",O128*N128)</f>
        <v/>
      </c>
      <c r="Q128">
        <f>IF($X128="","",Settings!$C$6)</f>
        <v/>
      </c>
      <c r="R128" s="7">
        <f>IF($X128="","",SUMIFS('Per Line'!$V$2:$V$3001,'Per Line'!$D$2:$D$3001,$B128,'Per Line'!$AM$2:$AM$3001,1,'Per Line'!$AN$2:$AN$3001,0))</f>
        <v/>
      </c>
      <c r="S128" s="7">
        <f>IF($X128="","",R128*Q128)</f>
        <v/>
      </c>
      <c r="T128" s="7">
        <f>IF($X128="","",S128+P128)</f>
        <v/>
      </c>
      <c r="U128" s="7">
        <f>IF($X128="","",V128-T128)</f>
        <v/>
      </c>
      <c r="V128" s="7">
        <f>IF($X128="","",O128+R128+M128)</f>
        <v/>
      </c>
      <c r="W128" s="7">
        <f>IF($X128="","",V128-T128-I128)</f>
        <v/>
      </c>
      <c r="X128" s="13">
        <f>IF(ROWS($X$2:$X128)&lt;=MAX('Per Line'!$AL$2:$AL$3001),MATCH(ROWS($X$2:$X128),'Per Line'!$AL$2:$AL$3001,0),"")</f>
        <v/>
      </c>
    </row>
    <row r="129">
      <c r="A129" s="12" t="n"/>
      <c r="B129">
        <f>IF($X129="","",INDEX('Per Line'!$D$2:$D$3001,$X129)&amp;"")</f>
        <v/>
      </c>
      <c r="C129" s="11">
        <f>IF($X129="","",INDEX('Per Line'!$F$2:$F$3001,$X129))</f>
        <v/>
      </c>
      <c r="D129">
        <f>IF($X129="","",INDEX('Per Line'!$G$2:$G$3001,$X129)&amp;"")</f>
        <v/>
      </c>
      <c r="E129">
        <f>IF($X129="","",INDEX('Per Line'!$I$2:$I$3001,$X129)&amp;"")</f>
        <v/>
      </c>
      <c r="F129">
        <f>IF($X129="","",INDEX('Per Line'!$J$2:$J$3001,$X129)&amp;"")</f>
        <v/>
      </c>
      <c r="G129">
        <f>IF($X129="","",INDEX('Per Line'!$K$2:$K$3001,$X129)&amp;"")</f>
        <v/>
      </c>
      <c r="H129">
        <f>IF($X129="","",INDEX('Per Line'!$M$2:$M$3001,$X129))</f>
        <v/>
      </c>
      <c r="I129" s="7">
        <f>IF($X129="","",H129*V129/100)</f>
        <v/>
      </c>
      <c r="J129">
        <f>IF($X129="","",INDEX('Per Line'!$W$2:$W$3001,$X129)&amp;"")</f>
        <v/>
      </c>
      <c r="K129">
        <f>IF($X129="","",INDEX('Per Line'!$AD$2:$AD$3001,$X129))</f>
        <v/>
      </c>
      <c r="L129">
        <f>IF($X129="","",IF(AND(ISNUMBER(K129),K129&gt;0),V129&gt;K129,FALSE))</f>
        <v/>
      </c>
      <c r="M129" s="7">
        <f>IF($X129="","",SUMIFS('Per Line'!$V$2:$V$3001,'Per Line'!$D$2:$D$3001,$B129,'Per Line'!$AN$2:$AN$3001,1))</f>
        <v/>
      </c>
      <c r="N129">
        <f>IF($X129="","",Settings!$C$7)</f>
        <v/>
      </c>
      <c r="O129" s="7">
        <f>IF($X129="","",SUMIFS('Per Line'!$V$2:$V$3001,'Per Line'!$D$2:$D$3001,$B129,'Per Line'!$AM$2:$AM$3001,0,'Per Line'!$AN$2:$AN$3001,0))</f>
        <v/>
      </c>
      <c r="P129" s="7">
        <f>IF($X129="","",O129*N129)</f>
        <v/>
      </c>
      <c r="Q129">
        <f>IF($X129="","",Settings!$C$6)</f>
        <v/>
      </c>
      <c r="R129" s="7">
        <f>IF($X129="","",SUMIFS('Per Line'!$V$2:$V$3001,'Per Line'!$D$2:$D$3001,$B129,'Per Line'!$AM$2:$AM$3001,1,'Per Line'!$AN$2:$AN$3001,0))</f>
        <v/>
      </c>
      <c r="S129" s="7">
        <f>IF($X129="","",R129*Q129)</f>
        <v/>
      </c>
      <c r="T129" s="7">
        <f>IF($X129="","",S129+P129)</f>
        <v/>
      </c>
      <c r="U129" s="7">
        <f>IF($X129="","",V129-T129)</f>
        <v/>
      </c>
      <c r="V129" s="7">
        <f>IF($X129="","",O129+R129+M129)</f>
        <v/>
      </c>
      <c r="W129" s="7">
        <f>IF($X129="","",V129-T129-I129)</f>
        <v/>
      </c>
      <c r="X129" s="13">
        <f>IF(ROWS($X$2:$X129)&lt;=MAX('Per Line'!$AL$2:$AL$3001),MATCH(ROWS($X$2:$X129),'Per Line'!$AL$2:$AL$3001,0),"")</f>
        <v/>
      </c>
    </row>
    <row r="130">
      <c r="A130" s="12" t="n"/>
      <c r="B130">
        <f>IF($X130="","",INDEX('Per Line'!$D$2:$D$3001,$X130)&amp;"")</f>
        <v/>
      </c>
      <c r="C130" s="11">
        <f>IF($X130="","",INDEX('Per Line'!$F$2:$F$3001,$X130))</f>
        <v/>
      </c>
      <c r="D130">
        <f>IF($X130="","",INDEX('Per Line'!$G$2:$G$3001,$X130)&amp;"")</f>
        <v/>
      </c>
      <c r="E130">
        <f>IF($X130="","",INDEX('Per Line'!$I$2:$I$3001,$X130)&amp;"")</f>
        <v/>
      </c>
      <c r="F130">
        <f>IF($X130="","",INDEX('Per Line'!$J$2:$J$3001,$X130)&amp;"")</f>
        <v/>
      </c>
      <c r="G130">
        <f>IF($X130="","",INDEX('Per Line'!$K$2:$K$3001,$X130)&amp;"")</f>
        <v/>
      </c>
      <c r="H130">
        <f>IF($X130="","",INDEX('Per Line'!$M$2:$M$3001,$X130))</f>
        <v/>
      </c>
      <c r="I130" s="7">
        <f>IF($X130="","",H130*V130/100)</f>
        <v/>
      </c>
      <c r="J130">
        <f>IF($X130="","",INDEX('Per Line'!$W$2:$W$3001,$X130)&amp;"")</f>
        <v/>
      </c>
      <c r="K130">
        <f>IF($X130="","",INDEX('Per Line'!$AD$2:$AD$3001,$X130))</f>
        <v/>
      </c>
      <c r="L130">
        <f>IF($X130="","",IF(AND(ISNUMBER(K130),K130&gt;0),V130&gt;K130,FALSE))</f>
        <v/>
      </c>
      <c r="M130" s="7">
        <f>IF($X130="","",SUMIFS('Per Line'!$V$2:$V$3001,'Per Line'!$D$2:$D$3001,$B130,'Per Line'!$AN$2:$AN$3001,1))</f>
        <v/>
      </c>
      <c r="N130">
        <f>IF($X130="","",Settings!$C$7)</f>
        <v/>
      </c>
      <c r="O130" s="7">
        <f>IF($X130="","",SUMIFS('Per Line'!$V$2:$V$3001,'Per Line'!$D$2:$D$3001,$B130,'Per Line'!$AM$2:$AM$3001,0,'Per Line'!$AN$2:$AN$3001,0))</f>
        <v/>
      </c>
      <c r="P130" s="7">
        <f>IF($X130="","",O130*N130)</f>
        <v/>
      </c>
      <c r="Q130">
        <f>IF($X130="","",Settings!$C$6)</f>
        <v/>
      </c>
      <c r="R130" s="7">
        <f>IF($X130="","",SUMIFS('Per Line'!$V$2:$V$3001,'Per Line'!$D$2:$D$3001,$B130,'Per Line'!$AM$2:$AM$3001,1,'Per Line'!$AN$2:$AN$3001,0))</f>
        <v/>
      </c>
      <c r="S130" s="7">
        <f>IF($X130="","",R130*Q130)</f>
        <v/>
      </c>
      <c r="T130" s="7">
        <f>IF($X130="","",S130+P130)</f>
        <v/>
      </c>
      <c r="U130" s="7">
        <f>IF($X130="","",V130-T130)</f>
        <v/>
      </c>
      <c r="V130" s="7">
        <f>IF($X130="","",O130+R130+M130)</f>
        <v/>
      </c>
      <c r="W130" s="7">
        <f>IF($X130="","",V130-T130-I130)</f>
        <v/>
      </c>
      <c r="X130" s="13">
        <f>IF(ROWS($X$2:$X130)&lt;=MAX('Per Line'!$AL$2:$AL$3001),MATCH(ROWS($X$2:$X130),'Per Line'!$AL$2:$AL$3001,0),"")</f>
        <v/>
      </c>
    </row>
    <row r="131">
      <c r="A131" s="12" t="n"/>
      <c r="B131">
        <f>IF($X131="","",INDEX('Per Line'!$D$2:$D$3001,$X131)&amp;"")</f>
        <v/>
      </c>
      <c r="C131" s="11">
        <f>IF($X131="","",INDEX('Per Line'!$F$2:$F$3001,$X131))</f>
        <v/>
      </c>
      <c r="D131">
        <f>IF($X131="","",INDEX('Per Line'!$G$2:$G$3001,$X131)&amp;"")</f>
        <v/>
      </c>
      <c r="E131">
        <f>IF($X131="","",INDEX('Per Line'!$I$2:$I$3001,$X131)&amp;"")</f>
        <v/>
      </c>
      <c r="F131">
        <f>IF($X131="","",INDEX('Per Line'!$J$2:$J$3001,$X131)&amp;"")</f>
        <v/>
      </c>
      <c r="G131">
        <f>IF($X131="","",INDEX('Per Line'!$K$2:$K$3001,$X131)&amp;"")</f>
        <v/>
      </c>
      <c r="H131">
        <f>IF($X131="","",INDEX('Per Line'!$M$2:$M$3001,$X131))</f>
        <v/>
      </c>
      <c r="I131" s="7">
        <f>IF($X131="","",H131*V131/100)</f>
        <v/>
      </c>
      <c r="J131">
        <f>IF($X131="","",INDEX('Per Line'!$W$2:$W$3001,$X131)&amp;"")</f>
        <v/>
      </c>
      <c r="K131">
        <f>IF($X131="","",INDEX('Per Line'!$AD$2:$AD$3001,$X131))</f>
        <v/>
      </c>
      <c r="L131">
        <f>IF($X131="","",IF(AND(ISNUMBER(K131),K131&gt;0),V131&gt;K131,FALSE))</f>
        <v/>
      </c>
      <c r="M131" s="7">
        <f>IF($X131="","",SUMIFS('Per Line'!$V$2:$V$3001,'Per Line'!$D$2:$D$3001,$B131,'Per Line'!$AN$2:$AN$3001,1))</f>
        <v/>
      </c>
      <c r="N131">
        <f>IF($X131="","",Settings!$C$7)</f>
        <v/>
      </c>
      <c r="O131" s="7">
        <f>IF($X131="","",SUMIFS('Per Line'!$V$2:$V$3001,'Per Line'!$D$2:$D$3001,$B131,'Per Line'!$AM$2:$AM$3001,0,'Per Line'!$AN$2:$AN$3001,0))</f>
        <v/>
      </c>
      <c r="P131" s="7">
        <f>IF($X131="","",O131*N131)</f>
        <v/>
      </c>
      <c r="Q131">
        <f>IF($X131="","",Settings!$C$6)</f>
        <v/>
      </c>
      <c r="R131" s="7">
        <f>IF($X131="","",SUMIFS('Per Line'!$V$2:$V$3001,'Per Line'!$D$2:$D$3001,$B131,'Per Line'!$AM$2:$AM$3001,1,'Per Line'!$AN$2:$AN$3001,0))</f>
        <v/>
      </c>
      <c r="S131" s="7">
        <f>IF($X131="","",R131*Q131)</f>
        <v/>
      </c>
      <c r="T131" s="7">
        <f>IF($X131="","",S131+P131)</f>
        <v/>
      </c>
      <c r="U131" s="7">
        <f>IF($X131="","",V131-T131)</f>
        <v/>
      </c>
      <c r="V131" s="7">
        <f>IF($X131="","",O131+R131+M131)</f>
        <v/>
      </c>
      <c r="W131" s="7">
        <f>IF($X131="","",V131-T131-I131)</f>
        <v/>
      </c>
      <c r="X131" s="13">
        <f>IF(ROWS($X$2:$X131)&lt;=MAX('Per Line'!$AL$2:$AL$3001),MATCH(ROWS($X$2:$X131),'Per Line'!$AL$2:$AL$3001,0),"")</f>
        <v/>
      </c>
    </row>
    <row r="132">
      <c r="A132" s="12" t="n"/>
      <c r="B132">
        <f>IF($X132="","",INDEX('Per Line'!$D$2:$D$3001,$X132)&amp;"")</f>
        <v/>
      </c>
      <c r="C132" s="11">
        <f>IF($X132="","",INDEX('Per Line'!$F$2:$F$3001,$X132))</f>
        <v/>
      </c>
      <c r="D132">
        <f>IF($X132="","",INDEX('Per Line'!$G$2:$G$3001,$X132)&amp;"")</f>
        <v/>
      </c>
      <c r="E132">
        <f>IF($X132="","",INDEX('Per Line'!$I$2:$I$3001,$X132)&amp;"")</f>
        <v/>
      </c>
      <c r="F132">
        <f>IF($X132="","",INDEX('Per Line'!$J$2:$J$3001,$X132)&amp;"")</f>
        <v/>
      </c>
      <c r="G132">
        <f>IF($X132="","",INDEX('Per Line'!$K$2:$K$3001,$X132)&amp;"")</f>
        <v/>
      </c>
      <c r="H132">
        <f>IF($X132="","",INDEX('Per Line'!$M$2:$M$3001,$X132))</f>
        <v/>
      </c>
      <c r="I132" s="7">
        <f>IF($X132="","",H132*V132/100)</f>
        <v/>
      </c>
      <c r="J132">
        <f>IF($X132="","",INDEX('Per Line'!$W$2:$W$3001,$X132)&amp;"")</f>
        <v/>
      </c>
      <c r="K132">
        <f>IF($X132="","",INDEX('Per Line'!$AD$2:$AD$3001,$X132))</f>
        <v/>
      </c>
      <c r="L132">
        <f>IF($X132="","",IF(AND(ISNUMBER(K132),K132&gt;0),V132&gt;K132,FALSE))</f>
        <v/>
      </c>
      <c r="M132" s="7">
        <f>IF($X132="","",SUMIFS('Per Line'!$V$2:$V$3001,'Per Line'!$D$2:$D$3001,$B132,'Per Line'!$AN$2:$AN$3001,1))</f>
        <v/>
      </c>
      <c r="N132">
        <f>IF($X132="","",Settings!$C$7)</f>
        <v/>
      </c>
      <c r="O132" s="7">
        <f>IF($X132="","",SUMIFS('Per Line'!$V$2:$V$3001,'Per Line'!$D$2:$D$3001,$B132,'Per Line'!$AM$2:$AM$3001,0,'Per Line'!$AN$2:$AN$3001,0))</f>
        <v/>
      </c>
      <c r="P132" s="7">
        <f>IF($X132="","",O132*N132)</f>
        <v/>
      </c>
      <c r="Q132">
        <f>IF($X132="","",Settings!$C$6)</f>
        <v/>
      </c>
      <c r="R132" s="7">
        <f>IF($X132="","",SUMIFS('Per Line'!$V$2:$V$3001,'Per Line'!$D$2:$D$3001,$B132,'Per Line'!$AM$2:$AM$3001,1,'Per Line'!$AN$2:$AN$3001,0))</f>
        <v/>
      </c>
      <c r="S132" s="7">
        <f>IF($X132="","",R132*Q132)</f>
        <v/>
      </c>
      <c r="T132" s="7">
        <f>IF($X132="","",S132+P132)</f>
        <v/>
      </c>
      <c r="U132" s="7">
        <f>IF($X132="","",V132-T132)</f>
        <v/>
      </c>
      <c r="V132" s="7">
        <f>IF($X132="","",O132+R132+M132)</f>
        <v/>
      </c>
      <c r="W132" s="7">
        <f>IF($X132="","",V132-T132-I132)</f>
        <v/>
      </c>
      <c r="X132" s="13">
        <f>IF(ROWS($X$2:$X132)&lt;=MAX('Per Line'!$AL$2:$AL$3001),MATCH(ROWS($X$2:$X132),'Per Line'!$AL$2:$AL$3001,0),"")</f>
        <v/>
      </c>
    </row>
    <row r="133">
      <c r="A133" s="12" t="n"/>
      <c r="B133">
        <f>IF($X133="","",INDEX('Per Line'!$D$2:$D$3001,$X133)&amp;"")</f>
        <v/>
      </c>
      <c r="C133" s="11">
        <f>IF($X133="","",INDEX('Per Line'!$F$2:$F$3001,$X133))</f>
        <v/>
      </c>
      <c r="D133">
        <f>IF($X133="","",INDEX('Per Line'!$G$2:$G$3001,$X133)&amp;"")</f>
        <v/>
      </c>
      <c r="E133">
        <f>IF($X133="","",INDEX('Per Line'!$I$2:$I$3001,$X133)&amp;"")</f>
        <v/>
      </c>
      <c r="F133">
        <f>IF($X133="","",INDEX('Per Line'!$J$2:$J$3001,$X133)&amp;"")</f>
        <v/>
      </c>
      <c r="G133">
        <f>IF($X133="","",INDEX('Per Line'!$K$2:$K$3001,$X133)&amp;"")</f>
        <v/>
      </c>
      <c r="H133">
        <f>IF($X133="","",INDEX('Per Line'!$M$2:$M$3001,$X133))</f>
        <v/>
      </c>
      <c r="I133" s="7">
        <f>IF($X133="","",H133*V133/100)</f>
        <v/>
      </c>
      <c r="J133">
        <f>IF($X133="","",INDEX('Per Line'!$W$2:$W$3001,$X133)&amp;"")</f>
        <v/>
      </c>
      <c r="K133">
        <f>IF($X133="","",INDEX('Per Line'!$AD$2:$AD$3001,$X133))</f>
        <v/>
      </c>
      <c r="L133">
        <f>IF($X133="","",IF(AND(ISNUMBER(K133),K133&gt;0),V133&gt;K133,FALSE))</f>
        <v/>
      </c>
      <c r="M133" s="7">
        <f>IF($X133="","",SUMIFS('Per Line'!$V$2:$V$3001,'Per Line'!$D$2:$D$3001,$B133,'Per Line'!$AN$2:$AN$3001,1))</f>
        <v/>
      </c>
      <c r="N133">
        <f>IF($X133="","",Settings!$C$7)</f>
        <v/>
      </c>
      <c r="O133" s="7">
        <f>IF($X133="","",SUMIFS('Per Line'!$V$2:$V$3001,'Per Line'!$D$2:$D$3001,$B133,'Per Line'!$AM$2:$AM$3001,0,'Per Line'!$AN$2:$AN$3001,0))</f>
        <v/>
      </c>
      <c r="P133" s="7">
        <f>IF($X133="","",O133*N133)</f>
        <v/>
      </c>
      <c r="Q133">
        <f>IF($X133="","",Settings!$C$6)</f>
        <v/>
      </c>
      <c r="R133" s="7">
        <f>IF($X133="","",SUMIFS('Per Line'!$V$2:$V$3001,'Per Line'!$D$2:$D$3001,$B133,'Per Line'!$AM$2:$AM$3001,1,'Per Line'!$AN$2:$AN$3001,0))</f>
        <v/>
      </c>
      <c r="S133" s="7">
        <f>IF($X133="","",R133*Q133)</f>
        <v/>
      </c>
      <c r="T133" s="7">
        <f>IF($X133="","",S133+P133)</f>
        <v/>
      </c>
      <c r="U133" s="7">
        <f>IF($X133="","",V133-T133)</f>
        <v/>
      </c>
      <c r="V133" s="7">
        <f>IF($X133="","",O133+R133+M133)</f>
        <v/>
      </c>
      <c r="W133" s="7">
        <f>IF($X133="","",V133-T133-I133)</f>
        <v/>
      </c>
      <c r="X133" s="13">
        <f>IF(ROWS($X$2:$X133)&lt;=MAX('Per Line'!$AL$2:$AL$3001),MATCH(ROWS($X$2:$X133),'Per Line'!$AL$2:$AL$3001,0),"")</f>
        <v/>
      </c>
    </row>
    <row r="134">
      <c r="A134" s="12" t="n"/>
      <c r="B134">
        <f>IF($X134="","",INDEX('Per Line'!$D$2:$D$3001,$X134)&amp;"")</f>
        <v/>
      </c>
      <c r="C134" s="11">
        <f>IF($X134="","",INDEX('Per Line'!$F$2:$F$3001,$X134))</f>
        <v/>
      </c>
      <c r="D134">
        <f>IF($X134="","",INDEX('Per Line'!$G$2:$G$3001,$X134)&amp;"")</f>
        <v/>
      </c>
      <c r="E134">
        <f>IF($X134="","",INDEX('Per Line'!$I$2:$I$3001,$X134)&amp;"")</f>
        <v/>
      </c>
      <c r="F134">
        <f>IF($X134="","",INDEX('Per Line'!$J$2:$J$3001,$X134)&amp;"")</f>
        <v/>
      </c>
      <c r="G134">
        <f>IF($X134="","",INDEX('Per Line'!$K$2:$K$3001,$X134)&amp;"")</f>
        <v/>
      </c>
      <c r="H134">
        <f>IF($X134="","",INDEX('Per Line'!$M$2:$M$3001,$X134))</f>
        <v/>
      </c>
      <c r="I134" s="7">
        <f>IF($X134="","",H134*V134/100)</f>
        <v/>
      </c>
      <c r="J134">
        <f>IF($X134="","",INDEX('Per Line'!$W$2:$W$3001,$X134)&amp;"")</f>
        <v/>
      </c>
      <c r="K134">
        <f>IF($X134="","",INDEX('Per Line'!$AD$2:$AD$3001,$X134))</f>
        <v/>
      </c>
      <c r="L134">
        <f>IF($X134="","",IF(AND(ISNUMBER(K134),K134&gt;0),V134&gt;K134,FALSE))</f>
        <v/>
      </c>
      <c r="M134" s="7">
        <f>IF($X134="","",SUMIFS('Per Line'!$V$2:$V$3001,'Per Line'!$D$2:$D$3001,$B134,'Per Line'!$AN$2:$AN$3001,1))</f>
        <v/>
      </c>
      <c r="N134">
        <f>IF($X134="","",Settings!$C$7)</f>
        <v/>
      </c>
      <c r="O134" s="7">
        <f>IF($X134="","",SUMIFS('Per Line'!$V$2:$V$3001,'Per Line'!$D$2:$D$3001,$B134,'Per Line'!$AM$2:$AM$3001,0,'Per Line'!$AN$2:$AN$3001,0))</f>
        <v/>
      </c>
      <c r="P134" s="7">
        <f>IF($X134="","",O134*N134)</f>
        <v/>
      </c>
      <c r="Q134">
        <f>IF($X134="","",Settings!$C$6)</f>
        <v/>
      </c>
      <c r="R134" s="7">
        <f>IF($X134="","",SUMIFS('Per Line'!$V$2:$V$3001,'Per Line'!$D$2:$D$3001,$B134,'Per Line'!$AM$2:$AM$3001,1,'Per Line'!$AN$2:$AN$3001,0))</f>
        <v/>
      </c>
      <c r="S134" s="7">
        <f>IF($X134="","",R134*Q134)</f>
        <v/>
      </c>
      <c r="T134" s="7">
        <f>IF($X134="","",S134+P134)</f>
        <v/>
      </c>
      <c r="U134" s="7">
        <f>IF($X134="","",V134-T134)</f>
        <v/>
      </c>
      <c r="V134" s="7">
        <f>IF($X134="","",O134+R134+M134)</f>
        <v/>
      </c>
      <c r="W134" s="7">
        <f>IF($X134="","",V134-T134-I134)</f>
        <v/>
      </c>
      <c r="X134" s="13">
        <f>IF(ROWS($X$2:$X134)&lt;=MAX('Per Line'!$AL$2:$AL$3001),MATCH(ROWS($X$2:$X134),'Per Line'!$AL$2:$AL$3001,0),"")</f>
        <v/>
      </c>
    </row>
    <row r="135">
      <c r="A135" s="12" t="n"/>
      <c r="B135">
        <f>IF($X135="","",INDEX('Per Line'!$D$2:$D$3001,$X135)&amp;"")</f>
        <v/>
      </c>
      <c r="C135" s="11">
        <f>IF($X135="","",INDEX('Per Line'!$F$2:$F$3001,$X135))</f>
        <v/>
      </c>
      <c r="D135">
        <f>IF($X135="","",INDEX('Per Line'!$G$2:$G$3001,$X135)&amp;"")</f>
        <v/>
      </c>
      <c r="E135">
        <f>IF($X135="","",INDEX('Per Line'!$I$2:$I$3001,$X135)&amp;"")</f>
        <v/>
      </c>
      <c r="F135">
        <f>IF($X135="","",INDEX('Per Line'!$J$2:$J$3001,$X135)&amp;"")</f>
        <v/>
      </c>
      <c r="G135">
        <f>IF($X135="","",INDEX('Per Line'!$K$2:$K$3001,$X135)&amp;"")</f>
        <v/>
      </c>
      <c r="H135">
        <f>IF($X135="","",INDEX('Per Line'!$M$2:$M$3001,$X135))</f>
        <v/>
      </c>
      <c r="I135" s="7">
        <f>IF($X135="","",H135*V135/100)</f>
        <v/>
      </c>
      <c r="J135">
        <f>IF($X135="","",INDEX('Per Line'!$W$2:$W$3001,$X135)&amp;"")</f>
        <v/>
      </c>
      <c r="K135">
        <f>IF($X135="","",INDEX('Per Line'!$AD$2:$AD$3001,$X135))</f>
        <v/>
      </c>
      <c r="L135">
        <f>IF($X135="","",IF(AND(ISNUMBER(K135),K135&gt;0),V135&gt;K135,FALSE))</f>
        <v/>
      </c>
      <c r="M135" s="7">
        <f>IF($X135="","",SUMIFS('Per Line'!$V$2:$V$3001,'Per Line'!$D$2:$D$3001,$B135,'Per Line'!$AN$2:$AN$3001,1))</f>
        <v/>
      </c>
      <c r="N135">
        <f>IF($X135="","",Settings!$C$7)</f>
        <v/>
      </c>
      <c r="O135" s="7">
        <f>IF($X135="","",SUMIFS('Per Line'!$V$2:$V$3001,'Per Line'!$D$2:$D$3001,$B135,'Per Line'!$AM$2:$AM$3001,0,'Per Line'!$AN$2:$AN$3001,0))</f>
        <v/>
      </c>
      <c r="P135" s="7">
        <f>IF($X135="","",O135*N135)</f>
        <v/>
      </c>
      <c r="Q135">
        <f>IF($X135="","",Settings!$C$6)</f>
        <v/>
      </c>
      <c r="R135" s="7">
        <f>IF($X135="","",SUMIFS('Per Line'!$V$2:$V$3001,'Per Line'!$D$2:$D$3001,$B135,'Per Line'!$AM$2:$AM$3001,1,'Per Line'!$AN$2:$AN$3001,0))</f>
        <v/>
      </c>
      <c r="S135" s="7">
        <f>IF($X135="","",R135*Q135)</f>
        <v/>
      </c>
      <c r="T135" s="7">
        <f>IF($X135="","",S135+P135)</f>
        <v/>
      </c>
      <c r="U135" s="7">
        <f>IF($X135="","",V135-T135)</f>
        <v/>
      </c>
      <c r="V135" s="7">
        <f>IF($X135="","",O135+R135+M135)</f>
        <v/>
      </c>
      <c r="W135" s="7">
        <f>IF($X135="","",V135-T135-I135)</f>
        <v/>
      </c>
      <c r="X135" s="13">
        <f>IF(ROWS($X$2:$X135)&lt;=MAX('Per Line'!$AL$2:$AL$3001),MATCH(ROWS($X$2:$X135),'Per Line'!$AL$2:$AL$3001,0),"")</f>
        <v/>
      </c>
    </row>
    <row r="136">
      <c r="A136" s="12" t="n"/>
      <c r="B136">
        <f>IF($X136="","",INDEX('Per Line'!$D$2:$D$3001,$X136)&amp;"")</f>
        <v/>
      </c>
      <c r="C136" s="11">
        <f>IF($X136="","",INDEX('Per Line'!$F$2:$F$3001,$X136))</f>
        <v/>
      </c>
      <c r="D136">
        <f>IF($X136="","",INDEX('Per Line'!$G$2:$G$3001,$X136)&amp;"")</f>
        <v/>
      </c>
      <c r="E136">
        <f>IF($X136="","",INDEX('Per Line'!$I$2:$I$3001,$X136)&amp;"")</f>
        <v/>
      </c>
      <c r="F136">
        <f>IF($X136="","",INDEX('Per Line'!$J$2:$J$3001,$X136)&amp;"")</f>
        <v/>
      </c>
      <c r="G136">
        <f>IF($X136="","",INDEX('Per Line'!$K$2:$K$3001,$X136)&amp;"")</f>
        <v/>
      </c>
      <c r="H136">
        <f>IF($X136="","",INDEX('Per Line'!$M$2:$M$3001,$X136))</f>
        <v/>
      </c>
      <c r="I136" s="7">
        <f>IF($X136="","",H136*V136/100)</f>
        <v/>
      </c>
      <c r="J136">
        <f>IF($X136="","",INDEX('Per Line'!$W$2:$W$3001,$X136)&amp;"")</f>
        <v/>
      </c>
      <c r="K136">
        <f>IF($X136="","",INDEX('Per Line'!$AD$2:$AD$3001,$X136))</f>
        <v/>
      </c>
      <c r="L136">
        <f>IF($X136="","",IF(AND(ISNUMBER(K136),K136&gt;0),V136&gt;K136,FALSE))</f>
        <v/>
      </c>
      <c r="M136" s="7">
        <f>IF($X136="","",SUMIFS('Per Line'!$V$2:$V$3001,'Per Line'!$D$2:$D$3001,$B136,'Per Line'!$AN$2:$AN$3001,1))</f>
        <v/>
      </c>
      <c r="N136">
        <f>IF($X136="","",Settings!$C$7)</f>
        <v/>
      </c>
      <c r="O136" s="7">
        <f>IF($X136="","",SUMIFS('Per Line'!$V$2:$V$3001,'Per Line'!$D$2:$D$3001,$B136,'Per Line'!$AM$2:$AM$3001,0,'Per Line'!$AN$2:$AN$3001,0))</f>
        <v/>
      </c>
      <c r="P136" s="7">
        <f>IF($X136="","",O136*N136)</f>
        <v/>
      </c>
      <c r="Q136">
        <f>IF($X136="","",Settings!$C$6)</f>
        <v/>
      </c>
      <c r="R136" s="7">
        <f>IF($X136="","",SUMIFS('Per Line'!$V$2:$V$3001,'Per Line'!$D$2:$D$3001,$B136,'Per Line'!$AM$2:$AM$3001,1,'Per Line'!$AN$2:$AN$3001,0))</f>
        <v/>
      </c>
      <c r="S136" s="7">
        <f>IF($X136="","",R136*Q136)</f>
        <v/>
      </c>
      <c r="T136" s="7">
        <f>IF($X136="","",S136+P136)</f>
        <v/>
      </c>
      <c r="U136" s="7">
        <f>IF($X136="","",V136-T136)</f>
        <v/>
      </c>
      <c r="V136" s="7">
        <f>IF($X136="","",O136+R136+M136)</f>
        <v/>
      </c>
      <c r="W136" s="7">
        <f>IF($X136="","",V136-T136-I136)</f>
        <v/>
      </c>
      <c r="X136" s="13">
        <f>IF(ROWS($X$2:$X136)&lt;=MAX('Per Line'!$AL$2:$AL$3001),MATCH(ROWS($X$2:$X136),'Per Line'!$AL$2:$AL$3001,0),"")</f>
        <v/>
      </c>
    </row>
    <row r="137">
      <c r="A137" s="12" t="n"/>
      <c r="B137">
        <f>IF($X137="","",INDEX('Per Line'!$D$2:$D$3001,$X137)&amp;"")</f>
        <v/>
      </c>
      <c r="C137" s="11">
        <f>IF($X137="","",INDEX('Per Line'!$F$2:$F$3001,$X137))</f>
        <v/>
      </c>
      <c r="D137">
        <f>IF($X137="","",INDEX('Per Line'!$G$2:$G$3001,$X137)&amp;"")</f>
        <v/>
      </c>
      <c r="E137">
        <f>IF($X137="","",INDEX('Per Line'!$I$2:$I$3001,$X137)&amp;"")</f>
        <v/>
      </c>
      <c r="F137">
        <f>IF($X137="","",INDEX('Per Line'!$J$2:$J$3001,$X137)&amp;"")</f>
        <v/>
      </c>
      <c r="G137">
        <f>IF($X137="","",INDEX('Per Line'!$K$2:$K$3001,$X137)&amp;"")</f>
        <v/>
      </c>
      <c r="H137">
        <f>IF($X137="","",INDEX('Per Line'!$M$2:$M$3001,$X137))</f>
        <v/>
      </c>
      <c r="I137" s="7">
        <f>IF($X137="","",H137*V137/100)</f>
        <v/>
      </c>
      <c r="J137">
        <f>IF($X137="","",INDEX('Per Line'!$W$2:$W$3001,$X137)&amp;"")</f>
        <v/>
      </c>
      <c r="K137">
        <f>IF($X137="","",INDEX('Per Line'!$AD$2:$AD$3001,$X137))</f>
        <v/>
      </c>
      <c r="L137">
        <f>IF($X137="","",IF(AND(ISNUMBER(K137),K137&gt;0),V137&gt;K137,FALSE))</f>
        <v/>
      </c>
      <c r="M137" s="7">
        <f>IF($X137="","",SUMIFS('Per Line'!$V$2:$V$3001,'Per Line'!$D$2:$D$3001,$B137,'Per Line'!$AN$2:$AN$3001,1))</f>
        <v/>
      </c>
      <c r="N137">
        <f>IF($X137="","",Settings!$C$7)</f>
        <v/>
      </c>
      <c r="O137" s="7">
        <f>IF($X137="","",SUMIFS('Per Line'!$V$2:$V$3001,'Per Line'!$D$2:$D$3001,$B137,'Per Line'!$AM$2:$AM$3001,0,'Per Line'!$AN$2:$AN$3001,0))</f>
        <v/>
      </c>
      <c r="P137" s="7">
        <f>IF($X137="","",O137*N137)</f>
        <v/>
      </c>
      <c r="Q137">
        <f>IF($X137="","",Settings!$C$6)</f>
        <v/>
      </c>
      <c r="R137" s="7">
        <f>IF($X137="","",SUMIFS('Per Line'!$V$2:$V$3001,'Per Line'!$D$2:$D$3001,$B137,'Per Line'!$AM$2:$AM$3001,1,'Per Line'!$AN$2:$AN$3001,0))</f>
        <v/>
      </c>
      <c r="S137" s="7">
        <f>IF($X137="","",R137*Q137)</f>
        <v/>
      </c>
      <c r="T137" s="7">
        <f>IF($X137="","",S137+P137)</f>
        <v/>
      </c>
      <c r="U137" s="7">
        <f>IF($X137="","",V137-T137)</f>
        <v/>
      </c>
      <c r="V137" s="7">
        <f>IF($X137="","",O137+R137+M137)</f>
        <v/>
      </c>
      <c r="W137" s="7">
        <f>IF($X137="","",V137-T137-I137)</f>
        <v/>
      </c>
      <c r="X137" s="13">
        <f>IF(ROWS($X$2:$X137)&lt;=MAX('Per Line'!$AL$2:$AL$3001),MATCH(ROWS($X$2:$X137),'Per Line'!$AL$2:$AL$3001,0),"")</f>
        <v/>
      </c>
    </row>
    <row r="138">
      <c r="A138" s="12" t="n"/>
      <c r="B138">
        <f>IF($X138="","",INDEX('Per Line'!$D$2:$D$3001,$X138)&amp;"")</f>
        <v/>
      </c>
      <c r="C138" s="11">
        <f>IF($X138="","",INDEX('Per Line'!$F$2:$F$3001,$X138))</f>
        <v/>
      </c>
      <c r="D138">
        <f>IF($X138="","",INDEX('Per Line'!$G$2:$G$3001,$X138)&amp;"")</f>
        <v/>
      </c>
      <c r="E138">
        <f>IF($X138="","",INDEX('Per Line'!$I$2:$I$3001,$X138)&amp;"")</f>
        <v/>
      </c>
      <c r="F138">
        <f>IF($X138="","",INDEX('Per Line'!$J$2:$J$3001,$X138)&amp;"")</f>
        <v/>
      </c>
      <c r="G138">
        <f>IF($X138="","",INDEX('Per Line'!$K$2:$K$3001,$X138)&amp;"")</f>
        <v/>
      </c>
      <c r="H138">
        <f>IF($X138="","",INDEX('Per Line'!$M$2:$M$3001,$X138))</f>
        <v/>
      </c>
      <c r="I138" s="7">
        <f>IF($X138="","",H138*V138/100)</f>
        <v/>
      </c>
      <c r="J138">
        <f>IF($X138="","",INDEX('Per Line'!$W$2:$W$3001,$X138)&amp;"")</f>
        <v/>
      </c>
      <c r="K138">
        <f>IF($X138="","",INDEX('Per Line'!$AD$2:$AD$3001,$X138))</f>
        <v/>
      </c>
      <c r="L138">
        <f>IF($X138="","",IF(AND(ISNUMBER(K138),K138&gt;0),V138&gt;K138,FALSE))</f>
        <v/>
      </c>
      <c r="M138" s="7">
        <f>IF($X138="","",SUMIFS('Per Line'!$V$2:$V$3001,'Per Line'!$D$2:$D$3001,$B138,'Per Line'!$AN$2:$AN$3001,1))</f>
        <v/>
      </c>
      <c r="N138">
        <f>IF($X138="","",Settings!$C$7)</f>
        <v/>
      </c>
      <c r="O138" s="7">
        <f>IF($X138="","",SUMIFS('Per Line'!$V$2:$V$3001,'Per Line'!$D$2:$D$3001,$B138,'Per Line'!$AM$2:$AM$3001,0,'Per Line'!$AN$2:$AN$3001,0))</f>
        <v/>
      </c>
      <c r="P138" s="7">
        <f>IF($X138="","",O138*N138)</f>
        <v/>
      </c>
      <c r="Q138">
        <f>IF($X138="","",Settings!$C$6)</f>
        <v/>
      </c>
      <c r="R138" s="7">
        <f>IF($X138="","",SUMIFS('Per Line'!$V$2:$V$3001,'Per Line'!$D$2:$D$3001,$B138,'Per Line'!$AM$2:$AM$3001,1,'Per Line'!$AN$2:$AN$3001,0))</f>
        <v/>
      </c>
      <c r="S138" s="7">
        <f>IF($X138="","",R138*Q138)</f>
        <v/>
      </c>
      <c r="T138" s="7">
        <f>IF($X138="","",S138+P138)</f>
        <v/>
      </c>
      <c r="U138" s="7">
        <f>IF($X138="","",V138-T138)</f>
        <v/>
      </c>
      <c r="V138" s="7">
        <f>IF($X138="","",O138+R138+M138)</f>
        <v/>
      </c>
      <c r="W138" s="7">
        <f>IF($X138="","",V138-T138-I138)</f>
        <v/>
      </c>
      <c r="X138" s="13">
        <f>IF(ROWS($X$2:$X138)&lt;=MAX('Per Line'!$AL$2:$AL$3001),MATCH(ROWS($X$2:$X138),'Per Line'!$AL$2:$AL$3001,0),"")</f>
        <v/>
      </c>
    </row>
    <row r="139">
      <c r="A139" s="12" t="n"/>
      <c r="B139">
        <f>IF($X139="","",INDEX('Per Line'!$D$2:$D$3001,$X139)&amp;"")</f>
        <v/>
      </c>
      <c r="C139" s="11">
        <f>IF($X139="","",INDEX('Per Line'!$F$2:$F$3001,$X139))</f>
        <v/>
      </c>
      <c r="D139">
        <f>IF($X139="","",INDEX('Per Line'!$G$2:$G$3001,$X139)&amp;"")</f>
        <v/>
      </c>
      <c r="E139">
        <f>IF($X139="","",INDEX('Per Line'!$I$2:$I$3001,$X139)&amp;"")</f>
        <v/>
      </c>
      <c r="F139">
        <f>IF($X139="","",INDEX('Per Line'!$J$2:$J$3001,$X139)&amp;"")</f>
        <v/>
      </c>
      <c r="G139">
        <f>IF($X139="","",INDEX('Per Line'!$K$2:$K$3001,$X139)&amp;"")</f>
        <v/>
      </c>
      <c r="H139">
        <f>IF($X139="","",INDEX('Per Line'!$M$2:$M$3001,$X139))</f>
        <v/>
      </c>
      <c r="I139" s="7">
        <f>IF($X139="","",H139*V139/100)</f>
        <v/>
      </c>
      <c r="J139">
        <f>IF($X139="","",INDEX('Per Line'!$W$2:$W$3001,$X139)&amp;"")</f>
        <v/>
      </c>
      <c r="K139">
        <f>IF($X139="","",INDEX('Per Line'!$AD$2:$AD$3001,$X139))</f>
        <v/>
      </c>
      <c r="L139">
        <f>IF($X139="","",IF(AND(ISNUMBER(K139),K139&gt;0),V139&gt;K139,FALSE))</f>
        <v/>
      </c>
      <c r="M139" s="7">
        <f>IF($X139="","",SUMIFS('Per Line'!$V$2:$V$3001,'Per Line'!$D$2:$D$3001,$B139,'Per Line'!$AN$2:$AN$3001,1))</f>
        <v/>
      </c>
      <c r="N139">
        <f>IF($X139="","",Settings!$C$7)</f>
        <v/>
      </c>
      <c r="O139" s="7">
        <f>IF($X139="","",SUMIFS('Per Line'!$V$2:$V$3001,'Per Line'!$D$2:$D$3001,$B139,'Per Line'!$AM$2:$AM$3001,0,'Per Line'!$AN$2:$AN$3001,0))</f>
        <v/>
      </c>
      <c r="P139" s="7">
        <f>IF($X139="","",O139*N139)</f>
        <v/>
      </c>
      <c r="Q139">
        <f>IF($X139="","",Settings!$C$6)</f>
        <v/>
      </c>
      <c r="R139" s="7">
        <f>IF($X139="","",SUMIFS('Per Line'!$V$2:$V$3001,'Per Line'!$D$2:$D$3001,$B139,'Per Line'!$AM$2:$AM$3001,1,'Per Line'!$AN$2:$AN$3001,0))</f>
        <v/>
      </c>
      <c r="S139" s="7">
        <f>IF($X139="","",R139*Q139)</f>
        <v/>
      </c>
      <c r="T139" s="7">
        <f>IF($X139="","",S139+P139)</f>
        <v/>
      </c>
      <c r="U139" s="7">
        <f>IF($X139="","",V139-T139)</f>
        <v/>
      </c>
      <c r="V139" s="7">
        <f>IF($X139="","",O139+R139+M139)</f>
        <v/>
      </c>
      <c r="W139" s="7">
        <f>IF($X139="","",V139-T139-I139)</f>
        <v/>
      </c>
      <c r="X139" s="13">
        <f>IF(ROWS($X$2:$X139)&lt;=MAX('Per Line'!$AL$2:$AL$3001),MATCH(ROWS($X$2:$X139),'Per Line'!$AL$2:$AL$3001,0),"")</f>
        <v/>
      </c>
    </row>
    <row r="140">
      <c r="A140" s="12" t="n"/>
      <c r="B140">
        <f>IF($X140="","",INDEX('Per Line'!$D$2:$D$3001,$X140)&amp;"")</f>
        <v/>
      </c>
      <c r="C140" s="11">
        <f>IF($X140="","",INDEX('Per Line'!$F$2:$F$3001,$X140))</f>
        <v/>
      </c>
      <c r="D140">
        <f>IF($X140="","",INDEX('Per Line'!$G$2:$G$3001,$X140)&amp;"")</f>
        <v/>
      </c>
      <c r="E140">
        <f>IF($X140="","",INDEX('Per Line'!$I$2:$I$3001,$X140)&amp;"")</f>
        <v/>
      </c>
      <c r="F140">
        <f>IF($X140="","",INDEX('Per Line'!$J$2:$J$3001,$X140)&amp;"")</f>
        <v/>
      </c>
      <c r="G140">
        <f>IF($X140="","",INDEX('Per Line'!$K$2:$K$3001,$X140)&amp;"")</f>
        <v/>
      </c>
      <c r="H140">
        <f>IF($X140="","",INDEX('Per Line'!$M$2:$M$3001,$X140))</f>
        <v/>
      </c>
      <c r="I140" s="7">
        <f>IF($X140="","",H140*V140/100)</f>
        <v/>
      </c>
      <c r="J140">
        <f>IF($X140="","",INDEX('Per Line'!$W$2:$W$3001,$X140)&amp;"")</f>
        <v/>
      </c>
      <c r="K140">
        <f>IF($X140="","",INDEX('Per Line'!$AD$2:$AD$3001,$X140))</f>
        <v/>
      </c>
      <c r="L140">
        <f>IF($X140="","",IF(AND(ISNUMBER(K140),K140&gt;0),V140&gt;K140,FALSE))</f>
        <v/>
      </c>
      <c r="M140" s="7">
        <f>IF($X140="","",SUMIFS('Per Line'!$V$2:$V$3001,'Per Line'!$D$2:$D$3001,$B140,'Per Line'!$AN$2:$AN$3001,1))</f>
        <v/>
      </c>
      <c r="N140">
        <f>IF($X140="","",Settings!$C$7)</f>
        <v/>
      </c>
      <c r="O140" s="7">
        <f>IF($X140="","",SUMIFS('Per Line'!$V$2:$V$3001,'Per Line'!$D$2:$D$3001,$B140,'Per Line'!$AM$2:$AM$3001,0,'Per Line'!$AN$2:$AN$3001,0))</f>
        <v/>
      </c>
      <c r="P140" s="7">
        <f>IF($X140="","",O140*N140)</f>
        <v/>
      </c>
      <c r="Q140">
        <f>IF($X140="","",Settings!$C$6)</f>
        <v/>
      </c>
      <c r="R140" s="7">
        <f>IF($X140="","",SUMIFS('Per Line'!$V$2:$V$3001,'Per Line'!$D$2:$D$3001,$B140,'Per Line'!$AM$2:$AM$3001,1,'Per Line'!$AN$2:$AN$3001,0))</f>
        <v/>
      </c>
      <c r="S140" s="7">
        <f>IF($X140="","",R140*Q140)</f>
        <v/>
      </c>
      <c r="T140" s="7">
        <f>IF($X140="","",S140+P140)</f>
        <v/>
      </c>
      <c r="U140" s="7">
        <f>IF($X140="","",V140-T140)</f>
        <v/>
      </c>
      <c r="V140" s="7">
        <f>IF($X140="","",O140+R140+M140)</f>
        <v/>
      </c>
      <c r="W140" s="7">
        <f>IF($X140="","",V140-T140-I140)</f>
        <v/>
      </c>
      <c r="X140" s="13">
        <f>IF(ROWS($X$2:$X140)&lt;=MAX('Per Line'!$AL$2:$AL$3001),MATCH(ROWS($X$2:$X140),'Per Line'!$AL$2:$AL$3001,0),"")</f>
        <v/>
      </c>
    </row>
    <row r="141">
      <c r="A141" s="12" t="n"/>
      <c r="B141">
        <f>IF($X141="","",INDEX('Per Line'!$D$2:$D$3001,$X141)&amp;"")</f>
        <v/>
      </c>
      <c r="C141" s="11">
        <f>IF($X141="","",INDEX('Per Line'!$F$2:$F$3001,$X141))</f>
        <v/>
      </c>
      <c r="D141">
        <f>IF($X141="","",INDEX('Per Line'!$G$2:$G$3001,$X141)&amp;"")</f>
        <v/>
      </c>
      <c r="E141">
        <f>IF($X141="","",INDEX('Per Line'!$I$2:$I$3001,$X141)&amp;"")</f>
        <v/>
      </c>
      <c r="F141">
        <f>IF($X141="","",INDEX('Per Line'!$J$2:$J$3001,$X141)&amp;"")</f>
        <v/>
      </c>
      <c r="G141">
        <f>IF($X141="","",INDEX('Per Line'!$K$2:$K$3001,$X141)&amp;"")</f>
        <v/>
      </c>
      <c r="H141">
        <f>IF($X141="","",INDEX('Per Line'!$M$2:$M$3001,$X141))</f>
        <v/>
      </c>
      <c r="I141" s="7">
        <f>IF($X141="","",H141*V141/100)</f>
        <v/>
      </c>
      <c r="J141">
        <f>IF($X141="","",INDEX('Per Line'!$W$2:$W$3001,$X141)&amp;"")</f>
        <v/>
      </c>
      <c r="K141">
        <f>IF($X141="","",INDEX('Per Line'!$AD$2:$AD$3001,$X141))</f>
        <v/>
      </c>
      <c r="L141">
        <f>IF($X141="","",IF(AND(ISNUMBER(K141),K141&gt;0),V141&gt;K141,FALSE))</f>
        <v/>
      </c>
      <c r="M141" s="7">
        <f>IF($X141="","",SUMIFS('Per Line'!$V$2:$V$3001,'Per Line'!$D$2:$D$3001,$B141,'Per Line'!$AN$2:$AN$3001,1))</f>
        <v/>
      </c>
      <c r="N141">
        <f>IF($X141="","",Settings!$C$7)</f>
        <v/>
      </c>
      <c r="O141" s="7">
        <f>IF($X141="","",SUMIFS('Per Line'!$V$2:$V$3001,'Per Line'!$D$2:$D$3001,$B141,'Per Line'!$AM$2:$AM$3001,0,'Per Line'!$AN$2:$AN$3001,0))</f>
        <v/>
      </c>
      <c r="P141" s="7">
        <f>IF($X141="","",O141*N141)</f>
        <v/>
      </c>
      <c r="Q141">
        <f>IF($X141="","",Settings!$C$6)</f>
        <v/>
      </c>
      <c r="R141" s="7">
        <f>IF($X141="","",SUMIFS('Per Line'!$V$2:$V$3001,'Per Line'!$D$2:$D$3001,$B141,'Per Line'!$AM$2:$AM$3001,1,'Per Line'!$AN$2:$AN$3001,0))</f>
        <v/>
      </c>
      <c r="S141" s="7">
        <f>IF($X141="","",R141*Q141)</f>
        <v/>
      </c>
      <c r="T141" s="7">
        <f>IF($X141="","",S141+P141)</f>
        <v/>
      </c>
      <c r="U141" s="7">
        <f>IF($X141="","",V141-T141)</f>
        <v/>
      </c>
      <c r="V141" s="7">
        <f>IF($X141="","",O141+R141+M141)</f>
        <v/>
      </c>
      <c r="W141" s="7">
        <f>IF($X141="","",V141-T141-I141)</f>
        <v/>
      </c>
      <c r="X141" s="13">
        <f>IF(ROWS($X$2:$X141)&lt;=MAX('Per Line'!$AL$2:$AL$3001),MATCH(ROWS($X$2:$X141),'Per Line'!$AL$2:$AL$3001,0),"")</f>
        <v/>
      </c>
    </row>
    <row r="142">
      <c r="A142" s="12" t="n"/>
      <c r="B142">
        <f>IF($X142="","",INDEX('Per Line'!$D$2:$D$3001,$X142)&amp;"")</f>
        <v/>
      </c>
      <c r="C142" s="11">
        <f>IF($X142="","",INDEX('Per Line'!$F$2:$F$3001,$X142))</f>
        <v/>
      </c>
      <c r="D142">
        <f>IF($X142="","",INDEX('Per Line'!$G$2:$G$3001,$X142)&amp;"")</f>
        <v/>
      </c>
      <c r="E142">
        <f>IF($X142="","",INDEX('Per Line'!$I$2:$I$3001,$X142)&amp;"")</f>
        <v/>
      </c>
      <c r="F142">
        <f>IF($X142="","",INDEX('Per Line'!$J$2:$J$3001,$X142)&amp;"")</f>
        <v/>
      </c>
      <c r="G142">
        <f>IF($X142="","",INDEX('Per Line'!$K$2:$K$3001,$X142)&amp;"")</f>
        <v/>
      </c>
      <c r="H142">
        <f>IF($X142="","",INDEX('Per Line'!$M$2:$M$3001,$X142))</f>
        <v/>
      </c>
      <c r="I142" s="7">
        <f>IF($X142="","",H142*V142/100)</f>
        <v/>
      </c>
      <c r="J142">
        <f>IF($X142="","",INDEX('Per Line'!$W$2:$W$3001,$X142)&amp;"")</f>
        <v/>
      </c>
      <c r="K142">
        <f>IF($X142="","",INDEX('Per Line'!$AD$2:$AD$3001,$X142))</f>
        <v/>
      </c>
      <c r="L142">
        <f>IF($X142="","",IF(AND(ISNUMBER(K142),K142&gt;0),V142&gt;K142,FALSE))</f>
        <v/>
      </c>
      <c r="M142" s="7">
        <f>IF($X142="","",SUMIFS('Per Line'!$V$2:$V$3001,'Per Line'!$D$2:$D$3001,$B142,'Per Line'!$AN$2:$AN$3001,1))</f>
        <v/>
      </c>
      <c r="N142">
        <f>IF($X142="","",Settings!$C$7)</f>
        <v/>
      </c>
      <c r="O142" s="7">
        <f>IF($X142="","",SUMIFS('Per Line'!$V$2:$V$3001,'Per Line'!$D$2:$D$3001,$B142,'Per Line'!$AM$2:$AM$3001,0,'Per Line'!$AN$2:$AN$3001,0))</f>
        <v/>
      </c>
      <c r="P142" s="7">
        <f>IF($X142="","",O142*N142)</f>
        <v/>
      </c>
      <c r="Q142">
        <f>IF($X142="","",Settings!$C$6)</f>
        <v/>
      </c>
      <c r="R142" s="7">
        <f>IF($X142="","",SUMIFS('Per Line'!$V$2:$V$3001,'Per Line'!$D$2:$D$3001,$B142,'Per Line'!$AM$2:$AM$3001,1,'Per Line'!$AN$2:$AN$3001,0))</f>
        <v/>
      </c>
      <c r="S142" s="7">
        <f>IF($X142="","",R142*Q142)</f>
        <v/>
      </c>
      <c r="T142" s="7">
        <f>IF($X142="","",S142+P142)</f>
        <v/>
      </c>
      <c r="U142" s="7">
        <f>IF($X142="","",V142-T142)</f>
        <v/>
      </c>
      <c r="V142" s="7">
        <f>IF($X142="","",O142+R142+M142)</f>
        <v/>
      </c>
      <c r="W142" s="7">
        <f>IF($X142="","",V142-T142-I142)</f>
        <v/>
      </c>
      <c r="X142" s="13">
        <f>IF(ROWS($X$2:$X142)&lt;=MAX('Per Line'!$AL$2:$AL$3001),MATCH(ROWS($X$2:$X142),'Per Line'!$AL$2:$AL$3001,0),"")</f>
        <v/>
      </c>
    </row>
    <row r="143">
      <c r="A143" s="12" t="n"/>
      <c r="B143">
        <f>IF($X143="","",INDEX('Per Line'!$D$2:$D$3001,$X143)&amp;"")</f>
        <v/>
      </c>
      <c r="C143" s="11">
        <f>IF($X143="","",INDEX('Per Line'!$F$2:$F$3001,$X143))</f>
        <v/>
      </c>
      <c r="D143">
        <f>IF($X143="","",INDEX('Per Line'!$G$2:$G$3001,$X143)&amp;"")</f>
        <v/>
      </c>
      <c r="E143">
        <f>IF($X143="","",INDEX('Per Line'!$I$2:$I$3001,$X143)&amp;"")</f>
        <v/>
      </c>
      <c r="F143">
        <f>IF($X143="","",INDEX('Per Line'!$J$2:$J$3001,$X143)&amp;"")</f>
        <v/>
      </c>
      <c r="G143">
        <f>IF($X143="","",INDEX('Per Line'!$K$2:$K$3001,$X143)&amp;"")</f>
        <v/>
      </c>
      <c r="H143">
        <f>IF($X143="","",INDEX('Per Line'!$M$2:$M$3001,$X143))</f>
        <v/>
      </c>
      <c r="I143" s="7">
        <f>IF($X143="","",H143*V143/100)</f>
        <v/>
      </c>
      <c r="J143">
        <f>IF($X143="","",INDEX('Per Line'!$W$2:$W$3001,$X143)&amp;"")</f>
        <v/>
      </c>
      <c r="K143">
        <f>IF($X143="","",INDEX('Per Line'!$AD$2:$AD$3001,$X143))</f>
        <v/>
      </c>
      <c r="L143">
        <f>IF($X143="","",IF(AND(ISNUMBER(K143),K143&gt;0),V143&gt;K143,FALSE))</f>
        <v/>
      </c>
      <c r="M143" s="7">
        <f>IF($X143="","",SUMIFS('Per Line'!$V$2:$V$3001,'Per Line'!$D$2:$D$3001,$B143,'Per Line'!$AN$2:$AN$3001,1))</f>
        <v/>
      </c>
      <c r="N143">
        <f>IF($X143="","",Settings!$C$7)</f>
        <v/>
      </c>
      <c r="O143" s="7">
        <f>IF($X143="","",SUMIFS('Per Line'!$V$2:$V$3001,'Per Line'!$D$2:$D$3001,$B143,'Per Line'!$AM$2:$AM$3001,0,'Per Line'!$AN$2:$AN$3001,0))</f>
        <v/>
      </c>
      <c r="P143" s="7">
        <f>IF($X143="","",O143*N143)</f>
        <v/>
      </c>
      <c r="Q143">
        <f>IF($X143="","",Settings!$C$6)</f>
        <v/>
      </c>
      <c r="R143" s="7">
        <f>IF($X143="","",SUMIFS('Per Line'!$V$2:$V$3001,'Per Line'!$D$2:$D$3001,$B143,'Per Line'!$AM$2:$AM$3001,1,'Per Line'!$AN$2:$AN$3001,0))</f>
        <v/>
      </c>
      <c r="S143" s="7">
        <f>IF($X143="","",R143*Q143)</f>
        <v/>
      </c>
      <c r="T143" s="7">
        <f>IF($X143="","",S143+P143)</f>
        <v/>
      </c>
      <c r="U143" s="7">
        <f>IF($X143="","",V143-T143)</f>
        <v/>
      </c>
      <c r="V143" s="7">
        <f>IF($X143="","",O143+R143+M143)</f>
        <v/>
      </c>
      <c r="W143" s="7">
        <f>IF($X143="","",V143-T143-I143)</f>
        <v/>
      </c>
      <c r="X143" s="13">
        <f>IF(ROWS($X$2:$X143)&lt;=MAX('Per Line'!$AL$2:$AL$3001),MATCH(ROWS($X$2:$X143),'Per Line'!$AL$2:$AL$3001,0),"")</f>
        <v/>
      </c>
    </row>
    <row r="144">
      <c r="A144" s="12" t="n"/>
      <c r="B144">
        <f>IF($X144="","",INDEX('Per Line'!$D$2:$D$3001,$X144)&amp;"")</f>
        <v/>
      </c>
      <c r="C144" s="11">
        <f>IF($X144="","",INDEX('Per Line'!$F$2:$F$3001,$X144))</f>
        <v/>
      </c>
      <c r="D144">
        <f>IF($X144="","",INDEX('Per Line'!$G$2:$G$3001,$X144)&amp;"")</f>
        <v/>
      </c>
      <c r="E144">
        <f>IF($X144="","",INDEX('Per Line'!$I$2:$I$3001,$X144)&amp;"")</f>
        <v/>
      </c>
      <c r="F144">
        <f>IF($X144="","",INDEX('Per Line'!$J$2:$J$3001,$X144)&amp;"")</f>
        <v/>
      </c>
      <c r="G144">
        <f>IF($X144="","",INDEX('Per Line'!$K$2:$K$3001,$X144)&amp;"")</f>
        <v/>
      </c>
      <c r="H144">
        <f>IF($X144="","",INDEX('Per Line'!$M$2:$M$3001,$X144))</f>
        <v/>
      </c>
      <c r="I144" s="7">
        <f>IF($X144="","",H144*V144/100)</f>
        <v/>
      </c>
      <c r="J144">
        <f>IF($X144="","",INDEX('Per Line'!$W$2:$W$3001,$X144)&amp;"")</f>
        <v/>
      </c>
      <c r="K144">
        <f>IF($X144="","",INDEX('Per Line'!$AD$2:$AD$3001,$X144))</f>
        <v/>
      </c>
      <c r="L144">
        <f>IF($X144="","",IF(AND(ISNUMBER(K144),K144&gt;0),V144&gt;K144,FALSE))</f>
        <v/>
      </c>
      <c r="M144" s="7">
        <f>IF($X144="","",SUMIFS('Per Line'!$V$2:$V$3001,'Per Line'!$D$2:$D$3001,$B144,'Per Line'!$AN$2:$AN$3001,1))</f>
        <v/>
      </c>
      <c r="N144">
        <f>IF($X144="","",Settings!$C$7)</f>
        <v/>
      </c>
      <c r="O144" s="7">
        <f>IF($X144="","",SUMIFS('Per Line'!$V$2:$V$3001,'Per Line'!$D$2:$D$3001,$B144,'Per Line'!$AM$2:$AM$3001,0,'Per Line'!$AN$2:$AN$3001,0))</f>
        <v/>
      </c>
      <c r="P144" s="7">
        <f>IF($X144="","",O144*N144)</f>
        <v/>
      </c>
      <c r="Q144">
        <f>IF($X144="","",Settings!$C$6)</f>
        <v/>
      </c>
      <c r="R144" s="7">
        <f>IF($X144="","",SUMIFS('Per Line'!$V$2:$V$3001,'Per Line'!$D$2:$D$3001,$B144,'Per Line'!$AM$2:$AM$3001,1,'Per Line'!$AN$2:$AN$3001,0))</f>
        <v/>
      </c>
      <c r="S144" s="7">
        <f>IF($X144="","",R144*Q144)</f>
        <v/>
      </c>
      <c r="T144" s="7">
        <f>IF($X144="","",S144+P144)</f>
        <v/>
      </c>
      <c r="U144" s="7">
        <f>IF($X144="","",V144-T144)</f>
        <v/>
      </c>
      <c r="V144" s="7">
        <f>IF($X144="","",O144+R144+M144)</f>
        <v/>
      </c>
      <c r="W144" s="7">
        <f>IF($X144="","",V144-T144-I144)</f>
        <v/>
      </c>
      <c r="X144" s="13">
        <f>IF(ROWS($X$2:$X144)&lt;=MAX('Per Line'!$AL$2:$AL$3001),MATCH(ROWS($X$2:$X144),'Per Line'!$AL$2:$AL$3001,0),"")</f>
        <v/>
      </c>
    </row>
    <row r="145">
      <c r="A145" s="12" t="n"/>
      <c r="B145">
        <f>IF($X145="","",INDEX('Per Line'!$D$2:$D$3001,$X145)&amp;"")</f>
        <v/>
      </c>
      <c r="C145" s="11">
        <f>IF($X145="","",INDEX('Per Line'!$F$2:$F$3001,$X145))</f>
        <v/>
      </c>
      <c r="D145">
        <f>IF($X145="","",INDEX('Per Line'!$G$2:$G$3001,$X145)&amp;"")</f>
        <v/>
      </c>
      <c r="E145">
        <f>IF($X145="","",INDEX('Per Line'!$I$2:$I$3001,$X145)&amp;"")</f>
        <v/>
      </c>
      <c r="F145">
        <f>IF($X145="","",INDEX('Per Line'!$J$2:$J$3001,$X145)&amp;"")</f>
        <v/>
      </c>
      <c r="G145">
        <f>IF($X145="","",INDEX('Per Line'!$K$2:$K$3001,$X145)&amp;"")</f>
        <v/>
      </c>
      <c r="H145">
        <f>IF($X145="","",INDEX('Per Line'!$M$2:$M$3001,$X145))</f>
        <v/>
      </c>
      <c r="I145" s="7">
        <f>IF($X145="","",H145*V145/100)</f>
        <v/>
      </c>
      <c r="J145">
        <f>IF($X145="","",INDEX('Per Line'!$W$2:$W$3001,$X145)&amp;"")</f>
        <v/>
      </c>
      <c r="K145">
        <f>IF($X145="","",INDEX('Per Line'!$AD$2:$AD$3001,$X145))</f>
        <v/>
      </c>
      <c r="L145">
        <f>IF($X145="","",IF(AND(ISNUMBER(K145),K145&gt;0),V145&gt;K145,FALSE))</f>
        <v/>
      </c>
      <c r="M145" s="7">
        <f>IF($X145="","",SUMIFS('Per Line'!$V$2:$V$3001,'Per Line'!$D$2:$D$3001,$B145,'Per Line'!$AN$2:$AN$3001,1))</f>
        <v/>
      </c>
      <c r="N145">
        <f>IF($X145="","",Settings!$C$7)</f>
        <v/>
      </c>
      <c r="O145" s="7">
        <f>IF($X145="","",SUMIFS('Per Line'!$V$2:$V$3001,'Per Line'!$D$2:$D$3001,$B145,'Per Line'!$AM$2:$AM$3001,0,'Per Line'!$AN$2:$AN$3001,0))</f>
        <v/>
      </c>
      <c r="P145" s="7">
        <f>IF($X145="","",O145*N145)</f>
        <v/>
      </c>
      <c r="Q145">
        <f>IF($X145="","",Settings!$C$6)</f>
        <v/>
      </c>
      <c r="R145" s="7">
        <f>IF($X145="","",SUMIFS('Per Line'!$V$2:$V$3001,'Per Line'!$D$2:$D$3001,$B145,'Per Line'!$AM$2:$AM$3001,1,'Per Line'!$AN$2:$AN$3001,0))</f>
        <v/>
      </c>
      <c r="S145" s="7">
        <f>IF($X145="","",R145*Q145)</f>
        <v/>
      </c>
      <c r="T145" s="7">
        <f>IF($X145="","",S145+P145)</f>
        <v/>
      </c>
      <c r="U145" s="7">
        <f>IF($X145="","",V145-T145)</f>
        <v/>
      </c>
      <c r="V145" s="7">
        <f>IF($X145="","",O145+R145+M145)</f>
        <v/>
      </c>
      <c r="W145" s="7">
        <f>IF($X145="","",V145-T145-I145)</f>
        <v/>
      </c>
      <c r="X145" s="13">
        <f>IF(ROWS($X$2:$X145)&lt;=MAX('Per Line'!$AL$2:$AL$3001),MATCH(ROWS($X$2:$X145),'Per Line'!$AL$2:$AL$3001,0),"")</f>
        <v/>
      </c>
    </row>
    <row r="146">
      <c r="A146" s="12" t="n"/>
      <c r="B146">
        <f>IF($X146="","",INDEX('Per Line'!$D$2:$D$3001,$X146)&amp;"")</f>
        <v/>
      </c>
      <c r="C146" s="11">
        <f>IF($X146="","",INDEX('Per Line'!$F$2:$F$3001,$X146))</f>
        <v/>
      </c>
      <c r="D146">
        <f>IF($X146="","",INDEX('Per Line'!$G$2:$G$3001,$X146)&amp;"")</f>
        <v/>
      </c>
      <c r="E146">
        <f>IF($X146="","",INDEX('Per Line'!$I$2:$I$3001,$X146)&amp;"")</f>
        <v/>
      </c>
      <c r="F146">
        <f>IF($X146="","",INDEX('Per Line'!$J$2:$J$3001,$X146)&amp;"")</f>
        <v/>
      </c>
      <c r="G146">
        <f>IF($X146="","",INDEX('Per Line'!$K$2:$K$3001,$X146)&amp;"")</f>
        <v/>
      </c>
      <c r="H146">
        <f>IF($X146="","",INDEX('Per Line'!$M$2:$M$3001,$X146))</f>
        <v/>
      </c>
      <c r="I146" s="7">
        <f>IF($X146="","",H146*V146/100)</f>
        <v/>
      </c>
      <c r="J146">
        <f>IF($X146="","",INDEX('Per Line'!$W$2:$W$3001,$X146)&amp;"")</f>
        <v/>
      </c>
      <c r="K146">
        <f>IF($X146="","",INDEX('Per Line'!$AD$2:$AD$3001,$X146))</f>
        <v/>
      </c>
      <c r="L146">
        <f>IF($X146="","",IF(AND(ISNUMBER(K146),K146&gt;0),V146&gt;K146,FALSE))</f>
        <v/>
      </c>
      <c r="M146" s="7">
        <f>IF($X146="","",SUMIFS('Per Line'!$V$2:$V$3001,'Per Line'!$D$2:$D$3001,$B146,'Per Line'!$AN$2:$AN$3001,1))</f>
        <v/>
      </c>
      <c r="N146">
        <f>IF($X146="","",Settings!$C$7)</f>
        <v/>
      </c>
      <c r="O146" s="7">
        <f>IF($X146="","",SUMIFS('Per Line'!$V$2:$V$3001,'Per Line'!$D$2:$D$3001,$B146,'Per Line'!$AM$2:$AM$3001,0,'Per Line'!$AN$2:$AN$3001,0))</f>
        <v/>
      </c>
      <c r="P146" s="7">
        <f>IF($X146="","",O146*N146)</f>
        <v/>
      </c>
      <c r="Q146">
        <f>IF($X146="","",Settings!$C$6)</f>
        <v/>
      </c>
      <c r="R146" s="7">
        <f>IF($X146="","",SUMIFS('Per Line'!$V$2:$V$3001,'Per Line'!$D$2:$D$3001,$B146,'Per Line'!$AM$2:$AM$3001,1,'Per Line'!$AN$2:$AN$3001,0))</f>
        <v/>
      </c>
      <c r="S146" s="7">
        <f>IF($X146="","",R146*Q146)</f>
        <v/>
      </c>
      <c r="T146" s="7">
        <f>IF($X146="","",S146+P146)</f>
        <v/>
      </c>
      <c r="U146" s="7">
        <f>IF($X146="","",V146-T146)</f>
        <v/>
      </c>
      <c r="V146" s="7">
        <f>IF($X146="","",O146+R146+M146)</f>
        <v/>
      </c>
      <c r="W146" s="7">
        <f>IF($X146="","",V146-T146-I146)</f>
        <v/>
      </c>
      <c r="X146" s="13">
        <f>IF(ROWS($X$2:$X146)&lt;=MAX('Per Line'!$AL$2:$AL$3001),MATCH(ROWS($X$2:$X146),'Per Line'!$AL$2:$AL$3001,0),"")</f>
        <v/>
      </c>
    </row>
    <row r="147">
      <c r="A147" s="12" t="n"/>
      <c r="B147">
        <f>IF($X147="","",INDEX('Per Line'!$D$2:$D$3001,$X147)&amp;"")</f>
        <v/>
      </c>
      <c r="C147" s="11">
        <f>IF($X147="","",INDEX('Per Line'!$F$2:$F$3001,$X147))</f>
        <v/>
      </c>
      <c r="D147">
        <f>IF($X147="","",INDEX('Per Line'!$G$2:$G$3001,$X147)&amp;"")</f>
        <v/>
      </c>
      <c r="E147">
        <f>IF($X147="","",INDEX('Per Line'!$I$2:$I$3001,$X147)&amp;"")</f>
        <v/>
      </c>
      <c r="F147">
        <f>IF($X147="","",INDEX('Per Line'!$J$2:$J$3001,$X147)&amp;"")</f>
        <v/>
      </c>
      <c r="G147">
        <f>IF($X147="","",INDEX('Per Line'!$K$2:$K$3001,$X147)&amp;"")</f>
        <v/>
      </c>
      <c r="H147">
        <f>IF($X147="","",INDEX('Per Line'!$M$2:$M$3001,$X147))</f>
        <v/>
      </c>
      <c r="I147" s="7">
        <f>IF($X147="","",H147*V147/100)</f>
        <v/>
      </c>
      <c r="J147">
        <f>IF($X147="","",INDEX('Per Line'!$W$2:$W$3001,$X147)&amp;"")</f>
        <v/>
      </c>
      <c r="K147">
        <f>IF($X147="","",INDEX('Per Line'!$AD$2:$AD$3001,$X147))</f>
        <v/>
      </c>
      <c r="L147">
        <f>IF($X147="","",IF(AND(ISNUMBER(K147),K147&gt;0),V147&gt;K147,FALSE))</f>
        <v/>
      </c>
      <c r="M147" s="7">
        <f>IF($X147="","",SUMIFS('Per Line'!$V$2:$V$3001,'Per Line'!$D$2:$D$3001,$B147,'Per Line'!$AN$2:$AN$3001,1))</f>
        <v/>
      </c>
      <c r="N147">
        <f>IF($X147="","",Settings!$C$7)</f>
        <v/>
      </c>
      <c r="O147" s="7">
        <f>IF($X147="","",SUMIFS('Per Line'!$V$2:$V$3001,'Per Line'!$D$2:$D$3001,$B147,'Per Line'!$AM$2:$AM$3001,0,'Per Line'!$AN$2:$AN$3001,0))</f>
        <v/>
      </c>
      <c r="P147" s="7">
        <f>IF($X147="","",O147*N147)</f>
        <v/>
      </c>
      <c r="Q147">
        <f>IF($X147="","",Settings!$C$6)</f>
        <v/>
      </c>
      <c r="R147" s="7">
        <f>IF($X147="","",SUMIFS('Per Line'!$V$2:$V$3001,'Per Line'!$D$2:$D$3001,$B147,'Per Line'!$AM$2:$AM$3001,1,'Per Line'!$AN$2:$AN$3001,0))</f>
        <v/>
      </c>
      <c r="S147" s="7">
        <f>IF($X147="","",R147*Q147)</f>
        <v/>
      </c>
      <c r="T147" s="7">
        <f>IF($X147="","",S147+P147)</f>
        <v/>
      </c>
      <c r="U147" s="7">
        <f>IF($X147="","",V147-T147)</f>
        <v/>
      </c>
      <c r="V147" s="7">
        <f>IF($X147="","",O147+R147+M147)</f>
        <v/>
      </c>
      <c r="W147" s="7">
        <f>IF($X147="","",V147-T147-I147)</f>
        <v/>
      </c>
      <c r="X147" s="13">
        <f>IF(ROWS($X$2:$X147)&lt;=MAX('Per Line'!$AL$2:$AL$3001),MATCH(ROWS($X$2:$X147),'Per Line'!$AL$2:$AL$3001,0),"")</f>
        <v/>
      </c>
    </row>
    <row r="148">
      <c r="A148" s="12" t="n"/>
      <c r="B148">
        <f>IF($X148="","",INDEX('Per Line'!$D$2:$D$3001,$X148)&amp;"")</f>
        <v/>
      </c>
      <c r="C148" s="11">
        <f>IF($X148="","",INDEX('Per Line'!$F$2:$F$3001,$X148))</f>
        <v/>
      </c>
      <c r="D148">
        <f>IF($X148="","",INDEX('Per Line'!$G$2:$G$3001,$X148)&amp;"")</f>
        <v/>
      </c>
      <c r="E148">
        <f>IF($X148="","",INDEX('Per Line'!$I$2:$I$3001,$X148)&amp;"")</f>
        <v/>
      </c>
      <c r="F148">
        <f>IF($X148="","",INDEX('Per Line'!$J$2:$J$3001,$X148)&amp;"")</f>
        <v/>
      </c>
      <c r="G148">
        <f>IF($X148="","",INDEX('Per Line'!$K$2:$K$3001,$X148)&amp;"")</f>
        <v/>
      </c>
      <c r="H148">
        <f>IF($X148="","",INDEX('Per Line'!$M$2:$M$3001,$X148))</f>
        <v/>
      </c>
      <c r="I148" s="7">
        <f>IF($X148="","",H148*V148/100)</f>
        <v/>
      </c>
      <c r="J148">
        <f>IF($X148="","",INDEX('Per Line'!$W$2:$W$3001,$X148)&amp;"")</f>
        <v/>
      </c>
      <c r="K148">
        <f>IF($X148="","",INDEX('Per Line'!$AD$2:$AD$3001,$X148))</f>
        <v/>
      </c>
      <c r="L148">
        <f>IF($X148="","",IF(AND(ISNUMBER(K148),K148&gt;0),V148&gt;K148,FALSE))</f>
        <v/>
      </c>
      <c r="M148" s="7">
        <f>IF($X148="","",SUMIFS('Per Line'!$V$2:$V$3001,'Per Line'!$D$2:$D$3001,$B148,'Per Line'!$AN$2:$AN$3001,1))</f>
        <v/>
      </c>
      <c r="N148">
        <f>IF($X148="","",Settings!$C$7)</f>
        <v/>
      </c>
      <c r="O148" s="7">
        <f>IF($X148="","",SUMIFS('Per Line'!$V$2:$V$3001,'Per Line'!$D$2:$D$3001,$B148,'Per Line'!$AM$2:$AM$3001,0,'Per Line'!$AN$2:$AN$3001,0))</f>
        <v/>
      </c>
      <c r="P148" s="7">
        <f>IF($X148="","",O148*N148)</f>
        <v/>
      </c>
      <c r="Q148">
        <f>IF($X148="","",Settings!$C$6)</f>
        <v/>
      </c>
      <c r="R148" s="7">
        <f>IF($X148="","",SUMIFS('Per Line'!$V$2:$V$3001,'Per Line'!$D$2:$D$3001,$B148,'Per Line'!$AM$2:$AM$3001,1,'Per Line'!$AN$2:$AN$3001,0))</f>
        <v/>
      </c>
      <c r="S148" s="7">
        <f>IF($X148="","",R148*Q148)</f>
        <v/>
      </c>
      <c r="T148" s="7">
        <f>IF($X148="","",S148+P148)</f>
        <v/>
      </c>
      <c r="U148" s="7">
        <f>IF($X148="","",V148-T148)</f>
        <v/>
      </c>
      <c r="V148" s="7">
        <f>IF($X148="","",O148+R148+M148)</f>
        <v/>
      </c>
      <c r="W148" s="7">
        <f>IF($X148="","",V148-T148-I148)</f>
        <v/>
      </c>
      <c r="X148" s="13">
        <f>IF(ROWS($X$2:$X148)&lt;=MAX('Per Line'!$AL$2:$AL$3001),MATCH(ROWS($X$2:$X148),'Per Line'!$AL$2:$AL$3001,0),"")</f>
        <v/>
      </c>
    </row>
    <row r="149">
      <c r="A149" s="12" t="n"/>
      <c r="B149">
        <f>IF($X149="","",INDEX('Per Line'!$D$2:$D$3001,$X149)&amp;"")</f>
        <v/>
      </c>
      <c r="C149" s="11">
        <f>IF($X149="","",INDEX('Per Line'!$F$2:$F$3001,$X149))</f>
        <v/>
      </c>
      <c r="D149">
        <f>IF($X149="","",INDEX('Per Line'!$G$2:$G$3001,$X149)&amp;"")</f>
        <v/>
      </c>
      <c r="E149">
        <f>IF($X149="","",INDEX('Per Line'!$I$2:$I$3001,$X149)&amp;"")</f>
        <v/>
      </c>
      <c r="F149">
        <f>IF($X149="","",INDEX('Per Line'!$J$2:$J$3001,$X149)&amp;"")</f>
        <v/>
      </c>
      <c r="G149">
        <f>IF($X149="","",INDEX('Per Line'!$K$2:$K$3001,$X149)&amp;"")</f>
        <v/>
      </c>
      <c r="H149">
        <f>IF($X149="","",INDEX('Per Line'!$M$2:$M$3001,$X149))</f>
        <v/>
      </c>
      <c r="I149" s="7">
        <f>IF($X149="","",H149*V149/100)</f>
        <v/>
      </c>
      <c r="J149">
        <f>IF($X149="","",INDEX('Per Line'!$W$2:$W$3001,$X149)&amp;"")</f>
        <v/>
      </c>
      <c r="K149">
        <f>IF($X149="","",INDEX('Per Line'!$AD$2:$AD$3001,$X149))</f>
        <v/>
      </c>
      <c r="L149">
        <f>IF($X149="","",IF(AND(ISNUMBER(K149),K149&gt;0),V149&gt;K149,FALSE))</f>
        <v/>
      </c>
      <c r="M149" s="7">
        <f>IF($X149="","",SUMIFS('Per Line'!$V$2:$V$3001,'Per Line'!$D$2:$D$3001,$B149,'Per Line'!$AN$2:$AN$3001,1))</f>
        <v/>
      </c>
      <c r="N149">
        <f>IF($X149="","",Settings!$C$7)</f>
        <v/>
      </c>
      <c r="O149" s="7">
        <f>IF($X149="","",SUMIFS('Per Line'!$V$2:$V$3001,'Per Line'!$D$2:$D$3001,$B149,'Per Line'!$AM$2:$AM$3001,0,'Per Line'!$AN$2:$AN$3001,0))</f>
        <v/>
      </c>
      <c r="P149" s="7">
        <f>IF($X149="","",O149*N149)</f>
        <v/>
      </c>
      <c r="Q149">
        <f>IF($X149="","",Settings!$C$6)</f>
        <v/>
      </c>
      <c r="R149" s="7">
        <f>IF($X149="","",SUMIFS('Per Line'!$V$2:$V$3001,'Per Line'!$D$2:$D$3001,$B149,'Per Line'!$AM$2:$AM$3001,1,'Per Line'!$AN$2:$AN$3001,0))</f>
        <v/>
      </c>
      <c r="S149" s="7">
        <f>IF($X149="","",R149*Q149)</f>
        <v/>
      </c>
      <c r="T149" s="7">
        <f>IF($X149="","",S149+P149)</f>
        <v/>
      </c>
      <c r="U149" s="7">
        <f>IF($X149="","",V149-T149)</f>
        <v/>
      </c>
      <c r="V149" s="7">
        <f>IF($X149="","",O149+R149+M149)</f>
        <v/>
      </c>
      <c r="W149" s="7">
        <f>IF($X149="","",V149-T149-I149)</f>
        <v/>
      </c>
      <c r="X149" s="13">
        <f>IF(ROWS($X$2:$X149)&lt;=MAX('Per Line'!$AL$2:$AL$3001),MATCH(ROWS($X$2:$X149),'Per Line'!$AL$2:$AL$3001,0),"")</f>
        <v/>
      </c>
    </row>
    <row r="150">
      <c r="A150" s="12" t="n"/>
      <c r="B150">
        <f>IF($X150="","",INDEX('Per Line'!$D$2:$D$3001,$X150)&amp;"")</f>
        <v/>
      </c>
      <c r="C150" s="11">
        <f>IF($X150="","",INDEX('Per Line'!$F$2:$F$3001,$X150))</f>
        <v/>
      </c>
      <c r="D150">
        <f>IF($X150="","",INDEX('Per Line'!$G$2:$G$3001,$X150)&amp;"")</f>
        <v/>
      </c>
      <c r="E150">
        <f>IF($X150="","",INDEX('Per Line'!$I$2:$I$3001,$X150)&amp;"")</f>
        <v/>
      </c>
      <c r="F150">
        <f>IF($X150="","",INDEX('Per Line'!$J$2:$J$3001,$X150)&amp;"")</f>
        <v/>
      </c>
      <c r="G150">
        <f>IF($X150="","",INDEX('Per Line'!$K$2:$K$3001,$X150)&amp;"")</f>
        <v/>
      </c>
      <c r="H150">
        <f>IF($X150="","",INDEX('Per Line'!$M$2:$M$3001,$X150))</f>
        <v/>
      </c>
      <c r="I150" s="7">
        <f>IF($X150="","",H150*V150/100)</f>
        <v/>
      </c>
      <c r="J150">
        <f>IF($X150="","",INDEX('Per Line'!$W$2:$W$3001,$X150)&amp;"")</f>
        <v/>
      </c>
      <c r="K150">
        <f>IF($X150="","",INDEX('Per Line'!$AD$2:$AD$3001,$X150))</f>
        <v/>
      </c>
      <c r="L150">
        <f>IF($X150="","",IF(AND(ISNUMBER(K150),K150&gt;0),V150&gt;K150,FALSE))</f>
        <v/>
      </c>
      <c r="M150" s="7">
        <f>IF($X150="","",SUMIFS('Per Line'!$V$2:$V$3001,'Per Line'!$D$2:$D$3001,$B150,'Per Line'!$AN$2:$AN$3001,1))</f>
        <v/>
      </c>
      <c r="N150">
        <f>IF($X150="","",Settings!$C$7)</f>
        <v/>
      </c>
      <c r="O150" s="7">
        <f>IF($X150="","",SUMIFS('Per Line'!$V$2:$V$3001,'Per Line'!$D$2:$D$3001,$B150,'Per Line'!$AM$2:$AM$3001,0,'Per Line'!$AN$2:$AN$3001,0))</f>
        <v/>
      </c>
      <c r="P150" s="7">
        <f>IF($X150="","",O150*N150)</f>
        <v/>
      </c>
      <c r="Q150">
        <f>IF($X150="","",Settings!$C$6)</f>
        <v/>
      </c>
      <c r="R150" s="7">
        <f>IF($X150="","",SUMIFS('Per Line'!$V$2:$V$3001,'Per Line'!$D$2:$D$3001,$B150,'Per Line'!$AM$2:$AM$3001,1,'Per Line'!$AN$2:$AN$3001,0))</f>
        <v/>
      </c>
      <c r="S150" s="7">
        <f>IF($X150="","",R150*Q150)</f>
        <v/>
      </c>
      <c r="T150" s="7">
        <f>IF($X150="","",S150+P150)</f>
        <v/>
      </c>
      <c r="U150" s="7">
        <f>IF($X150="","",V150-T150)</f>
        <v/>
      </c>
      <c r="V150" s="7">
        <f>IF($X150="","",O150+R150+M150)</f>
        <v/>
      </c>
      <c r="W150" s="7">
        <f>IF($X150="","",V150-T150-I150)</f>
        <v/>
      </c>
      <c r="X150" s="13">
        <f>IF(ROWS($X$2:$X150)&lt;=MAX('Per Line'!$AL$2:$AL$3001),MATCH(ROWS($X$2:$X150),'Per Line'!$AL$2:$AL$3001,0),"")</f>
        <v/>
      </c>
    </row>
    <row r="151">
      <c r="A151" s="12" t="n"/>
      <c r="B151">
        <f>IF($X151="","",INDEX('Per Line'!$D$2:$D$3001,$X151)&amp;"")</f>
        <v/>
      </c>
      <c r="C151" s="11">
        <f>IF($X151="","",INDEX('Per Line'!$F$2:$F$3001,$X151))</f>
        <v/>
      </c>
      <c r="D151">
        <f>IF($X151="","",INDEX('Per Line'!$G$2:$G$3001,$X151)&amp;"")</f>
        <v/>
      </c>
      <c r="E151">
        <f>IF($X151="","",INDEX('Per Line'!$I$2:$I$3001,$X151)&amp;"")</f>
        <v/>
      </c>
      <c r="F151">
        <f>IF($X151="","",INDEX('Per Line'!$J$2:$J$3001,$X151)&amp;"")</f>
        <v/>
      </c>
      <c r="G151">
        <f>IF($X151="","",INDEX('Per Line'!$K$2:$K$3001,$X151)&amp;"")</f>
        <v/>
      </c>
      <c r="H151">
        <f>IF($X151="","",INDEX('Per Line'!$M$2:$M$3001,$X151))</f>
        <v/>
      </c>
      <c r="I151" s="7">
        <f>IF($X151="","",H151*V151/100)</f>
        <v/>
      </c>
      <c r="J151">
        <f>IF($X151="","",INDEX('Per Line'!$W$2:$W$3001,$X151)&amp;"")</f>
        <v/>
      </c>
      <c r="K151">
        <f>IF($X151="","",INDEX('Per Line'!$AD$2:$AD$3001,$X151))</f>
        <v/>
      </c>
      <c r="L151">
        <f>IF($X151="","",IF(AND(ISNUMBER(K151),K151&gt;0),V151&gt;K151,FALSE))</f>
        <v/>
      </c>
      <c r="M151" s="7">
        <f>IF($X151="","",SUMIFS('Per Line'!$V$2:$V$3001,'Per Line'!$D$2:$D$3001,$B151,'Per Line'!$AN$2:$AN$3001,1))</f>
        <v/>
      </c>
      <c r="N151">
        <f>IF($X151="","",Settings!$C$7)</f>
        <v/>
      </c>
      <c r="O151" s="7">
        <f>IF($X151="","",SUMIFS('Per Line'!$V$2:$V$3001,'Per Line'!$D$2:$D$3001,$B151,'Per Line'!$AM$2:$AM$3001,0,'Per Line'!$AN$2:$AN$3001,0))</f>
        <v/>
      </c>
      <c r="P151" s="7">
        <f>IF($X151="","",O151*N151)</f>
        <v/>
      </c>
      <c r="Q151">
        <f>IF($X151="","",Settings!$C$6)</f>
        <v/>
      </c>
      <c r="R151" s="7">
        <f>IF($X151="","",SUMIFS('Per Line'!$V$2:$V$3001,'Per Line'!$D$2:$D$3001,$B151,'Per Line'!$AM$2:$AM$3001,1,'Per Line'!$AN$2:$AN$3001,0))</f>
        <v/>
      </c>
      <c r="S151" s="7">
        <f>IF($X151="","",R151*Q151)</f>
        <v/>
      </c>
      <c r="T151" s="7">
        <f>IF($X151="","",S151+P151)</f>
        <v/>
      </c>
      <c r="U151" s="7">
        <f>IF($X151="","",V151-T151)</f>
        <v/>
      </c>
      <c r="V151" s="7">
        <f>IF($X151="","",O151+R151+M151)</f>
        <v/>
      </c>
      <c r="W151" s="7">
        <f>IF($X151="","",V151-T151-I151)</f>
        <v/>
      </c>
      <c r="X151" s="13">
        <f>IF(ROWS($X$2:$X151)&lt;=MAX('Per Line'!$AL$2:$AL$3001),MATCH(ROWS($X$2:$X151),'Per Line'!$AL$2:$AL$3001,0),"")</f>
        <v/>
      </c>
    </row>
    <row r="152">
      <c r="A152" s="12" t="n"/>
      <c r="B152">
        <f>IF($X152="","",INDEX('Per Line'!$D$2:$D$3001,$X152)&amp;"")</f>
        <v/>
      </c>
      <c r="C152" s="11">
        <f>IF($X152="","",INDEX('Per Line'!$F$2:$F$3001,$X152))</f>
        <v/>
      </c>
      <c r="D152">
        <f>IF($X152="","",INDEX('Per Line'!$G$2:$G$3001,$X152)&amp;"")</f>
        <v/>
      </c>
      <c r="E152">
        <f>IF($X152="","",INDEX('Per Line'!$I$2:$I$3001,$X152)&amp;"")</f>
        <v/>
      </c>
      <c r="F152">
        <f>IF($X152="","",INDEX('Per Line'!$J$2:$J$3001,$X152)&amp;"")</f>
        <v/>
      </c>
      <c r="G152">
        <f>IF($X152="","",INDEX('Per Line'!$K$2:$K$3001,$X152)&amp;"")</f>
        <v/>
      </c>
      <c r="H152">
        <f>IF($X152="","",INDEX('Per Line'!$M$2:$M$3001,$X152))</f>
        <v/>
      </c>
      <c r="I152" s="7">
        <f>IF($X152="","",H152*V152/100)</f>
        <v/>
      </c>
      <c r="J152">
        <f>IF($X152="","",INDEX('Per Line'!$W$2:$W$3001,$X152)&amp;"")</f>
        <v/>
      </c>
      <c r="K152">
        <f>IF($X152="","",INDEX('Per Line'!$AD$2:$AD$3001,$X152))</f>
        <v/>
      </c>
      <c r="L152">
        <f>IF($X152="","",IF(AND(ISNUMBER(K152),K152&gt;0),V152&gt;K152,FALSE))</f>
        <v/>
      </c>
      <c r="M152" s="7">
        <f>IF($X152="","",SUMIFS('Per Line'!$V$2:$V$3001,'Per Line'!$D$2:$D$3001,$B152,'Per Line'!$AN$2:$AN$3001,1))</f>
        <v/>
      </c>
      <c r="N152">
        <f>IF($X152="","",Settings!$C$7)</f>
        <v/>
      </c>
      <c r="O152" s="7">
        <f>IF($X152="","",SUMIFS('Per Line'!$V$2:$V$3001,'Per Line'!$D$2:$D$3001,$B152,'Per Line'!$AM$2:$AM$3001,0,'Per Line'!$AN$2:$AN$3001,0))</f>
        <v/>
      </c>
      <c r="P152" s="7">
        <f>IF($X152="","",O152*N152)</f>
        <v/>
      </c>
      <c r="Q152">
        <f>IF($X152="","",Settings!$C$6)</f>
        <v/>
      </c>
      <c r="R152" s="7">
        <f>IF($X152="","",SUMIFS('Per Line'!$V$2:$V$3001,'Per Line'!$D$2:$D$3001,$B152,'Per Line'!$AM$2:$AM$3001,1,'Per Line'!$AN$2:$AN$3001,0))</f>
        <v/>
      </c>
      <c r="S152" s="7">
        <f>IF($X152="","",R152*Q152)</f>
        <v/>
      </c>
      <c r="T152" s="7">
        <f>IF($X152="","",S152+P152)</f>
        <v/>
      </c>
      <c r="U152" s="7">
        <f>IF($X152="","",V152-T152)</f>
        <v/>
      </c>
      <c r="V152" s="7">
        <f>IF($X152="","",O152+R152+M152)</f>
        <v/>
      </c>
      <c r="W152" s="7">
        <f>IF($X152="","",V152-T152-I152)</f>
        <v/>
      </c>
      <c r="X152" s="13">
        <f>IF(ROWS($X$2:$X152)&lt;=MAX('Per Line'!$AL$2:$AL$3001),MATCH(ROWS($X$2:$X152),'Per Line'!$AL$2:$AL$3001,0),"")</f>
        <v/>
      </c>
    </row>
    <row r="153">
      <c r="A153" s="12" t="n"/>
      <c r="B153">
        <f>IF($X153="","",INDEX('Per Line'!$D$2:$D$3001,$X153)&amp;"")</f>
        <v/>
      </c>
      <c r="C153" s="11">
        <f>IF($X153="","",INDEX('Per Line'!$F$2:$F$3001,$X153))</f>
        <v/>
      </c>
      <c r="D153">
        <f>IF($X153="","",INDEX('Per Line'!$G$2:$G$3001,$X153)&amp;"")</f>
        <v/>
      </c>
      <c r="E153">
        <f>IF($X153="","",INDEX('Per Line'!$I$2:$I$3001,$X153)&amp;"")</f>
        <v/>
      </c>
      <c r="F153">
        <f>IF($X153="","",INDEX('Per Line'!$J$2:$J$3001,$X153)&amp;"")</f>
        <v/>
      </c>
      <c r="G153">
        <f>IF($X153="","",INDEX('Per Line'!$K$2:$K$3001,$X153)&amp;"")</f>
        <v/>
      </c>
      <c r="H153">
        <f>IF($X153="","",INDEX('Per Line'!$M$2:$M$3001,$X153))</f>
        <v/>
      </c>
      <c r="I153" s="7">
        <f>IF($X153="","",H153*V153/100)</f>
        <v/>
      </c>
      <c r="J153">
        <f>IF($X153="","",INDEX('Per Line'!$W$2:$W$3001,$X153)&amp;"")</f>
        <v/>
      </c>
      <c r="K153">
        <f>IF($X153="","",INDEX('Per Line'!$AD$2:$AD$3001,$X153))</f>
        <v/>
      </c>
      <c r="L153">
        <f>IF($X153="","",IF(AND(ISNUMBER(K153),K153&gt;0),V153&gt;K153,FALSE))</f>
        <v/>
      </c>
      <c r="M153" s="7">
        <f>IF($X153="","",SUMIFS('Per Line'!$V$2:$V$3001,'Per Line'!$D$2:$D$3001,$B153,'Per Line'!$AN$2:$AN$3001,1))</f>
        <v/>
      </c>
      <c r="N153">
        <f>IF($X153="","",Settings!$C$7)</f>
        <v/>
      </c>
      <c r="O153" s="7">
        <f>IF($X153="","",SUMIFS('Per Line'!$V$2:$V$3001,'Per Line'!$D$2:$D$3001,$B153,'Per Line'!$AM$2:$AM$3001,0,'Per Line'!$AN$2:$AN$3001,0))</f>
        <v/>
      </c>
      <c r="P153" s="7">
        <f>IF($X153="","",O153*N153)</f>
        <v/>
      </c>
      <c r="Q153">
        <f>IF($X153="","",Settings!$C$6)</f>
        <v/>
      </c>
      <c r="R153" s="7">
        <f>IF($X153="","",SUMIFS('Per Line'!$V$2:$V$3001,'Per Line'!$D$2:$D$3001,$B153,'Per Line'!$AM$2:$AM$3001,1,'Per Line'!$AN$2:$AN$3001,0))</f>
        <v/>
      </c>
      <c r="S153" s="7">
        <f>IF($X153="","",R153*Q153)</f>
        <v/>
      </c>
      <c r="T153" s="7">
        <f>IF($X153="","",S153+P153)</f>
        <v/>
      </c>
      <c r="U153" s="7">
        <f>IF($X153="","",V153-T153)</f>
        <v/>
      </c>
      <c r="V153" s="7">
        <f>IF($X153="","",O153+R153+M153)</f>
        <v/>
      </c>
      <c r="W153" s="7">
        <f>IF($X153="","",V153-T153-I153)</f>
        <v/>
      </c>
      <c r="X153" s="13">
        <f>IF(ROWS($X$2:$X153)&lt;=MAX('Per Line'!$AL$2:$AL$3001),MATCH(ROWS($X$2:$X153),'Per Line'!$AL$2:$AL$3001,0),"")</f>
        <v/>
      </c>
    </row>
    <row r="154">
      <c r="A154" s="12" t="n"/>
      <c r="B154">
        <f>IF($X154="","",INDEX('Per Line'!$D$2:$D$3001,$X154)&amp;"")</f>
        <v/>
      </c>
      <c r="C154" s="11">
        <f>IF($X154="","",INDEX('Per Line'!$F$2:$F$3001,$X154))</f>
        <v/>
      </c>
      <c r="D154">
        <f>IF($X154="","",INDEX('Per Line'!$G$2:$G$3001,$X154)&amp;"")</f>
        <v/>
      </c>
      <c r="E154">
        <f>IF($X154="","",INDEX('Per Line'!$I$2:$I$3001,$X154)&amp;"")</f>
        <v/>
      </c>
      <c r="F154">
        <f>IF($X154="","",INDEX('Per Line'!$J$2:$J$3001,$X154)&amp;"")</f>
        <v/>
      </c>
      <c r="G154">
        <f>IF($X154="","",INDEX('Per Line'!$K$2:$K$3001,$X154)&amp;"")</f>
        <v/>
      </c>
      <c r="H154">
        <f>IF($X154="","",INDEX('Per Line'!$M$2:$M$3001,$X154))</f>
        <v/>
      </c>
      <c r="I154" s="7">
        <f>IF($X154="","",H154*V154/100)</f>
        <v/>
      </c>
      <c r="J154">
        <f>IF($X154="","",INDEX('Per Line'!$W$2:$W$3001,$X154)&amp;"")</f>
        <v/>
      </c>
      <c r="K154">
        <f>IF($X154="","",INDEX('Per Line'!$AD$2:$AD$3001,$X154))</f>
        <v/>
      </c>
      <c r="L154">
        <f>IF($X154="","",IF(AND(ISNUMBER(K154),K154&gt;0),V154&gt;K154,FALSE))</f>
        <v/>
      </c>
      <c r="M154" s="7">
        <f>IF($X154="","",SUMIFS('Per Line'!$V$2:$V$3001,'Per Line'!$D$2:$D$3001,$B154,'Per Line'!$AN$2:$AN$3001,1))</f>
        <v/>
      </c>
      <c r="N154">
        <f>IF($X154="","",Settings!$C$7)</f>
        <v/>
      </c>
      <c r="O154" s="7">
        <f>IF($X154="","",SUMIFS('Per Line'!$V$2:$V$3001,'Per Line'!$D$2:$D$3001,$B154,'Per Line'!$AM$2:$AM$3001,0,'Per Line'!$AN$2:$AN$3001,0))</f>
        <v/>
      </c>
      <c r="P154" s="7">
        <f>IF($X154="","",O154*N154)</f>
        <v/>
      </c>
      <c r="Q154">
        <f>IF($X154="","",Settings!$C$6)</f>
        <v/>
      </c>
      <c r="R154" s="7">
        <f>IF($X154="","",SUMIFS('Per Line'!$V$2:$V$3001,'Per Line'!$D$2:$D$3001,$B154,'Per Line'!$AM$2:$AM$3001,1,'Per Line'!$AN$2:$AN$3001,0))</f>
        <v/>
      </c>
      <c r="S154" s="7">
        <f>IF($X154="","",R154*Q154)</f>
        <v/>
      </c>
      <c r="T154" s="7">
        <f>IF($X154="","",S154+P154)</f>
        <v/>
      </c>
      <c r="U154" s="7">
        <f>IF($X154="","",V154-T154)</f>
        <v/>
      </c>
      <c r="V154" s="7">
        <f>IF($X154="","",O154+R154+M154)</f>
        <v/>
      </c>
      <c r="W154" s="7">
        <f>IF($X154="","",V154-T154-I154)</f>
        <v/>
      </c>
      <c r="X154" s="13">
        <f>IF(ROWS($X$2:$X154)&lt;=MAX('Per Line'!$AL$2:$AL$3001),MATCH(ROWS($X$2:$X154),'Per Line'!$AL$2:$AL$3001,0),"")</f>
        <v/>
      </c>
    </row>
    <row r="155">
      <c r="A155" s="12" t="n"/>
      <c r="B155">
        <f>IF($X155="","",INDEX('Per Line'!$D$2:$D$3001,$X155)&amp;"")</f>
        <v/>
      </c>
      <c r="C155" s="11">
        <f>IF($X155="","",INDEX('Per Line'!$F$2:$F$3001,$X155))</f>
        <v/>
      </c>
      <c r="D155">
        <f>IF($X155="","",INDEX('Per Line'!$G$2:$G$3001,$X155)&amp;"")</f>
        <v/>
      </c>
      <c r="E155">
        <f>IF($X155="","",INDEX('Per Line'!$I$2:$I$3001,$X155)&amp;"")</f>
        <v/>
      </c>
      <c r="F155">
        <f>IF($X155="","",INDEX('Per Line'!$J$2:$J$3001,$X155)&amp;"")</f>
        <v/>
      </c>
      <c r="G155">
        <f>IF($X155="","",INDEX('Per Line'!$K$2:$K$3001,$X155)&amp;"")</f>
        <v/>
      </c>
      <c r="H155">
        <f>IF($X155="","",INDEX('Per Line'!$M$2:$M$3001,$X155))</f>
        <v/>
      </c>
      <c r="I155" s="7">
        <f>IF($X155="","",H155*V155/100)</f>
        <v/>
      </c>
      <c r="J155">
        <f>IF($X155="","",INDEX('Per Line'!$W$2:$W$3001,$X155)&amp;"")</f>
        <v/>
      </c>
      <c r="K155">
        <f>IF($X155="","",INDEX('Per Line'!$AD$2:$AD$3001,$X155))</f>
        <v/>
      </c>
      <c r="L155">
        <f>IF($X155="","",IF(AND(ISNUMBER(K155),K155&gt;0),V155&gt;K155,FALSE))</f>
        <v/>
      </c>
      <c r="M155" s="7">
        <f>IF($X155="","",SUMIFS('Per Line'!$V$2:$V$3001,'Per Line'!$D$2:$D$3001,$B155,'Per Line'!$AN$2:$AN$3001,1))</f>
        <v/>
      </c>
      <c r="N155">
        <f>IF($X155="","",Settings!$C$7)</f>
        <v/>
      </c>
      <c r="O155" s="7">
        <f>IF($X155="","",SUMIFS('Per Line'!$V$2:$V$3001,'Per Line'!$D$2:$D$3001,$B155,'Per Line'!$AM$2:$AM$3001,0,'Per Line'!$AN$2:$AN$3001,0))</f>
        <v/>
      </c>
      <c r="P155" s="7">
        <f>IF($X155="","",O155*N155)</f>
        <v/>
      </c>
      <c r="Q155">
        <f>IF($X155="","",Settings!$C$6)</f>
        <v/>
      </c>
      <c r="R155" s="7">
        <f>IF($X155="","",SUMIFS('Per Line'!$V$2:$V$3001,'Per Line'!$D$2:$D$3001,$B155,'Per Line'!$AM$2:$AM$3001,1,'Per Line'!$AN$2:$AN$3001,0))</f>
        <v/>
      </c>
      <c r="S155" s="7">
        <f>IF($X155="","",R155*Q155)</f>
        <v/>
      </c>
      <c r="T155" s="7">
        <f>IF($X155="","",S155+P155)</f>
        <v/>
      </c>
      <c r="U155" s="7">
        <f>IF($X155="","",V155-T155)</f>
        <v/>
      </c>
      <c r="V155" s="7">
        <f>IF($X155="","",O155+R155+M155)</f>
        <v/>
      </c>
      <c r="W155" s="7">
        <f>IF($X155="","",V155-T155-I155)</f>
        <v/>
      </c>
      <c r="X155" s="13">
        <f>IF(ROWS($X$2:$X155)&lt;=MAX('Per Line'!$AL$2:$AL$3001),MATCH(ROWS($X$2:$X155),'Per Line'!$AL$2:$AL$3001,0),"")</f>
        <v/>
      </c>
    </row>
    <row r="156">
      <c r="A156" s="12" t="n"/>
      <c r="B156">
        <f>IF($X156="","",INDEX('Per Line'!$D$2:$D$3001,$X156)&amp;"")</f>
        <v/>
      </c>
      <c r="C156" s="11">
        <f>IF($X156="","",INDEX('Per Line'!$F$2:$F$3001,$X156))</f>
        <v/>
      </c>
      <c r="D156">
        <f>IF($X156="","",INDEX('Per Line'!$G$2:$G$3001,$X156)&amp;"")</f>
        <v/>
      </c>
      <c r="E156">
        <f>IF($X156="","",INDEX('Per Line'!$I$2:$I$3001,$X156)&amp;"")</f>
        <v/>
      </c>
      <c r="F156">
        <f>IF($X156="","",INDEX('Per Line'!$J$2:$J$3001,$X156)&amp;"")</f>
        <v/>
      </c>
      <c r="G156">
        <f>IF($X156="","",INDEX('Per Line'!$K$2:$K$3001,$X156)&amp;"")</f>
        <v/>
      </c>
      <c r="H156">
        <f>IF($X156="","",INDEX('Per Line'!$M$2:$M$3001,$X156))</f>
        <v/>
      </c>
      <c r="I156" s="7">
        <f>IF($X156="","",H156*V156/100)</f>
        <v/>
      </c>
      <c r="J156">
        <f>IF($X156="","",INDEX('Per Line'!$W$2:$W$3001,$X156)&amp;"")</f>
        <v/>
      </c>
      <c r="K156">
        <f>IF($X156="","",INDEX('Per Line'!$AD$2:$AD$3001,$X156))</f>
        <v/>
      </c>
      <c r="L156">
        <f>IF($X156="","",IF(AND(ISNUMBER(K156),K156&gt;0),V156&gt;K156,FALSE))</f>
        <v/>
      </c>
      <c r="M156" s="7">
        <f>IF($X156="","",SUMIFS('Per Line'!$V$2:$V$3001,'Per Line'!$D$2:$D$3001,$B156,'Per Line'!$AN$2:$AN$3001,1))</f>
        <v/>
      </c>
      <c r="N156">
        <f>IF($X156="","",Settings!$C$7)</f>
        <v/>
      </c>
      <c r="O156" s="7">
        <f>IF($X156="","",SUMIFS('Per Line'!$V$2:$V$3001,'Per Line'!$D$2:$D$3001,$B156,'Per Line'!$AM$2:$AM$3001,0,'Per Line'!$AN$2:$AN$3001,0))</f>
        <v/>
      </c>
      <c r="P156" s="7">
        <f>IF($X156="","",O156*N156)</f>
        <v/>
      </c>
      <c r="Q156">
        <f>IF($X156="","",Settings!$C$6)</f>
        <v/>
      </c>
      <c r="R156" s="7">
        <f>IF($X156="","",SUMIFS('Per Line'!$V$2:$V$3001,'Per Line'!$D$2:$D$3001,$B156,'Per Line'!$AM$2:$AM$3001,1,'Per Line'!$AN$2:$AN$3001,0))</f>
        <v/>
      </c>
      <c r="S156" s="7">
        <f>IF($X156="","",R156*Q156)</f>
        <v/>
      </c>
      <c r="T156" s="7">
        <f>IF($X156="","",S156+P156)</f>
        <v/>
      </c>
      <c r="U156" s="7">
        <f>IF($X156="","",V156-T156)</f>
        <v/>
      </c>
      <c r="V156" s="7">
        <f>IF($X156="","",O156+R156+M156)</f>
        <v/>
      </c>
      <c r="W156" s="7">
        <f>IF($X156="","",V156-T156-I156)</f>
        <v/>
      </c>
      <c r="X156" s="13">
        <f>IF(ROWS($X$2:$X156)&lt;=MAX('Per Line'!$AL$2:$AL$3001),MATCH(ROWS($X$2:$X156),'Per Line'!$AL$2:$AL$3001,0),"")</f>
        <v/>
      </c>
    </row>
    <row r="157">
      <c r="A157" s="12" t="n"/>
      <c r="B157">
        <f>IF($X157="","",INDEX('Per Line'!$D$2:$D$3001,$X157)&amp;"")</f>
        <v/>
      </c>
      <c r="C157" s="11">
        <f>IF($X157="","",INDEX('Per Line'!$F$2:$F$3001,$X157))</f>
        <v/>
      </c>
      <c r="D157">
        <f>IF($X157="","",INDEX('Per Line'!$G$2:$G$3001,$X157)&amp;"")</f>
        <v/>
      </c>
      <c r="E157">
        <f>IF($X157="","",INDEX('Per Line'!$I$2:$I$3001,$X157)&amp;"")</f>
        <v/>
      </c>
      <c r="F157">
        <f>IF($X157="","",INDEX('Per Line'!$J$2:$J$3001,$X157)&amp;"")</f>
        <v/>
      </c>
      <c r="G157">
        <f>IF($X157="","",INDEX('Per Line'!$K$2:$K$3001,$X157)&amp;"")</f>
        <v/>
      </c>
      <c r="H157">
        <f>IF($X157="","",INDEX('Per Line'!$M$2:$M$3001,$X157))</f>
        <v/>
      </c>
      <c r="I157" s="7">
        <f>IF($X157="","",H157*V157/100)</f>
        <v/>
      </c>
      <c r="J157">
        <f>IF($X157="","",INDEX('Per Line'!$W$2:$W$3001,$X157)&amp;"")</f>
        <v/>
      </c>
      <c r="K157">
        <f>IF($X157="","",INDEX('Per Line'!$AD$2:$AD$3001,$X157))</f>
        <v/>
      </c>
      <c r="L157">
        <f>IF($X157="","",IF(AND(ISNUMBER(K157),K157&gt;0),V157&gt;K157,FALSE))</f>
        <v/>
      </c>
      <c r="M157" s="7">
        <f>IF($X157="","",SUMIFS('Per Line'!$V$2:$V$3001,'Per Line'!$D$2:$D$3001,$B157,'Per Line'!$AN$2:$AN$3001,1))</f>
        <v/>
      </c>
      <c r="N157">
        <f>IF($X157="","",Settings!$C$7)</f>
        <v/>
      </c>
      <c r="O157" s="7">
        <f>IF($X157="","",SUMIFS('Per Line'!$V$2:$V$3001,'Per Line'!$D$2:$D$3001,$B157,'Per Line'!$AM$2:$AM$3001,0,'Per Line'!$AN$2:$AN$3001,0))</f>
        <v/>
      </c>
      <c r="P157" s="7">
        <f>IF($X157="","",O157*N157)</f>
        <v/>
      </c>
      <c r="Q157">
        <f>IF($X157="","",Settings!$C$6)</f>
        <v/>
      </c>
      <c r="R157" s="7">
        <f>IF($X157="","",SUMIFS('Per Line'!$V$2:$V$3001,'Per Line'!$D$2:$D$3001,$B157,'Per Line'!$AM$2:$AM$3001,1,'Per Line'!$AN$2:$AN$3001,0))</f>
        <v/>
      </c>
      <c r="S157" s="7">
        <f>IF($X157="","",R157*Q157)</f>
        <v/>
      </c>
      <c r="T157" s="7">
        <f>IF($X157="","",S157+P157)</f>
        <v/>
      </c>
      <c r="U157" s="7">
        <f>IF($X157="","",V157-T157)</f>
        <v/>
      </c>
      <c r="V157" s="7">
        <f>IF($X157="","",O157+R157+M157)</f>
        <v/>
      </c>
      <c r="W157" s="7">
        <f>IF($X157="","",V157-T157-I157)</f>
        <v/>
      </c>
      <c r="X157" s="13">
        <f>IF(ROWS($X$2:$X157)&lt;=MAX('Per Line'!$AL$2:$AL$3001),MATCH(ROWS($X$2:$X157),'Per Line'!$AL$2:$AL$3001,0),"")</f>
        <v/>
      </c>
    </row>
    <row r="158">
      <c r="A158" s="12" t="n"/>
      <c r="B158">
        <f>IF($X158="","",INDEX('Per Line'!$D$2:$D$3001,$X158)&amp;"")</f>
        <v/>
      </c>
      <c r="C158" s="11">
        <f>IF($X158="","",INDEX('Per Line'!$F$2:$F$3001,$X158))</f>
        <v/>
      </c>
      <c r="D158">
        <f>IF($X158="","",INDEX('Per Line'!$G$2:$G$3001,$X158)&amp;"")</f>
        <v/>
      </c>
      <c r="E158">
        <f>IF($X158="","",INDEX('Per Line'!$I$2:$I$3001,$X158)&amp;"")</f>
        <v/>
      </c>
      <c r="F158">
        <f>IF($X158="","",INDEX('Per Line'!$J$2:$J$3001,$X158)&amp;"")</f>
        <v/>
      </c>
      <c r="G158">
        <f>IF($X158="","",INDEX('Per Line'!$K$2:$K$3001,$X158)&amp;"")</f>
        <v/>
      </c>
      <c r="H158">
        <f>IF($X158="","",INDEX('Per Line'!$M$2:$M$3001,$X158))</f>
        <v/>
      </c>
      <c r="I158" s="7">
        <f>IF($X158="","",H158*V158/100)</f>
        <v/>
      </c>
      <c r="J158">
        <f>IF($X158="","",INDEX('Per Line'!$W$2:$W$3001,$X158)&amp;"")</f>
        <v/>
      </c>
      <c r="K158">
        <f>IF($X158="","",INDEX('Per Line'!$AD$2:$AD$3001,$X158))</f>
        <v/>
      </c>
      <c r="L158">
        <f>IF($X158="","",IF(AND(ISNUMBER(K158),K158&gt;0),V158&gt;K158,FALSE))</f>
        <v/>
      </c>
      <c r="M158" s="7">
        <f>IF($X158="","",SUMIFS('Per Line'!$V$2:$V$3001,'Per Line'!$D$2:$D$3001,$B158,'Per Line'!$AN$2:$AN$3001,1))</f>
        <v/>
      </c>
      <c r="N158">
        <f>IF($X158="","",Settings!$C$7)</f>
        <v/>
      </c>
      <c r="O158" s="7">
        <f>IF($X158="","",SUMIFS('Per Line'!$V$2:$V$3001,'Per Line'!$D$2:$D$3001,$B158,'Per Line'!$AM$2:$AM$3001,0,'Per Line'!$AN$2:$AN$3001,0))</f>
        <v/>
      </c>
      <c r="P158" s="7">
        <f>IF($X158="","",O158*N158)</f>
        <v/>
      </c>
      <c r="Q158">
        <f>IF($X158="","",Settings!$C$6)</f>
        <v/>
      </c>
      <c r="R158" s="7">
        <f>IF($X158="","",SUMIFS('Per Line'!$V$2:$V$3001,'Per Line'!$D$2:$D$3001,$B158,'Per Line'!$AM$2:$AM$3001,1,'Per Line'!$AN$2:$AN$3001,0))</f>
        <v/>
      </c>
      <c r="S158" s="7">
        <f>IF($X158="","",R158*Q158)</f>
        <v/>
      </c>
      <c r="T158" s="7">
        <f>IF($X158="","",S158+P158)</f>
        <v/>
      </c>
      <c r="U158" s="7">
        <f>IF($X158="","",V158-T158)</f>
        <v/>
      </c>
      <c r="V158" s="7">
        <f>IF($X158="","",O158+R158+M158)</f>
        <v/>
      </c>
      <c r="W158" s="7">
        <f>IF($X158="","",V158-T158-I158)</f>
        <v/>
      </c>
      <c r="X158" s="13">
        <f>IF(ROWS($X$2:$X158)&lt;=MAX('Per Line'!$AL$2:$AL$3001),MATCH(ROWS($X$2:$X158),'Per Line'!$AL$2:$AL$3001,0),"")</f>
        <v/>
      </c>
    </row>
    <row r="159">
      <c r="A159" s="12" t="n"/>
      <c r="B159">
        <f>IF($X159="","",INDEX('Per Line'!$D$2:$D$3001,$X159)&amp;"")</f>
        <v/>
      </c>
      <c r="C159" s="11">
        <f>IF($X159="","",INDEX('Per Line'!$F$2:$F$3001,$X159))</f>
        <v/>
      </c>
      <c r="D159">
        <f>IF($X159="","",INDEX('Per Line'!$G$2:$G$3001,$X159)&amp;"")</f>
        <v/>
      </c>
      <c r="E159">
        <f>IF($X159="","",INDEX('Per Line'!$I$2:$I$3001,$X159)&amp;"")</f>
        <v/>
      </c>
      <c r="F159">
        <f>IF($X159="","",INDEX('Per Line'!$J$2:$J$3001,$X159)&amp;"")</f>
        <v/>
      </c>
      <c r="G159">
        <f>IF($X159="","",INDEX('Per Line'!$K$2:$K$3001,$X159)&amp;"")</f>
        <v/>
      </c>
      <c r="H159">
        <f>IF($X159="","",INDEX('Per Line'!$M$2:$M$3001,$X159))</f>
        <v/>
      </c>
      <c r="I159" s="7">
        <f>IF($X159="","",H159*V159/100)</f>
        <v/>
      </c>
      <c r="J159">
        <f>IF($X159="","",INDEX('Per Line'!$W$2:$W$3001,$X159)&amp;"")</f>
        <v/>
      </c>
      <c r="K159">
        <f>IF($X159="","",INDEX('Per Line'!$AD$2:$AD$3001,$X159))</f>
        <v/>
      </c>
      <c r="L159">
        <f>IF($X159="","",IF(AND(ISNUMBER(K159),K159&gt;0),V159&gt;K159,FALSE))</f>
        <v/>
      </c>
      <c r="M159" s="7">
        <f>IF($X159="","",SUMIFS('Per Line'!$V$2:$V$3001,'Per Line'!$D$2:$D$3001,$B159,'Per Line'!$AN$2:$AN$3001,1))</f>
        <v/>
      </c>
      <c r="N159">
        <f>IF($X159="","",Settings!$C$7)</f>
        <v/>
      </c>
      <c r="O159" s="7">
        <f>IF($X159="","",SUMIFS('Per Line'!$V$2:$V$3001,'Per Line'!$D$2:$D$3001,$B159,'Per Line'!$AM$2:$AM$3001,0,'Per Line'!$AN$2:$AN$3001,0))</f>
        <v/>
      </c>
      <c r="P159" s="7">
        <f>IF($X159="","",O159*N159)</f>
        <v/>
      </c>
      <c r="Q159">
        <f>IF($X159="","",Settings!$C$6)</f>
        <v/>
      </c>
      <c r="R159" s="7">
        <f>IF($X159="","",SUMIFS('Per Line'!$V$2:$V$3001,'Per Line'!$D$2:$D$3001,$B159,'Per Line'!$AM$2:$AM$3001,1,'Per Line'!$AN$2:$AN$3001,0))</f>
        <v/>
      </c>
      <c r="S159" s="7">
        <f>IF($X159="","",R159*Q159)</f>
        <v/>
      </c>
      <c r="T159" s="7">
        <f>IF($X159="","",S159+P159)</f>
        <v/>
      </c>
      <c r="U159" s="7">
        <f>IF($X159="","",V159-T159)</f>
        <v/>
      </c>
      <c r="V159" s="7">
        <f>IF($X159="","",O159+R159+M159)</f>
        <v/>
      </c>
      <c r="W159" s="7">
        <f>IF($X159="","",V159-T159-I159)</f>
        <v/>
      </c>
      <c r="X159" s="13">
        <f>IF(ROWS($X$2:$X159)&lt;=MAX('Per Line'!$AL$2:$AL$3001),MATCH(ROWS($X$2:$X159),'Per Line'!$AL$2:$AL$3001,0),"")</f>
        <v/>
      </c>
    </row>
    <row r="160">
      <c r="A160" s="12" t="n"/>
      <c r="B160">
        <f>IF($X160="","",INDEX('Per Line'!$D$2:$D$3001,$X160)&amp;"")</f>
        <v/>
      </c>
      <c r="C160" s="11">
        <f>IF($X160="","",INDEX('Per Line'!$F$2:$F$3001,$X160))</f>
        <v/>
      </c>
      <c r="D160">
        <f>IF($X160="","",INDEX('Per Line'!$G$2:$G$3001,$X160)&amp;"")</f>
        <v/>
      </c>
      <c r="E160">
        <f>IF($X160="","",INDEX('Per Line'!$I$2:$I$3001,$X160)&amp;"")</f>
        <v/>
      </c>
      <c r="F160">
        <f>IF($X160="","",INDEX('Per Line'!$J$2:$J$3001,$X160)&amp;"")</f>
        <v/>
      </c>
      <c r="G160">
        <f>IF($X160="","",INDEX('Per Line'!$K$2:$K$3001,$X160)&amp;"")</f>
        <v/>
      </c>
      <c r="H160">
        <f>IF($X160="","",INDEX('Per Line'!$M$2:$M$3001,$X160))</f>
        <v/>
      </c>
      <c r="I160" s="7">
        <f>IF($X160="","",H160*V160/100)</f>
        <v/>
      </c>
      <c r="J160">
        <f>IF($X160="","",INDEX('Per Line'!$W$2:$W$3001,$X160)&amp;"")</f>
        <v/>
      </c>
      <c r="K160">
        <f>IF($X160="","",INDEX('Per Line'!$AD$2:$AD$3001,$X160))</f>
        <v/>
      </c>
      <c r="L160">
        <f>IF($X160="","",IF(AND(ISNUMBER(K160),K160&gt;0),V160&gt;K160,FALSE))</f>
        <v/>
      </c>
      <c r="M160" s="7">
        <f>IF($X160="","",SUMIFS('Per Line'!$V$2:$V$3001,'Per Line'!$D$2:$D$3001,$B160,'Per Line'!$AN$2:$AN$3001,1))</f>
        <v/>
      </c>
      <c r="N160">
        <f>IF($X160="","",Settings!$C$7)</f>
        <v/>
      </c>
      <c r="O160" s="7">
        <f>IF($X160="","",SUMIFS('Per Line'!$V$2:$V$3001,'Per Line'!$D$2:$D$3001,$B160,'Per Line'!$AM$2:$AM$3001,0,'Per Line'!$AN$2:$AN$3001,0))</f>
        <v/>
      </c>
      <c r="P160" s="7">
        <f>IF($X160="","",O160*N160)</f>
        <v/>
      </c>
      <c r="Q160">
        <f>IF($X160="","",Settings!$C$6)</f>
        <v/>
      </c>
      <c r="R160" s="7">
        <f>IF($X160="","",SUMIFS('Per Line'!$V$2:$V$3001,'Per Line'!$D$2:$D$3001,$B160,'Per Line'!$AM$2:$AM$3001,1,'Per Line'!$AN$2:$AN$3001,0))</f>
        <v/>
      </c>
      <c r="S160" s="7">
        <f>IF($X160="","",R160*Q160)</f>
        <v/>
      </c>
      <c r="T160" s="7">
        <f>IF($X160="","",S160+P160)</f>
        <v/>
      </c>
      <c r="U160" s="7">
        <f>IF($X160="","",V160-T160)</f>
        <v/>
      </c>
      <c r="V160" s="7">
        <f>IF($X160="","",O160+R160+M160)</f>
        <v/>
      </c>
      <c r="W160" s="7">
        <f>IF($X160="","",V160-T160-I160)</f>
        <v/>
      </c>
      <c r="X160" s="13">
        <f>IF(ROWS($X$2:$X160)&lt;=MAX('Per Line'!$AL$2:$AL$3001),MATCH(ROWS($X$2:$X160),'Per Line'!$AL$2:$AL$3001,0),"")</f>
        <v/>
      </c>
    </row>
    <row r="161">
      <c r="A161" s="12" t="n"/>
      <c r="B161">
        <f>IF($X161="","",INDEX('Per Line'!$D$2:$D$3001,$X161)&amp;"")</f>
        <v/>
      </c>
      <c r="C161" s="11">
        <f>IF($X161="","",INDEX('Per Line'!$F$2:$F$3001,$X161))</f>
        <v/>
      </c>
      <c r="D161">
        <f>IF($X161="","",INDEX('Per Line'!$G$2:$G$3001,$X161)&amp;"")</f>
        <v/>
      </c>
      <c r="E161">
        <f>IF($X161="","",INDEX('Per Line'!$I$2:$I$3001,$X161)&amp;"")</f>
        <v/>
      </c>
      <c r="F161">
        <f>IF($X161="","",INDEX('Per Line'!$J$2:$J$3001,$X161)&amp;"")</f>
        <v/>
      </c>
      <c r="G161">
        <f>IF($X161="","",INDEX('Per Line'!$K$2:$K$3001,$X161)&amp;"")</f>
        <v/>
      </c>
      <c r="H161">
        <f>IF($X161="","",INDEX('Per Line'!$M$2:$M$3001,$X161))</f>
        <v/>
      </c>
      <c r="I161" s="7">
        <f>IF($X161="","",H161*V161/100)</f>
        <v/>
      </c>
      <c r="J161">
        <f>IF($X161="","",INDEX('Per Line'!$W$2:$W$3001,$X161)&amp;"")</f>
        <v/>
      </c>
      <c r="K161">
        <f>IF($X161="","",INDEX('Per Line'!$AD$2:$AD$3001,$X161))</f>
        <v/>
      </c>
      <c r="L161">
        <f>IF($X161="","",IF(AND(ISNUMBER(K161),K161&gt;0),V161&gt;K161,FALSE))</f>
        <v/>
      </c>
      <c r="M161" s="7">
        <f>IF($X161="","",SUMIFS('Per Line'!$V$2:$V$3001,'Per Line'!$D$2:$D$3001,$B161,'Per Line'!$AN$2:$AN$3001,1))</f>
        <v/>
      </c>
      <c r="N161">
        <f>IF($X161="","",Settings!$C$7)</f>
        <v/>
      </c>
      <c r="O161" s="7">
        <f>IF($X161="","",SUMIFS('Per Line'!$V$2:$V$3001,'Per Line'!$D$2:$D$3001,$B161,'Per Line'!$AM$2:$AM$3001,0,'Per Line'!$AN$2:$AN$3001,0))</f>
        <v/>
      </c>
      <c r="P161" s="7">
        <f>IF($X161="","",O161*N161)</f>
        <v/>
      </c>
      <c r="Q161">
        <f>IF($X161="","",Settings!$C$6)</f>
        <v/>
      </c>
      <c r="R161" s="7">
        <f>IF($X161="","",SUMIFS('Per Line'!$V$2:$V$3001,'Per Line'!$D$2:$D$3001,$B161,'Per Line'!$AM$2:$AM$3001,1,'Per Line'!$AN$2:$AN$3001,0))</f>
        <v/>
      </c>
      <c r="S161" s="7">
        <f>IF($X161="","",R161*Q161)</f>
        <v/>
      </c>
      <c r="T161" s="7">
        <f>IF($X161="","",S161+P161)</f>
        <v/>
      </c>
      <c r="U161" s="7">
        <f>IF($X161="","",V161-T161)</f>
        <v/>
      </c>
      <c r="V161" s="7">
        <f>IF($X161="","",O161+R161+M161)</f>
        <v/>
      </c>
      <c r="W161" s="7">
        <f>IF($X161="","",V161-T161-I161)</f>
        <v/>
      </c>
      <c r="X161" s="13">
        <f>IF(ROWS($X$2:$X161)&lt;=MAX('Per Line'!$AL$2:$AL$3001),MATCH(ROWS($X$2:$X161),'Per Line'!$AL$2:$AL$3001,0),"")</f>
        <v/>
      </c>
    </row>
    <row r="162">
      <c r="A162" s="12" t="n"/>
      <c r="B162">
        <f>IF($X162="","",INDEX('Per Line'!$D$2:$D$3001,$X162)&amp;"")</f>
        <v/>
      </c>
      <c r="C162" s="11">
        <f>IF($X162="","",INDEX('Per Line'!$F$2:$F$3001,$X162))</f>
        <v/>
      </c>
      <c r="D162">
        <f>IF($X162="","",INDEX('Per Line'!$G$2:$G$3001,$X162)&amp;"")</f>
        <v/>
      </c>
      <c r="E162">
        <f>IF($X162="","",INDEX('Per Line'!$I$2:$I$3001,$X162)&amp;"")</f>
        <v/>
      </c>
      <c r="F162">
        <f>IF($X162="","",INDEX('Per Line'!$J$2:$J$3001,$X162)&amp;"")</f>
        <v/>
      </c>
      <c r="G162">
        <f>IF($X162="","",INDEX('Per Line'!$K$2:$K$3001,$X162)&amp;"")</f>
        <v/>
      </c>
      <c r="H162">
        <f>IF($X162="","",INDEX('Per Line'!$M$2:$M$3001,$X162))</f>
        <v/>
      </c>
      <c r="I162" s="7">
        <f>IF($X162="","",H162*V162/100)</f>
        <v/>
      </c>
      <c r="J162">
        <f>IF($X162="","",INDEX('Per Line'!$W$2:$W$3001,$X162)&amp;"")</f>
        <v/>
      </c>
      <c r="K162">
        <f>IF($X162="","",INDEX('Per Line'!$AD$2:$AD$3001,$X162))</f>
        <v/>
      </c>
      <c r="L162">
        <f>IF($X162="","",IF(AND(ISNUMBER(K162),K162&gt;0),V162&gt;K162,FALSE))</f>
        <v/>
      </c>
      <c r="M162" s="7">
        <f>IF($X162="","",SUMIFS('Per Line'!$V$2:$V$3001,'Per Line'!$D$2:$D$3001,$B162,'Per Line'!$AN$2:$AN$3001,1))</f>
        <v/>
      </c>
      <c r="N162">
        <f>IF($X162="","",Settings!$C$7)</f>
        <v/>
      </c>
      <c r="O162" s="7">
        <f>IF($X162="","",SUMIFS('Per Line'!$V$2:$V$3001,'Per Line'!$D$2:$D$3001,$B162,'Per Line'!$AM$2:$AM$3001,0,'Per Line'!$AN$2:$AN$3001,0))</f>
        <v/>
      </c>
      <c r="P162" s="7">
        <f>IF($X162="","",O162*N162)</f>
        <v/>
      </c>
      <c r="Q162">
        <f>IF($X162="","",Settings!$C$6)</f>
        <v/>
      </c>
      <c r="R162" s="7">
        <f>IF($X162="","",SUMIFS('Per Line'!$V$2:$V$3001,'Per Line'!$D$2:$D$3001,$B162,'Per Line'!$AM$2:$AM$3001,1,'Per Line'!$AN$2:$AN$3001,0))</f>
        <v/>
      </c>
      <c r="S162" s="7">
        <f>IF($X162="","",R162*Q162)</f>
        <v/>
      </c>
      <c r="T162" s="7">
        <f>IF($X162="","",S162+P162)</f>
        <v/>
      </c>
      <c r="U162" s="7">
        <f>IF($X162="","",V162-T162)</f>
        <v/>
      </c>
      <c r="V162" s="7">
        <f>IF($X162="","",O162+R162+M162)</f>
        <v/>
      </c>
      <c r="W162" s="7">
        <f>IF($X162="","",V162-T162-I162)</f>
        <v/>
      </c>
      <c r="X162" s="13">
        <f>IF(ROWS($X$2:$X162)&lt;=MAX('Per Line'!$AL$2:$AL$3001),MATCH(ROWS($X$2:$X162),'Per Line'!$AL$2:$AL$3001,0),"")</f>
        <v/>
      </c>
    </row>
    <row r="163">
      <c r="A163" s="12" t="n"/>
      <c r="B163">
        <f>IF($X163="","",INDEX('Per Line'!$D$2:$D$3001,$X163)&amp;"")</f>
        <v/>
      </c>
      <c r="C163" s="11">
        <f>IF($X163="","",INDEX('Per Line'!$F$2:$F$3001,$X163))</f>
        <v/>
      </c>
      <c r="D163">
        <f>IF($X163="","",INDEX('Per Line'!$G$2:$G$3001,$X163)&amp;"")</f>
        <v/>
      </c>
      <c r="E163">
        <f>IF($X163="","",INDEX('Per Line'!$I$2:$I$3001,$X163)&amp;"")</f>
        <v/>
      </c>
      <c r="F163">
        <f>IF($X163="","",INDEX('Per Line'!$J$2:$J$3001,$X163)&amp;"")</f>
        <v/>
      </c>
      <c r="G163">
        <f>IF($X163="","",INDEX('Per Line'!$K$2:$K$3001,$X163)&amp;"")</f>
        <v/>
      </c>
      <c r="H163">
        <f>IF($X163="","",INDEX('Per Line'!$M$2:$M$3001,$X163))</f>
        <v/>
      </c>
      <c r="I163" s="7">
        <f>IF($X163="","",H163*V163/100)</f>
        <v/>
      </c>
      <c r="J163">
        <f>IF($X163="","",INDEX('Per Line'!$W$2:$W$3001,$X163)&amp;"")</f>
        <v/>
      </c>
      <c r="K163">
        <f>IF($X163="","",INDEX('Per Line'!$AD$2:$AD$3001,$X163))</f>
        <v/>
      </c>
      <c r="L163">
        <f>IF($X163="","",IF(AND(ISNUMBER(K163),K163&gt;0),V163&gt;K163,FALSE))</f>
        <v/>
      </c>
      <c r="M163" s="7">
        <f>IF($X163="","",SUMIFS('Per Line'!$V$2:$V$3001,'Per Line'!$D$2:$D$3001,$B163,'Per Line'!$AN$2:$AN$3001,1))</f>
        <v/>
      </c>
      <c r="N163">
        <f>IF($X163="","",Settings!$C$7)</f>
        <v/>
      </c>
      <c r="O163" s="7">
        <f>IF($X163="","",SUMIFS('Per Line'!$V$2:$V$3001,'Per Line'!$D$2:$D$3001,$B163,'Per Line'!$AM$2:$AM$3001,0,'Per Line'!$AN$2:$AN$3001,0))</f>
        <v/>
      </c>
      <c r="P163" s="7">
        <f>IF($X163="","",O163*N163)</f>
        <v/>
      </c>
      <c r="Q163">
        <f>IF($X163="","",Settings!$C$6)</f>
        <v/>
      </c>
      <c r="R163" s="7">
        <f>IF($X163="","",SUMIFS('Per Line'!$V$2:$V$3001,'Per Line'!$D$2:$D$3001,$B163,'Per Line'!$AM$2:$AM$3001,1,'Per Line'!$AN$2:$AN$3001,0))</f>
        <v/>
      </c>
      <c r="S163" s="7">
        <f>IF($X163="","",R163*Q163)</f>
        <v/>
      </c>
      <c r="T163" s="7">
        <f>IF($X163="","",S163+P163)</f>
        <v/>
      </c>
      <c r="U163" s="7">
        <f>IF($X163="","",V163-T163)</f>
        <v/>
      </c>
      <c r="V163" s="7">
        <f>IF($X163="","",O163+R163+M163)</f>
        <v/>
      </c>
      <c r="W163" s="7">
        <f>IF($X163="","",V163-T163-I163)</f>
        <v/>
      </c>
      <c r="X163" s="13">
        <f>IF(ROWS($X$2:$X163)&lt;=MAX('Per Line'!$AL$2:$AL$3001),MATCH(ROWS($X$2:$X163),'Per Line'!$AL$2:$AL$3001,0),"")</f>
        <v/>
      </c>
    </row>
    <row r="164">
      <c r="A164" s="12" t="n"/>
      <c r="B164">
        <f>IF($X164="","",INDEX('Per Line'!$D$2:$D$3001,$X164)&amp;"")</f>
        <v/>
      </c>
      <c r="C164" s="11">
        <f>IF($X164="","",INDEX('Per Line'!$F$2:$F$3001,$X164))</f>
        <v/>
      </c>
      <c r="D164">
        <f>IF($X164="","",INDEX('Per Line'!$G$2:$G$3001,$X164)&amp;"")</f>
        <v/>
      </c>
      <c r="E164">
        <f>IF($X164="","",INDEX('Per Line'!$I$2:$I$3001,$X164)&amp;"")</f>
        <v/>
      </c>
      <c r="F164">
        <f>IF($X164="","",INDEX('Per Line'!$J$2:$J$3001,$X164)&amp;"")</f>
        <v/>
      </c>
      <c r="G164">
        <f>IF($X164="","",INDEX('Per Line'!$K$2:$K$3001,$X164)&amp;"")</f>
        <v/>
      </c>
      <c r="H164">
        <f>IF($X164="","",INDEX('Per Line'!$M$2:$M$3001,$X164))</f>
        <v/>
      </c>
      <c r="I164" s="7">
        <f>IF($X164="","",H164*V164/100)</f>
        <v/>
      </c>
      <c r="J164">
        <f>IF($X164="","",INDEX('Per Line'!$W$2:$W$3001,$X164)&amp;"")</f>
        <v/>
      </c>
      <c r="K164">
        <f>IF($X164="","",INDEX('Per Line'!$AD$2:$AD$3001,$X164))</f>
        <v/>
      </c>
      <c r="L164">
        <f>IF($X164="","",IF(AND(ISNUMBER(K164),K164&gt;0),V164&gt;K164,FALSE))</f>
        <v/>
      </c>
      <c r="M164" s="7">
        <f>IF($X164="","",SUMIFS('Per Line'!$V$2:$V$3001,'Per Line'!$D$2:$D$3001,$B164,'Per Line'!$AN$2:$AN$3001,1))</f>
        <v/>
      </c>
      <c r="N164">
        <f>IF($X164="","",Settings!$C$7)</f>
        <v/>
      </c>
      <c r="O164" s="7">
        <f>IF($X164="","",SUMIFS('Per Line'!$V$2:$V$3001,'Per Line'!$D$2:$D$3001,$B164,'Per Line'!$AM$2:$AM$3001,0,'Per Line'!$AN$2:$AN$3001,0))</f>
        <v/>
      </c>
      <c r="P164" s="7">
        <f>IF($X164="","",O164*N164)</f>
        <v/>
      </c>
      <c r="Q164">
        <f>IF($X164="","",Settings!$C$6)</f>
        <v/>
      </c>
      <c r="R164" s="7">
        <f>IF($X164="","",SUMIFS('Per Line'!$V$2:$V$3001,'Per Line'!$D$2:$D$3001,$B164,'Per Line'!$AM$2:$AM$3001,1,'Per Line'!$AN$2:$AN$3001,0))</f>
        <v/>
      </c>
      <c r="S164" s="7">
        <f>IF($X164="","",R164*Q164)</f>
        <v/>
      </c>
      <c r="T164" s="7">
        <f>IF($X164="","",S164+P164)</f>
        <v/>
      </c>
      <c r="U164" s="7">
        <f>IF($X164="","",V164-T164)</f>
        <v/>
      </c>
      <c r="V164" s="7">
        <f>IF($X164="","",O164+R164+M164)</f>
        <v/>
      </c>
      <c r="W164" s="7">
        <f>IF($X164="","",V164-T164-I164)</f>
        <v/>
      </c>
      <c r="X164" s="13">
        <f>IF(ROWS($X$2:$X164)&lt;=MAX('Per Line'!$AL$2:$AL$3001),MATCH(ROWS($X$2:$X164),'Per Line'!$AL$2:$AL$3001,0),"")</f>
        <v/>
      </c>
    </row>
    <row r="165">
      <c r="A165" s="12" t="n"/>
      <c r="B165">
        <f>IF($X165="","",INDEX('Per Line'!$D$2:$D$3001,$X165)&amp;"")</f>
        <v/>
      </c>
      <c r="C165" s="11">
        <f>IF($X165="","",INDEX('Per Line'!$F$2:$F$3001,$X165))</f>
        <v/>
      </c>
      <c r="D165">
        <f>IF($X165="","",INDEX('Per Line'!$G$2:$G$3001,$X165)&amp;"")</f>
        <v/>
      </c>
      <c r="E165">
        <f>IF($X165="","",INDEX('Per Line'!$I$2:$I$3001,$X165)&amp;"")</f>
        <v/>
      </c>
      <c r="F165">
        <f>IF($X165="","",INDEX('Per Line'!$J$2:$J$3001,$X165)&amp;"")</f>
        <v/>
      </c>
      <c r="G165">
        <f>IF($X165="","",INDEX('Per Line'!$K$2:$K$3001,$X165)&amp;"")</f>
        <v/>
      </c>
      <c r="H165">
        <f>IF($X165="","",INDEX('Per Line'!$M$2:$M$3001,$X165))</f>
        <v/>
      </c>
      <c r="I165" s="7">
        <f>IF($X165="","",H165*V165/100)</f>
        <v/>
      </c>
      <c r="J165">
        <f>IF($X165="","",INDEX('Per Line'!$W$2:$W$3001,$X165)&amp;"")</f>
        <v/>
      </c>
      <c r="K165">
        <f>IF($X165="","",INDEX('Per Line'!$AD$2:$AD$3001,$X165))</f>
        <v/>
      </c>
      <c r="L165">
        <f>IF($X165="","",IF(AND(ISNUMBER(K165),K165&gt;0),V165&gt;K165,FALSE))</f>
        <v/>
      </c>
      <c r="M165" s="7">
        <f>IF($X165="","",SUMIFS('Per Line'!$V$2:$V$3001,'Per Line'!$D$2:$D$3001,$B165,'Per Line'!$AN$2:$AN$3001,1))</f>
        <v/>
      </c>
      <c r="N165">
        <f>IF($X165="","",Settings!$C$7)</f>
        <v/>
      </c>
      <c r="O165" s="7">
        <f>IF($X165="","",SUMIFS('Per Line'!$V$2:$V$3001,'Per Line'!$D$2:$D$3001,$B165,'Per Line'!$AM$2:$AM$3001,0,'Per Line'!$AN$2:$AN$3001,0))</f>
        <v/>
      </c>
      <c r="P165" s="7">
        <f>IF($X165="","",O165*N165)</f>
        <v/>
      </c>
      <c r="Q165">
        <f>IF($X165="","",Settings!$C$6)</f>
        <v/>
      </c>
      <c r="R165" s="7">
        <f>IF($X165="","",SUMIFS('Per Line'!$V$2:$V$3001,'Per Line'!$D$2:$D$3001,$B165,'Per Line'!$AM$2:$AM$3001,1,'Per Line'!$AN$2:$AN$3001,0))</f>
        <v/>
      </c>
      <c r="S165" s="7">
        <f>IF($X165="","",R165*Q165)</f>
        <v/>
      </c>
      <c r="T165" s="7">
        <f>IF($X165="","",S165+P165)</f>
        <v/>
      </c>
      <c r="U165" s="7">
        <f>IF($X165="","",V165-T165)</f>
        <v/>
      </c>
      <c r="V165" s="7">
        <f>IF($X165="","",O165+R165+M165)</f>
        <v/>
      </c>
      <c r="W165" s="7">
        <f>IF($X165="","",V165-T165-I165)</f>
        <v/>
      </c>
      <c r="X165" s="13">
        <f>IF(ROWS($X$2:$X165)&lt;=MAX('Per Line'!$AL$2:$AL$3001),MATCH(ROWS($X$2:$X165),'Per Line'!$AL$2:$AL$3001,0),"")</f>
        <v/>
      </c>
    </row>
    <row r="166">
      <c r="A166" s="12" t="n"/>
      <c r="B166">
        <f>IF($X166="","",INDEX('Per Line'!$D$2:$D$3001,$X166)&amp;"")</f>
        <v/>
      </c>
      <c r="C166" s="11">
        <f>IF($X166="","",INDEX('Per Line'!$F$2:$F$3001,$X166))</f>
        <v/>
      </c>
      <c r="D166">
        <f>IF($X166="","",INDEX('Per Line'!$G$2:$G$3001,$X166)&amp;"")</f>
        <v/>
      </c>
      <c r="E166">
        <f>IF($X166="","",INDEX('Per Line'!$I$2:$I$3001,$X166)&amp;"")</f>
        <v/>
      </c>
      <c r="F166">
        <f>IF($X166="","",INDEX('Per Line'!$J$2:$J$3001,$X166)&amp;"")</f>
        <v/>
      </c>
      <c r="G166">
        <f>IF($X166="","",INDEX('Per Line'!$K$2:$K$3001,$X166)&amp;"")</f>
        <v/>
      </c>
      <c r="H166">
        <f>IF($X166="","",INDEX('Per Line'!$M$2:$M$3001,$X166))</f>
        <v/>
      </c>
      <c r="I166" s="7">
        <f>IF($X166="","",H166*V166/100)</f>
        <v/>
      </c>
      <c r="J166">
        <f>IF($X166="","",INDEX('Per Line'!$W$2:$W$3001,$X166)&amp;"")</f>
        <v/>
      </c>
      <c r="K166">
        <f>IF($X166="","",INDEX('Per Line'!$AD$2:$AD$3001,$X166))</f>
        <v/>
      </c>
      <c r="L166">
        <f>IF($X166="","",IF(AND(ISNUMBER(K166),K166&gt;0),V166&gt;K166,FALSE))</f>
        <v/>
      </c>
      <c r="M166" s="7">
        <f>IF($X166="","",SUMIFS('Per Line'!$V$2:$V$3001,'Per Line'!$D$2:$D$3001,$B166,'Per Line'!$AN$2:$AN$3001,1))</f>
        <v/>
      </c>
      <c r="N166">
        <f>IF($X166="","",Settings!$C$7)</f>
        <v/>
      </c>
      <c r="O166" s="7">
        <f>IF($X166="","",SUMIFS('Per Line'!$V$2:$V$3001,'Per Line'!$D$2:$D$3001,$B166,'Per Line'!$AM$2:$AM$3001,0,'Per Line'!$AN$2:$AN$3001,0))</f>
        <v/>
      </c>
      <c r="P166" s="7">
        <f>IF($X166="","",O166*N166)</f>
        <v/>
      </c>
      <c r="Q166">
        <f>IF($X166="","",Settings!$C$6)</f>
        <v/>
      </c>
      <c r="R166" s="7">
        <f>IF($X166="","",SUMIFS('Per Line'!$V$2:$V$3001,'Per Line'!$D$2:$D$3001,$B166,'Per Line'!$AM$2:$AM$3001,1,'Per Line'!$AN$2:$AN$3001,0))</f>
        <v/>
      </c>
      <c r="S166" s="7">
        <f>IF($X166="","",R166*Q166)</f>
        <v/>
      </c>
      <c r="T166" s="7">
        <f>IF($X166="","",S166+P166)</f>
        <v/>
      </c>
      <c r="U166" s="7">
        <f>IF($X166="","",V166-T166)</f>
        <v/>
      </c>
      <c r="V166" s="7">
        <f>IF($X166="","",O166+R166+M166)</f>
        <v/>
      </c>
      <c r="W166" s="7">
        <f>IF($X166="","",V166-T166-I166)</f>
        <v/>
      </c>
      <c r="X166" s="13">
        <f>IF(ROWS($X$2:$X166)&lt;=MAX('Per Line'!$AL$2:$AL$3001),MATCH(ROWS($X$2:$X166),'Per Line'!$AL$2:$AL$3001,0),"")</f>
        <v/>
      </c>
    </row>
    <row r="167">
      <c r="A167" s="12" t="n"/>
      <c r="B167">
        <f>IF($X167="","",INDEX('Per Line'!$D$2:$D$3001,$X167)&amp;"")</f>
        <v/>
      </c>
      <c r="C167" s="11">
        <f>IF($X167="","",INDEX('Per Line'!$F$2:$F$3001,$X167))</f>
        <v/>
      </c>
      <c r="D167">
        <f>IF($X167="","",INDEX('Per Line'!$G$2:$G$3001,$X167)&amp;"")</f>
        <v/>
      </c>
      <c r="E167">
        <f>IF($X167="","",INDEX('Per Line'!$I$2:$I$3001,$X167)&amp;"")</f>
        <v/>
      </c>
      <c r="F167">
        <f>IF($X167="","",INDEX('Per Line'!$J$2:$J$3001,$X167)&amp;"")</f>
        <v/>
      </c>
      <c r="G167">
        <f>IF($X167="","",INDEX('Per Line'!$K$2:$K$3001,$X167)&amp;"")</f>
        <v/>
      </c>
      <c r="H167">
        <f>IF($X167="","",INDEX('Per Line'!$M$2:$M$3001,$X167))</f>
        <v/>
      </c>
      <c r="I167" s="7">
        <f>IF($X167="","",H167*V167/100)</f>
        <v/>
      </c>
      <c r="J167">
        <f>IF($X167="","",INDEX('Per Line'!$W$2:$W$3001,$X167)&amp;"")</f>
        <v/>
      </c>
      <c r="K167">
        <f>IF($X167="","",INDEX('Per Line'!$AD$2:$AD$3001,$X167))</f>
        <v/>
      </c>
      <c r="L167">
        <f>IF($X167="","",IF(AND(ISNUMBER(K167),K167&gt;0),V167&gt;K167,FALSE))</f>
        <v/>
      </c>
      <c r="M167" s="7">
        <f>IF($X167="","",SUMIFS('Per Line'!$V$2:$V$3001,'Per Line'!$D$2:$D$3001,$B167,'Per Line'!$AN$2:$AN$3001,1))</f>
        <v/>
      </c>
      <c r="N167">
        <f>IF($X167="","",Settings!$C$7)</f>
        <v/>
      </c>
      <c r="O167" s="7">
        <f>IF($X167="","",SUMIFS('Per Line'!$V$2:$V$3001,'Per Line'!$D$2:$D$3001,$B167,'Per Line'!$AM$2:$AM$3001,0,'Per Line'!$AN$2:$AN$3001,0))</f>
        <v/>
      </c>
      <c r="P167" s="7">
        <f>IF($X167="","",O167*N167)</f>
        <v/>
      </c>
      <c r="Q167">
        <f>IF($X167="","",Settings!$C$6)</f>
        <v/>
      </c>
      <c r="R167" s="7">
        <f>IF($X167="","",SUMIFS('Per Line'!$V$2:$V$3001,'Per Line'!$D$2:$D$3001,$B167,'Per Line'!$AM$2:$AM$3001,1,'Per Line'!$AN$2:$AN$3001,0))</f>
        <v/>
      </c>
      <c r="S167" s="7">
        <f>IF($X167="","",R167*Q167)</f>
        <v/>
      </c>
      <c r="T167" s="7">
        <f>IF($X167="","",S167+P167)</f>
        <v/>
      </c>
      <c r="U167" s="7">
        <f>IF($X167="","",V167-T167)</f>
        <v/>
      </c>
      <c r="V167" s="7">
        <f>IF($X167="","",O167+R167+M167)</f>
        <v/>
      </c>
      <c r="W167" s="7">
        <f>IF($X167="","",V167-T167-I167)</f>
        <v/>
      </c>
      <c r="X167" s="13">
        <f>IF(ROWS($X$2:$X167)&lt;=MAX('Per Line'!$AL$2:$AL$3001),MATCH(ROWS($X$2:$X167),'Per Line'!$AL$2:$AL$3001,0),"")</f>
        <v/>
      </c>
    </row>
    <row r="168">
      <c r="A168" s="12" t="n"/>
      <c r="B168">
        <f>IF($X168="","",INDEX('Per Line'!$D$2:$D$3001,$X168)&amp;"")</f>
        <v/>
      </c>
      <c r="C168" s="11">
        <f>IF($X168="","",INDEX('Per Line'!$F$2:$F$3001,$X168))</f>
        <v/>
      </c>
      <c r="D168">
        <f>IF($X168="","",INDEX('Per Line'!$G$2:$G$3001,$X168)&amp;"")</f>
        <v/>
      </c>
      <c r="E168">
        <f>IF($X168="","",INDEX('Per Line'!$I$2:$I$3001,$X168)&amp;"")</f>
        <v/>
      </c>
      <c r="F168">
        <f>IF($X168="","",INDEX('Per Line'!$J$2:$J$3001,$X168)&amp;"")</f>
        <v/>
      </c>
      <c r="G168">
        <f>IF($X168="","",INDEX('Per Line'!$K$2:$K$3001,$X168)&amp;"")</f>
        <v/>
      </c>
      <c r="H168">
        <f>IF($X168="","",INDEX('Per Line'!$M$2:$M$3001,$X168))</f>
        <v/>
      </c>
      <c r="I168" s="7">
        <f>IF($X168="","",H168*V168/100)</f>
        <v/>
      </c>
      <c r="J168">
        <f>IF($X168="","",INDEX('Per Line'!$W$2:$W$3001,$X168)&amp;"")</f>
        <v/>
      </c>
      <c r="K168">
        <f>IF($X168="","",INDEX('Per Line'!$AD$2:$AD$3001,$X168))</f>
        <v/>
      </c>
      <c r="L168">
        <f>IF($X168="","",IF(AND(ISNUMBER(K168),K168&gt;0),V168&gt;K168,FALSE))</f>
        <v/>
      </c>
      <c r="M168" s="7">
        <f>IF($X168="","",SUMIFS('Per Line'!$V$2:$V$3001,'Per Line'!$D$2:$D$3001,$B168,'Per Line'!$AN$2:$AN$3001,1))</f>
        <v/>
      </c>
      <c r="N168">
        <f>IF($X168="","",Settings!$C$7)</f>
        <v/>
      </c>
      <c r="O168" s="7">
        <f>IF($X168="","",SUMIFS('Per Line'!$V$2:$V$3001,'Per Line'!$D$2:$D$3001,$B168,'Per Line'!$AM$2:$AM$3001,0,'Per Line'!$AN$2:$AN$3001,0))</f>
        <v/>
      </c>
      <c r="P168" s="7">
        <f>IF($X168="","",O168*N168)</f>
        <v/>
      </c>
      <c r="Q168">
        <f>IF($X168="","",Settings!$C$6)</f>
        <v/>
      </c>
      <c r="R168" s="7">
        <f>IF($X168="","",SUMIFS('Per Line'!$V$2:$V$3001,'Per Line'!$D$2:$D$3001,$B168,'Per Line'!$AM$2:$AM$3001,1,'Per Line'!$AN$2:$AN$3001,0))</f>
        <v/>
      </c>
      <c r="S168" s="7">
        <f>IF($X168="","",R168*Q168)</f>
        <v/>
      </c>
      <c r="T168" s="7">
        <f>IF($X168="","",S168+P168)</f>
        <v/>
      </c>
      <c r="U168" s="7">
        <f>IF($X168="","",V168-T168)</f>
        <v/>
      </c>
      <c r="V168" s="7">
        <f>IF($X168="","",O168+R168+M168)</f>
        <v/>
      </c>
      <c r="W168" s="7">
        <f>IF($X168="","",V168-T168-I168)</f>
        <v/>
      </c>
      <c r="X168" s="13">
        <f>IF(ROWS($X$2:$X168)&lt;=MAX('Per Line'!$AL$2:$AL$3001),MATCH(ROWS($X$2:$X168),'Per Line'!$AL$2:$AL$3001,0),"")</f>
        <v/>
      </c>
    </row>
    <row r="169">
      <c r="A169" s="12" t="n"/>
      <c r="B169">
        <f>IF($X169="","",INDEX('Per Line'!$D$2:$D$3001,$X169)&amp;"")</f>
        <v/>
      </c>
      <c r="C169" s="11">
        <f>IF($X169="","",INDEX('Per Line'!$F$2:$F$3001,$X169))</f>
        <v/>
      </c>
      <c r="D169">
        <f>IF($X169="","",INDEX('Per Line'!$G$2:$G$3001,$X169)&amp;"")</f>
        <v/>
      </c>
      <c r="E169">
        <f>IF($X169="","",INDEX('Per Line'!$I$2:$I$3001,$X169)&amp;"")</f>
        <v/>
      </c>
      <c r="F169">
        <f>IF($X169="","",INDEX('Per Line'!$J$2:$J$3001,$X169)&amp;"")</f>
        <v/>
      </c>
      <c r="G169">
        <f>IF($X169="","",INDEX('Per Line'!$K$2:$K$3001,$X169)&amp;"")</f>
        <v/>
      </c>
      <c r="H169">
        <f>IF($X169="","",INDEX('Per Line'!$M$2:$M$3001,$X169))</f>
        <v/>
      </c>
      <c r="I169" s="7">
        <f>IF($X169="","",H169*V169/100)</f>
        <v/>
      </c>
      <c r="J169">
        <f>IF($X169="","",INDEX('Per Line'!$W$2:$W$3001,$X169)&amp;"")</f>
        <v/>
      </c>
      <c r="K169">
        <f>IF($X169="","",INDEX('Per Line'!$AD$2:$AD$3001,$X169))</f>
        <v/>
      </c>
      <c r="L169">
        <f>IF($X169="","",IF(AND(ISNUMBER(K169),K169&gt;0),V169&gt;K169,FALSE))</f>
        <v/>
      </c>
      <c r="M169" s="7">
        <f>IF($X169="","",SUMIFS('Per Line'!$V$2:$V$3001,'Per Line'!$D$2:$D$3001,$B169,'Per Line'!$AN$2:$AN$3001,1))</f>
        <v/>
      </c>
      <c r="N169">
        <f>IF($X169="","",Settings!$C$7)</f>
        <v/>
      </c>
      <c r="O169" s="7">
        <f>IF($X169="","",SUMIFS('Per Line'!$V$2:$V$3001,'Per Line'!$D$2:$D$3001,$B169,'Per Line'!$AM$2:$AM$3001,0,'Per Line'!$AN$2:$AN$3001,0))</f>
        <v/>
      </c>
      <c r="P169" s="7">
        <f>IF($X169="","",O169*N169)</f>
        <v/>
      </c>
      <c r="Q169">
        <f>IF($X169="","",Settings!$C$6)</f>
        <v/>
      </c>
      <c r="R169" s="7">
        <f>IF($X169="","",SUMIFS('Per Line'!$V$2:$V$3001,'Per Line'!$D$2:$D$3001,$B169,'Per Line'!$AM$2:$AM$3001,1,'Per Line'!$AN$2:$AN$3001,0))</f>
        <v/>
      </c>
      <c r="S169" s="7">
        <f>IF($X169="","",R169*Q169)</f>
        <v/>
      </c>
      <c r="T169" s="7">
        <f>IF($X169="","",S169+P169)</f>
        <v/>
      </c>
      <c r="U169" s="7">
        <f>IF($X169="","",V169-T169)</f>
        <v/>
      </c>
      <c r="V169" s="7">
        <f>IF($X169="","",O169+R169+M169)</f>
        <v/>
      </c>
      <c r="W169" s="7">
        <f>IF($X169="","",V169-T169-I169)</f>
        <v/>
      </c>
      <c r="X169" s="13">
        <f>IF(ROWS($X$2:$X169)&lt;=MAX('Per Line'!$AL$2:$AL$3001),MATCH(ROWS($X$2:$X169),'Per Line'!$AL$2:$AL$3001,0),"")</f>
        <v/>
      </c>
    </row>
    <row r="170">
      <c r="A170" s="12" t="n"/>
      <c r="B170">
        <f>IF($X170="","",INDEX('Per Line'!$D$2:$D$3001,$X170)&amp;"")</f>
        <v/>
      </c>
      <c r="C170" s="11">
        <f>IF($X170="","",INDEX('Per Line'!$F$2:$F$3001,$X170))</f>
        <v/>
      </c>
      <c r="D170">
        <f>IF($X170="","",INDEX('Per Line'!$G$2:$G$3001,$X170)&amp;"")</f>
        <v/>
      </c>
      <c r="E170">
        <f>IF($X170="","",INDEX('Per Line'!$I$2:$I$3001,$X170)&amp;"")</f>
        <v/>
      </c>
      <c r="F170">
        <f>IF($X170="","",INDEX('Per Line'!$J$2:$J$3001,$X170)&amp;"")</f>
        <v/>
      </c>
      <c r="G170">
        <f>IF($X170="","",INDEX('Per Line'!$K$2:$K$3001,$X170)&amp;"")</f>
        <v/>
      </c>
      <c r="H170">
        <f>IF($X170="","",INDEX('Per Line'!$M$2:$M$3001,$X170))</f>
        <v/>
      </c>
      <c r="I170" s="7">
        <f>IF($X170="","",H170*V170/100)</f>
        <v/>
      </c>
      <c r="J170">
        <f>IF($X170="","",INDEX('Per Line'!$W$2:$W$3001,$X170)&amp;"")</f>
        <v/>
      </c>
      <c r="K170">
        <f>IF($X170="","",INDEX('Per Line'!$AD$2:$AD$3001,$X170))</f>
        <v/>
      </c>
      <c r="L170">
        <f>IF($X170="","",IF(AND(ISNUMBER(K170),K170&gt;0),V170&gt;K170,FALSE))</f>
        <v/>
      </c>
      <c r="M170" s="7">
        <f>IF($X170="","",SUMIFS('Per Line'!$V$2:$V$3001,'Per Line'!$D$2:$D$3001,$B170,'Per Line'!$AN$2:$AN$3001,1))</f>
        <v/>
      </c>
      <c r="N170">
        <f>IF($X170="","",Settings!$C$7)</f>
        <v/>
      </c>
      <c r="O170" s="7">
        <f>IF($X170="","",SUMIFS('Per Line'!$V$2:$V$3001,'Per Line'!$D$2:$D$3001,$B170,'Per Line'!$AM$2:$AM$3001,0,'Per Line'!$AN$2:$AN$3001,0))</f>
        <v/>
      </c>
      <c r="P170" s="7">
        <f>IF($X170="","",O170*N170)</f>
        <v/>
      </c>
      <c r="Q170">
        <f>IF($X170="","",Settings!$C$6)</f>
        <v/>
      </c>
      <c r="R170" s="7">
        <f>IF($X170="","",SUMIFS('Per Line'!$V$2:$V$3001,'Per Line'!$D$2:$D$3001,$B170,'Per Line'!$AM$2:$AM$3001,1,'Per Line'!$AN$2:$AN$3001,0))</f>
        <v/>
      </c>
      <c r="S170" s="7">
        <f>IF($X170="","",R170*Q170)</f>
        <v/>
      </c>
      <c r="T170" s="7">
        <f>IF($X170="","",S170+P170)</f>
        <v/>
      </c>
      <c r="U170" s="7">
        <f>IF($X170="","",V170-T170)</f>
        <v/>
      </c>
      <c r="V170" s="7">
        <f>IF($X170="","",O170+R170+M170)</f>
        <v/>
      </c>
      <c r="W170" s="7">
        <f>IF($X170="","",V170-T170-I170)</f>
        <v/>
      </c>
      <c r="X170" s="13">
        <f>IF(ROWS($X$2:$X170)&lt;=MAX('Per Line'!$AL$2:$AL$3001),MATCH(ROWS($X$2:$X170),'Per Line'!$AL$2:$AL$3001,0),"")</f>
        <v/>
      </c>
    </row>
    <row r="171">
      <c r="A171" s="12" t="n"/>
      <c r="B171">
        <f>IF($X171="","",INDEX('Per Line'!$D$2:$D$3001,$X171)&amp;"")</f>
        <v/>
      </c>
      <c r="C171" s="11">
        <f>IF($X171="","",INDEX('Per Line'!$F$2:$F$3001,$X171))</f>
        <v/>
      </c>
      <c r="D171">
        <f>IF($X171="","",INDEX('Per Line'!$G$2:$G$3001,$X171)&amp;"")</f>
        <v/>
      </c>
      <c r="E171">
        <f>IF($X171="","",INDEX('Per Line'!$I$2:$I$3001,$X171)&amp;"")</f>
        <v/>
      </c>
      <c r="F171">
        <f>IF($X171="","",INDEX('Per Line'!$J$2:$J$3001,$X171)&amp;"")</f>
        <v/>
      </c>
      <c r="G171">
        <f>IF($X171="","",INDEX('Per Line'!$K$2:$K$3001,$X171)&amp;"")</f>
        <v/>
      </c>
      <c r="H171">
        <f>IF($X171="","",INDEX('Per Line'!$M$2:$M$3001,$X171))</f>
        <v/>
      </c>
      <c r="I171" s="7">
        <f>IF($X171="","",H171*V171/100)</f>
        <v/>
      </c>
      <c r="J171">
        <f>IF($X171="","",INDEX('Per Line'!$W$2:$W$3001,$X171)&amp;"")</f>
        <v/>
      </c>
      <c r="K171">
        <f>IF($X171="","",INDEX('Per Line'!$AD$2:$AD$3001,$X171))</f>
        <v/>
      </c>
      <c r="L171">
        <f>IF($X171="","",IF(AND(ISNUMBER(K171),K171&gt;0),V171&gt;K171,FALSE))</f>
        <v/>
      </c>
      <c r="M171" s="7">
        <f>IF($X171="","",SUMIFS('Per Line'!$V$2:$V$3001,'Per Line'!$D$2:$D$3001,$B171,'Per Line'!$AN$2:$AN$3001,1))</f>
        <v/>
      </c>
      <c r="N171">
        <f>IF($X171="","",Settings!$C$7)</f>
        <v/>
      </c>
      <c r="O171" s="7">
        <f>IF($X171="","",SUMIFS('Per Line'!$V$2:$V$3001,'Per Line'!$D$2:$D$3001,$B171,'Per Line'!$AM$2:$AM$3001,0,'Per Line'!$AN$2:$AN$3001,0))</f>
        <v/>
      </c>
      <c r="P171" s="7">
        <f>IF($X171="","",O171*N171)</f>
        <v/>
      </c>
      <c r="Q171">
        <f>IF($X171="","",Settings!$C$6)</f>
        <v/>
      </c>
      <c r="R171" s="7">
        <f>IF($X171="","",SUMIFS('Per Line'!$V$2:$V$3001,'Per Line'!$D$2:$D$3001,$B171,'Per Line'!$AM$2:$AM$3001,1,'Per Line'!$AN$2:$AN$3001,0))</f>
        <v/>
      </c>
      <c r="S171" s="7">
        <f>IF($X171="","",R171*Q171)</f>
        <v/>
      </c>
      <c r="T171" s="7">
        <f>IF($X171="","",S171+P171)</f>
        <v/>
      </c>
      <c r="U171" s="7">
        <f>IF($X171="","",V171-T171)</f>
        <v/>
      </c>
      <c r="V171" s="7">
        <f>IF($X171="","",O171+R171+M171)</f>
        <v/>
      </c>
      <c r="W171" s="7">
        <f>IF($X171="","",V171-T171-I171)</f>
        <v/>
      </c>
      <c r="X171" s="13">
        <f>IF(ROWS($X$2:$X171)&lt;=MAX('Per Line'!$AL$2:$AL$3001),MATCH(ROWS($X$2:$X171),'Per Line'!$AL$2:$AL$3001,0),"")</f>
        <v/>
      </c>
    </row>
    <row r="172">
      <c r="A172" s="12" t="n"/>
      <c r="B172">
        <f>IF($X172="","",INDEX('Per Line'!$D$2:$D$3001,$X172)&amp;"")</f>
        <v/>
      </c>
      <c r="C172" s="11">
        <f>IF($X172="","",INDEX('Per Line'!$F$2:$F$3001,$X172))</f>
        <v/>
      </c>
      <c r="D172">
        <f>IF($X172="","",INDEX('Per Line'!$G$2:$G$3001,$X172)&amp;"")</f>
        <v/>
      </c>
      <c r="E172">
        <f>IF($X172="","",INDEX('Per Line'!$I$2:$I$3001,$X172)&amp;"")</f>
        <v/>
      </c>
      <c r="F172">
        <f>IF($X172="","",INDEX('Per Line'!$J$2:$J$3001,$X172)&amp;"")</f>
        <v/>
      </c>
      <c r="G172">
        <f>IF($X172="","",INDEX('Per Line'!$K$2:$K$3001,$X172)&amp;"")</f>
        <v/>
      </c>
      <c r="H172">
        <f>IF($X172="","",INDEX('Per Line'!$M$2:$M$3001,$X172))</f>
        <v/>
      </c>
      <c r="I172" s="7">
        <f>IF($X172="","",H172*V172/100)</f>
        <v/>
      </c>
      <c r="J172">
        <f>IF($X172="","",INDEX('Per Line'!$W$2:$W$3001,$X172)&amp;"")</f>
        <v/>
      </c>
      <c r="K172">
        <f>IF($X172="","",INDEX('Per Line'!$AD$2:$AD$3001,$X172))</f>
        <v/>
      </c>
      <c r="L172">
        <f>IF($X172="","",IF(AND(ISNUMBER(K172),K172&gt;0),V172&gt;K172,FALSE))</f>
        <v/>
      </c>
      <c r="M172" s="7">
        <f>IF($X172="","",SUMIFS('Per Line'!$V$2:$V$3001,'Per Line'!$D$2:$D$3001,$B172,'Per Line'!$AN$2:$AN$3001,1))</f>
        <v/>
      </c>
      <c r="N172">
        <f>IF($X172="","",Settings!$C$7)</f>
        <v/>
      </c>
      <c r="O172" s="7">
        <f>IF($X172="","",SUMIFS('Per Line'!$V$2:$V$3001,'Per Line'!$D$2:$D$3001,$B172,'Per Line'!$AM$2:$AM$3001,0,'Per Line'!$AN$2:$AN$3001,0))</f>
        <v/>
      </c>
      <c r="P172" s="7">
        <f>IF($X172="","",O172*N172)</f>
        <v/>
      </c>
      <c r="Q172">
        <f>IF($X172="","",Settings!$C$6)</f>
        <v/>
      </c>
      <c r="R172" s="7">
        <f>IF($X172="","",SUMIFS('Per Line'!$V$2:$V$3001,'Per Line'!$D$2:$D$3001,$B172,'Per Line'!$AM$2:$AM$3001,1,'Per Line'!$AN$2:$AN$3001,0))</f>
        <v/>
      </c>
      <c r="S172" s="7">
        <f>IF($X172="","",R172*Q172)</f>
        <v/>
      </c>
      <c r="T172" s="7">
        <f>IF($X172="","",S172+P172)</f>
        <v/>
      </c>
      <c r="U172" s="7">
        <f>IF($X172="","",V172-T172)</f>
        <v/>
      </c>
      <c r="V172" s="7">
        <f>IF($X172="","",O172+R172+M172)</f>
        <v/>
      </c>
      <c r="W172" s="7">
        <f>IF($X172="","",V172-T172-I172)</f>
        <v/>
      </c>
      <c r="X172" s="13">
        <f>IF(ROWS($X$2:$X172)&lt;=MAX('Per Line'!$AL$2:$AL$3001),MATCH(ROWS($X$2:$X172),'Per Line'!$AL$2:$AL$3001,0),"")</f>
        <v/>
      </c>
    </row>
    <row r="173">
      <c r="A173" s="12" t="n"/>
      <c r="B173">
        <f>IF($X173="","",INDEX('Per Line'!$D$2:$D$3001,$X173)&amp;"")</f>
        <v/>
      </c>
      <c r="C173" s="11">
        <f>IF($X173="","",INDEX('Per Line'!$F$2:$F$3001,$X173))</f>
        <v/>
      </c>
      <c r="D173">
        <f>IF($X173="","",INDEX('Per Line'!$G$2:$G$3001,$X173)&amp;"")</f>
        <v/>
      </c>
      <c r="E173">
        <f>IF($X173="","",INDEX('Per Line'!$I$2:$I$3001,$X173)&amp;"")</f>
        <v/>
      </c>
      <c r="F173">
        <f>IF($X173="","",INDEX('Per Line'!$J$2:$J$3001,$X173)&amp;"")</f>
        <v/>
      </c>
      <c r="G173">
        <f>IF($X173="","",INDEX('Per Line'!$K$2:$K$3001,$X173)&amp;"")</f>
        <v/>
      </c>
      <c r="H173">
        <f>IF($X173="","",INDEX('Per Line'!$M$2:$M$3001,$X173))</f>
        <v/>
      </c>
      <c r="I173" s="7">
        <f>IF($X173="","",H173*V173/100)</f>
        <v/>
      </c>
      <c r="J173">
        <f>IF($X173="","",INDEX('Per Line'!$W$2:$W$3001,$X173)&amp;"")</f>
        <v/>
      </c>
      <c r="K173">
        <f>IF($X173="","",INDEX('Per Line'!$AD$2:$AD$3001,$X173))</f>
        <v/>
      </c>
      <c r="L173">
        <f>IF($X173="","",IF(AND(ISNUMBER(K173),K173&gt;0),V173&gt;K173,FALSE))</f>
        <v/>
      </c>
      <c r="M173" s="7">
        <f>IF($X173="","",SUMIFS('Per Line'!$V$2:$V$3001,'Per Line'!$D$2:$D$3001,$B173,'Per Line'!$AN$2:$AN$3001,1))</f>
        <v/>
      </c>
      <c r="N173">
        <f>IF($X173="","",Settings!$C$7)</f>
        <v/>
      </c>
      <c r="O173" s="7">
        <f>IF($X173="","",SUMIFS('Per Line'!$V$2:$V$3001,'Per Line'!$D$2:$D$3001,$B173,'Per Line'!$AM$2:$AM$3001,0,'Per Line'!$AN$2:$AN$3001,0))</f>
        <v/>
      </c>
      <c r="P173" s="7">
        <f>IF($X173="","",O173*N173)</f>
        <v/>
      </c>
      <c r="Q173">
        <f>IF($X173="","",Settings!$C$6)</f>
        <v/>
      </c>
      <c r="R173" s="7">
        <f>IF($X173="","",SUMIFS('Per Line'!$V$2:$V$3001,'Per Line'!$D$2:$D$3001,$B173,'Per Line'!$AM$2:$AM$3001,1,'Per Line'!$AN$2:$AN$3001,0))</f>
        <v/>
      </c>
      <c r="S173" s="7">
        <f>IF($X173="","",R173*Q173)</f>
        <v/>
      </c>
      <c r="T173" s="7">
        <f>IF($X173="","",S173+P173)</f>
        <v/>
      </c>
      <c r="U173" s="7">
        <f>IF($X173="","",V173-T173)</f>
        <v/>
      </c>
      <c r="V173" s="7">
        <f>IF($X173="","",O173+R173+M173)</f>
        <v/>
      </c>
      <c r="W173" s="7">
        <f>IF($X173="","",V173-T173-I173)</f>
        <v/>
      </c>
      <c r="X173" s="13">
        <f>IF(ROWS($X$2:$X173)&lt;=MAX('Per Line'!$AL$2:$AL$3001),MATCH(ROWS($X$2:$X173),'Per Line'!$AL$2:$AL$3001,0),"")</f>
        <v/>
      </c>
    </row>
    <row r="174">
      <c r="A174" s="12" t="n"/>
      <c r="B174">
        <f>IF($X174="","",INDEX('Per Line'!$D$2:$D$3001,$X174)&amp;"")</f>
        <v/>
      </c>
      <c r="C174" s="11">
        <f>IF($X174="","",INDEX('Per Line'!$F$2:$F$3001,$X174))</f>
        <v/>
      </c>
      <c r="D174">
        <f>IF($X174="","",INDEX('Per Line'!$G$2:$G$3001,$X174)&amp;"")</f>
        <v/>
      </c>
      <c r="E174">
        <f>IF($X174="","",INDEX('Per Line'!$I$2:$I$3001,$X174)&amp;"")</f>
        <v/>
      </c>
      <c r="F174">
        <f>IF($X174="","",INDEX('Per Line'!$J$2:$J$3001,$X174)&amp;"")</f>
        <v/>
      </c>
      <c r="G174">
        <f>IF($X174="","",INDEX('Per Line'!$K$2:$K$3001,$X174)&amp;"")</f>
        <v/>
      </c>
      <c r="H174">
        <f>IF($X174="","",INDEX('Per Line'!$M$2:$M$3001,$X174))</f>
        <v/>
      </c>
      <c r="I174" s="7">
        <f>IF($X174="","",H174*V174/100)</f>
        <v/>
      </c>
      <c r="J174">
        <f>IF($X174="","",INDEX('Per Line'!$W$2:$W$3001,$X174)&amp;"")</f>
        <v/>
      </c>
      <c r="K174">
        <f>IF($X174="","",INDEX('Per Line'!$AD$2:$AD$3001,$X174))</f>
        <v/>
      </c>
      <c r="L174">
        <f>IF($X174="","",IF(AND(ISNUMBER(K174),K174&gt;0),V174&gt;K174,FALSE))</f>
        <v/>
      </c>
      <c r="M174" s="7">
        <f>IF($X174="","",SUMIFS('Per Line'!$V$2:$V$3001,'Per Line'!$D$2:$D$3001,$B174,'Per Line'!$AN$2:$AN$3001,1))</f>
        <v/>
      </c>
      <c r="N174">
        <f>IF($X174="","",Settings!$C$7)</f>
        <v/>
      </c>
      <c r="O174" s="7">
        <f>IF($X174="","",SUMIFS('Per Line'!$V$2:$V$3001,'Per Line'!$D$2:$D$3001,$B174,'Per Line'!$AM$2:$AM$3001,0,'Per Line'!$AN$2:$AN$3001,0))</f>
        <v/>
      </c>
      <c r="P174" s="7">
        <f>IF($X174="","",O174*N174)</f>
        <v/>
      </c>
      <c r="Q174">
        <f>IF($X174="","",Settings!$C$6)</f>
        <v/>
      </c>
      <c r="R174" s="7">
        <f>IF($X174="","",SUMIFS('Per Line'!$V$2:$V$3001,'Per Line'!$D$2:$D$3001,$B174,'Per Line'!$AM$2:$AM$3001,1,'Per Line'!$AN$2:$AN$3001,0))</f>
        <v/>
      </c>
      <c r="S174" s="7">
        <f>IF($X174="","",R174*Q174)</f>
        <v/>
      </c>
      <c r="T174" s="7">
        <f>IF($X174="","",S174+P174)</f>
        <v/>
      </c>
      <c r="U174" s="7">
        <f>IF($X174="","",V174-T174)</f>
        <v/>
      </c>
      <c r="V174" s="7">
        <f>IF($X174="","",O174+R174+M174)</f>
        <v/>
      </c>
      <c r="W174" s="7">
        <f>IF($X174="","",V174-T174-I174)</f>
        <v/>
      </c>
      <c r="X174" s="13">
        <f>IF(ROWS($X$2:$X174)&lt;=MAX('Per Line'!$AL$2:$AL$3001),MATCH(ROWS($X$2:$X174),'Per Line'!$AL$2:$AL$3001,0),"")</f>
        <v/>
      </c>
    </row>
    <row r="175">
      <c r="A175" s="12" t="n"/>
      <c r="B175">
        <f>IF($X175="","",INDEX('Per Line'!$D$2:$D$3001,$X175)&amp;"")</f>
        <v/>
      </c>
      <c r="C175" s="11">
        <f>IF($X175="","",INDEX('Per Line'!$F$2:$F$3001,$X175))</f>
        <v/>
      </c>
      <c r="D175">
        <f>IF($X175="","",INDEX('Per Line'!$G$2:$G$3001,$X175)&amp;"")</f>
        <v/>
      </c>
      <c r="E175">
        <f>IF($X175="","",INDEX('Per Line'!$I$2:$I$3001,$X175)&amp;"")</f>
        <v/>
      </c>
      <c r="F175">
        <f>IF($X175="","",INDEX('Per Line'!$J$2:$J$3001,$X175)&amp;"")</f>
        <v/>
      </c>
      <c r="G175">
        <f>IF($X175="","",INDEX('Per Line'!$K$2:$K$3001,$X175)&amp;"")</f>
        <v/>
      </c>
      <c r="H175">
        <f>IF($X175="","",INDEX('Per Line'!$M$2:$M$3001,$X175))</f>
        <v/>
      </c>
      <c r="I175" s="7">
        <f>IF($X175="","",H175*V175/100)</f>
        <v/>
      </c>
      <c r="J175">
        <f>IF($X175="","",INDEX('Per Line'!$W$2:$W$3001,$X175)&amp;"")</f>
        <v/>
      </c>
      <c r="K175">
        <f>IF($X175="","",INDEX('Per Line'!$AD$2:$AD$3001,$X175))</f>
        <v/>
      </c>
      <c r="L175">
        <f>IF($X175="","",IF(AND(ISNUMBER(K175),K175&gt;0),V175&gt;K175,FALSE))</f>
        <v/>
      </c>
      <c r="M175" s="7">
        <f>IF($X175="","",SUMIFS('Per Line'!$V$2:$V$3001,'Per Line'!$D$2:$D$3001,$B175,'Per Line'!$AN$2:$AN$3001,1))</f>
        <v/>
      </c>
      <c r="N175">
        <f>IF($X175="","",Settings!$C$7)</f>
        <v/>
      </c>
      <c r="O175" s="7">
        <f>IF($X175="","",SUMIFS('Per Line'!$V$2:$V$3001,'Per Line'!$D$2:$D$3001,$B175,'Per Line'!$AM$2:$AM$3001,0,'Per Line'!$AN$2:$AN$3001,0))</f>
        <v/>
      </c>
      <c r="P175" s="7">
        <f>IF($X175="","",O175*N175)</f>
        <v/>
      </c>
      <c r="Q175">
        <f>IF($X175="","",Settings!$C$6)</f>
        <v/>
      </c>
      <c r="R175" s="7">
        <f>IF($X175="","",SUMIFS('Per Line'!$V$2:$V$3001,'Per Line'!$D$2:$D$3001,$B175,'Per Line'!$AM$2:$AM$3001,1,'Per Line'!$AN$2:$AN$3001,0))</f>
        <v/>
      </c>
      <c r="S175" s="7">
        <f>IF($X175="","",R175*Q175)</f>
        <v/>
      </c>
      <c r="T175" s="7">
        <f>IF($X175="","",S175+P175)</f>
        <v/>
      </c>
      <c r="U175" s="7">
        <f>IF($X175="","",V175-T175)</f>
        <v/>
      </c>
      <c r="V175" s="7">
        <f>IF($X175="","",O175+R175+M175)</f>
        <v/>
      </c>
      <c r="W175" s="7">
        <f>IF($X175="","",V175-T175-I175)</f>
        <v/>
      </c>
      <c r="X175" s="13">
        <f>IF(ROWS($X$2:$X175)&lt;=MAX('Per Line'!$AL$2:$AL$3001),MATCH(ROWS($X$2:$X175),'Per Line'!$AL$2:$AL$3001,0),"")</f>
        <v/>
      </c>
    </row>
    <row r="176">
      <c r="A176" s="12" t="n"/>
      <c r="B176">
        <f>IF($X176="","",INDEX('Per Line'!$D$2:$D$3001,$X176)&amp;"")</f>
        <v/>
      </c>
      <c r="C176" s="11">
        <f>IF($X176="","",INDEX('Per Line'!$F$2:$F$3001,$X176))</f>
        <v/>
      </c>
      <c r="D176">
        <f>IF($X176="","",INDEX('Per Line'!$G$2:$G$3001,$X176)&amp;"")</f>
        <v/>
      </c>
      <c r="E176">
        <f>IF($X176="","",INDEX('Per Line'!$I$2:$I$3001,$X176)&amp;"")</f>
        <v/>
      </c>
      <c r="F176">
        <f>IF($X176="","",INDEX('Per Line'!$J$2:$J$3001,$X176)&amp;"")</f>
        <v/>
      </c>
      <c r="G176">
        <f>IF($X176="","",INDEX('Per Line'!$K$2:$K$3001,$X176)&amp;"")</f>
        <v/>
      </c>
      <c r="H176">
        <f>IF($X176="","",INDEX('Per Line'!$M$2:$M$3001,$X176))</f>
        <v/>
      </c>
      <c r="I176" s="7">
        <f>IF($X176="","",H176*V176/100)</f>
        <v/>
      </c>
      <c r="J176">
        <f>IF($X176="","",INDEX('Per Line'!$W$2:$W$3001,$X176)&amp;"")</f>
        <v/>
      </c>
      <c r="K176">
        <f>IF($X176="","",INDEX('Per Line'!$AD$2:$AD$3001,$X176))</f>
        <v/>
      </c>
      <c r="L176">
        <f>IF($X176="","",IF(AND(ISNUMBER(K176),K176&gt;0),V176&gt;K176,FALSE))</f>
        <v/>
      </c>
      <c r="M176" s="7">
        <f>IF($X176="","",SUMIFS('Per Line'!$V$2:$V$3001,'Per Line'!$D$2:$D$3001,$B176,'Per Line'!$AN$2:$AN$3001,1))</f>
        <v/>
      </c>
      <c r="N176">
        <f>IF($X176="","",Settings!$C$7)</f>
        <v/>
      </c>
      <c r="O176" s="7">
        <f>IF($X176="","",SUMIFS('Per Line'!$V$2:$V$3001,'Per Line'!$D$2:$D$3001,$B176,'Per Line'!$AM$2:$AM$3001,0,'Per Line'!$AN$2:$AN$3001,0))</f>
        <v/>
      </c>
      <c r="P176" s="7">
        <f>IF($X176="","",O176*N176)</f>
        <v/>
      </c>
      <c r="Q176">
        <f>IF($X176="","",Settings!$C$6)</f>
        <v/>
      </c>
      <c r="R176" s="7">
        <f>IF($X176="","",SUMIFS('Per Line'!$V$2:$V$3001,'Per Line'!$D$2:$D$3001,$B176,'Per Line'!$AM$2:$AM$3001,1,'Per Line'!$AN$2:$AN$3001,0))</f>
        <v/>
      </c>
      <c r="S176" s="7">
        <f>IF($X176="","",R176*Q176)</f>
        <v/>
      </c>
      <c r="T176" s="7">
        <f>IF($X176="","",S176+P176)</f>
        <v/>
      </c>
      <c r="U176" s="7">
        <f>IF($X176="","",V176-T176)</f>
        <v/>
      </c>
      <c r="V176" s="7">
        <f>IF($X176="","",O176+R176+M176)</f>
        <v/>
      </c>
      <c r="W176" s="7">
        <f>IF($X176="","",V176-T176-I176)</f>
        <v/>
      </c>
      <c r="X176" s="13">
        <f>IF(ROWS($X$2:$X176)&lt;=MAX('Per Line'!$AL$2:$AL$3001),MATCH(ROWS($X$2:$X176),'Per Line'!$AL$2:$AL$3001,0),"")</f>
        <v/>
      </c>
    </row>
    <row r="177">
      <c r="A177" s="12" t="n"/>
      <c r="B177">
        <f>IF($X177="","",INDEX('Per Line'!$D$2:$D$3001,$X177)&amp;"")</f>
        <v/>
      </c>
      <c r="C177" s="11">
        <f>IF($X177="","",INDEX('Per Line'!$F$2:$F$3001,$X177))</f>
        <v/>
      </c>
      <c r="D177">
        <f>IF($X177="","",INDEX('Per Line'!$G$2:$G$3001,$X177)&amp;"")</f>
        <v/>
      </c>
      <c r="E177">
        <f>IF($X177="","",INDEX('Per Line'!$I$2:$I$3001,$X177)&amp;"")</f>
        <v/>
      </c>
      <c r="F177">
        <f>IF($X177="","",INDEX('Per Line'!$J$2:$J$3001,$X177)&amp;"")</f>
        <v/>
      </c>
      <c r="G177">
        <f>IF($X177="","",INDEX('Per Line'!$K$2:$K$3001,$X177)&amp;"")</f>
        <v/>
      </c>
      <c r="H177">
        <f>IF($X177="","",INDEX('Per Line'!$M$2:$M$3001,$X177))</f>
        <v/>
      </c>
      <c r="I177" s="7">
        <f>IF($X177="","",H177*V177/100)</f>
        <v/>
      </c>
      <c r="J177">
        <f>IF($X177="","",INDEX('Per Line'!$W$2:$W$3001,$X177)&amp;"")</f>
        <v/>
      </c>
      <c r="K177">
        <f>IF($X177="","",INDEX('Per Line'!$AD$2:$AD$3001,$X177))</f>
        <v/>
      </c>
      <c r="L177">
        <f>IF($X177="","",IF(AND(ISNUMBER(K177),K177&gt;0),V177&gt;K177,FALSE))</f>
        <v/>
      </c>
      <c r="M177" s="7">
        <f>IF($X177="","",SUMIFS('Per Line'!$V$2:$V$3001,'Per Line'!$D$2:$D$3001,$B177,'Per Line'!$AN$2:$AN$3001,1))</f>
        <v/>
      </c>
      <c r="N177">
        <f>IF($X177="","",Settings!$C$7)</f>
        <v/>
      </c>
      <c r="O177" s="7">
        <f>IF($X177="","",SUMIFS('Per Line'!$V$2:$V$3001,'Per Line'!$D$2:$D$3001,$B177,'Per Line'!$AM$2:$AM$3001,0,'Per Line'!$AN$2:$AN$3001,0))</f>
        <v/>
      </c>
      <c r="P177" s="7">
        <f>IF($X177="","",O177*N177)</f>
        <v/>
      </c>
      <c r="Q177">
        <f>IF($X177="","",Settings!$C$6)</f>
        <v/>
      </c>
      <c r="R177" s="7">
        <f>IF($X177="","",SUMIFS('Per Line'!$V$2:$V$3001,'Per Line'!$D$2:$D$3001,$B177,'Per Line'!$AM$2:$AM$3001,1,'Per Line'!$AN$2:$AN$3001,0))</f>
        <v/>
      </c>
      <c r="S177" s="7">
        <f>IF($X177="","",R177*Q177)</f>
        <v/>
      </c>
      <c r="T177" s="7">
        <f>IF($X177="","",S177+P177)</f>
        <v/>
      </c>
      <c r="U177" s="7">
        <f>IF($X177="","",V177-T177)</f>
        <v/>
      </c>
      <c r="V177" s="7">
        <f>IF($X177="","",O177+R177+M177)</f>
        <v/>
      </c>
      <c r="W177" s="7">
        <f>IF($X177="","",V177-T177-I177)</f>
        <v/>
      </c>
      <c r="X177" s="13">
        <f>IF(ROWS($X$2:$X177)&lt;=MAX('Per Line'!$AL$2:$AL$3001),MATCH(ROWS($X$2:$X177),'Per Line'!$AL$2:$AL$3001,0),"")</f>
        <v/>
      </c>
    </row>
    <row r="178">
      <c r="A178" s="12" t="n"/>
      <c r="B178">
        <f>IF($X178="","",INDEX('Per Line'!$D$2:$D$3001,$X178)&amp;"")</f>
        <v/>
      </c>
      <c r="C178" s="11">
        <f>IF($X178="","",INDEX('Per Line'!$F$2:$F$3001,$X178))</f>
        <v/>
      </c>
      <c r="D178">
        <f>IF($X178="","",INDEX('Per Line'!$G$2:$G$3001,$X178)&amp;"")</f>
        <v/>
      </c>
      <c r="E178">
        <f>IF($X178="","",INDEX('Per Line'!$I$2:$I$3001,$X178)&amp;"")</f>
        <v/>
      </c>
      <c r="F178">
        <f>IF($X178="","",INDEX('Per Line'!$J$2:$J$3001,$X178)&amp;"")</f>
        <v/>
      </c>
      <c r="G178">
        <f>IF($X178="","",INDEX('Per Line'!$K$2:$K$3001,$X178)&amp;"")</f>
        <v/>
      </c>
      <c r="H178">
        <f>IF($X178="","",INDEX('Per Line'!$M$2:$M$3001,$X178))</f>
        <v/>
      </c>
      <c r="I178" s="7">
        <f>IF($X178="","",H178*V178/100)</f>
        <v/>
      </c>
      <c r="J178">
        <f>IF($X178="","",INDEX('Per Line'!$W$2:$W$3001,$X178)&amp;"")</f>
        <v/>
      </c>
      <c r="K178">
        <f>IF($X178="","",INDEX('Per Line'!$AD$2:$AD$3001,$X178))</f>
        <v/>
      </c>
      <c r="L178">
        <f>IF($X178="","",IF(AND(ISNUMBER(K178),K178&gt;0),V178&gt;K178,FALSE))</f>
        <v/>
      </c>
      <c r="M178" s="7">
        <f>IF($X178="","",SUMIFS('Per Line'!$V$2:$V$3001,'Per Line'!$D$2:$D$3001,$B178,'Per Line'!$AN$2:$AN$3001,1))</f>
        <v/>
      </c>
      <c r="N178">
        <f>IF($X178="","",Settings!$C$7)</f>
        <v/>
      </c>
      <c r="O178" s="7">
        <f>IF($X178="","",SUMIFS('Per Line'!$V$2:$V$3001,'Per Line'!$D$2:$D$3001,$B178,'Per Line'!$AM$2:$AM$3001,0,'Per Line'!$AN$2:$AN$3001,0))</f>
        <v/>
      </c>
      <c r="P178" s="7">
        <f>IF($X178="","",O178*N178)</f>
        <v/>
      </c>
      <c r="Q178">
        <f>IF($X178="","",Settings!$C$6)</f>
        <v/>
      </c>
      <c r="R178" s="7">
        <f>IF($X178="","",SUMIFS('Per Line'!$V$2:$V$3001,'Per Line'!$D$2:$D$3001,$B178,'Per Line'!$AM$2:$AM$3001,1,'Per Line'!$AN$2:$AN$3001,0))</f>
        <v/>
      </c>
      <c r="S178" s="7">
        <f>IF($X178="","",R178*Q178)</f>
        <v/>
      </c>
      <c r="T178" s="7">
        <f>IF($X178="","",S178+P178)</f>
        <v/>
      </c>
      <c r="U178" s="7">
        <f>IF($X178="","",V178-T178)</f>
        <v/>
      </c>
      <c r="V178" s="7">
        <f>IF($X178="","",O178+R178+M178)</f>
        <v/>
      </c>
      <c r="W178" s="7">
        <f>IF($X178="","",V178-T178-I178)</f>
        <v/>
      </c>
      <c r="X178" s="13">
        <f>IF(ROWS($X$2:$X178)&lt;=MAX('Per Line'!$AL$2:$AL$3001),MATCH(ROWS($X$2:$X178),'Per Line'!$AL$2:$AL$3001,0),"")</f>
        <v/>
      </c>
    </row>
    <row r="179">
      <c r="A179" s="12" t="n"/>
      <c r="B179">
        <f>IF($X179="","",INDEX('Per Line'!$D$2:$D$3001,$X179)&amp;"")</f>
        <v/>
      </c>
      <c r="C179" s="11">
        <f>IF($X179="","",INDEX('Per Line'!$F$2:$F$3001,$X179))</f>
        <v/>
      </c>
      <c r="D179">
        <f>IF($X179="","",INDEX('Per Line'!$G$2:$G$3001,$X179)&amp;"")</f>
        <v/>
      </c>
      <c r="E179">
        <f>IF($X179="","",INDEX('Per Line'!$I$2:$I$3001,$X179)&amp;"")</f>
        <v/>
      </c>
      <c r="F179">
        <f>IF($X179="","",INDEX('Per Line'!$J$2:$J$3001,$X179)&amp;"")</f>
        <v/>
      </c>
      <c r="G179">
        <f>IF($X179="","",INDEX('Per Line'!$K$2:$K$3001,$X179)&amp;"")</f>
        <v/>
      </c>
      <c r="H179">
        <f>IF($X179="","",INDEX('Per Line'!$M$2:$M$3001,$X179))</f>
        <v/>
      </c>
      <c r="I179" s="7">
        <f>IF($X179="","",H179*V179/100)</f>
        <v/>
      </c>
      <c r="J179">
        <f>IF($X179="","",INDEX('Per Line'!$W$2:$W$3001,$X179)&amp;"")</f>
        <v/>
      </c>
      <c r="K179">
        <f>IF($X179="","",INDEX('Per Line'!$AD$2:$AD$3001,$X179))</f>
        <v/>
      </c>
      <c r="L179">
        <f>IF($X179="","",IF(AND(ISNUMBER(K179),K179&gt;0),V179&gt;K179,FALSE))</f>
        <v/>
      </c>
      <c r="M179" s="7">
        <f>IF($X179="","",SUMIFS('Per Line'!$V$2:$V$3001,'Per Line'!$D$2:$D$3001,$B179,'Per Line'!$AN$2:$AN$3001,1))</f>
        <v/>
      </c>
      <c r="N179">
        <f>IF($X179="","",Settings!$C$7)</f>
        <v/>
      </c>
      <c r="O179" s="7">
        <f>IF($X179="","",SUMIFS('Per Line'!$V$2:$V$3001,'Per Line'!$D$2:$D$3001,$B179,'Per Line'!$AM$2:$AM$3001,0,'Per Line'!$AN$2:$AN$3001,0))</f>
        <v/>
      </c>
      <c r="P179" s="7">
        <f>IF($X179="","",O179*N179)</f>
        <v/>
      </c>
      <c r="Q179">
        <f>IF($X179="","",Settings!$C$6)</f>
        <v/>
      </c>
      <c r="R179" s="7">
        <f>IF($X179="","",SUMIFS('Per Line'!$V$2:$V$3001,'Per Line'!$D$2:$D$3001,$B179,'Per Line'!$AM$2:$AM$3001,1,'Per Line'!$AN$2:$AN$3001,0))</f>
        <v/>
      </c>
      <c r="S179" s="7">
        <f>IF($X179="","",R179*Q179)</f>
        <v/>
      </c>
      <c r="T179" s="7">
        <f>IF($X179="","",S179+P179)</f>
        <v/>
      </c>
      <c r="U179" s="7">
        <f>IF($X179="","",V179-T179)</f>
        <v/>
      </c>
      <c r="V179" s="7">
        <f>IF($X179="","",O179+R179+M179)</f>
        <v/>
      </c>
      <c r="W179" s="7">
        <f>IF($X179="","",V179-T179-I179)</f>
        <v/>
      </c>
      <c r="X179" s="13">
        <f>IF(ROWS($X$2:$X179)&lt;=MAX('Per Line'!$AL$2:$AL$3001),MATCH(ROWS($X$2:$X179),'Per Line'!$AL$2:$AL$3001,0),"")</f>
        <v/>
      </c>
    </row>
    <row r="180">
      <c r="A180" s="12" t="n"/>
      <c r="B180">
        <f>IF($X180="","",INDEX('Per Line'!$D$2:$D$3001,$X180)&amp;"")</f>
        <v/>
      </c>
      <c r="C180" s="11">
        <f>IF($X180="","",INDEX('Per Line'!$F$2:$F$3001,$X180))</f>
        <v/>
      </c>
      <c r="D180">
        <f>IF($X180="","",INDEX('Per Line'!$G$2:$G$3001,$X180)&amp;"")</f>
        <v/>
      </c>
      <c r="E180">
        <f>IF($X180="","",INDEX('Per Line'!$I$2:$I$3001,$X180)&amp;"")</f>
        <v/>
      </c>
      <c r="F180">
        <f>IF($X180="","",INDEX('Per Line'!$J$2:$J$3001,$X180)&amp;"")</f>
        <v/>
      </c>
      <c r="G180">
        <f>IF($X180="","",INDEX('Per Line'!$K$2:$K$3001,$X180)&amp;"")</f>
        <v/>
      </c>
      <c r="H180">
        <f>IF($X180="","",INDEX('Per Line'!$M$2:$M$3001,$X180))</f>
        <v/>
      </c>
      <c r="I180" s="7">
        <f>IF($X180="","",H180*V180/100)</f>
        <v/>
      </c>
      <c r="J180">
        <f>IF($X180="","",INDEX('Per Line'!$W$2:$W$3001,$X180)&amp;"")</f>
        <v/>
      </c>
      <c r="K180">
        <f>IF($X180="","",INDEX('Per Line'!$AD$2:$AD$3001,$X180))</f>
        <v/>
      </c>
      <c r="L180">
        <f>IF($X180="","",IF(AND(ISNUMBER(K180),K180&gt;0),V180&gt;K180,FALSE))</f>
        <v/>
      </c>
      <c r="M180" s="7">
        <f>IF($X180="","",SUMIFS('Per Line'!$V$2:$V$3001,'Per Line'!$D$2:$D$3001,$B180,'Per Line'!$AN$2:$AN$3001,1))</f>
        <v/>
      </c>
      <c r="N180">
        <f>IF($X180="","",Settings!$C$7)</f>
        <v/>
      </c>
      <c r="O180" s="7">
        <f>IF($X180="","",SUMIFS('Per Line'!$V$2:$V$3001,'Per Line'!$D$2:$D$3001,$B180,'Per Line'!$AM$2:$AM$3001,0,'Per Line'!$AN$2:$AN$3001,0))</f>
        <v/>
      </c>
      <c r="P180" s="7">
        <f>IF($X180="","",O180*N180)</f>
        <v/>
      </c>
      <c r="Q180">
        <f>IF($X180="","",Settings!$C$6)</f>
        <v/>
      </c>
      <c r="R180" s="7">
        <f>IF($X180="","",SUMIFS('Per Line'!$V$2:$V$3001,'Per Line'!$D$2:$D$3001,$B180,'Per Line'!$AM$2:$AM$3001,1,'Per Line'!$AN$2:$AN$3001,0))</f>
        <v/>
      </c>
      <c r="S180" s="7">
        <f>IF($X180="","",R180*Q180)</f>
        <v/>
      </c>
      <c r="T180" s="7">
        <f>IF($X180="","",S180+P180)</f>
        <v/>
      </c>
      <c r="U180" s="7">
        <f>IF($X180="","",V180-T180)</f>
        <v/>
      </c>
      <c r="V180" s="7">
        <f>IF($X180="","",O180+R180+M180)</f>
        <v/>
      </c>
      <c r="W180" s="7">
        <f>IF($X180="","",V180-T180-I180)</f>
        <v/>
      </c>
      <c r="X180" s="13">
        <f>IF(ROWS($X$2:$X180)&lt;=MAX('Per Line'!$AL$2:$AL$3001),MATCH(ROWS($X$2:$X180),'Per Line'!$AL$2:$AL$3001,0),"")</f>
        <v/>
      </c>
    </row>
    <row r="181">
      <c r="A181" s="12" t="n"/>
      <c r="B181">
        <f>IF($X181="","",INDEX('Per Line'!$D$2:$D$3001,$X181)&amp;"")</f>
        <v/>
      </c>
      <c r="C181" s="11">
        <f>IF($X181="","",INDEX('Per Line'!$F$2:$F$3001,$X181))</f>
        <v/>
      </c>
      <c r="D181">
        <f>IF($X181="","",INDEX('Per Line'!$G$2:$G$3001,$X181)&amp;"")</f>
        <v/>
      </c>
      <c r="E181">
        <f>IF($X181="","",INDEX('Per Line'!$I$2:$I$3001,$X181)&amp;"")</f>
        <v/>
      </c>
      <c r="F181">
        <f>IF($X181="","",INDEX('Per Line'!$J$2:$J$3001,$X181)&amp;"")</f>
        <v/>
      </c>
      <c r="G181">
        <f>IF($X181="","",INDEX('Per Line'!$K$2:$K$3001,$X181)&amp;"")</f>
        <v/>
      </c>
      <c r="H181">
        <f>IF($X181="","",INDEX('Per Line'!$M$2:$M$3001,$X181))</f>
        <v/>
      </c>
      <c r="I181" s="7">
        <f>IF($X181="","",H181*V181/100)</f>
        <v/>
      </c>
      <c r="J181">
        <f>IF($X181="","",INDEX('Per Line'!$W$2:$W$3001,$X181)&amp;"")</f>
        <v/>
      </c>
      <c r="K181">
        <f>IF($X181="","",INDEX('Per Line'!$AD$2:$AD$3001,$X181))</f>
        <v/>
      </c>
      <c r="L181">
        <f>IF($X181="","",IF(AND(ISNUMBER(K181),K181&gt;0),V181&gt;K181,FALSE))</f>
        <v/>
      </c>
      <c r="M181" s="7">
        <f>IF($X181="","",SUMIFS('Per Line'!$V$2:$V$3001,'Per Line'!$D$2:$D$3001,$B181,'Per Line'!$AN$2:$AN$3001,1))</f>
        <v/>
      </c>
      <c r="N181">
        <f>IF($X181="","",Settings!$C$7)</f>
        <v/>
      </c>
      <c r="O181" s="7">
        <f>IF($X181="","",SUMIFS('Per Line'!$V$2:$V$3001,'Per Line'!$D$2:$D$3001,$B181,'Per Line'!$AM$2:$AM$3001,0,'Per Line'!$AN$2:$AN$3001,0))</f>
        <v/>
      </c>
      <c r="P181" s="7">
        <f>IF($X181="","",O181*N181)</f>
        <v/>
      </c>
      <c r="Q181">
        <f>IF($X181="","",Settings!$C$6)</f>
        <v/>
      </c>
      <c r="R181" s="7">
        <f>IF($X181="","",SUMIFS('Per Line'!$V$2:$V$3001,'Per Line'!$D$2:$D$3001,$B181,'Per Line'!$AM$2:$AM$3001,1,'Per Line'!$AN$2:$AN$3001,0))</f>
        <v/>
      </c>
      <c r="S181" s="7">
        <f>IF($X181="","",R181*Q181)</f>
        <v/>
      </c>
      <c r="T181" s="7">
        <f>IF($X181="","",S181+P181)</f>
        <v/>
      </c>
      <c r="U181" s="7">
        <f>IF($X181="","",V181-T181)</f>
        <v/>
      </c>
      <c r="V181" s="7">
        <f>IF($X181="","",O181+R181+M181)</f>
        <v/>
      </c>
      <c r="W181" s="7">
        <f>IF($X181="","",V181-T181-I181)</f>
        <v/>
      </c>
      <c r="X181" s="13">
        <f>IF(ROWS($X$2:$X181)&lt;=MAX('Per Line'!$AL$2:$AL$3001),MATCH(ROWS($X$2:$X181),'Per Line'!$AL$2:$AL$3001,0),"")</f>
        <v/>
      </c>
    </row>
    <row r="182">
      <c r="A182" s="12" t="n"/>
      <c r="B182">
        <f>IF($X182="","",INDEX('Per Line'!$D$2:$D$3001,$X182)&amp;"")</f>
        <v/>
      </c>
      <c r="C182" s="11">
        <f>IF($X182="","",INDEX('Per Line'!$F$2:$F$3001,$X182))</f>
        <v/>
      </c>
      <c r="D182">
        <f>IF($X182="","",INDEX('Per Line'!$G$2:$G$3001,$X182)&amp;"")</f>
        <v/>
      </c>
      <c r="E182">
        <f>IF($X182="","",INDEX('Per Line'!$I$2:$I$3001,$X182)&amp;"")</f>
        <v/>
      </c>
      <c r="F182">
        <f>IF($X182="","",INDEX('Per Line'!$J$2:$J$3001,$X182)&amp;"")</f>
        <v/>
      </c>
      <c r="G182">
        <f>IF($X182="","",INDEX('Per Line'!$K$2:$K$3001,$X182)&amp;"")</f>
        <v/>
      </c>
      <c r="H182">
        <f>IF($X182="","",INDEX('Per Line'!$M$2:$M$3001,$X182))</f>
        <v/>
      </c>
      <c r="I182" s="7">
        <f>IF($X182="","",H182*V182/100)</f>
        <v/>
      </c>
      <c r="J182">
        <f>IF($X182="","",INDEX('Per Line'!$W$2:$W$3001,$X182)&amp;"")</f>
        <v/>
      </c>
      <c r="K182">
        <f>IF($X182="","",INDEX('Per Line'!$AD$2:$AD$3001,$X182))</f>
        <v/>
      </c>
      <c r="L182">
        <f>IF($X182="","",IF(AND(ISNUMBER(K182),K182&gt;0),V182&gt;K182,FALSE))</f>
        <v/>
      </c>
      <c r="M182" s="7">
        <f>IF($X182="","",SUMIFS('Per Line'!$V$2:$V$3001,'Per Line'!$D$2:$D$3001,$B182,'Per Line'!$AN$2:$AN$3001,1))</f>
        <v/>
      </c>
      <c r="N182">
        <f>IF($X182="","",Settings!$C$7)</f>
        <v/>
      </c>
      <c r="O182" s="7">
        <f>IF($X182="","",SUMIFS('Per Line'!$V$2:$V$3001,'Per Line'!$D$2:$D$3001,$B182,'Per Line'!$AM$2:$AM$3001,0,'Per Line'!$AN$2:$AN$3001,0))</f>
        <v/>
      </c>
      <c r="P182" s="7">
        <f>IF($X182="","",O182*N182)</f>
        <v/>
      </c>
      <c r="Q182">
        <f>IF($X182="","",Settings!$C$6)</f>
        <v/>
      </c>
      <c r="R182" s="7">
        <f>IF($X182="","",SUMIFS('Per Line'!$V$2:$V$3001,'Per Line'!$D$2:$D$3001,$B182,'Per Line'!$AM$2:$AM$3001,1,'Per Line'!$AN$2:$AN$3001,0))</f>
        <v/>
      </c>
      <c r="S182" s="7">
        <f>IF($X182="","",R182*Q182)</f>
        <v/>
      </c>
      <c r="T182" s="7">
        <f>IF($X182="","",S182+P182)</f>
        <v/>
      </c>
      <c r="U182" s="7">
        <f>IF($X182="","",V182-T182)</f>
        <v/>
      </c>
      <c r="V182" s="7">
        <f>IF($X182="","",O182+R182+M182)</f>
        <v/>
      </c>
      <c r="W182" s="7">
        <f>IF($X182="","",V182-T182-I182)</f>
        <v/>
      </c>
      <c r="X182" s="13">
        <f>IF(ROWS($X$2:$X182)&lt;=MAX('Per Line'!$AL$2:$AL$3001),MATCH(ROWS($X$2:$X182),'Per Line'!$AL$2:$AL$3001,0),"")</f>
        <v/>
      </c>
    </row>
    <row r="183">
      <c r="A183" s="12" t="n"/>
      <c r="B183">
        <f>IF($X183="","",INDEX('Per Line'!$D$2:$D$3001,$X183)&amp;"")</f>
        <v/>
      </c>
      <c r="C183" s="11">
        <f>IF($X183="","",INDEX('Per Line'!$F$2:$F$3001,$X183))</f>
        <v/>
      </c>
      <c r="D183">
        <f>IF($X183="","",INDEX('Per Line'!$G$2:$G$3001,$X183)&amp;"")</f>
        <v/>
      </c>
      <c r="E183">
        <f>IF($X183="","",INDEX('Per Line'!$I$2:$I$3001,$X183)&amp;"")</f>
        <v/>
      </c>
      <c r="F183">
        <f>IF($X183="","",INDEX('Per Line'!$J$2:$J$3001,$X183)&amp;"")</f>
        <v/>
      </c>
      <c r="G183">
        <f>IF($X183="","",INDEX('Per Line'!$K$2:$K$3001,$X183)&amp;"")</f>
        <v/>
      </c>
      <c r="H183">
        <f>IF($X183="","",INDEX('Per Line'!$M$2:$M$3001,$X183))</f>
        <v/>
      </c>
      <c r="I183" s="7">
        <f>IF($X183="","",H183*V183/100)</f>
        <v/>
      </c>
      <c r="J183">
        <f>IF($X183="","",INDEX('Per Line'!$W$2:$W$3001,$X183)&amp;"")</f>
        <v/>
      </c>
      <c r="K183">
        <f>IF($X183="","",INDEX('Per Line'!$AD$2:$AD$3001,$X183))</f>
        <v/>
      </c>
      <c r="L183">
        <f>IF($X183="","",IF(AND(ISNUMBER(K183),K183&gt;0),V183&gt;K183,FALSE))</f>
        <v/>
      </c>
      <c r="M183" s="7">
        <f>IF($X183="","",SUMIFS('Per Line'!$V$2:$V$3001,'Per Line'!$D$2:$D$3001,$B183,'Per Line'!$AN$2:$AN$3001,1))</f>
        <v/>
      </c>
      <c r="N183">
        <f>IF($X183="","",Settings!$C$7)</f>
        <v/>
      </c>
      <c r="O183" s="7">
        <f>IF($X183="","",SUMIFS('Per Line'!$V$2:$V$3001,'Per Line'!$D$2:$D$3001,$B183,'Per Line'!$AM$2:$AM$3001,0,'Per Line'!$AN$2:$AN$3001,0))</f>
        <v/>
      </c>
      <c r="P183" s="7">
        <f>IF($X183="","",O183*N183)</f>
        <v/>
      </c>
      <c r="Q183">
        <f>IF($X183="","",Settings!$C$6)</f>
        <v/>
      </c>
      <c r="R183" s="7">
        <f>IF($X183="","",SUMIFS('Per Line'!$V$2:$V$3001,'Per Line'!$D$2:$D$3001,$B183,'Per Line'!$AM$2:$AM$3001,1,'Per Line'!$AN$2:$AN$3001,0))</f>
        <v/>
      </c>
      <c r="S183" s="7">
        <f>IF($X183="","",R183*Q183)</f>
        <v/>
      </c>
      <c r="T183" s="7">
        <f>IF($X183="","",S183+P183)</f>
        <v/>
      </c>
      <c r="U183" s="7">
        <f>IF($X183="","",V183-T183)</f>
        <v/>
      </c>
      <c r="V183" s="7">
        <f>IF($X183="","",O183+R183+M183)</f>
        <v/>
      </c>
      <c r="W183" s="7">
        <f>IF($X183="","",V183-T183-I183)</f>
        <v/>
      </c>
      <c r="X183" s="13">
        <f>IF(ROWS($X$2:$X183)&lt;=MAX('Per Line'!$AL$2:$AL$3001),MATCH(ROWS($X$2:$X183),'Per Line'!$AL$2:$AL$3001,0),"")</f>
        <v/>
      </c>
    </row>
    <row r="184">
      <c r="A184" s="12" t="n"/>
      <c r="B184">
        <f>IF($X184="","",INDEX('Per Line'!$D$2:$D$3001,$X184)&amp;"")</f>
        <v/>
      </c>
      <c r="C184" s="11">
        <f>IF($X184="","",INDEX('Per Line'!$F$2:$F$3001,$X184))</f>
        <v/>
      </c>
      <c r="D184">
        <f>IF($X184="","",INDEX('Per Line'!$G$2:$G$3001,$X184)&amp;"")</f>
        <v/>
      </c>
      <c r="E184">
        <f>IF($X184="","",INDEX('Per Line'!$I$2:$I$3001,$X184)&amp;"")</f>
        <v/>
      </c>
      <c r="F184">
        <f>IF($X184="","",INDEX('Per Line'!$J$2:$J$3001,$X184)&amp;"")</f>
        <v/>
      </c>
      <c r="G184">
        <f>IF($X184="","",INDEX('Per Line'!$K$2:$K$3001,$X184)&amp;"")</f>
        <v/>
      </c>
      <c r="H184">
        <f>IF($X184="","",INDEX('Per Line'!$M$2:$M$3001,$X184))</f>
        <v/>
      </c>
      <c r="I184" s="7">
        <f>IF($X184="","",H184*V184/100)</f>
        <v/>
      </c>
      <c r="J184">
        <f>IF($X184="","",INDEX('Per Line'!$W$2:$W$3001,$X184)&amp;"")</f>
        <v/>
      </c>
      <c r="K184">
        <f>IF($X184="","",INDEX('Per Line'!$AD$2:$AD$3001,$X184))</f>
        <v/>
      </c>
      <c r="L184">
        <f>IF($X184="","",IF(AND(ISNUMBER(K184),K184&gt;0),V184&gt;K184,FALSE))</f>
        <v/>
      </c>
      <c r="M184" s="7">
        <f>IF($X184="","",SUMIFS('Per Line'!$V$2:$V$3001,'Per Line'!$D$2:$D$3001,$B184,'Per Line'!$AN$2:$AN$3001,1))</f>
        <v/>
      </c>
      <c r="N184">
        <f>IF($X184="","",Settings!$C$7)</f>
        <v/>
      </c>
      <c r="O184" s="7">
        <f>IF($X184="","",SUMIFS('Per Line'!$V$2:$V$3001,'Per Line'!$D$2:$D$3001,$B184,'Per Line'!$AM$2:$AM$3001,0,'Per Line'!$AN$2:$AN$3001,0))</f>
        <v/>
      </c>
      <c r="P184" s="7">
        <f>IF($X184="","",O184*N184)</f>
        <v/>
      </c>
      <c r="Q184">
        <f>IF($X184="","",Settings!$C$6)</f>
        <v/>
      </c>
      <c r="R184" s="7">
        <f>IF($X184="","",SUMIFS('Per Line'!$V$2:$V$3001,'Per Line'!$D$2:$D$3001,$B184,'Per Line'!$AM$2:$AM$3001,1,'Per Line'!$AN$2:$AN$3001,0))</f>
        <v/>
      </c>
      <c r="S184" s="7">
        <f>IF($X184="","",R184*Q184)</f>
        <v/>
      </c>
      <c r="T184" s="7">
        <f>IF($X184="","",S184+P184)</f>
        <v/>
      </c>
      <c r="U184" s="7">
        <f>IF($X184="","",V184-T184)</f>
        <v/>
      </c>
      <c r="V184" s="7">
        <f>IF($X184="","",O184+R184+M184)</f>
        <v/>
      </c>
      <c r="W184" s="7">
        <f>IF($X184="","",V184-T184-I184)</f>
        <v/>
      </c>
      <c r="X184" s="13">
        <f>IF(ROWS($X$2:$X184)&lt;=MAX('Per Line'!$AL$2:$AL$3001),MATCH(ROWS($X$2:$X184),'Per Line'!$AL$2:$AL$3001,0),"")</f>
        <v/>
      </c>
    </row>
    <row r="185">
      <c r="A185" s="12" t="n"/>
      <c r="B185">
        <f>IF($X185="","",INDEX('Per Line'!$D$2:$D$3001,$X185)&amp;"")</f>
        <v/>
      </c>
      <c r="C185" s="11">
        <f>IF($X185="","",INDEX('Per Line'!$F$2:$F$3001,$X185))</f>
        <v/>
      </c>
      <c r="D185">
        <f>IF($X185="","",INDEX('Per Line'!$G$2:$G$3001,$X185)&amp;"")</f>
        <v/>
      </c>
      <c r="E185">
        <f>IF($X185="","",INDEX('Per Line'!$I$2:$I$3001,$X185)&amp;"")</f>
        <v/>
      </c>
      <c r="F185">
        <f>IF($X185="","",INDEX('Per Line'!$J$2:$J$3001,$X185)&amp;"")</f>
        <v/>
      </c>
      <c r="G185">
        <f>IF($X185="","",INDEX('Per Line'!$K$2:$K$3001,$X185)&amp;"")</f>
        <v/>
      </c>
      <c r="H185">
        <f>IF($X185="","",INDEX('Per Line'!$M$2:$M$3001,$X185))</f>
        <v/>
      </c>
      <c r="I185" s="7">
        <f>IF($X185="","",H185*V185/100)</f>
        <v/>
      </c>
      <c r="J185">
        <f>IF($X185="","",INDEX('Per Line'!$W$2:$W$3001,$X185)&amp;"")</f>
        <v/>
      </c>
      <c r="K185">
        <f>IF($X185="","",INDEX('Per Line'!$AD$2:$AD$3001,$X185))</f>
        <v/>
      </c>
      <c r="L185">
        <f>IF($X185="","",IF(AND(ISNUMBER(K185),K185&gt;0),V185&gt;K185,FALSE))</f>
        <v/>
      </c>
      <c r="M185" s="7">
        <f>IF($X185="","",SUMIFS('Per Line'!$V$2:$V$3001,'Per Line'!$D$2:$D$3001,$B185,'Per Line'!$AN$2:$AN$3001,1))</f>
        <v/>
      </c>
      <c r="N185">
        <f>IF($X185="","",Settings!$C$7)</f>
        <v/>
      </c>
      <c r="O185" s="7">
        <f>IF($X185="","",SUMIFS('Per Line'!$V$2:$V$3001,'Per Line'!$D$2:$D$3001,$B185,'Per Line'!$AM$2:$AM$3001,0,'Per Line'!$AN$2:$AN$3001,0))</f>
        <v/>
      </c>
      <c r="P185" s="7">
        <f>IF($X185="","",O185*N185)</f>
        <v/>
      </c>
      <c r="Q185">
        <f>IF($X185="","",Settings!$C$6)</f>
        <v/>
      </c>
      <c r="R185" s="7">
        <f>IF($X185="","",SUMIFS('Per Line'!$V$2:$V$3001,'Per Line'!$D$2:$D$3001,$B185,'Per Line'!$AM$2:$AM$3001,1,'Per Line'!$AN$2:$AN$3001,0))</f>
        <v/>
      </c>
      <c r="S185" s="7">
        <f>IF($X185="","",R185*Q185)</f>
        <v/>
      </c>
      <c r="T185" s="7">
        <f>IF($X185="","",S185+P185)</f>
        <v/>
      </c>
      <c r="U185" s="7">
        <f>IF($X185="","",V185-T185)</f>
        <v/>
      </c>
      <c r="V185" s="7">
        <f>IF($X185="","",O185+R185+M185)</f>
        <v/>
      </c>
      <c r="W185" s="7">
        <f>IF($X185="","",V185-T185-I185)</f>
        <v/>
      </c>
      <c r="X185" s="13">
        <f>IF(ROWS($X$2:$X185)&lt;=MAX('Per Line'!$AL$2:$AL$3001),MATCH(ROWS($X$2:$X185),'Per Line'!$AL$2:$AL$3001,0),"")</f>
        <v/>
      </c>
    </row>
    <row r="186">
      <c r="A186" s="12" t="n"/>
      <c r="B186">
        <f>IF($X186="","",INDEX('Per Line'!$D$2:$D$3001,$X186)&amp;"")</f>
        <v/>
      </c>
      <c r="C186" s="11">
        <f>IF($X186="","",INDEX('Per Line'!$F$2:$F$3001,$X186))</f>
        <v/>
      </c>
      <c r="D186">
        <f>IF($X186="","",INDEX('Per Line'!$G$2:$G$3001,$X186)&amp;"")</f>
        <v/>
      </c>
      <c r="E186">
        <f>IF($X186="","",INDEX('Per Line'!$I$2:$I$3001,$X186)&amp;"")</f>
        <v/>
      </c>
      <c r="F186">
        <f>IF($X186="","",INDEX('Per Line'!$J$2:$J$3001,$X186)&amp;"")</f>
        <v/>
      </c>
      <c r="G186">
        <f>IF($X186="","",INDEX('Per Line'!$K$2:$K$3001,$X186)&amp;"")</f>
        <v/>
      </c>
      <c r="H186">
        <f>IF($X186="","",INDEX('Per Line'!$M$2:$M$3001,$X186))</f>
        <v/>
      </c>
      <c r="I186" s="7">
        <f>IF($X186="","",H186*V186/100)</f>
        <v/>
      </c>
      <c r="J186">
        <f>IF($X186="","",INDEX('Per Line'!$W$2:$W$3001,$X186)&amp;"")</f>
        <v/>
      </c>
      <c r="K186">
        <f>IF($X186="","",INDEX('Per Line'!$AD$2:$AD$3001,$X186))</f>
        <v/>
      </c>
      <c r="L186">
        <f>IF($X186="","",IF(AND(ISNUMBER(K186),K186&gt;0),V186&gt;K186,FALSE))</f>
        <v/>
      </c>
      <c r="M186" s="7">
        <f>IF($X186="","",SUMIFS('Per Line'!$V$2:$V$3001,'Per Line'!$D$2:$D$3001,$B186,'Per Line'!$AN$2:$AN$3001,1))</f>
        <v/>
      </c>
      <c r="N186">
        <f>IF($X186="","",Settings!$C$7)</f>
        <v/>
      </c>
      <c r="O186" s="7">
        <f>IF($X186="","",SUMIFS('Per Line'!$V$2:$V$3001,'Per Line'!$D$2:$D$3001,$B186,'Per Line'!$AM$2:$AM$3001,0,'Per Line'!$AN$2:$AN$3001,0))</f>
        <v/>
      </c>
      <c r="P186" s="7">
        <f>IF($X186="","",O186*N186)</f>
        <v/>
      </c>
      <c r="Q186">
        <f>IF($X186="","",Settings!$C$6)</f>
        <v/>
      </c>
      <c r="R186" s="7">
        <f>IF($X186="","",SUMIFS('Per Line'!$V$2:$V$3001,'Per Line'!$D$2:$D$3001,$B186,'Per Line'!$AM$2:$AM$3001,1,'Per Line'!$AN$2:$AN$3001,0))</f>
        <v/>
      </c>
      <c r="S186" s="7">
        <f>IF($X186="","",R186*Q186)</f>
        <v/>
      </c>
      <c r="T186" s="7">
        <f>IF($X186="","",S186+P186)</f>
        <v/>
      </c>
      <c r="U186" s="7">
        <f>IF($X186="","",V186-T186)</f>
        <v/>
      </c>
      <c r="V186" s="7">
        <f>IF($X186="","",O186+R186+M186)</f>
        <v/>
      </c>
      <c r="W186" s="7">
        <f>IF($X186="","",V186-T186-I186)</f>
        <v/>
      </c>
      <c r="X186" s="13">
        <f>IF(ROWS($X$2:$X186)&lt;=MAX('Per Line'!$AL$2:$AL$3001),MATCH(ROWS($X$2:$X186),'Per Line'!$AL$2:$AL$3001,0),"")</f>
        <v/>
      </c>
    </row>
    <row r="187">
      <c r="A187" s="12" t="n"/>
      <c r="B187">
        <f>IF($X187="","",INDEX('Per Line'!$D$2:$D$3001,$X187)&amp;"")</f>
        <v/>
      </c>
      <c r="C187" s="11">
        <f>IF($X187="","",INDEX('Per Line'!$F$2:$F$3001,$X187))</f>
        <v/>
      </c>
      <c r="D187">
        <f>IF($X187="","",INDEX('Per Line'!$G$2:$G$3001,$X187)&amp;"")</f>
        <v/>
      </c>
      <c r="E187">
        <f>IF($X187="","",INDEX('Per Line'!$I$2:$I$3001,$X187)&amp;"")</f>
        <v/>
      </c>
      <c r="F187">
        <f>IF($X187="","",INDEX('Per Line'!$J$2:$J$3001,$X187)&amp;"")</f>
        <v/>
      </c>
      <c r="G187">
        <f>IF($X187="","",INDEX('Per Line'!$K$2:$K$3001,$X187)&amp;"")</f>
        <v/>
      </c>
      <c r="H187">
        <f>IF($X187="","",INDEX('Per Line'!$M$2:$M$3001,$X187))</f>
        <v/>
      </c>
      <c r="I187" s="7">
        <f>IF($X187="","",H187*V187/100)</f>
        <v/>
      </c>
      <c r="J187">
        <f>IF($X187="","",INDEX('Per Line'!$W$2:$W$3001,$X187)&amp;"")</f>
        <v/>
      </c>
      <c r="K187">
        <f>IF($X187="","",INDEX('Per Line'!$AD$2:$AD$3001,$X187))</f>
        <v/>
      </c>
      <c r="L187">
        <f>IF($X187="","",IF(AND(ISNUMBER(K187),K187&gt;0),V187&gt;K187,FALSE))</f>
        <v/>
      </c>
      <c r="M187" s="7">
        <f>IF($X187="","",SUMIFS('Per Line'!$V$2:$V$3001,'Per Line'!$D$2:$D$3001,$B187,'Per Line'!$AN$2:$AN$3001,1))</f>
        <v/>
      </c>
      <c r="N187">
        <f>IF($X187="","",Settings!$C$7)</f>
        <v/>
      </c>
      <c r="O187" s="7">
        <f>IF($X187="","",SUMIFS('Per Line'!$V$2:$V$3001,'Per Line'!$D$2:$D$3001,$B187,'Per Line'!$AM$2:$AM$3001,0,'Per Line'!$AN$2:$AN$3001,0))</f>
        <v/>
      </c>
      <c r="P187" s="7">
        <f>IF($X187="","",O187*N187)</f>
        <v/>
      </c>
      <c r="Q187">
        <f>IF($X187="","",Settings!$C$6)</f>
        <v/>
      </c>
      <c r="R187" s="7">
        <f>IF($X187="","",SUMIFS('Per Line'!$V$2:$V$3001,'Per Line'!$D$2:$D$3001,$B187,'Per Line'!$AM$2:$AM$3001,1,'Per Line'!$AN$2:$AN$3001,0))</f>
        <v/>
      </c>
      <c r="S187" s="7">
        <f>IF($X187="","",R187*Q187)</f>
        <v/>
      </c>
      <c r="T187" s="7">
        <f>IF($X187="","",S187+P187)</f>
        <v/>
      </c>
      <c r="U187" s="7">
        <f>IF($X187="","",V187-T187)</f>
        <v/>
      </c>
      <c r="V187" s="7">
        <f>IF($X187="","",O187+R187+M187)</f>
        <v/>
      </c>
      <c r="W187" s="7">
        <f>IF($X187="","",V187-T187-I187)</f>
        <v/>
      </c>
      <c r="X187" s="13">
        <f>IF(ROWS($X$2:$X187)&lt;=MAX('Per Line'!$AL$2:$AL$3001),MATCH(ROWS($X$2:$X187),'Per Line'!$AL$2:$AL$3001,0),"")</f>
        <v/>
      </c>
    </row>
    <row r="188">
      <c r="A188" s="12" t="n"/>
      <c r="B188">
        <f>IF($X188="","",INDEX('Per Line'!$D$2:$D$3001,$X188)&amp;"")</f>
        <v/>
      </c>
      <c r="C188" s="11">
        <f>IF($X188="","",INDEX('Per Line'!$F$2:$F$3001,$X188))</f>
        <v/>
      </c>
      <c r="D188">
        <f>IF($X188="","",INDEX('Per Line'!$G$2:$G$3001,$X188)&amp;"")</f>
        <v/>
      </c>
      <c r="E188">
        <f>IF($X188="","",INDEX('Per Line'!$I$2:$I$3001,$X188)&amp;"")</f>
        <v/>
      </c>
      <c r="F188">
        <f>IF($X188="","",INDEX('Per Line'!$J$2:$J$3001,$X188)&amp;"")</f>
        <v/>
      </c>
      <c r="G188">
        <f>IF($X188="","",INDEX('Per Line'!$K$2:$K$3001,$X188)&amp;"")</f>
        <v/>
      </c>
      <c r="H188">
        <f>IF($X188="","",INDEX('Per Line'!$M$2:$M$3001,$X188))</f>
        <v/>
      </c>
      <c r="I188" s="7">
        <f>IF($X188="","",H188*V188/100)</f>
        <v/>
      </c>
      <c r="J188">
        <f>IF($X188="","",INDEX('Per Line'!$W$2:$W$3001,$X188)&amp;"")</f>
        <v/>
      </c>
      <c r="K188">
        <f>IF($X188="","",INDEX('Per Line'!$AD$2:$AD$3001,$X188))</f>
        <v/>
      </c>
      <c r="L188">
        <f>IF($X188="","",IF(AND(ISNUMBER(K188),K188&gt;0),V188&gt;K188,FALSE))</f>
        <v/>
      </c>
      <c r="M188" s="7">
        <f>IF($X188="","",SUMIFS('Per Line'!$V$2:$V$3001,'Per Line'!$D$2:$D$3001,$B188,'Per Line'!$AN$2:$AN$3001,1))</f>
        <v/>
      </c>
      <c r="N188">
        <f>IF($X188="","",Settings!$C$7)</f>
        <v/>
      </c>
      <c r="O188" s="7">
        <f>IF($X188="","",SUMIFS('Per Line'!$V$2:$V$3001,'Per Line'!$D$2:$D$3001,$B188,'Per Line'!$AM$2:$AM$3001,0,'Per Line'!$AN$2:$AN$3001,0))</f>
        <v/>
      </c>
      <c r="P188" s="7">
        <f>IF($X188="","",O188*N188)</f>
        <v/>
      </c>
      <c r="Q188">
        <f>IF($X188="","",Settings!$C$6)</f>
        <v/>
      </c>
      <c r="R188" s="7">
        <f>IF($X188="","",SUMIFS('Per Line'!$V$2:$V$3001,'Per Line'!$D$2:$D$3001,$B188,'Per Line'!$AM$2:$AM$3001,1,'Per Line'!$AN$2:$AN$3001,0))</f>
        <v/>
      </c>
      <c r="S188" s="7">
        <f>IF($X188="","",R188*Q188)</f>
        <v/>
      </c>
      <c r="T188" s="7">
        <f>IF($X188="","",S188+P188)</f>
        <v/>
      </c>
      <c r="U188" s="7">
        <f>IF($X188="","",V188-T188)</f>
        <v/>
      </c>
      <c r="V188" s="7">
        <f>IF($X188="","",O188+R188+M188)</f>
        <v/>
      </c>
      <c r="W188" s="7">
        <f>IF($X188="","",V188-T188-I188)</f>
        <v/>
      </c>
      <c r="X188" s="13">
        <f>IF(ROWS($X$2:$X188)&lt;=MAX('Per Line'!$AL$2:$AL$3001),MATCH(ROWS($X$2:$X188),'Per Line'!$AL$2:$AL$3001,0),"")</f>
        <v/>
      </c>
    </row>
    <row r="189">
      <c r="A189" s="12" t="n"/>
      <c r="B189">
        <f>IF($X189="","",INDEX('Per Line'!$D$2:$D$3001,$X189)&amp;"")</f>
        <v/>
      </c>
      <c r="C189" s="11">
        <f>IF($X189="","",INDEX('Per Line'!$F$2:$F$3001,$X189))</f>
        <v/>
      </c>
      <c r="D189">
        <f>IF($X189="","",INDEX('Per Line'!$G$2:$G$3001,$X189)&amp;"")</f>
        <v/>
      </c>
      <c r="E189">
        <f>IF($X189="","",INDEX('Per Line'!$I$2:$I$3001,$X189)&amp;"")</f>
        <v/>
      </c>
      <c r="F189">
        <f>IF($X189="","",INDEX('Per Line'!$J$2:$J$3001,$X189)&amp;"")</f>
        <v/>
      </c>
      <c r="G189">
        <f>IF($X189="","",INDEX('Per Line'!$K$2:$K$3001,$X189)&amp;"")</f>
        <v/>
      </c>
      <c r="H189">
        <f>IF($X189="","",INDEX('Per Line'!$M$2:$M$3001,$X189))</f>
        <v/>
      </c>
      <c r="I189" s="7">
        <f>IF($X189="","",H189*V189/100)</f>
        <v/>
      </c>
      <c r="J189">
        <f>IF($X189="","",INDEX('Per Line'!$W$2:$W$3001,$X189)&amp;"")</f>
        <v/>
      </c>
      <c r="K189">
        <f>IF($X189="","",INDEX('Per Line'!$AD$2:$AD$3001,$X189))</f>
        <v/>
      </c>
      <c r="L189">
        <f>IF($X189="","",IF(AND(ISNUMBER(K189),K189&gt;0),V189&gt;K189,FALSE))</f>
        <v/>
      </c>
      <c r="M189" s="7">
        <f>IF($X189="","",SUMIFS('Per Line'!$V$2:$V$3001,'Per Line'!$D$2:$D$3001,$B189,'Per Line'!$AN$2:$AN$3001,1))</f>
        <v/>
      </c>
      <c r="N189">
        <f>IF($X189="","",Settings!$C$7)</f>
        <v/>
      </c>
      <c r="O189" s="7">
        <f>IF($X189="","",SUMIFS('Per Line'!$V$2:$V$3001,'Per Line'!$D$2:$D$3001,$B189,'Per Line'!$AM$2:$AM$3001,0,'Per Line'!$AN$2:$AN$3001,0))</f>
        <v/>
      </c>
      <c r="P189" s="7">
        <f>IF($X189="","",O189*N189)</f>
        <v/>
      </c>
      <c r="Q189">
        <f>IF($X189="","",Settings!$C$6)</f>
        <v/>
      </c>
      <c r="R189" s="7">
        <f>IF($X189="","",SUMIFS('Per Line'!$V$2:$V$3001,'Per Line'!$D$2:$D$3001,$B189,'Per Line'!$AM$2:$AM$3001,1,'Per Line'!$AN$2:$AN$3001,0))</f>
        <v/>
      </c>
      <c r="S189" s="7">
        <f>IF($X189="","",R189*Q189)</f>
        <v/>
      </c>
      <c r="T189" s="7">
        <f>IF($X189="","",S189+P189)</f>
        <v/>
      </c>
      <c r="U189" s="7">
        <f>IF($X189="","",V189-T189)</f>
        <v/>
      </c>
      <c r="V189" s="7">
        <f>IF($X189="","",O189+R189+M189)</f>
        <v/>
      </c>
      <c r="W189" s="7">
        <f>IF($X189="","",V189-T189-I189)</f>
        <v/>
      </c>
      <c r="X189" s="13">
        <f>IF(ROWS($X$2:$X189)&lt;=MAX('Per Line'!$AL$2:$AL$3001),MATCH(ROWS($X$2:$X189),'Per Line'!$AL$2:$AL$3001,0),"")</f>
        <v/>
      </c>
    </row>
    <row r="190">
      <c r="A190" s="12" t="n"/>
      <c r="B190">
        <f>IF($X190="","",INDEX('Per Line'!$D$2:$D$3001,$X190)&amp;"")</f>
        <v/>
      </c>
      <c r="C190" s="11">
        <f>IF($X190="","",INDEX('Per Line'!$F$2:$F$3001,$X190))</f>
        <v/>
      </c>
      <c r="D190">
        <f>IF($X190="","",INDEX('Per Line'!$G$2:$G$3001,$X190)&amp;"")</f>
        <v/>
      </c>
      <c r="E190">
        <f>IF($X190="","",INDEX('Per Line'!$I$2:$I$3001,$X190)&amp;"")</f>
        <v/>
      </c>
      <c r="F190">
        <f>IF($X190="","",INDEX('Per Line'!$J$2:$J$3001,$X190)&amp;"")</f>
        <v/>
      </c>
      <c r="G190">
        <f>IF($X190="","",INDEX('Per Line'!$K$2:$K$3001,$X190)&amp;"")</f>
        <v/>
      </c>
      <c r="H190">
        <f>IF($X190="","",INDEX('Per Line'!$M$2:$M$3001,$X190))</f>
        <v/>
      </c>
      <c r="I190" s="7">
        <f>IF($X190="","",H190*V190/100)</f>
        <v/>
      </c>
      <c r="J190">
        <f>IF($X190="","",INDEX('Per Line'!$W$2:$W$3001,$X190)&amp;"")</f>
        <v/>
      </c>
      <c r="K190">
        <f>IF($X190="","",INDEX('Per Line'!$AD$2:$AD$3001,$X190))</f>
        <v/>
      </c>
      <c r="L190">
        <f>IF($X190="","",IF(AND(ISNUMBER(K190),K190&gt;0),V190&gt;K190,FALSE))</f>
        <v/>
      </c>
      <c r="M190" s="7">
        <f>IF($X190="","",SUMIFS('Per Line'!$V$2:$V$3001,'Per Line'!$D$2:$D$3001,$B190,'Per Line'!$AN$2:$AN$3001,1))</f>
        <v/>
      </c>
      <c r="N190">
        <f>IF($X190="","",Settings!$C$7)</f>
        <v/>
      </c>
      <c r="O190" s="7">
        <f>IF($X190="","",SUMIFS('Per Line'!$V$2:$V$3001,'Per Line'!$D$2:$D$3001,$B190,'Per Line'!$AM$2:$AM$3001,0,'Per Line'!$AN$2:$AN$3001,0))</f>
        <v/>
      </c>
      <c r="P190" s="7">
        <f>IF($X190="","",O190*N190)</f>
        <v/>
      </c>
      <c r="Q190">
        <f>IF($X190="","",Settings!$C$6)</f>
        <v/>
      </c>
      <c r="R190" s="7">
        <f>IF($X190="","",SUMIFS('Per Line'!$V$2:$V$3001,'Per Line'!$D$2:$D$3001,$B190,'Per Line'!$AM$2:$AM$3001,1,'Per Line'!$AN$2:$AN$3001,0))</f>
        <v/>
      </c>
      <c r="S190" s="7">
        <f>IF($X190="","",R190*Q190)</f>
        <v/>
      </c>
      <c r="T190" s="7">
        <f>IF($X190="","",S190+P190)</f>
        <v/>
      </c>
      <c r="U190" s="7">
        <f>IF($X190="","",V190-T190)</f>
        <v/>
      </c>
      <c r="V190" s="7">
        <f>IF($X190="","",O190+R190+M190)</f>
        <v/>
      </c>
      <c r="W190" s="7">
        <f>IF($X190="","",V190-T190-I190)</f>
        <v/>
      </c>
      <c r="X190" s="13">
        <f>IF(ROWS($X$2:$X190)&lt;=MAX('Per Line'!$AL$2:$AL$3001),MATCH(ROWS($X$2:$X190),'Per Line'!$AL$2:$AL$3001,0),"")</f>
        <v/>
      </c>
    </row>
    <row r="191">
      <c r="A191" s="12" t="n"/>
      <c r="B191">
        <f>IF($X191="","",INDEX('Per Line'!$D$2:$D$3001,$X191)&amp;"")</f>
        <v/>
      </c>
      <c r="C191" s="11">
        <f>IF($X191="","",INDEX('Per Line'!$F$2:$F$3001,$X191))</f>
        <v/>
      </c>
      <c r="D191">
        <f>IF($X191="","",INDEX('Per Line'!$G$2:$G$3001,$X191)&amp;"")</f>
        <v/>
      </c>
      <c r="E191">
        <f>IF($X191="","",INDEX('Per Line'!$I$2:$I$3001,$X191)&amp;"")</f>
        <v/>
      </c>
      <c r="F191">
        <f>IF($X191="","",INDEX('Per Line'!$J$2:$J$3001,$X191)&amp;"")</f>
        <v/>
      </c>
      <c r="G191">
        <f>IF($X191="","",INDEX('Per Line'!$K$2:$K$3001,$X191)&amp;"")</f>
        <v/>
      </c>
      <c r="H191">
        <f>IF($X191="","",INDEX('Per Line'!$M$2:$M$3001,$X191))</f>
        <v/>
      </c>
      <c r="I191" s="7">
        <f>IF($X191="","",H191*V191/100)</f>
        <v/>
      </c>
      <c r="J191">
        <f>IF($X191="","",INDEX('Per Line'!$W$2:$W$3001,$X191)&amp;"")</f>
        <v/>
      </c>
      <c r="K191">
        <f>IF($X191="","",INDEX('Per Line'!$AD$2:$AD$3001,$X191))</f>
        <v/>
      </c>
      <c r="L191">
        <f>IF($X191="","",IF(AND(ISNUMBER(K191),K191&gt;0),V191&gt;K191,FALSE))</f>
        <v/>
      </c>
      <c r="M191" s="7">
        <f>IF($X191="","",SUMIFS('Per Line'!$V$2:$V$3001,'Per Line'!$D$2:$D$3001,$B191,'Per Line'!$AN$2:$AN$3001,1))</f>
        <v/>
      </c>
      <c r="N191">
        <f>IF($X191="","",Settings!$C$7)</f>
        <v/>
      </c>
      <c r="O191" s="7">
        <f>IF($X191="","",SUMIFS('Per Line'!$V$2:$V$3001,'Per Line'!$D$2:$D$3001,$B191,'Per Line'!$AM$2:$AM$3001,0,'Per Line'!$AN$2:$AN$3001,0))</f>
        <v/>
      </c>
      <c r="P191" s="7">
        <f>IF($X191="","",O191*N191)</f>
        <v/>
      </c>
      <c r="Q191">
        <f>IF($X191="","",Settings!$C$6)</f>
        <v/>
      </c>
      <c r="R191" s="7">
        <f>IF($X191="","",SUMIFS('Per Line'!$V$2:$V$3001,'Per Line'!$D$2:$D$3001,$B191,'Per Line'!$AM$2:$AM$3001,1,'Per Line'!$AN$2:$AN$3001,0))</f>
        <v/>
      </c>
      <c r="S191" s="7">
        <f>IF($X191="","",R191*Q191)</f>
        <v/>
      </c>
      <c r="T191" s="7">
        <f>IF($X191="","",S191+P191)</f>
        <v/>
      </c>
      <c r="U191" s="7">
        <f>IF($X191="","",V191-T191)</f>
        <v/>
      </c>
      <c r="V191" s="7">
        <f>IF($X191="","",O191+R191+M191)</f>
        <v/>
      </c>
      <c r="W191" s="7">
        <f>IF($X191="","",V191-T191-I191)</f>
        <v/>
      </c>
      <c r="X191" s="13">
        <f>IF(ROWS($X$2:$X191)&lt;=MAX('Per Line'!$AL$2:$AL$3001),MATCH(ROWS($X$2:$X191),'Per Line'!$AL$2:$AL$3001,0),"")</f>
        <v/>
      </c>
    </row>
    <row r="192">
      <c r="A192" s="12" t="n"/>
      <c r="B192">
        <f>IF($X192="","",INDEX('Per Line'!$D$2:$D$3001,$X192)&amp;"")</f>
        <v/>
      </c>
      <c r="C192" s="11">
        <f>IF($X192="","",INDEX('Per Line'!$F$2:$F$3001,$X192))</f>
        <v/>
      </c>
      <c r="D192">
        <f>IF($X192="","",INDEX('Per Line'!$G$2:$G$3001,$X192)&amp;"")</f>
        <v/>
      </c>
      <c r="E192">
        <f>IF($X192="","",INDEX('Per Line'!$I$2:$I$3001,$X192)&amp;"")</f>
        <v/>
      </c>
      <c r="F192">
        <f>IF($X192="","",INDEX('Per Line'!$J$2:$J$3001,$X192)&amp;"")</f>
        <v/>
      </c>
      <c r="G192">
        <f>IF($X192="","",INDEX('Per Line'!$K$2:$K$3001,$X192)&amp;"")</f>
        <v/>
      </c>
      <c r="H192">
        <f>IF($X192="","",INDEX('Per Line'!$M$2:$M$3001,$X192))</f>
        <v/>
      </c>
      <c r="I192" s="7">
        <f>IF($X192="","",H192*V192/100)</f>
        <v/>
      </c>
      <c r="J192">
        <f>IF($X192="","",INDEX('Per Line'!$W$2:$W$3001,$X192)&amp;"")</f>
        <v/>
      </c>
      <c r="K192">
        <f>IF($X192="","",INDEX('Per Line'!$AD$2:$AD$3001,$X192))</f>
        <v/>
      </c>
      <c r="L192">
        <f>IF($X192="","",IF(AND(ISNUMBER(K192),K192&gt;0),V192&gt;K192,FALSE))</f>
        <v/>
      </c>
      <c r="M192" s="7">
        <f>IF($X192="","",SUMIFS('Per Line'!$V$2:$V$3001,'Per Line'!$D$2:$D$3001,$B192,'Per Line'!$AN$2:$AN$3001,1))</f>
        <v/>
      </c>
      <c r="N192">
        <f>IF($X192="","",Settings!$C$7)</f>
        <v/>
      </c>
      <c r="O192" s="7">
        <f>IF($X192="","",SUMIFS('Per Line'!$V$2:$V$3001,'Per Line'!$D$2:$D$3001,$B192,'Per Line'!$AM$2:$AM$3001,0,'Per Line'!$AN$2:$AN$3001,0))</f>
        <v/>
      </c>
      <c r="P192" s="7">
        <f>IF($X192="","",O192*N192)</f>
        <v/>
      </c>
      <c r="Q192">
        <f>IF($X192="","",Settings!$C$6)</f>
        <v/>
      </c>
      <c r="R192" s="7">
        <f>IF($X192="","",SUMIFS('Per Line'!$V$2:$V$3001,'Per Line'!$D$2:$D$3001,$B192,'Per Line'!$AM$2:$AM$3001,1,'Per Line'!$AN$2:$AN$3001,0))</f>
        <v/>
      </c>
      <c r="S192" s="7">
        <f>IF($X192="","",R192*Q192)</f>
        <v/>
      </c>
      <c r="T192" s="7">
        <f>IF($X192="","",S192+P192)</f>
        <v/>
      </c>
      <c r="U192" s="7">
        <f>IF($X192="","",V192-T192)</f>
        <v/>
      </c>
      <c r="V192" s="7">
        <f>IF($X192="","",O192+R192+M192)</f>
        <v/>
      </c>
      <c r="W192" s="7">
        <f>IF($X192="","",V192-T192-I192)</f>
        <v/>
      </c>
      <c r="X192" s="13">
        <f>IF(ROWS($X$2:$X192)&lt;=MAX('Per Line'!$AL$2:$AL$3001),MATCH(ROWS($X$2:$X192),'Per Line'!$AL$2:$AL$3001,0),"")</f>
        <v/>
      </c>
    </row>
    <row r="193">
      <c r="A193" s="12" t="n"/>
      <c r="B193">
        <f>IF($X193="","",INDEX('Per Line'!$D$2:$D$3001,$X193)&amp;"")</f>
        <v/>
      </c>
      <c r="C193" s="11">
        <f>IF($X193="","",INDEX('Per Line'!$F$2:$F$3001,$X193))</f>
        <v/>
      </c>
      <c r="D193">
        <f>IF($X193="","",INDEX('Per Line'!$G$2:$G$3001,$X193)&amp;"")</f>
        <v/>
      </c>
      <c r="E193">
        <f>IF($X193="","",INDEX('Per Line'!$I$2:$I$3001,$X193)&amp;"")</f>
        <v/>
      </c>
      <c r="F193">
        <f>IF($X193="","",INDEX('Per Line'!$J$2:$J$3001,$X193)&amp;"")</f>
        <v/>
      </c>
      <c r="G193">
        <f>IF($X193="","",INDEX('Per Line'!$K$2:$K$3001,$X193)&amp;"")</f>
        <v/>
      </c>
      <c r="H193">
        <f>IF($X193="","",INDEX('Per Line'!$M$2:$M$3001,$X193))</f>
        <v/>
      </c>
      <c r="I193" s="7">
        <f>IF($X193="","",H193*V193/100)</f>
        <v/>
      </c>
      <c r="J193">
        <f>IF($X193="","",INDEX('Per Line'!$W$2:$W$3001,$X193)&amp;"")</f>
        <v/>
      </c>
      <c r="K193">
        <f>IF($X193="","",INDEX('Per Line'!$AD$2:$AD$3001,$X193))</f>
        <v/>
      </c>
      <c r="L193">
        <f>IF($X193="","",IF(AND(ISNUMBER(K193),K193&gt;0),V193&gt;K193,FALSE))</f>
        <v/>
      </c>
      <c r="M193" s="7">
        <f>IF($X193="","",SUMIFS('Per Line'!$V$2:$V$3001,'Per Line'!$D$2:$D$3001,$B193,'Per Line'!$AN$2:$AN$3001,1))</f>
        <v/>
      </c>
      <c r="N193">
        <f>IF($X193="","",Settings!$C$7)</f>
        <v/>
      </c>
      <c r="O193" s="7">
        <f>IF($X193="","",SUMIFS('Per Line'!$V$2:$V$3001,'Per Line'!$D$2:$D$3001,$B193,'Per Line'!$AM$2:$AM$3001,0,'Per Line'!$AN$2:$AN$3001,0))</f>
        <v/>
      </c>
      <c r="P193" s="7">
        <f>IF($X193="","",O193*N193)</f>
        <v/>
      </c>
      <c r="Q193">
        <f>IF($X193="","",Settings!$C$6)</f>
        <v/>
      </c>
      <c r="R193" s="7">
        <f>IF($X193="","",SUMIFS('Per Line'!$V$2:$V$3001,'Per Line'!$D$2:$D$3001,$B193,'Per Line'!$AM$2:$AM$3001,1,'Per Line'!$AN$2:$AN$3001,0))</f>
        <v/>
      </c>
      <c r="S193" s="7">
        <f>IF($X193="","",R193*Q193)</f>
        <v/>
      </c>
      <c r="T193" s="7">
        <f>IF($X193="","",S193+P193)</f>
        <v/>
      </c>
      <c r="U193" s="7">
        <f>IF($X193="","",V193-T193)</f>
        <v/>
      </c>
      <c r="V193" s="7">
        <f>IF($X193="","",O193+R193+M193)</f>
        <v/>
      </c>
      <c r="W193" s="7">
        <f>IF($X193="","",V193-T193-I193)</f>
        <v/>
      </c>
      <c r="X193" s="13">
        <f>IF(ROWS($X$2:$X193)&lt;=MAX('Per Line'!$AL$2:$AL$3001),MATCH(ROWS($X$2:$X193),'Per Line'!$AL$2:$AL$3001,0),"")</f>
        <v/>
      </c>
    </row>
    <row r="194">
      <c r="A194" s="12" t="n"/>
      <c r="B194">
        <f>IF($X194="","",INDEX('Per Line'!$D$2:$D$3001,$X194)&amp;"")</f>
        <v/>
      </c>
      <c r="C194" s="11">
        <f>IF($X194="","",INDEX('Per Line'!$F$2:$F$3001,$X194))</f>
        <v/>
      </c>
      <c r="D194">
        <f>IF($X194="","",INDEX('Per Line'!$G$2:$G$3001,$X194)&amp;"")</f>
        <v/>
      </c>
      <c r="E194">
        <f>IF($X194="","",INDEX('Per Line'!$I$2:$I$3001,$X194)&amp;"")</f>
        <v/>
      </c>
      <c r="F194">
        <f>IF($X194="","",INDEX('Per Line'!$J$2:$J$3001,$X194)&amp;"")</f>
        <v/>
      </c>
      <c r="G194">
        <f>IF($X194="","",INDEX('Per Line'!$K$2:$K$3001,$X194)&amp;"")</f>
        <v/>
      </c>
      <c r="H194">
        <f>IF($X194="","",INDEX('Per Line'!$M$2:$M$3001,$X194))</f>
        <v/>
      </c>
      <c r="I194" s="7">
        <f>IF($X194="","",H194*V194/100)</f>
        <v/>
      </c>
      <c r="J194">
        <f>IF($X194="","",INDEX('Per Line'!$W$2:$W$3001,$X194)&amp;"")</f>
        <v/>
      </c>
      <c r="K194">
        <f>IF($X194="","",INDEX('Per Line'!$AD$2:$AD$3001,$X194))</f>
        <v/>
      </c>
      <c r="L194">
        <f>IF($X194="","",IF(AND(ISNUMBER(K194),K194&gt;0),V194&gt;K194,FALSE))</f>
        <v/>
      </c>
      <c r="M194" s="7">
        <f>IF($X194="","",SUMIFS('Per Line'!$V$2:$V$3001,'Per Line'!$D$2:$D$3001,$B194,'Per Line'!$AN$2:$AN$3001,1))</f>
        <v/>
      </c>
      <c r="N194">
        <f>IF($X194="","",Settings!$C$7)</f>
        <v/>
      </c>
      <c r="O194" s="7">
        <f>IF($X194="","",SUMIFS('Per Line'!$V$2:$V$3001,'Per Line'!$D$2:$D$3001,$B194,'Per Line'!$AM$2:$AM$3001,0,'Per Line'!$AN$2:$AN$3001,0))</f>
        <v/>
      </c>
      <c r="P194" s="7">
        <f>IF($X194="","",O194*N194)</f>
        <v/>
      </c>
      <c r="Q194">
        <f>IF($X194="","",Settings!$C$6)</f>
        <v/>
      </c>
      <c r="R194" s="7">
        <f>IF($X194="","",SUMIFS('Per Line'!$V$2:$V$3001,'Per Line'!$D$2:$D$3001,$B194,'Per Line'!$AM$2:$AM$3001,1,'Per Line'!$AN$2:$AN$3001,0))</f>
        <v/>
      </c>
      <c r="S194" s="7">
        <f>IF($X194="","",R194*Q194)</f>
        <v/>
      </c>
      <c r="T194" s="7">
        <f>IF($X194="","",S194+P194)</f>
        <v/>
      </c>
      <c r="U194" s="7">
        <f>IF($X194="","",V194-T194)</f>
        <v/>
      </c>
      <c r="V194" s="7">
        <f>IF($X194="","",O194+R194+M194)</f>
        <v/>
      </c>
      <c r="W194" s="7">
        <f>IF($X194="","",V194-T194-I194)</f>
        <v/>
      </c>
      <c r="X194" s="13">
        <f>IF(ROWS($X$2:$X194)&lt;=MAX('Per Line'!$AL$2:$AL$3001),MATCH(ROWS($X$2:$X194),'Per Line'!$AL$2:$AL$3001,0),"")</f>
        <v/>
      </c>
    </row>
    <row r="195">
      <c r="A195" s="12" t="n"/>
      <c r="B195">
        <f>IF($X195="","",INDEX('Per Line'!$D$2:$D$3001,$X195)&amp;"")</f>
        <v/>
      </c>
      <c r="C195" s="11">
        <f>IF($X195="","",INDEX('Per Line'!$F$2:$F$3001,$X195))</f>
        <v/>
      </c>
      <c r="D195">
        <f>IF($X195="","",INDEX('Per Line'!$G$2:$G$3001,$X195)&amp;"")</f>
        <v/>
      </c>
      <c r="E195">
        <f>IF($X195="","",INDEX('Per Line'!$I$2:$I$3001,$X195)&amp;"")</f>
        <v/>
      </c>
      <c r="F195">
        <f>IF($X195="","",INDEX('Per Line'!$J$2:$J$3001,$X195)&amp;"")</f>
        <v/>
      </c>
      <c r="G195">
        <f>IF($X195="","",INDEX('Per Line'!$K$2:$K$3001,$X195)&amp;"")</f>
        <v/>
      </c>
      <c r="H195">
        <f>IF($X195="","",INDEX('Per Line'!$M$2:$M$3001,$X195))</f>
        <v/>
      </c>
      <c r="I195" s="7">
        <f>IF($X195="","",H195*V195/100)</f>
        <v/>
      </c>
      <c r="J195">
        <f>IF($X195="","",INDEX('Per Line'!$W$2:$W$3001,$X195)&amp;"")</f>
        <v/>
      </c>
      <c r="K195">
        <f>IF($X195="","",INDEX('Per Line'!$AD$2:$AD$3001,$X195))</f>
        <v/>
      </c>
      <c r="L195">
        <f>IF($X195="","",IF(AND(ISNUMBER(K195),K195&gt;0),V195&gt;K195,FALSE))</f>
        <v/>
      </c>
      <c r="M195" s="7">
        <f>IF($X195="","",SUMIFS('Per Line'!$V$2:$V$3001,'Per Line'!$D$2:$D$3001,$B195,'Per Line'!$AN$2:$AN$3001,1))</f>
        <v/>
      </c>
      <c r="N195">
        <f>IF($X195="","",Settings!$C$7)</f>
        <v/>
      </c>
      <c r="O195" s="7">
        <f>IF($X195="","",SUMIFS('Per Line'!$V$2:$V$3001,'Per Line'!$D$2:$D$3001,$B195,'Per Line'!$AM$2:$AM$3001,0,'Per Line'!$AN$2:$AN$3001,0))</f>
        <v/>
      </c>
      <c r="P195" s="7">
        <f>IF($X195="","",O195*N195)</f>
        <v/>
      </c>
      <c r="Q195">
        <f>IF($X195="","",Settings!$C$6)</f>
        <v/>
      </c>
      <c r="R195" s="7">
        <f>IF($X195="","",SUMIFS('Per Line'!$V$2:$V$3001,'Per Line'!$D$2:$D$3001,$B195,'Per Line'!$AM$2:$AM$3001,1,'Per Line'!$AN$2:$AN$3001,0))</f>
        <v/>
      </c>
      <c r="S195" s="7">
        <f>IF($X195="","",R195*Q195)</f>
        <v/>
      </c>
      <c r="T195" s="7">
        <f>IF($X195="","",S195+P195)</f>
        <v/>
      </c>
      <c r="U195" s="7">
        <f>IF($X195="","",V195-T195)</f>
        <v/>
      </c>
      <c r="V195" s="7">
        <f>IF($X195="","",O195+R195+M195)</f>
        <v/>
      </c>
      <c r="W195" s="7">
        <f>IF($X195="","",V195-T195-I195)</f>
        <v/>
      </c>
      <c r="X195" s="13">
        <f>IF(ROWS($X$2:$X195)&lt;=MAX('Per Line'!$AL$2:$AL$3001),MATCH(ROWS($X$2:$X195),'Per Line'!$AL$2:$AL$3001,0),"")</f>
        <v/>
      </c>
    </row>
    <row r="196">
      <c r="A196" s="12" t="n"/>
      <c r="B196">
        <f>IF($X196="","",INDEX('Per Line'!$D$2:$D$3001,$X196)&amp;"")</f>
        <v/>
      </c>
      <c r="C196" s="11">
        <f>IF($X196="","",INDEX('Per Line'!$F$2:$F$3001,$X196))</f>
        <v/>
      </c>
      <c r="D196">
        <f>IF($X196="","",INDEX('Per Line'!$G$2:$G$3001,$X196)&amp;"")</f>
        <v/>
      </c>
      <c r="E196">
        <f>IF($X196="","",INDEX('Per Line'!$I$2:$I$3001,$X196)&amp;"")</f>
        <v/>
      </c>
      <c r="F196">
        <f>IF($X196="","",INDEX('Per Line'!$J$2:$J$3001,$X196)&amp;"")</f>
        <v/>
      </c>
      <c r="G196">
        <f>IF($X196="","",INDEX('Per Line'!$K$2:$K$3001,$X196)&amp;"")</f>
        <v/>
      </c>
      <c r="H196">
        <f>IF($X196="","",INDEX('Per Line'!$M$2:$M$3001,$X196))</f>
        <v/>
      </c>
      <c r="I196" s="7">
        <f>IF($X196="","",H196*V196/100)</f>
        <v/>
      </c>
      <c r="J196">
        <f>IF($X196="","",INDEX('Per Line'!$W$2:$W$3001,$X196)&amp;"")</f>
        <v/>
      </c>
      <c r="K196">
        <f>IF($X196="","",INDEX('Per Line'!$AD$2:$AD$3001,$X196))</f>
        <v/>
      </c>
      <c r="L196">
        <f>IF($X196="","",IF(AND(ISNUMBER(K196),K196&gt;0),V196&gt;K196,FALSE))</f>
        <v/>
      </c>
      <c r="M196" s="7">
        <f>IF($X196="","",SUMIFS('Per Line'!$V$2:$V$3001,'Per Line'!$D$2:$D$3001,$B196,'Per Line'!$AN$2:$AN$3001,1))</f>
        <v/>
      </c>
      <c r="N196">
        <f>IF($X196="","",Settings!$C$7)</f>
        <v/>
      </c>
      <c r="O196" s="7">
        <f>IF($X196="","",SUMIFS('Per Line'!$V$2:$V$3001,'Per Line'!$D$2:$D$3001,$B196,'Per Line'!$AM$2:$AM$3001,0,'Per Line'!$AN$2:$AN$3001,0))</f>
        <v/>
      </c>
      <c r="P196" s="7">
        <f>IF($X196="","",O196*N196)</f>
        <v/>
      </c>
      <c r="Q196">
        <f>IF($X196="","",Settings!$C$6)</f>
        <v/>
      </c>
      <c r="R196" s="7">
        <f>IF($X196="","",SUMIFS('Per Line'!$V$2:$V$3001,'Per Line'!$D$2:$D$3001,$B196,'Per Line'!$AM$2:$AM$3001,1,'Per Line'!$AN$2:$AN$3001,0))</f>
        <v/>
      </c>
      <c r="S196" s="7">
        <f>IF($X196="","",R196*Q196)</f>
        <v/>
      </c>
      <c r="T196" s="7">
        <f>IF($X196="","",S196+P196)</f>
        <v/>
      </c>
      <c r="U196" s="7">
        <f>IF($X196="","",V196-T196)</f>
        <v/>
      </c>
      <c r="V196" s="7">
        <f>IF($X196="","",O196+R196+M196)</f>
        <v/>
      </c>
      <c r="W196" s="7">
        <f>IF($X196="","",V196-T196-I196)</f>
        <v/>
      </c>
      <c r="X196" s="13">
        <f>IF(ROWS($X$2:$X196)&lt;=MAX('Per Line'!$AL$2:$AL$3001),MATCH(ROWS($X$2:$X196),'Per Line'!$AL$2:$AL$3001,0),"")</f>
        <v/>
      </c>
    </row>
    <row r="197">
      <c r="A197" s="12" t="n"/>
      <c r="B197">
        <f>IF($X197="","",INDEX('Per Line'!$D$2:$D$3001,$X197)&amp;"")</f>
        <v/>
      </c>
      <c r="C197" s="11">
        <f>IF($X197="","",INDEX('Per Line'!$F$2:$F$3001,$X197))</f>
        <v/>
      </c>
      <c r="D197">
        <f>IF($X197="","",INDEX('Per Line'!$G$2:$G$3001,$X197)&amp;"")</f>
        <v/>
      </c>
      <c r="E197">
        <f>IF($X197="","",INDEX('Per Line'!$I$2:$I$3001,$X197)&amp;"")</f>
        <v/>
      </c>
      <c r="F197">
        <f>IF($X197="","",INDEX('Per Line'!$J$2:$J$3001,$X197)&amp;"")</f>
        <v/>
      </c>
      <c r="G197">
        <f>IF($X197="","",INDEX('Per Line'!$K$2:$K$3001,$X197)&amp;"")</f>
        <v/>
      </c>
      <c r="H197">
        <f>IF($X197="","",INDEX('Per Line'!$M$2:$M$3001,$X197))</f>
        <v/>
      </c>
      <c r="I197" s="7">
        <f>IF($X197="","",H197*V197/100)</f>
        <v/>
      </c>
      <c r="J197">
        <f>IF($X197="","",INDEX('Per Line'!$W$2:$W$3001,$X197)&amp;"")</f>
        <v/>
      </c>
      <c r="K197">
        <f>IF($X197="","",INDEX('Per Line'!$AD$2:$AD$3001,$X197))</f>
        <v/>
      </c>
      <c r="L197">
        <f>IF($X197="","",IF(AND(ISNUMBER(K197),K197&gt;0),V197&gt;K197,FALSE))</f>
        <v/>
      </c>
      <c r="M197" s="7">
        <f>IF($X197="","",SUMIFS('Per Line'!$V$2:$V$3001,'Per Line'!$D$2:$D$3001,$B197,'Per Line'!$AN$2:$AN$3001,1))</f>
        <v/>
      </c>
      <c r="N197">
        <f>IF($X197="","",Settings!$C$7)</f>
        <v/>
      </c>
      <c r="O197" s="7">
        <f>IF($X197="","",SUMIFS('Per Line'!$V$2:$V$3001,'Per Line'!$D$2:$D$3001,$B197,'Per Line'!$AM$2:$AM$3001,0,'Per Line'!$AN$2:$AN$3001,0))</f>
        <v/>
      </c>
      <c r="P197" s="7">
        <f>IF($X197="","",O197*N197)</f>
        <v/>
      </c>
      <c r="Q197">
        <f>IF($X197="","",Settings!$C$6)</f>
        <v/>
      </c>
      <c r="R197" s="7">
        <f>IF($X197="","",SUMIFS('Per Line'!$V$2:$V$3001,'Per Line'!$D$2:$D$3001,$B197,'Per Line'!$AM$2:$AM$3001,1,'Per Line'!$AN$2:$AN$3001,0))</f>
        <v/>
      </c>
      <c r="S197" s="7">
        <f>IF($X197="","",R197*Q197)</f>
        <v/>
      </c>
      <c r="T197" s="7">
        <f>IF($X197="","",S197+P197)</f>
        <v/>
      </c>
      <c r="U197" s="7">
        <f>IF($X197="","",V197-T197)</f>
        <v/>
      </c>
      <c r="V197" s="7">
        <f>IF($X197="","",O197+R197+M197)</f>
        <v/>
      </c>
      <c r="W197" s="7">
        <f>IF($X197="","",V197-T197-I197)</f>
        <v/>
      </c>
      <c r="X197" s="13">
        <f>IF(ROWS($X$2:$X197)&lt;=MAX('Per Line'!$AL$2:$AL$3001),MATCH(ROWS($X$2:$X197),'Per Line'!$AL$2:$AL$3001,0),"")</f>
        <v/>
      </c>
    </row>
    <row r="198">
      <c r="A198" s="12" t="n"/>
      <c r="B198">
        <f>IF($X198="","",INDEX('Per Line'!$D$2:$D$3001,$X198)&amp;"")</f>
        <v/>
      </c>
      <c r="C198" s="11">
        <f>IF($X198="","",INDEX('Per Line'!$F$2:$F$3001,$X198))</f>
        <v/>
      </c>
      <c r="D198">
        <f>IF($X198="","",INDEX('Per Line'!$G$2:$G$3001,$X198)&amp;"")</f>
        <v/>
      </c>
      <c r="E198">
        <f>IF($X198="","",INDEX('Per Line'!$I$2:$I$3001,$X198)&amp;"")</f>
        <v/>
      </c>
      <c r="F198">
        <f>IF($X198="","",INDEX('Per Line'!$J$2:$J$3001,$X198)&amp;"")</f>
        <v/>
      </c>
      <c r="G198">
        <f>IF($X198="","",INDEX('Per Line'!$K$2:$K$3001,$X198)&amp;"")</f>
        <v/>
      </c>
      <c r="H198">
        <f>IF($X198="","",INDEX('Per Line'!$M$2:$M$3001,$X198))</f>
        <v/>
      </c>
      <c r="I198" s="7">
        <f>IF($X198="","",H198*V198/100)</f>
        <v/>
      </c>
      <c r="J198">
        <f>IF($X198="","",INDEX('Per Line'!$W$2:$W$3001,$X198)&amp;"")</f>
        <v/>
      </c>
      <c r="K198">
        <f>IF($X198="","",INDEX('Per Line'!$AD$2:$AD$3001,$X198))</f>
        <v/>
      </c>
      <c r="L198">
        <f>IF($X198="","",IF(AND(ISNUMBER(K198),K198&gt;0),V198&gt;K198,FALSE))</f>
        <v/>
      </c>
      <c r="M198" s="7">
        <f>IF($X198="","",SUMIFS('Per Line'!$V$2:$V$3001,'Per Line'!$D$2:$D$3001,$B198,'Per Line'!$AN$2:$AN$3001,1))</f>
        <v/>
      </c>
      <c r="N198">
        <f>IF($X198="","",Settings!$C$7)</f>
        <v/>
      </c>
      <c r="O198" s="7">
        <f>IF($X198="","",SUMIFS('Per Line'!$V$2:$V$3001,'Per Line'!$D$2:$D$3001,$B198,'Per Line'!$AM$2:$AM$3001,0,'Per Line'!$AN$2:$AN$3001,0))</f>
        <v/>
      </c>
      <c r="P198" s="7">
        <f>IF($X198="","",O198*N198)</f>
        <v/>
      </c>
      <c r="Q198">
        <f>IF($X198="","",Settings!$C$6)</f>
        <v/>
      </c>
      <c r="R198" s="7">
        <f>IF($X198="","",SUMIFS('Per Line'!$V$2:$V$3001,'Per Line'!$D$2:$D$3001,$B198,'Per Line'!$AM$2:$AM$3001,1,'Per Line'!$AN$2:$AN$3001,0))</f>
        <v/>
      </c>
      <c r="S198" s="7">
        <f>IF($X198="","",R198*Q198)</f>
        <v/>
      </c>
      <c r="T198" s="7">
        <f>IF($X198="","",S198+P198)</f>
        <v/>
      </c>
      <c r="U198" s="7">
        <f>IF($X198="","",V198-T198)</f>
        <v/>
      </c>
      <c r="V198" s="7">
        <f>IF($X198="","",O198+R198+M198)</f>
        <v/>
      </c>
      <c r="W198" s="7">
        <f>IF($X198="","",V198-T198-I198)</f>
        <v/>
      </c>
      <c r="X198" s="13">
        <f>IF(ROWS($X$2:$X198)&lt;=MAX('Per Line'!$AL$2:$AL$3001),MATCH(ROWS($X$2:$X198),'Per Line'!$AL$2:$AL$3001,0),"")</f>
        <v/>
      </c>
    </row>
    <row r="199">
      <c r="A199" s="12" t="n"/>
      <c r="B199">
        <f>IF($X199="","",INDEX('Per Line'!$D$2:$D$3001,$X199)&amp;"")</f>
        <v/>
      </c>
      <c r="C199" s="11">
        <f>IF($X199="","",INDEX('Per Line'!$F$2:$F$3001,$X199))</f>
        <v/>
      </c>
      <c r="D199">
        <f>IF($X199="","",INDEX('Per Line'!$G$2:$G$3001,$X199)&amp;"")</f>
        <v/>
      </c>
      <c r="E199">
        <f>IF($X199="","",INDEX('Per Line'!$I$2:$I$3001,$X199)&amp;"")</f>
        <v/>
      </c>
      <c r="F199">
        <f>IF($X199="","",INDEX('Per Line'!$J$2:$J$3001,$X199)&amp;"")</f>
        <v/>
      </c>
      <c r="G199">
        <f>IF($X199="","",INDEX('Per Line'!$K$2:$K$3001,$X199)&amp;"")</f>
        <v/>
      </c>
      <c r="H199">
        <f>IF($X199="","",INDEX('Per Line'!$M$2:$M$3001,$X199))</f>
        <v/>
      </c>
      <c r="I199" s="7">
        <f>IF($X199="","",H199*V199/100)</f>
        <v/>
      </c>
      <c r="J199">
        <f>IF($X199="","",INDEX('Per Line'!$W$2:$W$3001,$X199)&amp;"")</f>
        <v/>
      </c>
      <c r="K199">
        <f>IF($X199="","",INDEX('Per Line'!$AD$2:$AD$3001,$X199))</f>
        <v/>
      </c>
      <c r="L199">
        <f>IF($X199="","",IF(AND(ISNUMBER(K199),K199&gt;0),V199&gt;K199,FALSE))</f>
        <v/>
      </c>
      <c r="M199" s="7">
        <f>IF($X199="","",SUMIFS('Per Line'!$V$2:$V$3001,'Per Line'!$D$2:$D$3001,$B199,'Per Line'!$AN$2:$AN$3001,1))</f>
        <v/>
      </c>
      <c r="N199">
        <f>IF($X199="","",Settings!$C$7)</f>
        <v/>
      </c>
      <c r="O199" s="7">
        <f>IF($X199="","",SUMIFS('Per Line'!$V$2:$V$3001,'Per Line'!$D$2:$D$3001,$B199,'Per Line'!$AM$2:$AM$3001,0,'Per Line'!$AN$2:$AN$3001,0))</f>
        <v/>
      </c>
      <c r="P199" s="7">
        <f>IF($X199="","",O199*N199)</f>
        <v/>
      </c>
      <c r="Q199">
        <f>IF($X199="","",Settings!$C$6)</f>
        <v/>
      </c>
      <c r="R199" s="7">
        <f>IF($X199="","",SUMIFS('Per Line'!$V$2:$V$3001,'Per Line'!$D$2:$D$3001,$B199,'Per Line'!$AM$2:$AM$3001,1,'Per Line'!$AN$2:$AN$3001,0))</f>
        <v/>
      </c>
      <c r="S199" s="7">
        <f>IF($X199="","",R199*Q199)</f>
        <v/>
      </c>
      <c r="T199" s="7">
        <f>IF($X199="","",S199+P199)</f>
        <v/>
      </c>
      <c r="U199" s="7">
        <f>IF($X199="","",V199-T199)</f>
        <v/>
      </c>
      <c r="V199" s="7">
        <f>IF($X199="","",O199+R199+M199)</f>
        <v/>
      </c>
      <c r="W199" s="7">
        <f>IF($X199="","",V199-T199-I199)</f>
        <v/>
      </c>
      <c r="X199" s="13">
        <f>IF(ROWS($X$2:$X199)&lt;=MAX('Per Line'!$AL$2:$AL$3001),MATCH(ROWS($X$2:$X199),'Per Line'!$AL$2:$AL$3001,0),"")</f>
        <v/>
      </c>
    </row>
    <row r="200">
      <c r="A200" s="12" t="n"/>
      <c r="B200">
        <f>IF($X200="","",INDEX('Per Line'!$D$2:$D$3001,$X200)&amp;"")</f>
        <v/>
      </c>
      <c r="C200" s="11">
        <f>IF($X200="","",INDEX('Per Line'!$F$2:$F$3001,$X200))</f>
        <v/>
      </c>
      <c r="D200">
        <f>IF($X200="","",INDEX('Per Line'!$G$2:$G$3001,$X200)&amp;"")</f>
        <v/>
      </c>
      <c r="E200">
        <f>IF($X200="","",INDEX('Per Line'!$I$2:$I$3001,$X200)&amp;"")</f>
        <v/>
      </c>
      <c r="F200">
        <f>IF($X200="","",INDEX('Per Line'!$J$2:$J$3001,$X200)&amp;"")</f>
        <v/>
      </c>
      <c r="G200">
        <f>IF($X200="","",INDEX('Per Line'!$K$2:$K$3001,$X200)&amp;"")</f>
        <v/>
      </c>
      <c r="H200">
        <f>IF($X200="","",INDEX('Per Line'!$M$2:$M$3001,$X200))</f>
        <v/>
      </c>
      <c r="I200" s="7">
        <f>IF($X200="","",H200*V200/100)</f>
        <v/>
      </c>
      <c r="J200">
        <f>IF($X200="","",INDEX('Per Line'!$W$2:$W$3001,$X200)&amp;"")</f>
        <v/>
      </c>
      <c r="K200">
        <f>IF($X200="","",INDEX('Per Line'!$AD$2:$AD$3001,$X200))</f>
        <v/>
      </c>
      <c r="L200">
        <f>IF($X200="","",IF(AND(ISNUMBER(K200),K200&gt;0),V200&gt;K200,FALSE))</f>
        <v/>
      </c>
      <c r="M200" s="7">
        <f>IF($X200="","",SUMIFS('Per Line'!$V$2:$V$3001,'Per Line'!$D$2:$D$3001,$B200,'Per Line'!$AN$2:$AN$3001,1))</f>
        <v/>
      </c>
      <c r="N200">
        <f>IF($X200="","",Settings!$C$7)</f>
        <v/>
      </c>
      <c r="O200" s="7">
        <f>IF($X200="","",SUMIFS('Per Line'!$V$2:$V$3001,'Per Line'!$D$2:$D$3001,$B200,'Per Line'!$AM$2:$AM$3001,0,'Per Line'!$AN$2:$AN$3001,0))</f>
        <v/>
      </c>
      <c r="P200" s="7">
        <f>IF($X200="","",O200*N200)</f>
        <v/>
      </c>
      <c r="Q200">
        <f>IF($X200="","",Settings!$C$6)</f>
        <v/>
      </c>
      <c r="R200" s="7">
        <f>IF($X200="","",SUMIFS('Per Line'!$V$2:$V$3001,'Per Line'!$D$2:$D$3001,$B200,'Per Line'!$AM$2:$AM$3001,1,'Per Line'!$AN$2:$AN$3001,0))</f>
        <v/>
      </c>
      <c r="S200" s="7">
        <f>IF($X200="","",R200*Q200)</f>
        <v/>
      </c>
      <c r="T200" s="7">
        <f>IF($X200="","",S200+P200)</f>
        <v/>
      </c>
      <c r="U200" s="7">
        <f>IF($X200="","",V200-T200)</f>
        <v/>
      </c>
      <c r="V200" s="7">
        <f>IF($X200="","",O200+R200+M200)</f>
        <v/>
      </c>
      <c r="W200" s="7">
        <f>IF($X200="","",V200-T200-I200)</f>
        <v/>
      </c>
      <c r="X200" s="13">
        <f>IF(ROWS($X$2:$X200)&lt;=MAX('Per Line'!$AL$2:$AL$3001),MATCH(ROWS($X$2:$X200),'Per Line'!$AL$2:$AL$3001,0),"")</f>
        <v/>
      </c>
    </row>
    <row r="201">
      <c r="A201" s="12" t="n"/>
      <c r="B201">
        <f>IF($X201="","",INDEX('Per Line'!$D$2:$D$3001,$X201)&amp;"")</f>
        <v/>
      </c>
      <c r="C201" s="11">
        <f>IF($X201="","",INDEX('Per Line'!$F$2:$F$3001,$X201))</f>
        <v/>
      </c>
      <c r="D201">
        <f>IF($X201="","",INDEX('Per Line'!$G$2:$G$3001,$X201)&amp;"")</f>
        <v/>
      </c>
      <c r="E201">
        <f>IF($X201="","",INDEX('Per Line'!$I$2:$I$3001,$X201)&amp;"")</f>
        <v/>
      </c>
      <c r="F201">
        <f>IF($X201="","",INDEX('Per Line'!$J$2:$J$3001,$X201)&amp;"")</f>
        <v/>
      </c>
      <c r="G201">
        <f>IF($X201="","",INDEX('Per Line'!$K$2:$K$3001,$X201)&amp;"")</f>
        <v/>
      </c>
      <c r="H201">
        <f>IF($X201="","",INDEX('Per Line'!$M$2:$M$3001,$X201))</f>
        <v/>
      </c>
      <c r="I201" s="7">
        <f>IF($X201="","",H201*V201/100)</f>
        <v/>
      </c>
      <c r="J201">
        <f>IF($X201="","",INDEX('Per Line'!$W$2:$W$3001,$X201)&amp;"")</f>
        <v/>
      </c>
      <c r="K201">
        <f>IF($X201="","",INDEX('Per Line'!$AD$2:$AD$3001,$X201))</f>
        <v/>
      </c>
      <c r="L201">
        <f>IF($X201="","",IF(AND(ISNUMBER(K201),K201&gt;0),V201&gt;K201,FALSE))</f>
        <v/>
      </c>
      <c r="M201" s="7">
        <f>IF($X201="","",SUMIFS('Per Line'!$V$2:$V$3001,'Per Line'!$D$2:$D$3001,$B201,'Per Line'!$AN$2:$AN$3001,1))</f>
        <v/>
      </c>
      <c r="N201">
        <f>IF($X201="","",Settings!$C$7)</f>
        <v/>
      </c>
      <c r="O201" s="7">
        <f>IF($X201="","",SUMIFS('Per Line'!$V$2:$V$3001,'Per Line'!$D$2:$D$3001,$B201,'Per Line'!$AM$2:$AM$3001,0,'Per Line'!$AN$2:$AN$3001,0))</f>
        <v/>
      </c>
      <c r="P201" s="7">
        <f>IF($X201="","",O201*N201)</f>
        <v/>
      </c>
      <c r="Q201">
        <f>IF($X201="","",Settings!$C$6)</f>
        <v/>
      </c>
      <c r="R201" s="7">
        <f>IF($X201="","",SUMIFS('Per Line'!$V$2:$V$3001,'Per Line'!$D$2:$D$3001,$B201,'Per Line'!$AM$2:$AM$3001,1,'Per Line'!$AN$2:$AN$3001,0))</f>
        <v/>
      </c>
      <c r="S201" s="7">
        <f>IF($X201="","",R201*Q201)</f>
        <v/>
      </c>
      <c r="T201" s="7">
        <f>IF($X201="","",S201+P201)</f>
        <v/>
      </c>
      <c r="U201" s="7">
        <f>IF($X201="","",V201-T201)</f>
        <v/>
      </c>
      <c r="V201" s="7">
        <f>IF($X201="","",O201+R201+M201)</f>
        <v/>
      </c>
      <c r="W201" s="7">
        <f>IF($X201="","",V201-T201-I201)</f>
        <v/>
      </c>
      <c r="X201" s="13">
        <f>IF(ROWS($X$2:$X201)&lt;=MAX('Per Line'!$AL$2:$AL$3001),MATCH(ROWS($X$2:$X201),'Per Line'!$AL$2:$AL$3001,0),"")</f>
        <v/>
      </c>
    </row>
    <row r="202">
      <c r="A202" s="12" t="n"/>
      <c r="B202">
        <f>IF($X202="","",INDEX('Per Line'!$D$2:$D$3001,$X202)&amp;"")</f>
        <v/>
      </c>
      <c r="C202" s="11">
        <f>IF($X202="","",INDEX('Per Line'!$F$2:$F$3001,$X202))</f>
        <v/>
      </c>
      <c r="D202">
        <f>IF($X202="","",INDEX('Per Line'!$G$2:$G$3001,$X202)&amp;"")</f>
        <v/>
      </c>
      <c r="E202">
        <f>IF($X202="","",INDEX('Per Line'!$I$2:$I$3001,$X202)&amp;"")</f>
        <v/>
      </c>
      <c r="F202">
        <f>IF($X202="","",INDEX('Per Line'!$J$2:$J$3001,$X202)&amp;"")</f>
        <v/>
      </c>
      <c r="G202">
        <f>IF($X202="","",INDEX('Per Line'!$K$2:$K$3001,$X202)&amp;"")</f>
        <v/>
      </c>
      <c r="H202">
        <f>IF($X202="","",INDEX('Per Line'!$M$2:$M$3001,$X202))</f>
        <v/>
      </c>
      <c r="I202" s="7">
        <f>IF($X202="","",H202*V202/100)</f>
        <v/>
      </c>
      <c r="J202">
        <f>IF($X202="","",INDEX('Per Line'!$W$2:$W$3001,$X202)&amp;"")</f>
        <v/>
      </c>
      <c r="K202">
        <f>IF($X202="","",INDEX('Per Line'!$AD$2:$AD$3001,$X202))</f>
        <v/>
      </c>
      <c r="L202">
        <f>IF($X202="","",IF(AND(ISNUMBER(K202),K202&gt;0),V202&gt;K202,FALSE))</f>
        <v/>
      </c>
      <c r="M202" s="7">
        <f>IF($X202="","",SUMIFS('Per Line'!$V$2:$V$3001,'Per Line'!$D$2:$D$3001,$B202,'Per Line'!$AN$2:$AN$3001,1))</f>
        <v/>
      </c>
      <c r="N202">
        <f>IF($X202="","",Settings!$C$7)</f>
        <v/>
      </c>
      <c r="O202" s="7">
        <f>IF($X202="","",SUMIFS('Per Line'!$V$2:$V$3001,'Per Line'!$D$2:$D$3001,$B202,'Per Line'!$AM$2:$AM$3001,0,'Per Line'!$AN$2:$AN$3001,0))</f>
        <v/>
      </c>
      <c r="P202" s="7">
        <f>IF($X202="","",O202*N202)</f>
        <v/>
      </c>
      <c r="Q202">
        <f>IF($X202="","",Settings!$C$6)</f>
        <v/>
      </c>
      <c r="R202" s="7">
        <f>IF($X202="","",SUMIFS('Per Line'!$V$2:$V$3001,'Per Line'!$D$2:$D$3001,$B202,'Per Line'!$AM$2:$AM$3001,1,'Per Line'!$AN$2:$AN$3001,0))</f>
        <v/>
      </c>
      <c r="S202" s="7">
        <f>IF($X202="","",R202*Q202)</f>
        <v/>
      </c>
      <c r="T202" s="7">
        <f>IF($X202="","",S202+P202)</f>
        <v/>
      </c>
      <c r="U202" s="7">
        <f>IF($X202="","",V202-T202)</f>
        <v/>
      </c>
      <c r="V202" s="7">
        <f>IF($X202="","",O202+R202+M202)</f>
        <v/>
      </c>
      <c r="W202" s="7">
        <f>IF($X202="","",V202-T202-I202)</f>
        <v/>
      </c>
      <c r="X202" s="13">
        <f>IF(ROWS($X$2:$X202)&lt;=MAX('Per Line'!$AL$2:$AL$3001),MATCH(ROWS($X$2:$X202),'Per Line'!$AL$2:$AL$3001,0),"")</f>
        <v/>
      </c>
    </row>
    <row r="203">
      <c r="A203" s="12" t="n"/>
      <c r="B203">
        <f>IF($X203="","",INDEX('Per Line'!$D$2:$D$3001,$X203)&amp;"")</f>
        <v/>
      </c>
      <c r="C203" s="11">
        <f>IF($X203="","",INDEX('Per Line'!$F$2:$F$3001,$X203))</f>
        <v/>
      </c>
      <c r="D203">
        <f>IF($X203="","",INDEX('Per Line'!$G$2:$G$3001,$X203)&amp;"")</f>
        <v/>
      </c>
      <c r="E203">
        <f>IF($X203="","",INDEX('Per Line'!$I$2:$I$3001,$X203)&amp;"")</f>
        <v/>
      </c>
      <c r="F203">
        <f>IF($X203="","",INDEX('Per Line'!$J$2:$J$3001,$X203)&amp;"")</f>
        <v/>
      </c>
      <c r="G203">
        <f>IF($X203="","",INDEX('Per Line'!$K$2:$K$3001,$X203)&amp;"")</f>
        <v/>
      </c>
      <c r="H203">
        <f>IF($X203="","",INDEX('Per Line'!$M$2:$M$3001,$X203))</f>
        <v/>
      </c>
      <c r="I203" s="7">
        <f>IF($X203="","",H203*V203/100)</f>
        <v/>
      </c>
      <c r="J203">
        <f>IF($X203="","",INDEX('Per Line'!$W$2:$W$3001,$X203)&amp;"")</f>
        <v/>
      </c>
      <c r="K203">
        <f>IF($X203="","",INDEX('Per Line'!$AD$2:$AD$3001,$X203))</f>
        <v/>
      </c>
      <c r="L203">
        <f>IF($X203="","",IF(AND(ISNUMBER(K203),K203&gt;0),V203&gt;K203,FALSE))</f>
        <v/>
      </c>
      <c r="M203" s="7">
        <f>IF($X203="","",SUMIFS('Per Line'!$V$2:$V$3001,'Per Line'!$D$2:$D$3001,$B203,'Per Line'!$AN$2:$AN$3001,1))</f>
        <v/>
      </c>
      <c r="N203">
        <f>IF($X203="","",Settings!$C$7)</f>
        <v/>
      </c>
      <c r="O203" s="7">
        <f>IF($X203="","",SUMIFS('Per Line'!$V$2:$V$3001,'Per Line'!$D$2:$D$3001,$B203,'Per Line'!$AM$2:$AM$3001,0,'Per Line'!$AN$2:$AN$3001,0))</f>
        <v/>
      </c>
      <c r="P203" s="7">
        <f>IF($X203="","",O203*N203)</f>
        <v/>
      </c>
      <c r="Q203">
        <f>IF($X203="","",Settings!$C$6)</f>
        <v/>
      </c>
      <c r="R203" s="7">
        <f>IF($X203="","",SUMIFS('Per Line'!$V$2:$V$3001,'Per Line'!$D$2:$D$3001,$B203,'Per Line'!$AM$2:$AM$3001,1,'Per Line'!$AN$2:$AN$3001,0))</f>
        <v/>
      </c>
      <c r="S203" s="7">
        <f>IF($X203="","",R203*Q203)</f>
        <v/>
      </c>
      <c r="T203" s="7">
        <f>IF($X203="","",S203+P203)</f>
        <v/>
      </c>
      <c r="U203" s="7">
        <f>IF($X203="","",V203-T203)</f>
        <v/>
      </c>
      <c r="V203" s="7">
        <f>IF($X203="","",O203+R203+M203)</f>
        <v/>
      </c>
      <c r="W203" s="7">
        <f>IF($X203="","",V203-T203-I203)</f>
        <v/>
      </c>
      <c r="X203" s="13">
        <f>IF(ROWS($X$2:$X203)&lt;=MAX('Per Line'!$AL$2:$AL$3001),MATCH(ROWS($X$2:$X203),'Per Line'!$AL$2:$AL$3001,0),"")</f>
        <v/>
      </c>
    </row>
    <row r="204">
      <c r="A204" s="12" t="n"/>
      <c r="B204">
        <f>IF($X204="","",INDEX('Per Line'!$D$2:$D$3001,$X204)&amp;"")</f>
        <v/>
      </c>
      <c r="C204" s="11">
        <f>IF($X204="","",INDEX('Per Line'!$F$2:$F$3001,$X204))</f>
        <v/>
      </c>
      <c r="D204">
        <f>IF($X204="","",INDEX('Per Line'!$G$2:$G$3001,$X204)&amp;"")</f>
        <v/>
      </c>
      <c r="E204">
        <f>IF($X204="","",INDEX('Per Line'!$I$2:$I$3001,$X204)&amp;"")</f>
        <v/>
      </c>
      <c r="F204">
        <f>IF($X204="","",INDEX('Per Line'!$J$2:$J$3001,$X204)&amp;"")</f>
        <v/>
      </c>
      <c r="G204">
        <f>IF($X204="","",INDEX('Per Line'!$K$2:$K$3001,$X204)&amp;"")</f>
        <v/>
      </c>
      <c r="H204">
        <f>IF($X204="","",INDEX('Per Line'!$M$2:$M$3001,$X204))</f>
        <v/>
      </c>
      <c r="I204" s="7">
        <f>IF($X204="","",H204*V204/100)</f>
        <v/>
      </c>
      <c r="J204">
        <f>IF($X204="","",INDEX('Per Line'!$W$2:$W$3001,$X204)&amp;"")</f>
        <v/>
      </c>
      <c r="K204">
        <f>IF($X204="","",INDEX('Per Line'!$AD$2:$AD$3001,$X204))</f>
        <v/>
      </c>
      <c r="L204">
        <f>IF($X204="","",IF(AND(ISNUMBER(K204),K204&gt;0),V204&gt;K204,FALSE))</f>
        <v/>
      </c>
      <c r="M204" s="7">
        <f>IF($X204="","",SUMIFS('Per Line'!$V$2:$V$3001,'Per Line'!$D$2:$D$3001,$B204,'Per Line'!$AN$2:$AN$3001,1))</f>
        <v/>
      </c>
      <c r="N204">
        <f>IF($X204="","",Settings!$C$7)</f>
        <v/>
      </c>
      <c r="O204" s="7">
        <f>IF($X204="","",SUMIFS('Per Line'!$V$2:$V$3001,'Per Line'!$D$2:$D$3001,$B204,'Per Line'!$AM$2:$AM$3001,0,'Per Line'!$AN$2:$AN$3001,0))</f>
        <v/>
      </c>
      <c r="P204" s="7">
        <f>IF($X204="","",O204*N204)</f>
        <v/>
      </c>
      <c r="Q204">
        <f>IF($X204="","",Settings!$C$6)</f>
        <v/>
      </c>
      <c r="R204" s="7">
        <f>IF($X204="","",SUMIFS('Per Line'!$V$2:$V$3001,'Per Line'!$D$2:$D$3001,$B204,'Per Line'!$AM$2:$AM$3001,1,'Per Line'!$AN$2:$AN$3001,0))</f>
        <v/>
      </c>
      <c r="S204" s="7">
        <f>IF($X204="","",R204*Q204)</f>
        <v/>
      </c>
      <c r="T204" s="7">
        <f>IF($X204="","",S204+P204)</f>
        <v/>
      </c>
      <c r="U204" s="7">
        <f>IF($X204="","",V204-T204)</f>
        <v/>
      </c>
      <c r="V204" s="7">
        <f>IF($X204="","",O204+R204+M204)</f>
        <v/>
      </c>
      <c r="W204" s="7">
        <f>IF($X204="","",V204-T204-I204)</f>
        <v/>
      </c>
      <c r="X204" s="13">
        <f>IF(ROWS($X$2:$X204)&lt;=MAX('Per Line'!$AL$2:$AL$3001),MATCH(ROWS($X$2:$X204),'Per Line'!$AL$2:$AL$3001,0),"")</f>
        <v/>
      </c>
    </row>
    <row r="205">
      <c r="A205" s="12" t="n"/>
      <c r="B205">
        <f>IF($X205="","",INDEX('Per Line'!$D$2:$D$3001,$X205)&amp;"")</f>
        <v/>
      </c>
      <c r="C205" s="11">
        <f>IF($X205="","",INDEX('Per Line'!$F$2:$F$3001,$X205))</f>
        <v/>
      </c>
      <c r="D205">
        <f>IF($X205="","",INDEX('Per Line'!$G$2:$G$3001,$X205)&amp;"")</f>
        <v/>
      </c>
      <c r="E205">
        <f>IF($X205="","",INDEX('Per Line'!$I$2:$I$3001,$X205)&amp;"")</f>
        <v/>
      </c>
      <c r="F205">
        <f>IF($X205="","",INDEX('Per Line'!$J$2:$J$3001,$X205)&amp;"")</f>
        <v/>
      </c>
      <c r="G205">
        <f>IF($X205="","",INDEX('Per Line'!$K$2:$K$3001,$X205)&amp;"")</f>
        <v/>
      </c>
      <c r="H205">
        <f>IF($X205="","",INDEX('Per Line'!$M$2:$M$3001,$X205))</f>
        <v/>
      </c>
      <c r="I205" s="7">
        <f>IF($X205="","",H205*V205/100)</f>
        <v/>
      </c>
      <c r="J205">
        <f>IF($X205="","",INDEX('Per Line'!$W$2:$W$3001,$X205)&amp;"")</f>
        <v/>
      </c>
      <c r="K205">
        <f>IF($X205="","",INDEX('Per Line'!$AD$2:$AD$3001,$X205))</f>
        <v/>
      </c>
      <c r="L205">
        <f>IF($X205="","",IF(AND(ISNUMBER(K205),K205&gt;0),V205&gt;K205,FALSE))</f>
        <v/>
      </c>
      <c r="M205" s="7">
        <f>IF($X205="","",SUMIFS('Per Line'!$V$2:$V$3001,'Per Line'!$D$2:$D$3001,$B205,'Per Line'!$AN$2:$AN$3001,1))</f>
        <v/>
      </c>
      <c r="N205">
        <f>IF($X205="","",Settings!$C$7)</f>
        <v/>
      </c>
      <c r="O205" s="7">
        <f>IF($X205="","",SUMIFS('Per Line'!$V$2:$V$3001,'Per Line'!$D$2:$D$3001,$B205,'Per Line'!$AM$2:$AM$3001,0,'Per Line'!$AN$2:$AN$3001,0))</f>
        <v/>
      </c>
      <c r="P205" s="7">
        <f>IF($X205="","",O205*N205)</f>
        <v/>
      </c>
      <c r="Q205">
        <f>IF($X205="","",Settings!$C$6)</f>
        <v/>
      </c>
      <c r="R205" s="7">
        <f>IF($X205="","",SUMIFS('Per Line'!$V$2:$V$3001,'Per Line'!$D$2:$D$3001,$B205,'Per Line'!$AM$2:$AM$3001,1,'Per Line'!$AN$2:$AN$3001,0))</f>
        <v/>
      </c>
      <c r="S205" s="7">
        <f>IF($X205="","",R205*Q205)</f>
        <v/>
      </c>
      <c r="T205" s="7">
        <f>IF($X205="","",S205+P205)</f>
        <v/>
      </c>
      <c r="U205" s="7">
        <f>IF($X205="","",V205-T205)</f>
        <v/>
      </c>
      <c r="V205" s="7">
        <f>IF($X205="","",O205+R205+M205)</f>
        <v/>
      </c>
      <c r="W205" s="7">
        <f>IF($X205="","",V205-T205-I205)</f>
        <v/>
      </c>
      <c r="X205" s="13">
        <f>IF(ROWS($X$2:$X205)&lt;=MAX('Per Line'!$AL$2:$AL$3001),MATCH(ROWS($X$2:$X205),'Per Line'!$AL$2:$AL$3001,0),"")</f>
        <v/>
      </c>
    </row>
    <row r="206">
      <c r="A206" s="12" t="n"/>
      <c r="B206">
        <f>IF($X206="","",INDEX('Per Line'!$D$2:$D$3001,$X206)&amp;"")</f>
        <v/>
      </c>
      <c r="C206" s="11">
        <f>IF($X206="","",INDEX('Per Line'!$F$2:$F$3001,$X206))</f>
        <v/>
      </c>
      <c r="D206">
        <f>IF($X206="","",INDEX('Per Line'!$G$2:$G$3001,$X206)&amp;"")</f>
        <v/>
      </c>
      <c r="E206">
        <f>IF($X206="","",INDEX('Per Line'!$I$2:$I$3001,$X206)&amp;"")</f>
        <v/>
      </c>
      <c r="F206">
        <f>IF($X206="","",INDEX('Per Line'!$J$2:$J$3001,$X206)&amp;"")</f>
        <v/>
      </c>
      <c r="G206">
        <f>IF($X206="","",INDEX('Per Line'!$K$2:$K$3001,$X206)&amp;"")</f>
        <v/>
      </c>
      <c r="H206">
        <f>IF($X206="","",INDEX('Per Line'!$M$2:$M$3001,$X206))</f>
        <v/>
      </c>
      <c r="I206" s="7">
        <f>IF($X206="","",H206*V206/100)</f>
        <v/>
      </c>
      <c r="J206">
        <f>IF($X206="","",INDEX('Per Line'!$W$2:$W$3001,$X206)&amp;"")</f>
        <v/>
      </c>
      <c r="K206">
        <f>IF($X206="","",INDEX('Per Line'!$AD$2:$AD$3001,$X206))</f>
        <v/>
      </c>
      <c r="L206">
        <f>IF($X206="","",IF(AND(ISNUMBER(K206),K206&gt;0),V206&gt;K206,FALSE))</f>
        <v/>
      </c>
      <c r="M206" s="7">
        <f>IF($X206="","",SUMIFS('Per Line'!$V$2:$V$3001,'Per Line'!$D$2:$D$3001,$B206,'Per Line'!$AN$2:$AN$3001,1))</f>
        <v/>
      </c>
      <c r="N206">
        <f>IF($X206="","",Settings!$C$7)</f>
        <v/>
      </c>
      <c r="O206" s="7">
        <f>IF($X206="","",SUMIFS('Per Line'!$V$2:$V$3001,'Per Line'!$D$2:$D$3001,$B206,'Per Line'!$AM$2:$AM$3001,0,'Per Line'!$AN$2:$AN$3001,0))</f>
        <v/>
      </c>
      <c r="P206" s="7">
        <f>IF($X206="","",O206*N206)</f>
        <v/>
      </c>
      <c r="Q206">
        <f>IF($X206="","",Settings!$C$6)</f>
        <v/>
      </c>
      <c r="R206" s="7">
        <f>IF($X206="","",SUMIFS('Per Line'!$V$2:$V$3001,'Per Line'!$D$2:$D$3001,$B206,'Per Line'!$AM$2:$AM$3001,1,'Per Line'!$AN$2:$AN$3001,0))</f>
        <v/>
      </c>
      <c r="S206" s="7">
        <f>IF($X206="","",R206*Q206)</f>
        <v/>
      </c>
      <c r="T206" s="7">
        <f>IF($X206="","",S206+P206)</f>
        <v/>
      </c>
      <c r="U206" s="7">
        <f>IF($X206="","",V206-T206)</f>
        <v/>
      </c>
      <c r="V206" s="7">
        <f>IF($X206="","",O206+R206+M206)</f>
        <v/>
      </c>
      <c r="W206" s="7">
        <f>IF($X206="","",V206-T206-I206)</f>
        <v/>
      </c>
      <c r="X206" s="13">
        <f>IF(ROWS($X$2:$X206)&lt;=MAX('Per Line'!$AL$2:$AL$3001),MATCH(ROWS($X$2:$X206),'Per Line'!$AL$2:$AL$3001,0),"")</f>
        <v/>
      </c>
    </row>
    <row r="207">
      <c r="A207" s="12" t="n"/>
      <c r="B207">
        <f>IF($X207="","",INDEX('Per Line'!$D$2:$D$3001,$X207)&amp;"")</f>
        <v/>
      </c>
      <c r="C207" s="11">
        <f>IF($X207="","",INDEX('Per Line'!$F$2:$F$3001,$X207))</f>
        <v/>
      </c>
      <c r="D207">
        <f>IF($X207="","",INDEX('Per Line'!$G$2:$G$3001,$X207)&amp;"")</f>
        <v/>
      </c>
      <c r="E207">
        <f>IF($X207="","",INDEX('Per Line'!$I$2:$I$3001,$X207)&amp;"")</f>
        <v/>
      </c>
      <c r="F207">
        <f>IF($X207="","",INDEX('Per Line'!$J$2:$J$3001,$X207)&amp;"")</f>
        <v/>
      </c>
      <c r="G207">
        <f>IF($X207="","",INDEX('Per Line'!$K$2:$K$3001,$X207)&amp;"")</f>
        <v/>
      </c>
      <c r="H207">
        <f>IF($X207="","",INDEX('Per Line'!$M$2:$M$3001,$X207))</f>
        <v/>
      </c>
      <c r="I207" s="7">
        <f>IF($X207="","",H207*V207/100)</f>
        <v/>
      </c>
      <c r="J207">
        <f>IF($X207="","",INDEX('Per Line'!$W$2:$W$3001,$X207)&amp;"")</f>
        <v/>
      </c>
      <c r="K207">
        <f>IF($X207="","",INDEX('Per Line'!$AD$2:$AD$3001,$X207))</f>
        <v/>
      </c>
      <c r="L207">
        <f>IF($X207="","",IF(AND(ISNUMBER(K207),K207&gt;0),V207&gt;K207,FALSE))</f>
        <v/>
      </c>
      <c r="M207" s="7">
        <f>IF($X207="","",SUMIFS('Per Line'!$V$2:$V$3001,'Per Line'!$D$2:$D$3001,$B207,'Per Line'!$AN$2:$AN$3001,1))</f>
        <v/>
      </c>
      <c r="N207">
        <f>IF($X207="","",Settings!$C$7)</f>
        <v/>
      </c>
      <c r="O207" s="7">
        <f>IF($X207="","",SUMIFS('Per Line'!$V$2:$V$3001,'Per Line'!$D$2:$D$3001,$B207,'Per Line'!$AM$2:$AM$3001,0,'Per Line'!$AN$2:$AN$3001,0))</f>
        <v/>
      </c>
      <c r="P207" s="7">
        <f>IF($X207="","",O207*N207)</f>
        <v/>
      </c>
      <c r="Q207">
        <f>IF($X207="","",Settings!$C$6)</f>
        <v/>
      </c>
      <c r="R207" s="7">
        <f>IF($X207="","",SUMIFS('Per Line'!$V$2:$V$3001,'Per Line'!$D$2:$D$3001,$B207,'Per Line'!$AM$2:$AM$3001,1,'Per Line'!$AN$2:$AN$3001,0))</f>
        <v/>
      </c>
      <c r="S207" s="7">
        <f>IF($X207="","",R207*Q207)</f>
        <v/>
      </c>
      <c r="T207" s="7">
        <f>IF($X207="","",S207+P207)</f>
        <v/>
      </c>
      <c r="U207" s="7">
        <f>IF($X207="","",V207-T207)</f>
        <v/>
      </c>
      <c r="V207" s="7">
        <f>IF($X207="","",O207+R207+M207)</f>
        <v/>
      </c>
      <c r="W207" s="7">
        <f>IF($X207="","",V207-T207-I207)</f>
        <v/>
      </c>
      <c r="X207" s="13">
        <f>IF(ROWS($X$2:$X207)&lt;=MAX('Per Line'!$AL$2:$AL$3001),MATCH(ROWS($X$2:$X207),'Per Line'!$AL$2:$AL$3001,0),"")</f>
        <v/>
      </c>
    </row>
    <row r="208">
      <c r="A208" s="12" t="n"/>
      <c r="B208">
        <f>IF($X208="","",INDEX('Per Line'!$D$2:$D$3001,$X208)&amp;"")</f>
        <v/>
      </c>
      <c r="C208" s="11">
        <f>IF($X208="","",INDEX('Per Line'!$F$2:$F$3001,$X208))</f>
        <v/>
      </c>
      <c r="D208">
        <f>IF($X208="","",INDEX('Per Line'!$G$2:$G$3001,$X208)&amp;"")</f>
        <v/>
      </c>
      <c r="E208">
        <f>IF($X208="","",INDEX('Per Line'!$I$2:$I$3001,$X208)&amp;"")</f>
        <v/>
      </c>
      <c r="F208">
        <f>IF($X208="","",INDEX('Per Line'!$J$2:$J$3001,$X208)&amp;"")</f>
        <v/>
      </c>
      <c r="G208">
        <f>IF($X208="","",INDEX('Per Line'!$K$2:$K$3001,$X208)&amp;"")</f>
        <v/>
      </c>
      <c r="H208">
        <f>IF($X208="","",INDEX('Per Line'!$M$2:$M$3001,$X208))</f>
        <v/>
      </c>
      <c r="I208" s="7">
        <f>IF($X208="","",H208*V208/100)</f>
        <v/>
      </c>
      <c r="J208">
        <f>IF($X208="","",INDEX('Per Line'!$W$2:$W$3001,$X208)&amp;"")</f>
        <v/>
      </c>
      <c r="K208">
        <f>IF($X208="","",INDEX('Per Line'!$AD$2:$AD$3001,$X208))</f>
        <v/>
      </c>
      <c r="L208">
        <f>IF($X208="","",IF(AND(ISNUMBER(K208),K208&gt;0),V208&gt;K208,FALSE))</f>
        <v/>
      </c>
      <c r="M208" s="7">
        <f>IF($X208="","",SUMIFS('Per Line'!$V$2:$V$3001,'Per Line'!$D$2:$D$3001,$B208,'Per Line'!$AN$2:$AN$3001,1))</f>
        <v/>
      </c>
      <c r="N208">
        <f>IF($X208="","",Settings!$C$7)</f>
        <v/>
      </c>
      <c r="O208" s="7">
        <f>IF($X208="","",SUMIFS('Per Line'!$V$2:$V$3001,'Per Line'!$D$2:$D$3001,$B208,'Per Line'!$AM$2:$AM$3001,0,'Per Line'!$AN$2:$AN$3001,0))</f>
        <v/>
      </c>
      <c r="P208" s="7">
        <f>IF($X208="","",O208*N208)</f>
        <v/>
      </c>
      <c r="Q208">
        <f>IF($X208="","",Settings!$C$6)</f>
        <v/>
      </c>
      <c r="R208" s="7">
        <f>IF($X208="","",SUMIFS('Per Line'!$V$2:$V$3001,'Per Line'!$D$2:$D$3001,$B208,'Per Line'!$AM$2:$AM$3001,1,'Per Line'!$AN$2:$AN$3001,0))</f>
        <v/>
      </c>
      <c r="S208" s="7">
        <f>IF($X208="","",R208*Q208)</f>
        <v/>
      </c>
      <c r="T208" s="7">
        <f>IF($X208="","",S208+P208)</f>
        <v/>
      </c>
      <c r="U208" s="7">
        <f>IF($X208="","",V208-T208)</f>
        <v/>
      </c>
      <c r="V208" s="7">
        <f>IF($X208="","",O208+R208+M208)</f>
        <v/>
      </c>
      <c r="W208" s="7">
        <f>IF($X208="","",V208-T208-I208)</f>
        <v/>
      </c>
      <c r="X208" s="13">
        <f>IF(ROWS($X$2:$X208)&lt;=MAX('Per Line'!$AL$2:$AL$3001),MATCH(ROWS($X$2:$X208),'Per Line'!$AL$2:$AL$3001,0),"")</f>
        <v/>
      </c>
    </row>
    <row r="209">
      <c r="A209" s="12" t="n"/>
      <c r="B209">
        <f>IF($X209="","",INDEX('Per Line'!$D$2:$D$3001,$X209)&amp;"")</f>
        <v/>
      </c>
      <c r="C209" s="11">
        <f>IF($X209="","",INDEX('Per Line'!$F$2:$F$3001,$X209))</f>
        <v/>
      </c>
      <c r="D209">
        <f>IF($X209="","",INDEX('Per Line'!$G$2:$G$3001,$X209)&amp;"")</f>
        <v/>
      </c>
      <c r="E209">
        <f>IF($X209="","",INDEX('Per Line'!$I$2:$I$3001,$X209)&amp;"")</f>
        <v/>
      </c>
      <c r="F209">
        <f>IF($X209="","",INDEX('Per Line'!$J$2:$J$3001,$X209)&amp;"")</f>
        <v/>
      </c>
      <c r="G209">
        <f>IF($X209="","",INDEX('Per Line'!$K$2:$K$3001,$X209)&amp;"")</f>
        <v/>
      </c>
      <c r="H209">
        <f>IF($X209="","",INDEX('Per Line'!$M$2:$M$3001,$X209))</f>
        <v/>
      </c>
      <c r="I209" s="7">
        <f>IF($X209="","",H209*V209/100)</f>
        <v/>
      </c>
      <c r="J209">
        <f>IF($X209="","",INDEX('Per Line'!$W$2:$W$3001,$X209)&amp;"")</f>
        <v/>
      </c>
      <c r="K209">
        <f>IF($X209="","",INDEX('Per Line'!$AD$2:$AD$3001,$X209))</f>
        <v/>
      </c>
      <c r="L209">
        <f>IF($X209="","",IF(AND(ISNUMBER(K209),K209&gt;0),V209&gt;K209,FALSE))</f>
        <v/>
      </c>
      <c r="M209" s="7">
        <f>IF($X209="","",SUMIFS('Per Line'!$V$2:$V$3001,'Per Line'!$D$2:$D$3001,$B209,'Per Line'!$AN$2:$AN$3001,1))</f>
        <v/>
      </c>
      <c r="N209">
        <f>IF($X209="","",Settings!$C$7)</f>
        <v/>
      </c>
      <c r="O209" s="7">
        <f>IF($X209="","",SUMIFS('Per Line'!$V$2:$V$3001,'Per Line'!$D$2:$D$3001,$B209,'Per Line'!$AM$2:$AM$3001,0,'Per Line'!$AN$2:$AN$3001,0))</f>
        <v/>
      </c>
      <c r="P209" s="7">
        <f>IF($X209="","",O209*N209)</f>
        <v/>
      </c>
      <c r="Q209">
        <f>IF($X209="","",Settings!$C$6)</f>
        <v/>
      </c>
      <c r="R209" s="7">
        <f>IF($X209="","",SUMIFS('Per Line'!$V$2:$V$3001,'Per Line'!$D$2:$D$3001,$B209,'Per Line'!$AM$2:$AM$3001,1,'Per Line'!$AN$2:$AN$3001,0))</f>
        <v/>
      </c>
      <c r="S209" s="7">
        <f>IF($X209="","",R209*Q209)</f>
        <v/>
      </c>
      <c r="T209" s="7">
        <f>IF($X209="","",S209+P209)</f>
        <v/>
      </c>
      <c r="U209" s="7">
        <f>IF($X209="","",V209-T209)</f>
        <v/>
      </c>
      <c r="V209" s="7">
        <f>IF($X209="","",O209+R209+M209)</f>
        <v/>
      </c>
      <c r="W209" s="7">
        <f>IF($X209="","",V209-T209-I209)</f>
        <v/>
      </c>
      <c r="X209" s="13">
        <f>IF(ROWS($X$2:$X209)&lt;=MAX('Per Line'!$AL$2:$AL$3001),MATCH(ROWS($X$2:$X209),'Per Line'!$AL$2:$AL$3001,0),"")</f>
        <v/>
      </c>
    </row>
    <row r="210">
      <c r="A210" s="12" t="n"/>
      <c r="B210">
        <f>IF($X210="","",INDEX('Per Line'!$D$2:$D$3001,$X210)&amp;"")</f>
        <v/>
      </c>
      <c r="C210" s="11">
        <f>IF($X210="","",INDEX('Per Line'!$F$2:$F$3001,$X210))</f>
        <v/>
      </c>
      <c r="D210">
        <f>IF($X210="","",INDEX('Per Line'!$G$2:$G$3001,$X210)&amp;"")</f>
        <v/>
      </c>
      <c r="E210">
        <f>IF($X210="","",INDEX('Per Line'!$I$2:$I$3001,$X210)&amp;"")</f>
        <v/>
      </c>
      <c r="F210">
        <f>IF($X210="","",INDEX('Per Line'!$J$2:$J$3001,$X210)&amp;"")</f>
        <v/>
      </c>
      <c r="G210">
        <f>IF($X210="","",INDEX('Per Line'!$K$2:$K$3001,$X210)&amp;"")</f>
        <v/>
      </c>
      <c r="H210">
        <f>IF($X210="","",INDEX('Per Line'!$M$2:$M$3001,$X210))</f>
        <v/>
      </c>
      <c r="I210" s="7">
        <f>IF($X210="","",H210*V210/100)</f>
        <v/>
      </c>
      <c r="J210">
        <f>IF($X210="","",INDEX('Per Line'!$W$2:$W$3001,$X210)&amp;"")</f>
        <v/>
      </c>
      <c r="K210">
        <f>IF($X210="","",INDEX('Per Line'!$AD$2:$AD$3001,$X210))</f>
        <v/>
      </c>
      <c r="L210">
        <f>IF($X210="","",IF(AND(ISNUMBER(K210),K210&gt;0),V210&gt;K210,FALSE))</f>
        <v/>
      </c>
      <c r="M210" s="7">
        <f>IF($X210="","",SUMIFS('Per Line'!$V$2:$V$3001,'Per Line'!$D$2:$D$3001,$B210,'Per Line'!$AN$2:$AN$3001,1))</f>
        <v/>
      </c>
      <c r="N210">
        <f>IF($X210="","",Settings!$C$7)</f>
        <v/>
      </c>
      <c r="O210" s="7">
        <f>IF($X210="","",SUMIFS('Per Line'!$V$2:$V$3001,'Per Line'!$D$2:$D$3001,$B210,'Per Line'!$AM$2:$AM$3001,0,'Per Line'!$AN$2:$AN$3001,0))</f>
        <v/>
      </c>
      <c r="P210" s="7">
        <f>IF($X210="","",O210*N210)</f>
        <v/>
      </c>
      <c r="Q210">
        <f>IF($X210="","",Settings!$C$6)</f>
        <v/>
      </c>
      <c r="R210" s="7">
        <f>IF($X210="","",SUMIFS('Per Line'!$V$2:$V$3001,'Per Line'!$D$2:$D$3001,$B210,'Per Line'!$AM$2:$AM$3001,1,'Per Line'!$AN$2:$AN$3001,0))</f>
        <v/>
      </c>
      <c r="S210" s="7">
        <f>IF($X210="","",R210*Q210)</f>
        <v/>
      </c>
      <c r="T210" s="7">
        <f>IF($X210="","",S210+P210)</f>
        <v/>
      </c>
      <c r="U210" s="7">
        <f>IF($X210="","",V210-T210)</f>
        <v/>
      </c>
      <c r="V210" s="7">
        <f>IF($X210="","",O210+R210+M210)</f>
        <v/>
      </c>
      <c r="W210" s="7">
        <f>IF($X210="","",V210-T210-I210)</f>
        <v/>
      </c>
      <c r="X210" s="13">
        <f>IF(ROWS($X$2:$X210)&lt;=MAX('Per Line'!$AL$2:$AL$3001),MATCH(ROWS($X$2:$X210),'Per Line'!$AL$2:$AL$3001,0),"")</f>
        <v/>
      </c>
    </row>
    <row r="211">
      <c r="A211" s="12" t="n"/>
      <c r="B211">
        <f>IF($X211="","",INDEX('Per Line'!$D$2:$D$3001,$X211)&amp;"")</f>
        <v/>
      </c>
      <c r="C211" s="11">
        <f>IF($X211="","",INDEX('Per Line'!$F$2:$F$3001,$X211))</f>
        <v/>
      </c>
      <c r="D211">
        <f>IF($X211="","",INDEX('Per Line'!$G$2:$G$3001,$X211)&amp;"")</f>
        <v/>
      </c>
      <c r="E211">
        <f>IF($X211="","",INDEX('Per Line'!$I$2:$I$3001,$X211)&amp;"")</f>
        <v/>
      </c>
      <c r="F211">
        <f>IF($X211="","",INDEX('Per Line'!$J$2:$J$3001,$X211)&amp;"")</f>
        <v/>
      </c>
      <c r="G211">
        <f>IF($X211="","",INDEX('Per Line'!$K$2:$K$3001,$X211)&amp;"")</f>
        <v/>
      </c>
      <c r="H211">
        <f>IF($X211="","",INDEX('Per Line'!$M$2:$M$3001,$X211))</f>
        <v/>
      </c>
      <c r="I211" s="7">
        <f>IF($X211="","",H211*V211/100)</f>
        <v/>
      </c>
      <c r="J211">
        <f>IF($X211="","",INDEX('Per Line'!$W$2:$W$3001,$X211)&amp;"")</f>
        <v/>
      </c>
      <c r="K211">
        <f>IF($X211="","",INDEX('Per Line'!$AD$2:$AD$3001,$X211))</f>
        <v/>
      </c>
      <c r="L211">
        <f>IF($X211="","",IF(AND(ISNUMBER(K211),K211&gt;0),V211&gt;K211,FALSE))</f>
        <v/>
      </c>
      <c r="M211" s="7">
        <f>IF($X211="","",SUMIFS('Per Line'!$V$2:$V$3001,'Per Line'!$D$2:$D$3001,$B211,'Per Line'!$AN$2:$AN$3001,1))</f>
        <v/>
      </c>
      <c r="N211">
        <f>IF($X211="","",Settings!$C$7)</f>
        <v/>
      </c>
      <c r="O211" s="7">
        <f>IF($X211="","",SUMIFS('Per Line'!$V$2:$V$3001,'Per Line'!$D$2:$D$3001,$B211,'Per Line'!$AM$2:$AM$3001,0,'Per Line'!$AN$2:$AN$3001,0))</f>
        <v/>
      </c>
      <c r="P211" s="7">
        <f>IF($X211="","",O211*N211)</f>
        <v/>
      </c>
      <c r="Q211">
        <f>IF($X211="","",Settings!$C$6)</f>
        <v/>
      </c>
      <c r="R211" s="7">
        <f>IF($X211="","",SUMIFS('Per Line'!$V$2:$V$3001,'Per Line'!$D$2:$D$3001,$B211,'Per Line'!$AM$2:$AM$3001,1,'Per Line'!$AN$2:$AN$3001,0))</f>
        <v/>
      </c>
      <c r="S211" s="7">
        <f>IF($X211="","",R211*Q211)</f>
        <v/>
      </c>
      <c r="T211" s="7">
        <f>IF($X211="","",S211+P211)</f>
        <v/>
      </c>
      <c r="U211" s="7">
        <f>IF($X211="","",V211-T211)</f>
        <v/>
      </c>
      <c r="V211" s="7">
        <f>IF($X211="","",O211+R211+M211)</f>
        <v/>
      </c>
      <c r="W211" s="7">
        <f>IF($X211="","",V211-T211-I211)</f>
        <v/>
      </c>
      <c r="X211" s="13">
        <f>IF(ROWS($X$2:$X211)&lt;=MAX('Per Line'!$AL$2:$AL$3001),MATCH(ROWS($X$2:$X211),'Per Line'!$AL$2:$AL$3001,0),"")</f>
        <v/>
      </c>
    </row>
    <row r="212">
      <c r="A212" s="12" t="n"/>
      <c r="B212">
        <f>IF($X212="","",INDEX('Per Line'!$D$2:$D$3001,$X212)&amp;"")</f>
        <v/>
      </c>
      <c r="C212" s="11">
        <f>IF($X212="","",INDEX('Per Line'!$F$2:$F$3001,$X212))</f>
        <v/>
      </c>
      <c r="D212">
        <f>IF($X212="","",INDEX('Per Line'!$G$2:$G$3001,$X212)&amp;"")</f>
        <v/>
      </c>
      <c r="E212">
        <f>IF($X212="","",INDEX('Per Line'!$I$2:$I$3001,$X212)&amp;"")</f>
        <v/>
      </c>
      <c r="F212">
        <f>IF($X212="","",INDEX('Per Line'!$J$2:$J$3001,$X212)&amp;"")</f>
        <v/>
      </c>
      <c r="G212">
        <f>IF($X212="","",INDEX('Per Line'!$K$2:$K$3001,$X212)&amp;"")</f>
        <v/>
      </c>
      <c r="H212">
        <f>IF($X212="","",INDEX('Per Line'!$M$2:$M$3001,$X212))</f>
        <v/>
      </c>
      <c r="I212" s="7">
        <f>IF($X212="","",H212*V212/100)</f>
        <v/>
      </c>
      <c r="J212">
        <f>IF($X212="","",INDEX('Per Line'!$W$2:$W$3001,$X212)&amp;"")</f>
        <v/>
      </c>
      <c r="K212">
        <f>IF($X212="","",INDEX('Per Line'!$AD$2:$AD$3001,$X212))</f>
        <v/>
      </c>
      <c r="L212">
        <f>IF($X212="","",IF(AND(ISNUMBER(K212),K212&gt;0),V212&gt;K212,FALSE))</f>
        <v/>
      </c>
      <c r="M212" s="7">
        <f>IF($X212="","",SUMIFS('Per Line'!$V$2:$V$3001,'Per Line'!$D$2:$D$3001,$B212,'Per Line'!$AN$2:$AN$3001,1))</f>
        <v/>
      </c>
      <c r="N212">
        <f>IF($X212="","",Settings!$C$7)</f>
        <v/>
      </c>
      <c r="O212" s="7">
        <f>IF($X212="","",SUMIFS('Per Line'!$V$2:$V$3001,'Per Line'!$D$2:$D$3001,$B212,'Per Line'!$AM$2:$AM$3001,0,'Per Line'!$AN$2:$AN$3001,0))</f>
        <v/>
      </c>
      <c r="P212" s="7">
        <f>IF($X212="","",O212*N212)</f>
        <v/>
      </c>
      <c r="Q212">
        <f>IF($X212="","",Settings!$C$6)</f>
        <v/>
      </c>
      <c r="R212" s="7">
        <f>IF($X212="","",SUMIFS('Per Line'!$V$2:$V$3001,'Per Line'!$D$2:$D$3001,$B212,'Per Line'!$AM$2:$AM$3001,1,'Per Line'!$AN$2:$AN$3001,0))</f>
        <v/>
      </c>
      <c r="S212" s="7">
        <f>IF($X212="","",R212*Q212)</f>
        <v/>
      </c>
      <c r="T212" s="7">
        <f>IF($X212="","",S212+P212)</f>
        <v/>
      </c>
      <c r="U212" s="7">
        <f>IF($X212="","",V212-T212)</f>
        <v/>
      </c>
      <c r="V212" s="7">
        <f>IF($X212="","",O212+R212+M212)</f>
        <v/>
      </c>
      <c r="W212" s="7">
        <f>IF($X212="","",V212-T212-I212)</f>
        <v/>
      </c>
      <c r="X212" s="13">
        <f>IF(ROWS($X$2:$X212)&lt;=MAX('Per Line'!$AL$2:$AL$3001),MATCH(ROWS($X$2:$X212),'Per Line'!$AL$2:$AL$3001,0),"")</f>
        <v/>
      </c>
    </row>
    <row r="213">
      <c r="A213" s="12" t="n"/>
      <c r="B213">
        <f>IF($X213="","",INDEX('Per Line'!$D$2:$D$3001,$X213)&amp;"")</f>
        <v/>
      </c>
      <c r="C213" s="11">
        <f>IF($X213="","",INDEX('Per Line'!$F$2:$F$3001,$X213))</f>
        <v/>
      </c>
      <c r="D213">
        <f>IF($X213="","",INDEX('Per Line'!$G$2:$G$3001,$X213)&amp;"")</f>
        <v/>
      </c>
      <c r="E213">
        <f>IF($X213="","",INDEX('Per Line'!$I$2:$I$3001,$X213)&amp;"")</f>
        <v/>
      </c>
      <c r="F213">
        <f>IF($X213="","",INDEX('Per Line'!$J$2:$J$3001,$X213)&amp;"")</f>
        <v/>
      </c>
      <c r="G213">
        <f>IF($X213="","",INDEX('Per Line'!$K$2:$K$3001,$X213)&amp;"")</f>
        <v/>
      </c>
      <c r="H213">
        <f>IF($X213="","",INDEX('Per Line'!$M$2:$M$3001,$X213))</f>
        <v/>
      </c>
      <c r="I213" s="7">
        <f>IF($X213="","",H213*V213/100)</f>
        <v/>
      </c>
      <c r="J213">
        <f>IF($X213="","",INDEX('Per Line'!$W$2:$W$3001,$X213)&amp;"")</f>
        <v/>
      </c>
      <c r="K213">
        <f>IF($X213="","",INDEX('Per Line'!$AD$2:$AD$3001,$X213))</f>
        <v/>
      </c>
      <c r="L213">
        <f>IF($X213="","",IF(AND(ISNUMBER(K213),K213&gt;0),V213&gt;K213,FALSE))</f>
        <v/>
      </c>
      <c r="M213" s="7">
        <f>IF($X213="","",SUMIFS('Per Line'!$V$2:$V$3001,'Per Line'!$D$2:$D$3001,$B213,'Per Line'!$AN$2:$AN$3001,1))</f>
        <v/>
      </c>
      <c r="N213">
        <f>IF($X213="","",Settings!$C$7)</f>
        <v/>
      </c>
      <c r="O213" s="7">
        <f>IF($X213="","",SUMIFS('Per Line'!$V$2:$V$3001,'Per Line'!$D$2:$D$3001,$B213,'Per Line'!$AM$2:$AM$3001,0,'Per Line'!$AN$2:$AN$3001,0))</f>
        <v/>
      </c>
      <c r="P213" s="7">
        <f>IF($X213="","",O213*N213)</f>
        <v/>
      </c>
      <c r="Q213">
        <f>IF($X213="","",Settings!$C$6)</f>
        <v/>
      </c>
      <c r="R213" s="7">
        <f>IF($X213="","",SUMIFS('Per Line'!$V$2:$V$3001,'Per Line'!$D$2:$D$3001,$B213,'Per Line'!$AM$2:$AM$3001,1,'Per Line'!$AN$2:$AN$3001,0))</f>
        <v/>
      </c>
      <c r="S213" s="7">
        <f>IF($X213="","",R213*Q213)</f>
        <v/>
      </c>
      <c r="T213" s="7">
        <f>IF($X213="","",S213+P213)</f>
        <v/>
      </c>
      <c r="U213" s="7">
        <f>IF($X213="","",V213-T213)</f>
        <v/>
      </c>
      <c r="V213" s="7">
        <f>IF($X213="","",O213+R213+M213)</f>
        <v/>
      </c>
      <c r="W213" s="7">
        <f>IF($X213="","",V213-T213-I213)</f>
        <v/>
      </c>
      <c r="X213" s="13">
        <f>IF(ROWS($X$2:$X213)&lt;=MAX('Per Line'!$AL$2:$AL$3001),MATCH(ROWS($X$2:$X213),'Per Line'!$AL$2:$AL$3001,0),"")</f>
        <v/>
      </c>
    </row>
    <row r="214">
      <c r="A214" s="12" t="n"/>
      <c r="B214">
        <f>IF($X214="","",INDEX('Per Line'!$D$2:$D$3001,$X214)&amp;"")</f>
        <v/>
      </c>
      <c r="C214" s="11">
        <f>IF($X214="","",INDEX('Per Line'!$F$2:$F$3001,$X214))</f>
        <v/>
      </c>
      <c r="D214">
        <f>IF($X214="","",INDEX('Per Line'!$G$2:$G$3001,$X214)&amp;"")</f>
        <v/>
      </c>
      <c r="E214">
        <f>IF($X214="","",INDEX('Per Line'!$I$2:$I$3001,$X214)&amp;"")</f>
        <v/>
      </c>
      <c r="F214">
        <f>IF($X214="","",INDEX('Per Line'!$J$2:$J$3001,$X214)&amp;"")</f>
        <v/>
      </c>
      <c r="G214">
        <f>IF($X214="","",INDEX('Per Line'!$K$2:$K$3001,$X214)&amp;"")</f>
        <v/>
      </c>
      <c r="H214">
        <f>IF($X214="","",INDEX('Per Line'!$M$2:$M$3001,$X214))</f>
        <v/>
      </c>
      <c r="I214" s="7">
        <f>IF($X214="","",H214*V214/100)</f>
        <v/>
      </c>
      <c r="J214">
        <f>IF($X214="","",INDEX('Per Line'!$W$2:$W$3001,$X214)&amp;"")</f>
        <v/>
      </c>
      <c r="K214">
        <f>IF($X214="","",INDEX('Per Line'!$AD$2:$AD$3001,$X214))</f>
        <v/>
      </c>
      <c r="L214">
        <f>IF($X214="","",IF(AND(ISNUMBER(K214),K214&gt;0),V214&gt;K214,FALSE))</f>
        <v/>
      </c>
      <c r="M214" s="7">
        <f>IF($X214="","",SUMIFS('Per Line'!$V$2:$V$3001,'Per Line'!$D$2:$D$3001,$B214,'Per Line'!$AN$2:$AN$3001,1))</f>
        <v/>
      </c>
      <c r="N214">
        <f>IF($X214="","",Settings!$C$7)</f>
        <v/>
      </c>
      <c r="O214" s="7">
        <f>IF($X214="","",SUMIFS('Per Line'!$V$2:$V$3001,'Per Line'!$D$2:$D$3001,$B214,'Per Line'!$AM$2:$AM$3001,0,'Per Line'!$AN$2:$AN$3001,0))</f>
        <v/>
      </c>
      <c r="P214" s="7">
        <f>IF($X214="","",O214*N214)</f>
        <v/>
      </c>
      <c r="Q214">
        <f>IF($X214="","",Settings!$C$6)</f>
        <v/>
      </c>
      <c r="R214" s="7">
        <f>IF($X214="","",SUMIFS('Per Line'!$V$2:$V$3001,'Per Line'!$D$2:$D$3001,$B214,'Per Line'!$AM$2:$AM$3001,1,'Per Line'!$AN$2:$AN$3001,0))</f>
        <v/>
      </c>
      <c r="S214" s="7">
        <f>IF($X214="","",R214*Q214)</f>
        <v/>
      </c>
      <c r="T214" s="7">
        <f>IF($X214="","",S214+P214)</f>
        <v/>
      </c>
      <c r="U214" s="7">
        <f>IF($X214="","",V214-T214)</f>
        <v/>
      </c>
      <c r="V214" s="7">
        <f>IF($X214="","",O214+R214+M214)</f>
        <v/>
      </c>
      <c r="W214" s="7">
        <f>IF($X214="","",V214-T214-I214)</f>
        <v/>
      </c>
      <c r="X214" s="13">
        <f>IF(ROWS($X$2:$X214)&lt;=MAX('Per Line'!$AL$2:$AL$3001),MATCH(ROWS($X$2:$X214),'Per Line'!$AL$2:$AL$3001,0),"")</f>
        <v/>
      </c>
    </row>
    <row r="215">
      <c r="A215" s="12" t="n"/>
      <c r="B215">
        <f>IF($X215="","",INDEX('Per Line'!$D$2:$D$3001,$X215)&amp;"")</f>
        <v/>
      </c>
      <c r="C215" s="11">
        <f>IF($X215="","",INDEX('Per Line'!$F$2:$F$3001,$X215))</f>
        <v/>
      </c>
      <c r="D215">
        <f>IF($X215="","",INDEX('Per Line'!$G$2:$G$3001,$X215)&amp;"")</f>
        <v/>
      </c>
      <c r="E215">
        <f>IF($X215="","",INDEX('Per Line'!$I$2:$I$3001,$X215)&amp;"")</f>
        <v/>
      </c>
      <c r="F215">
        <f>IF($X215="","",INDEX('Per Line'!$J$2:$J$3001,$X215)&amp;"")</f>
        <v/>
      </c>
      <c r="G215">
        <f>IF($X215="","",INDEX('Per Line'!$K$2:$K$3001,$X215)&amp;"")</f>
        <v/>
      </c>
      <c r="H215">
        <f>IF($X215="","",INDEX('Per Line'!$M$2:$M$3001,$X215))</f>
        <v/>
      </c>
      <c r="I215" s="7">
        <f>IF($X215="","",H215*V215/100)</f>
        <v/>
      </c>
      <c r="J215">
        <f>IF($X215="","",INDEX('Per Line'!$W$2:$W$3001,$X215)&amp;"")</f>
        <v/>
      </c>
      <c r="K215">
        <f>IF($X215="","",INDEX('Per Line'!$AD$2:$AD$3001,$X215))</f>
        <v/>
      </c>
      <c r="L215">
        <f>IF($X215="","",IF(AND(ISNUMBER(K215),K215&gt;0),V215&gt;K215,FALSE))</f>
        <v/>
      </c>
      <c r="M215" s="7">
        <f>IF($X215="","",SUMIFS('Per Line'!$V$2:$V$3001,'Per Line'!$D$2:$D$3001,$B215,'Per Line'!$AN$2:$AN$3001,1))</f>
        <v/>
      </c>
      <c r="N215">
        <f>IF($X215="","",Settings!$C$7)</f>
        <v/>
      </c>
      <c r="O215" s="7">
        <f>IF($X215="","",SUMIFS('Per Line'!$V$2:$V$3001,'Per Line'!$D$2:$D$3001,$B215,'Per Line'!$AM$2:$AM$3001,0,'Per Line'!$AN$2:$AN$3001,0))</f>
        <v/>
      </c>
      <c r="P215" s="7">
        <f>IF($X215="","",O215*N215)</f>
        <v/>
      </c>
      <c r="Q215">
        <f>IF($X215="","",Settings!$C$6)</f>
        <v/>
      </c>
      <c r="R215" s="7">
        <f>IF($X215="","",SUMIFS('Per Line'!$V$2:$V$3001,'Per Line'!$D$2:$D$3001,$B215,'Per Line'!$AM$2:$AM$3001,1,'Per Line'!$AN$2:$AN$3001,0))</f>
        <v/>
      </c>
      <c r="S215" s="7">
        <f>IF($X215="","",R215*Q215)</f>
        <v/>
      </c>
      <c r="T215" s="7">
        <f>IF($X215="","",S215+P215)</f>
        <v/>
      </c>
      <c r="U215" s="7">
        <f>IF($X215="","",V215-T215)</f>
        <v/>
      </c>
      <c r="V215" s="7">
        <f>IF($X215="","",O215+R215+M215)</f>
        <v/>
      </c>
      <c r="W215" s="7">
        <f>IF($X215="","",V215-T215-I215)</f>
        <v/>
      </c>
      <c r="X215" s="13">
        <f>IF(ROWS($X$2:$X215)&lt;=MAX('Per Line'!$AL$2:$AL$3001),MATCH(ROWS($X$2:$X215),'Per Line'!$AL$2:$AL$3001,0),"")</f>
        <v/>
      </c>
    </row>
    <row r="216">
      <c r="A216" s="12" t="n"/>
      <c r="B216">
        <f>IF($X216="","",INDEX('Per Line'!$D$2:$D$3001,$X216)&amp;"")</f>
        <v/>
      </c>
      <c r="C216" s="11">
        <f>IF($X216="","",INDEX('Per Line'!$F$2:$F$3001,$X216))</f>
        <v/>
      </c>
      <c r="D216">
        <f>IF($X216="","",INDEX('Per Line'!$G$2:$G$3001,$X216)&amp;"")</f>
        <v/>
      </c>
      <c r="E216">
        <f>IF($X216="","",INDEX('Per Line'!$I$2:$I$3001,$X216)&amp;"")</f>
        <v/>
      </c>
      <c r="F216">
        <f>IF($X216="","",INDEX('Per Line'!$J$2:$J$3001,$X216)&amp;"")</f>
        <v/>
      </c>
      <c r="G216">
        <f>IF($X216="","",INDEX('Per Line'!$K$2:$K$3001,$X216)&amp;"")</f>
        <v/>
      </c>
      <c r="H216">
        <f>IF($X216="","",INDEX('Per Line'!$M$2:$M$3001,$X216))</f>
        <v/>
      </c>
      <c r="I216" s="7">
        <f>IF($X216="","",H216*V216/100)</f>
        <v/>
      </c>
      <c r="J216">
        <f>IF($X216="","",INDEX('Per Line'!$W$2:$W$3001,$X216)&amp;"")</f>
        <v/>
      </c>
      <c r="K216">
        <f>IF($X216="","",INDEX('Per Line'!$AD$2:$AD$3001,$X216))</f>
        <v/>
      </c>
      <c r="L216">
        <f>IF($X216="","",IF(AND(ISNUMBER(K216),K216&gt;0),V216&gt;K216,FALSE))</f>
        <v/>
      </c>
      <c r="M216" s="7">
        <f>IF($X216="","",SUMIFS('Per Line'!$V$2:$V$3001,'Per Line'!$D$2:$D$3001,$B216,'Per Line'!$AN$2:$AN$3001,1))</f>
        <v/>
      </c>
      <c r="N216">
        <f>IF($X216="","",Settings!$C$7)</f>
        <v/>
      </c>
      <c r="O216" s="7">
        <f>IF($X216="","",SUMIFS('Per Line'!$V$2:$V$3001,'Per Line'!$D$2:$D$3001,$B216,'Per Line'!$AM$2:$AM$3001,0,'Per Line'!$AN$2:$AN$3001,0))</f>
        <v/>
      </c>
      <c r="P216" s="7">
        <f>IF($X216="","",O216*N216)</f>
        <v/>
      </c>
      <c r="Q216">
        <f>IF($X216="","",Settings!$C$6)</f>
        <v/>
      </c>
      <c r="R216" s="7">
        <f>IF($X216="","",SUMIFS('Per Line'!$V$2:$V$3001,'Per Line'!$D$2:$D$3001,$B216,'Per Line'!$AM$2:$AM$3001,1,'Per Line'!$AN$2:$AN$3001,0))</f>
        <v/>
      </c>
      <c r="S216" s="7">
        <f>IF($X216="","",R216*Q216)</f>
        <v/>
      </c>
      <c r="T216" s="7">
        <f>IF($X216="","",S216+P216)</f>
        <v/>
      </c>
      <c r="U216" s="7">
        <f>IF($X216="","",V216-T216)</f>
        <v/>
      </c>
      <c r="V216" s="7">
        <f>IF($X216="","",O216+R216+M216)</f>
        <v/>
      </c>
      <c r="W216" s="7">
        <f>IF($X216="","",V216-T216-I216)</f>
        <v/>
      </c>
      <c r="X216" s="13">
        <f>IF(ROWS($X$2:$X216)&lt;=MAX('Per Line'!$AL$2:$AL$3001),MATCH(ROWS($X$2:$X216),'Per Line'!$AL$2:$AL$3001,0),"")</f>
        <v/>
      </c>
    </row>
    <row r="217">
      <c r="A217" s="12" t="n"/>
      <c r="B217">
        <f>IF($X217="","",INDEX('Per Line'!$D$2:$D$3001,$X217)&amp;"")</f>
        <v/>
      </c>
      <c r="C217" s="11">
        <f>IF($X217="","",INDEX('Per Line'!$F$2:$F$3001,$X217))</f>
        <v/>
      </c>
      <c r="D217">
        <f>IF($X217="","",INDEX('Per Line'!$G$2:$G$3001,$X217)&amp;"")</f>
        <v/>
      </c>
      <c r="E217">
        <f>IF($X217="","",INDEX('Per Line'!$I$2:$I$3001,$X217)&amp;"")</f>
        <v/>
      </c>
      <c r="F217">
        <f>IF($X217="","",INDEX('Per Line'!$J$2:$J$3001,$X217)&amp;"")</f>
        <v/>
      </c>
      <c r="G217">
        <f>IF($X217="","",INDEX('Per Line'!$K$2:$K$3001,$X217)&amp;"")</f>
        <v/>
      </c>
      <c r="H217">
        <f>IF($X217="","",INDEX('Per Line'!$M$2:$M$3001,$X217))</f>
        <v/>
      </c>
      <c r="I217" s="7">
        <f>IF($X217="","",H217*V217/100)</f>
        <v/>
      </c>
      <c r="J217">
        <f>IF($X217="","",INDEX('Per Line'!$W$2:$W$3001,$X217)&amp;"")</f>
        <v/>
      </c>
      <c r="K217">
        <f>IF($X217="","",INDEX('Per Line'!$AD$2:$AD$3001,$X217))</f>
        <v/>
      </c>
      <c r="L217">
        <f>IF($X217="","",IF(AND(ISNUMBER(K217),K217&gt;0),V217&gt;K217,FALSE))</f>
        <v/>
      </c>
      <c r="M217" s="7">
        <f>IF($X217="","",SUMIFS('Per Line'!$V$2:$V$3001,'Per Line'!$D$2:$D$3001,$B217,'Per Line'!$AN$2:$AN$3001,1))</f>
        <v/>
      </c>
      <c r="N217">
        <f>IF($X217="","",Settings!$C$7)</f>
        <v/>
      </c>
      <c r="O217" s="7">
        <f>IF($X217="","",SUMIFS('Per Line'!$V$2:$V$3001,'Per Line'!$D$2:$D$3001,$B217,'Per Line'!$AM$2:$AM$3001,0,'Per Line'!$AN$2:$AN$3001,0))</f>
        <v/>
      </c>
      <c r="P217" s="7">
        <f>IF($X217="","",O217*N217)</f>
        <v/>
      </c>
      <c r="Q217">
        <f>IF($X217="","",Settings!$C$6)</f>
        <v/>
      </c>
      <c r="R217" s="7">
        <f>IF($X217="","",SUMIFS('Per Line'!$V$2:$V$3001,'Per Line'!$D$2:$D$3001,$B217,'Per Line'!$AM$2:$AM$3001,1,'Per Line'!$AN$2:$AN$3001,0))</f>
        <v/>
      </c>
      <c r="S217" s="7">
        <f>IF($X217="","",R217*Q217)</f>
        <v/>
      </c>
      <c r="T217" s="7">
        <f>IF($X217="","",S217+P217)</f>
        <v/>
      </c>
      <c r="U217" s="7">
        <f>IF($X217="","",V217-T217)</f>
        <v/>
      </c>
      <c r="V217" s="7">
        <f>IF($X217="","",O217+R217+M217)</f>
        <v/>
      </c>
      <c r="W217" s="7">
        <f>IF($X217="","",V217-T217-I217)</f>
        <v/>
      </c>
      <c r="X217" s="13">
        <f>IF(ROWS($X$2:$X217)&lt;=MAX('Per Line'!$AL$2:$AL$3001),MATCH(ROWS($X$2:$X217),'Per Line'!$AL$2:$AL$3001,0),"")</f>
        <v/>
      </c>
    </row>
    <row r="218">
      <c r="A218" s="12" t="n"/>
      <c r="B218">
        <f>IF($X218="","",INDEX('Per Line'!$D$2:$D$3001,$X218)&amp;"")</f>
        <v/>
      </c>
      <c r="C218" s="11">
        <f>IF($X218="","",INDEX('Per Line'!$F$2:$F$3001,$X218))</f>
        <v/>
      </c>
      <c r="D218">
        <f>IF($X218="","",INDEX('Per Line'!$G$2:$G$3001,$X218)&amp;"")</f>
        <v/>
      </c>
      <c r="E218">
        <f>IF($X218="","",INDEX('Per Line'!$I$2:$I$3001,$X218)&amp;"")</f>
        <v/>
      </c>
      <c r="F218">
        <f>IF($X218="","",INDEX('Per Line'!$J$2:$J$3001,$X218)&amp;"")</f>
        <v/>
      </c>
      <c r="G218">
        <f>IF($X218="","",INDEX('Per Line'!$K$2:$K$3001,$X218)&amp;"")</f>
        <v/>
      </c>
      <c r="H218">
        <f>IF($X218="","",INDEX('Per Line'!$M$2:$M$3001,$X218))</f>
        <v/>
      </c>
      <c r="I218" s="7">
        <f>IF($X218="","",H218*V218/100)</f>
        <v/>
      </c>
      <c r="J218">
        <f>IF($X218="","",INDEX('Per Line'!$W$2:$W$3001,$X218)&amp;"")</f>
        <v/>
      </c>
      <c r="K218">
        <f>IF($X218="","",INDEX('Per Line'!$AD$2:$AD$3001,$X218))</f>
        <v/>
      </c>
      <c r="L218">
        <f>IF($X218="","",IF(AND(ISNUMBER(K218),K218&gt;0),V218&gt;K218,FALSE))</f>
        <v/>
      </c>
      <c r="M218" s="7">
        <f>IF($X218="","",SUMIFS('Per Line'!$V$2:$V$3001,'Per Line'!$D$2:$D$3001,$B218,'Per Line'!$AN$2:$AN$3001,1))</f>
        <v/>
      </c>
      <c r="N218">
        <f>IF($X218="","",Settings!$C$7)</f>
        <v/>
      </c>
      <c r="O218" s="7">
        <f>IF($X218="","",SUMIFS('Per Line'!$V$2:$V$3001,'Per Line'!$D$2:$D$3001,$B218,'Per Line'!$AM$2:$AM$3001,0,'Per Line'!$AN$2:$AN$3001,0))</f>
        <v/>
      </c>
      <c r="P218" s="7">
        <f>IF($X218="","",O218*N218)</f>
        <v/>
      </c>
      <c r="Q218">
        <f>IF($X218="","",Settings!$C$6)</f>
        <v/>
      </c>
      <c r="R218" s="7">
        <f>IF($X218="","",SUMIFS('Per Line'!$V$2:$V$3001,'Per Line'!$D$2:$D$3001,$B218,'Per Line'!$AM$2:$AM$3001,1,'Per Line'!$AN$2:$AN$3001,0))</f>
        <v/>
      </c>
      <c r="S218" s="7">
        <f>IF($X218="","",R218*Q218)</f>
        <v/>
      </c>
      <c r="T218" s="7">
        <f>IF($X218="","",S218+P218)</f>
        <v/>
      </c>
      <c r="U218" s="7">
        <f>IF($X218="","",V218-T218)</f>
        <v/>
      </c>
      <c r="V218" s="7">
        <f>IF($X218="","",O218+R218+M218)</f>
        <v/>
      </c>
      <c r="W218" s="7">
        <f>IF($X218="","",V218-T218-I218)</f>
        <v/>
      </c>
      <c r="X218" s="13">
        <f>IF(ROWS($X$2:$X218)&lt;=MAX('Per Line'!$AL$2:$AL$3001),MATCH(ROWS($X$2:$X218),'Per Line'!$AL$2:$AL$3001,0),"")</f>
        <v/>
      </c>
    </row>
    <row r="219">
      <c r="A219" s="12" t="n"/>
      <c r="B219">
        <f>IF($X219="","",INDEX('Per Line'!$D$2:$D$3001,$X219)&amp;"")</f>
        <v/>
      </c>
      <c r="C219" s="11">
        <f>IF($X219="","",INDEX('Per Line'!$F$2:$F$3001,$X219))</f>
        <v/>
      </c>
      <c r="D219">
        <f>IF($X219="","",INDEX('Per Line'!$G$2:$G$3001,$X219)&amp;"")</f>
        <v/>
      </c>
      <c r="E219">
        <f>IF($X219="","",INDEX('Per Line'!$I$2:$I$3001,$X219)&amp;"")</f>
        <v/>
      </c>
      <c r="F219">
        <f>IF($X219="","",INDEX('Per Line'!$J$2:$J$3001,$X219)&amp;"")</f>
        <v/>
      </c>
      <c r="G219">
        <f>IF($X219="","",INDEX('Per Line'!$K$2:$K$3001,$X219)&amp;"")</f>
        <v/>
      </c>
      <c r="H219">
        <f>IF($X219="","",INDEX('Per Line'!$M$2:$M$3001,$X219))</f>
        <v/>
      </c>
      <c r="I219" s="7">
        <f>IF($X219="","",H219*V219/100)</f>
        <v/>
      </c>
      <c r="J219">
        <f>IF($X219="","",INDEX('Per Line'!$W$2:$W$3001,$X219)&amp;"")</f>
        <v/>
      </c>
      <c r="K219">
        <f>IF($X219="","",INDEX('Per Line'!$AD$2:$AD$3001,$X219))</f>
        <v/>
      </c>
      <c r="L219">
        <f>IF($X219="","",IF(AND(ISNUMBER(K219),K219&gt;0),V219&gt;K219,FALSE))</f>
        <v/>
      </c>
      <c r="M219" s="7">
        <f>IF($X219="","",SUMIFS('Per Line'!$V$2:$V$3001,'Per Line'!$D$2:$D$3001,$B219,'Per Line'!$AN$2:$AN$3001,1))</f>
        <v/>
      </c>
      <c r="N219">
        <f>IF($X219="","",Settings!$C$7)</f>
        <v/>
      </c>
      <c r="O219" s="7">
        <f>IF($X219="","",SUMIFS('Per Line'!$V$2:$V$3001,'Per Line'!$D$2:$D$3001,$B219,'Per Line'!$AM$2:$AM$3001,0,'Per Line'!$AN$2:$AN$3001,0))</f>
        <v/>
      </c>
      <c r="P219" s="7">
        <f>IF($X219="","",O219*N219)</f>
        <v/>
      </c>
      <c r="Q219">
        <f>IF($X219="","",Settings!$C$6)</f>
        <v/>
      </c>
      <c r="R219" s="7">
        <f>IF($X219="","",SUMIFS('Per Line'!$V$2:$V$3001,'Per Line'!$D$2:$D$3001,$B219,'Per Line'!$AM$2:$AM$3001,1,'Per Line'!$AN$2:$AN$3001,0))</f>
        <v/>
      </c>
      <c r="S219" s="7">
        <f>IF($X219="","",R219*Q219)</f>
        <v/>
      </c>
      <c r="T219" s="7">
        <f>IF($X219="","",S219+P219)</f>
        <v/>
      </c>
      <c r="U219" s="7">
        <f>IF($X219="","",V219-T219)</f>
        <v/>
      </c>
      <c r="V219" s="7">
        <f>IF($X219="","",O219+R219+M219)</f>
        <v/>
      </c>
      <c r="W219" s="7">
        <f>IF($X219="","",V219-T219-I219)</f>
        <v/>
      </c>
      <c r="X219" s="13">
        <f>IF(ROWS($X$2:$X219)&lt;=MAX('Per Line'!$AL$2:$AL$3001),MATCH(ROWS($X$2:$X219),'Per Line'!$AL$2:$AL$3001,0),"")</f>
        <v/>
      </c>
    </row>
    <row r="220">
      <c r="A220" s="12" t="n"/>
      <c r="B220">
        <f>IF($X220="","",INDEX('Per Line'!$D$2:$D$3001,$X220)&amp;"")</f>
        <v/>
      </c>
      <c r="C220" s="11">
        <f>IF($X220="","",INDEX('Per Line'!$F$2:$F$3001,$X220))</f>
        <v/>
      </c>
      <c r="D220">
        <f>IF($X220="","",INDEX('Per Line'!$G$2:$G$3001,$X220)&amp;"")</f>
        <v/>
      </c>
      <c r="E220">
        <f>IF($X220="","",INDEX('Per Line'!$I$2:$I$3001,$X220)&amp;"")</f>
        <v/>
      </c>
      <c r="F220">
        <f>IF($X220="","",INDEX('Per Line'!$J$2:$J$3001,$X220)&amp;"")</f>
        <v/>
      </c>
      <c r="G220">
        <f>IF($X220="","",INDEX('Per Line'!$K$2:$K$3001,$X220)&amp;"")</f>
        <v/>
      </c>
      <c r="H220">
        <f>IF($X220="","",INDEX('Per Line'!$M$2:$M$3001,$X220))</f>
        <v/>
      </c>
      <c r="I220" s="7">
        <f>IF($X220="","",H220*V220/100)</f>
        <v/>
      </c>
      <c r="J220">
        <f>IF($X220="","",INDEX('Per Line'!$W$2:$W$3001,$X220)&amp;"")</f>
        <v/>
      </c>
      <c r="K220">
        <f>IF($X220="","",INDEX('Per Line'!$AD$2:$AD$3001,$X220))</f>
        <v/>
      </c>
      <c r="L220">
        <f>IF($X220="","",IF(AND(ISNUMBER(K220),K220&gt;0),V220&gt;K220,FALSE))</f>
        <v/>
      </c>
      <c r="M220" s="7">
        <f>IF($X220="","",SUMIFS('Per Line'!$V$2:$V$3001,'Per Line'!$D$2:$D$3001,$B220,'Per Line'!$AN$2:$AN$3001,1))</f>
        <v/>
      </c>
      <c r="N220">
        <f>IF($X220="","",Settings!$C$7)</f>
        <v/>
      </c>
      <c r="O220" s="7">
        <f>IF($X220="","",SUMIFS('Per Line'!$V$2:$V$3001,'Per Line'!$D$2:$D$3001,$B220,'Per Line'!$AM$2:$AM$3001,0,'Per Line'!$AN$2:$AN$3001,0))</f>
        <v/>
      </c>
      <c r="P220" s="7">
        <f>IF($X220="","",O220*N220)</f>
        <v/>
      </c>
      <c r="Q220">
        <f>IF($X220="","",Settings!$C$6)</f>
        <v/>
      </c>
      <c r="R220" s="7">
        <f>IF($X220="","",SUMIFS('Per Line'!$V$2:$V$3001,'Per Line'!$D$2:$D$3001,$B220,'Per Line'!$AM$2:$AM$3001,1,'Per Line'!$AN$2:$AN$3001,0))</f>
        <v/>
      </c>
      <c r="S220" s="7">
        <f>IF($X220="","",R220*Q220)</f>
        <v/>
      </c>
      <c r="T220" s="7">
        <f>IF($X220="","",S220+P220)</f>
        <v/>
      </c>
      <c r="U220" s="7">
        <f>IF($X220="","",V220-T220)</f>
        <v/>
      </c>
      <c r="V220" s="7">
        <f>IF($X220="","",O220+R220+M220)</f>
        <v/>
      </c>
      <c r="W220" s="7">
        <f>IF($X220="","",V220-T220-I220)</f>
        <v/>
      </c>
      <c r="X220" s="13">
        <f>IF(ROWS($X$2:$X220)&lt;=MAX('Per Line'!$AL$2:$AL$3001),MATCH(ROWS($X$2:$X220),'Per Line'!$AL$2:$AL$3001,0),"")</f>
        <v/>
      </c>
    </row>
    <row r="221">
      <c r="A221" s="12" t="n"/>
      <c r="B221">
        <f>IF($X221="","",INDEX('Per Line'!$D$2:$D$3001,$X221)&amp;"")</f>
        <v/>
      </c>
      <c r="C221" s="11">
        <f>IF($X221="","",INDEX('Per Line'!$F$2:$F$3001,$X221))</f>
        <v/>
      </c>
      <c r="D221">
        <f>IF($X221="","",INDEX('Per Line'!$G$2:$G$3001,$X221)&amp;"")</f>
        <v/>
      </c>
      <c r="E221">
        <f>IF($X221="","",INDEX('Per Line'!$I$2:$I$3001,$X221)&amp;"")</f>
        <v/>
      </c>
      <c r="F221">
        <f>IF($X221="","",INDEX('Per Line'!$J$2:$J$3001,$X221)&amp;"")</f>
        <v/>
      </c>
      <c r="G221">
        <f>IF($X221="","",INDEX('Per Line'!$K$2:$K$3001,$X221)&amp;"")</f>
        <v/>
      </c>
      <c r="H221">
        <f>IF($X221="","",INDEX('Per Line'!$M$2:$M$3001,$X221))</f>
        <v/>
      </c>
      <c r="I221" s="7">
        <f>IF($X221="","",H221*V221/100)</f>
        <v/>
      </c>
      <c r="J221">
        <f>IF($X221="","",INDEX('Per Line'!$W$2:$W$3001,$X221)&amp;"")</f>
        <v/>
      </c>
      <c r="K221">
        <f>IF($X221="","",INDEX('Per Line'!$AD$2:$AD$3001,$X221))</f>
        <v/>
      </c>
      <c r="L221">
        <f>IF($X221="","",IF(AND(ISNUMBER(K221),K221&gt;0),V221&gt;K221,FALSE))</f>
        <v/>
      </c>
      <c r="M221" s="7">
        <f>IF($X221="","",SUMIFS('Per Line'!$V$2:$V$3001,'Per Line'!$D$2:$D$3001,$B221,'Per Line'!$AN$2:$AN$3001,1))</f>
        <v/>
      </c>
      <c r="N221">
        <f>IF($X221="","",Settings!$C$7)</f>
        <v/>
      </c>
      <c r="O221" s="7">
        <f>IF($X221="","",SUMIFS('Per Line'!$V$2:$V$3001,'Per Line'!$D$2:$D$3001,$B221,'Per Line'!$AM$2:$AM$3001,0,'Per Line'!$AN$2:$AN$3001,0))</f>
        <v/>
      </c>
      <c r="P221" s="7">
        <f>IF($X221="","",O221*N221)</f>
        <v/>
      </c>
      <c r="Q221">
        <f>IF($X221="","",Settings!$C$6)</f>
        <v/>
      </c>
      <c r="R221" s="7">
        <f>IF($X221="","",SUMIFS('Per Line'!$V$2:$V$3001,'Per Line'!$D$2:$D$3001,$B221,'Per Line'!$AM$2:$AM$3001,1,'Per Line'!$AN$2:$AN$3001,0))</f>
        <v/>
      </c>
      <c r="S221" s="7">
        <f>IF($X221="","",R221*Q221)</f>
        <v/>
      </c>
      <c r="T221" s="7">
        <f>IF($X221="","",S221+P221)</f>
        <v/>
      </c>
      <c r="U221" s="7">
        <f>IF($X221="","",V221-T221)</f>
        <v/>
      </c>
      <c r="V221" s="7">
        <f>IF($X221="","",O221+R221+M221)</f>
        <v/>
      </c>
      <c r="W221" s="7">
        <f>IF($X221="","",V221-T221-I221)</f>
        <v/>
      </c>
      <c r="X221" s="13">
        <f>IF(ROWS($X$2:$X221)&lt;=MAX('Per Line'!$AL$2:$AL$3001),MATCH(ROWS($X$2:$X221),'Per Line'!$AL$2:$AL$3001,0),"")</f>
        <v/>
      </c>
    </row>
    <row r="222">
      <c r="A222" s="12" t="n"/>
      <c r="B222">
        <f>IF($X222="","",INDEX('Per Line'!$D$2:$D$3001,$X222)&amp;"")</f>
        <v/>
      </c>
      <c r="C222" s="11">
        <f>IF($X222="","",INDEX('Per Line'!$F$2:$F$3001,$X222))</f>
        <v/>
      </c>
      <c r="D222">
        <f>IF($X222="","",INDEX('Per Line'!$G$2:$G$3001,$X222)&amp;"")</f>
        <v/>
      </c>
      <c r="E222">
        <f>IF($X222="","",INDEX('Per Line'!$I$2:$I$3001,$X222)&amp;"")</f>
        <v/>
      </c>
      <c r="F222">
        <f>IF($X222="","",INDEX('Per Line'!$J$2:$J$3001,$X222)&amp;"")</f>
        <v/>
      </c>
      <c r="G222">
        <f>IF($X222="","",INDEX('Per Line'!$K$2:$K$3001,$X222)&amp;"")</f>
        <v/>
      </c>
      <c r="H222">
        <f>IF($X222="","",INDEX('Per Line'!$M$2:$M$3001,$X222))</f>
        <v/>
      </c>
      <c r="I222" s="7">
        <f>IF($X222="","",H222*V222/100)</f>
        <v/>
      </c>
      <c r="J222">
        <f>IF($X222="","",INDEX('Per Line'!$W$2:$W$3001,$X222)&amp;"")</f>
        <v/>
      </c>
      <c r="K222">
        <f>IF($X222="","",INDEX('Per Line'!$AD$2:$AD$3001,$X222))</f>
        <v/>
      </c>
      <c r="L222">
        <f>IF($X222="","",IF(AND(ISNUMBER(K222),K222&gt;0),V222&gt;K222,FALSE))</f>
        <v/>
      </c>
      <c r="M222" s="7">
        <f>IF($X222="","",SUMIFS('Per Line'!$V$2:$V$3001,'Per Line'!$D$2:$D$3001,$B222,'Per Line'!$AN$2:$AN$3001,1))</f>
        <v/>
      </c>
      <c r="N222">
        <f>IF($X222="","",Settings!$C$7)</f>
        <v/>
      </c>
      <c r="O222" s="7">
        <f>IF($X222="","",SUMIFS('Per Line'!$V$2:$V$3001,'Per Line'!$D$2:$D$3001,$B222,'Per Line'!$AM$2:$AM$3001,0,'Per Line'!$AN$2:$AN$3001,0))</f>
        <v/>
      </c>
      <c r="P222" s="7">
        <f>IF($X222="","",O222*N222)</f>
        <v/>
      </c>
      <c r="Q222">
        <f>IF($X222="","",Settings!$C$6)</f>
        <v/>
      </c>
      <c r="R222" s="7">
        <f>IF($X222="","",SUMIFS('Per Line'!$V$2:$V$3001,'Per Line'!$D$2:$D$3001,$B222,'Per Line'!$AM$2:$AM$3001,1,'Per Line'!$AN$2:$AN$3001,0))</f>
        <v/>
      </c>
      <c r="S222" s="7">
        <f>IF($X222="","",R222*Q222)</f>
        <v/>
      </c>
      <c r="T222" s="7">
        <f>IF($X222="","",S222+P222)</f>
        <v/>
      </c>
      <c r="U222" s="7">
        <f>IF($X222="","",V222-T222)</f>
        <v/>
      </c>
      <c r="V222" s="7">
        <f>IF($X222="","",O222+R222+M222)</f>
        <v/>
      </c>
      <c r="W222" s="7">
        <f>IF($X222="","",V222-T222-I222)</f>
        <v/>
      </c>
      <c r="X222" s="13">
        <f>IF(ROWS($X$2:$X222)&lt;=MAX('Per Line'!$AL$2:$AL$3001),MATCH(ROWS($X$2:$X222),'Per Line'!$AL$2:$AL$3001,0),"")</f>
        <v/>
      </c>
    </row>
    <row r="223">
      <c r="A223" s="12" t="n"/>
      <c r="B223">
        <f>IF($X223="","",INDEX('Per Line'!$D$2:$D$3001,$X223)&amp;"")</f>
        <v/>
      </c>
      <c r="C223" s="11">
        <f>IF($X223="","",INDEX('Per Line'!$F$2:$F$3001,$X223))</f>
        <v/>
      </c>
      <c r="D223">
        <f>IF($X223="","",INDEX('Per Line'!$G$2:$G$3001,$X223)&amp;"")</f>
        <v/>
      </c>
      <c r="E223">
        <f>IF($X223="","",INDEX('Per Line'!$I$2:$I$3001,$X223)&amp;"")</f>
        <v/>
      </c>
      <c r="F223">
        <f>IF($X223="","",INDEX('Per Line'!$J$2:$J$3001,$X223)&amp;"")</f>
        <v/>
      </c>
      <c r="G223">
        <f>IF($X223="","",INDEX('Per Line'!$K$2:$K$3001,$X223)&amp;"")</f>
        <v/>
      </c>
      <c r="H223">
        <f>IF($X223="","",INDEX('Per Line'!$M$2:$M$3001,$X223))</f>
        <v/>
      </c>
      <c r="I223" s="7">
        <f>IF($X223="","",H223*V223/100)</f>
        <v/>
      </c>
      <c r="J223">
        <f>IF($X223="","",INDEX('Per Line'!$W$2:$W$3001,$X223)&amp;"")</f>
        <v/>
      </c>
      <c r="K223">
        <f>IF($X223="","",INDEX('Per Line'!$AD$2:$AD$3001,$X223))</f>
        <v/>
      </c>
      <c r="L223">
        <f>IF($X223="","",IF(AND(ISNUMBER(K223),K223&gt;0),V223&gt;K223,FALSE))</f>
        <v/>
      </c>
      <c r="M223" s="7">
        <f>IF($X223="","",SUMIFS('Per Line'!$V$2:$V$3001,'Per Line'!$D$2:$D$3001,$B223,'Per Line'!$AN$2:$AN$3001,1))</f>
        <v/>
      </c>
      <c r="N223">
        <f>IF($X223="","",Settings!$C$7)</f>
        <v/>
      </c>
      <c r="O223" s="7">
        <f>IF($X223="","",SUMIFS('Per Line'!$V$2:$V$3001,'Per Line'!$D$2:$D$3001,$B223,'Per Line'!$AM$2:$AM$3001,0,'Per Line'!$AN$2:$AN$3001,0))</f>
        <v/>
      </c>
      <c r="P223" s="7">
        <f>IF($X223="","",O223*N223)</f>
        <v/>
      </c>
      <c r="Q223">
        <f>IF($X223="","",Settings!$C$6)</f>
        <v/>
      </c>
      <c r="R223" s="7">
        <f>IF($X223="","",SUMIFS('Per Line'!$V$2:$V$3001,'Per Line'!$D$2:$D$3001,$B223,'Per Line'!$AM$2:$AM$3001,1,'Per Line'!$AN$2:$AN$3001,0))</f>
        <v/>
      </c>
      <c r="S223" s="7">
        <f>IF($X223="","",R223*Q223)</f>
        <v/>
      </c>
      <c r="T223" s="7">
        <f>IF($X223="","",S223+P223)</f>
        <v/>
      </c>
      <c r="U223" s="7">
        <f>IF($X223="","",V223-T223)</f>
        <v/>
      </c>
      <c r="V223" s="7">
        <f>IF($X223="","",O223+R223+M223)</f>
        <v/>
      </c>
      <c r="W223" s="7">
        <f>IF($X223="","",V223-T223-I223)</f>
        <v/>
      </c>
      <c r="X223" s="13">
        <f>IF(ROWS($X$2:$X223)&lt;=MAX('Per Line'!$AL$2:$AL$3001),MATCH(ROWS($X$2:$X223),'Per Line'!$AL$2:$AL$3001,0),"")</f>
        <v/>
      </c>
    </row>
    <row r="224">
      <c r="A224" s="12" t="n"/>
      <c r="B224">
        <f>IF($X224="","",INDEX('Per Line'!$D$2:$D$3001,$X224)&amp;"")</f>
        <v/>
      </c>
      <c r="C224" s="11">
        <f>IF($X224="","",INDEX('Per Line'!$F$2:$F$3001,$X224))</f>
        <v/>
      </c>
      <c r="D224">
        <f>IF($X224="","",INDEX('Per Line'!$G$2:$G$3001,$X224)&amp;"")</f>
        <v/>
      </c>
      <c r="E224">
        <f>IF($X224="","",INDEX('Per Line'!$I$2:$I$3001,$X224)&amp;"")</f>
        <v/>
      </c>
      <c r="F224">
        <f>IF($X224="","",INDEX('Per Line'!$J$2:$J$3001,$X224)&amp;"")</f>
        <v/>
      </c>
      <c r="G224">
        <f>IF($X224="","",INDEX('Per Line'!$K$2:$K$3001,$X224)&amp;"")</f>
        <v/>
      </c>
      <c r="H224">
        <f>IF($X224="","",INDEX('Per Line'!$M$2:$M$3001,$X224))</f>
        <v/>
      </c>
      <c r="I224" s="7">
        <f>IF($X224="","",H224*V224/100)</f>
        <v/>
      </c>
      <c r="J224">
        <f>IF($X224="","",INDEX('Per Line'!$W$2:$W$3001,$X224)&amp;"")</f>
        <v/>
      </c>
      <c r="K224">
        <f>IF($X224="","",INDEX('Per Line'!$AD$2:$AD$3001,$X224))</f>
        <v/>
      </c>
      <c r="L224">
        <f>IF($X224="","",IF(AND(ISNUMBER(K224),K224&gt;0),V224&gt;K224,FALSE))</f>
        <v/>
      </c>
      <c r="M224" s="7">
        <f>IF($X224="","",SUMIFS('Per Line'!$V$2:$V$3001,'Per Line'!$D$2:$D$3001,$B224,'Per Line'!$AN$2:$AN$3001,1))</f>
        <v/>
      </c>
      <c r="N224">
        <f>IF($X224="","",Settings!$C$7)</f>
        <v/>
      </c>
      <c r="O224" s="7">
        <f>IF($X224="","",SUMIFS('Per Line'!$V$2:$V$3001,'Per Line'!$D$2:$D$3001,$B224,'Per Line'!$AM$2:$AM$3001,0,'Per Line'!$AN$2:$AN$3001,0))</f>
        <v/>
      </c>
      <c r="P224" s="7">
        <f>IF($X224="","",O224*N224)</f>
        <v/>
      </c>
      <c r="Q224">
        <f>IF($X224="","",Settings!$C$6)</f>
        <v/>
      </c>
      <c r="R224" s="7">
        <f>IF($X224="","",SUMIFS('Per Line'!$V$2:$V$3001,'Per Line'!$D$2:$D$3001,$B224,'Per Line'!$AM$2:$AM$3001,1,'Per Line'!$AN$2:$AN$3001,0))</f>
        <v/>
      </c>
      <c r="S224" s="7">
        <f>IF($X224="","",R224*Q224)</f>
        <v/>
      </c>
      <c r="T224" s="7">
        <f>IF($X224="","",S224+P224)</f>
        <v/>
      </c>
      <c r="U224" s="7">
        <f>IF($X224="","",V224-T224)</f>
        <v/>
      </c>
      <c r="V224" s="7">
        <f>IF($X224="","",O224+R224+M224)</f>
        <v/>
      </c>
      <c r="W224" s="7">
        <f>IF($X224="","",V224-T224-I224)</f>
        <v/>
      </c>
      <c r="X224" s="13">
        <f>IF(ROWS($X$2:$X224)&lt;=MAX('Per Line'!$AL$2:$AL$3001),MATCH(ROWS($X$2:$X224),'Per Line'!$AL$2:$AL$3001,0),"")</f>
        <v/>
      </c>
    </row>
    <row r="225">
      <c r="A225" s="12" t="n"/>
      <c r="B225">
        <f>IF($X225="","",INDEX('Per Line'!$D$2:$D$3001,$X225)&amp;"")</f>
        <v/>
      </c>
      <c r="C225" s="11">
        <f>IF($X225="","",INDEX('Per Line'!$F$2:$F$3001,$X225))</f>
        <v/>
      </c>
      <c r="D225">
        <f>IF($X225="","",INDEX('Per Line'!$G$2:$G$3001,$X225)&amp;"")</f>
        <v/>
      </c>
      <c r="E225">
        <f>IF($X225="","",INDEX('Per Line'!$I$2:$I$3001,$X225)&amp;"")</f>
        <v/>
      </c>
      <c r="F225">
        <f>IF($X225="","",INDEX('Per Line'!$J$2:$J$3001,$X225)&amp;"")</f>
        <v/>
      </c>
      <c r="G225">
        <f>IF($X225="","",INDEX('Per Line'!$K$2:$K$3001,$X225)&amp;"")</f>
        <v/>
      </c>
      <c r="H225">
        <f>IF($X225="","",INDEX('Per Line'!$M$2:$M$3001,$X225))</f>
        <v/>
      </c>
      <c r="I225" s="7">
        <f>IF($X225="","",H225*V225/100)</f>
        <v/>
      </c>
      <c r="J225">
        <f>IF($X225="","",INDEX('Per Line'!$W$2:$W$3001,$X225)&amp;"")</f>
        <v/>
      </c>
      <c r="K225">
        <f>IF($X225="","",INDEX('Per Line'!$AD$2:$AD$3001,$X225))</f>
        <v/>
      </c>
      <c r="L225">
        <f>IF($X225="","",IF(AND(ISNUMBER(K225),K225&gt;0),V225&gt;K225,FALSE))</f>
        <v/>
      </c>
      <c r="M225" s="7">
        <f>IF($X225="","",SUMIFS('Per Line'!$V$2:$V$3001,'Per Line'!$D$2:$D$3001,$B225,'Per Line'!$AN$2:$AN$3001,1))</f>
        <v/>
      </c>
      <c r="N225">
        <f>IF($X225="","",Settings!$C$7)</f>
        <v/>
      </c>
      <c r="O225" s="7">
        <f>IF($X225="","",SUMIFS('Per Line'!$V$2:$V$3001,'Per Line'!$D$2:$D$3001,$B225,'Per Line'!$AM$2:$AM$3001,0,'Per Line'!$AN$2:$AN$3001,0))</f>
        <v/>
      </c>
      <c r="P225" s="7">
        <f>IF($X225="","",O225*N225)</f>
        <v/>
      </c>
      <c r="Q225">
        <f>IF($X225="","",Settings!$C$6)</f>
        <v/>
      </c>
      <c r="R225" s="7">
        <f>IF($X225="","",SUMIFS('Per Line'!$V$2:$V$3001,'Per Line'!$D$2:$D$3001,$B225,'Per Line'!$AM$2:$AM$3001,1,'Per Line'!$AN$2:$AN$3001,0))</f>
        <v/>
      </c>
      <c r="S225" s="7">
        <f>IF($X225="","",R225*Q225)</f>
        <v/>
      </c>
      <c r="T225" s="7">
        <f>IF($X225="","",S225+P225)</f>
        <v/>
      </c>
      <c r="U225" s="7">
        <f>IF($X225="","",V225-T225)</f>
        <v/>
      </c>
      <c r="V225" s="7">
        <f>IF($X225="","",O225+R225+M225)</f>
        <v/>
      </c>
      <c r="W225" s="7">
        <f>IF($X225="","",V225-T225-I225)</f>
        <v/>
      </c>
      <c r="X225" s="13">
        <f>IF(ROWS($X$2:$X225)&lt;=MAX('Per Line'!$AL$2:$AL$3001),MATCH(ROWS($X$2:$X225),'Per Line'!$AL$2:$AL$3001,0),"")</f>
        <v/>
      </c>
    </row>
    <row r="226">
      <c r="A226" s="12" t="n"/>
      <c r="B226">
        <f>IF($X226="","",INDEX('Per Line'!$D$2:$D$3001,$X226)&amp;"")</f>
        <v/>
      </c>
      <c r="C226" s="11">
        <f>IF($X226="","",INDEX('Per Line'!$F$2:$F$3001,$X226))</f>
        <v/>
      </c>
      <c r="D226">
        <f>IF($X226="","",INDEX('Per Line'!$G$2:$G$3001,$X226)&amp;"")</f>
        <v/>
      </c>
      <c r="E226">
        <f>IF($X226="","",INDEX('Per Line'!$I$2:$I$3001,$X226)&amp;"")</f>
        <v/>
      </c>
      <c r="F226">
        <f>IF($X226="","",INDEX('Per Line'!$J$2:$J$3001,$X226)&amp;"")</f>
        <v/>
      </c>
      <c r="G226">
        <f>IF($X226="","",INDEX('Per Line'!$K$2:$K$3001,$X226)&amp;"")</f>
        <v/>
      </c>
      <c r="H226">
        <f>IF($X226="","",INDEX('Per Line'!$M$2:$M$3001,$X226))</f>
        <v/>
      </c>
      <c r="I226" s="7">
        <f>IF($X226="","",H226*V226/100)</f>
        <v/>
      </c>
      <c r="J226">
        <f>IF($X226="","",INDEX('Per Line'!$W$2:$W$3001,$X226)&amp;"")</f>
        <v/>
      </c>
      <c r="K226">
        <f>IF($X226="","",INDEX('Per Line'!$AD$2:$AD$3001,$X226))</f>
        <v/>
      </c>
      <c r="L226">
        <f>IF($X226="","",IF(AND(ISNUMBER(K226),K226&gt;0),V226&gt;K226,FALSE))</f>
        <v/>
      </c>
      <c r="M226" s="7">
        <f>IF($X226="","",SUMIFS('Per Line'!$V$2:$V$3001,'Per Line'!$D$2:$D$3001,$B226,'Per Line'!$AN$2:$AN$3001,1))</f>
        <v/>
      </c>
      <c r="N226">
        <f>IF($X226="","",Settings!$C$7)</f>
        <v/>
      </c>
      <c r="O226" s="7">
        <f>IF($X226="","",SUMIFS('Per Line'!$V$2:$V$3001,'Per Line'!$D$2:$D$3001,$B226,'Per Line'!$AM$2:$AM$3001,0,'Per Line'!$AN$2:$AN$3001,0))</f>
        <v/>
      </c>
      <c r="P226" s="7">
        <f>IF($X226="","",O226*N226)</f>
        <v/>
      </c>
      <c r="Q226">
        <f>IF($X226="","",Settings!$C$6)</f>
        <v/>
      </c>
      <c r="R226" s="7">
        <f>IF($X226="","",SUMIFS('Per Line'!$V$2:$V$3001,'Per Line'!$D$2:$D$3001,$B226,'Per Line'!$AM$2:$AM$3001,1,'Per Line'!$AN$2:$AN$3001,0))</f>
        <v/>
      </c>
      <c r="S226" s="7">
        <f>IF($X226="","",R226*Q226)</f>
        <v/>
      </c>
      <c r="T226" s="7">
        <f>IF($X226="","",S226+P226)</f>
        <v/>
      </c>
      <c r="U226" s="7">
        <f>IF($X226="","",V226-T226)</f>
        <v/>
      </c>
      <c r="V226" s="7">
        <f>IF($X226="","",O226+R226+M226)</f>
        <v/>
      </c>
      <c r="W226" s="7">
        <f>IF($X226="","",V226-T226-I226)</f>
        <v/>
      </c>
      <c r="X226" s="13">
        <f>IF(ROWS($X$2:$X226)&lt;=MAX('Per Line'!$AL$2:$AL$3001),MATCH(ROWS($X$2:$X226),'Per Line'!$AL$2:$AL$3001,0),"")</f>
        <v/>
      </c>
    </row>
    <row r="227">
      <c r="A227" s="12" t="n"/>
      <c r="B227">
        <f>IF($X227="","",INDEX('Per Line'!$D$2:$D$3001,$X227)&amp;"")</f>
        <v/>
      </c>
      <c r="C227" s="11">
        <f>IF($X227="","",INDEX('Per Line'!$F$2:$F$3001,$X227))</f>
        <v/>
      </c>
      <c r="D227">
        <f>IF($X227="","",INDEX('Per Line'!$G$2:$G$3001,$X227)&amp;"")</f>
        <v/>
      </c>
      <c r="E227">
        <f>IF($X227="","",INDEX('Per Line'!$I$2:$I$3001,$X227)&amp;"")</f>
        <v/>
      </c>
      <c r="F227">
        <f>IF($X227="","",INDEX('Per Line'!$J$2:$J$3001,$X227)&amp;"")</f>
        <v/>
      </c>
      <c r="G227">
        <f>IF($X227="","",INDEX('Per Line'!$K$2:$K$3001,$X227)&amp;"")</f>
        <v/>
      </c>
      <c r="H227">
        <f>IF($X227="","",INDEX('Per Line'!$M$2:$M$3001,$X227))</f>
        <v/>
      </c>
      <c r="I227" s="7">
        <f>IF($X227="","",H227*V227/100)</f>
        <v/>
      </c>
      <c r="J227">
        <f>IF($X227="","",INDEX('Per Line'!$W$2:$W$3001,$X227)&amp;"")</f>
        <v/>
      </c>
      <c r="K227">
        <f>IF($X227="","",INDEX('Per Line'!$AD$2:$AD$3001,$X227))</f>
        <v/>
      </c>
      <c r="L227">
        <f>IF($X227="","",IF(AND(ISNUMBER(K227),K227&gt;0),V227&gt;K227,FALSE))</f>
        <v/>
      </c>
      <c r="M227" s="7">
        <f>IF($X227="","",SUMIFS('Per Line'!$V$2:$V$3001,'Per Line'!$D$2:$D$3001,$B227,'Per Line'!$AN$2:$AN$3001,1))</f>
        <v/>
      </c>
      <c r="N227">
        <f>IF($X227="","",Settings!$C$7)</f>
        <v/>
      </c>
      <c r="O227" s="7">
        <f>IF($X227="","",SUMIFS('Per Line'!$V$2:$V$3001,'Per Line'!$D$2:$D$3001,$B227,'Per Line'!$AM$2:$AM$3001,0,'Per Line'!$AN$2:$AN$3001,0))</f>
        <v/>
      </c>
      <c r="P227" s="7">
        <f>IF($X227="","",O227*N227)</f>
        <v/>
      </c>
      <c r="Q227">
        <f>IF($X227="","",Settings!$C$6)</f>
        <v/>
      </c>
      <c r="R227" s="7">
        <f>IF($X227="","",SUMIFS('Per Line'!$V$2:$V$3001,'Per Line'!$D$2:$D$3001,$B227,'Per Line'!$AM$2:$AM$3001,1,'Per Line'!$AN$2:$AN$3001,0))</f>
        <v/>
      </c>
      <c r="S227" s="7">
        <f>IF($X227="","",R227*Q227)</f>
        <v/>
      </c>
      <c r="T227" s="7">
        <f>IF($X227="","",S227+P227)</f>
        <v/>
      </c>
      <c r="U227" s="7">
        <f>IF($X227="","",V227-T227)</f>
        <v/>
      </c>
      <c r="V227" s="7">
        <f>IF($X227="","",O227+R227+M227)</f>
        <v/>
      </c>
      <c r="W227" s="7">
        <f>IF($X227="","",V227-T227-I227)</f>
        <v/>
      </c>
      <c r="X227" s="13">
        <f>IF(ROWS($X$2:$X227)&lt;=MAX('Per Line'!$AL$2:$AL$3001),MATCH(ROWS($X$2:$X227),'Per Line'!$AL$2:$AL$3001,0),"")</f>
        <v/>
      </c>
    </row>
    <row r="228">
      <c r="A228" s="12" t="n"/>
      <c r="B228">
        <f>IF($X228="","",INDEX('Per Line'!$D$2:$D$3001,$X228)&amp;"")</f>
        <v/>
      </c>
      <c r="C228" s="11">
        <f>IF($X228="","",INDEX('Per Line'!$F$2:$F$3001,$X228))</f>
        <v/>
      </c>
      <c r="D228">
        <f>IF($X228="","",INDEX('Per Line'!$G$2:$G$3001,$X228)&amp;"")</f>
        <v/>
      </c>
      <c r="E228">
        <f>IF($X228="","",INDEX('Per Line'!$I$2:$I$3001,$X228)&amp;"")</f>
        <v/>
      </c>
      <c r="F228">
        <f>IF($X228="","",INDEX('Per Line'!$J$2:$J$3001,$X228)&amp;"")</f>
        <v/>
      </c>
      <c r="G228">
        <f>IF($X228="","",INDEX('Per Line'!$K$2:$K$3001,$X228)&amp;"")</f>
        <v/>
      </c>
      <c r="H228">
        <f>IF($X228="","",INDEX('Per Line'!$M$2:$M$3001,$X228))</f>
        <v/>
      </c>
      <c r="I228" s="7">
        <f>IF($X228="","",H228*V228/100)</f>
        <v/>
      </c>
      <c r="J228">
        <f>IF($X228="","",INDEX('Per Line'!$W$2:$W$3001,$X228)&amp;"")</f>
        <v/>
      </c>
      <c r="K228">
        <f>IF($X228="","",INDEX('Per Line'!$AD$2:$AD$3001,$X228))</f>
        <v/>
      </c>
      <c r="L228">
        <f>IF($X228="","",IF(AND(ISNUMBER(K228),K228&gt;0),V228&gt;K228,FALSE))</f>
        <v/>
      </c>
      <c r="M228" s="7">
        <f>IF($X228="","",SUMIFS('Per Line'!$V$2:$V$3001,'Per Line'!$D$2:$D$3001,$B228,'Per Line'!$AN$2:$AN$3001,1))</f>
        <v/>
      </c>
      <c r="N228">
        <f>IF($X228="","",Settings!$C$7)</f>
        <v/>
      </c>
      <c r="O228" s="7">
        <f>IF($X228="","",SUMIFS('Per Line'!$V$2:$V$3001,'Per Line'!$D$2:$D$3001,$B228,'Per Line'!$AM$2:$AM$3001,0,'Per Line'!$AN$2:$AN$3001,0))</f>
        <v/>
      </c>
      <c r="P228" s="7">
        <f>IF($X228="","",O228*N228)</f>
        <v/>
      </c>
      <c r="Q228">
        <f>IF($X228="","",Settings!$C$6)</f>
        <v/>
      </c>
      <c r="R228" s="7">
        <f>IF($X228="","",SUMIFS('Per Line'!$V$2:$V$3001,'Per Line'!$D$2:$D$3001,$B228,'Per Line'!$AM$2:$AM$3001,1,'Per Line'!$AN$2:$AN$3001,0))</f>
        <v/>
      </c>
      <c r="S228" s="7">
        <f>IF($X228="","",R228*Q228)</f>
        <v/>
      </c>
      <c r="T228" s="7">
        <f>IF($X228="","",S228+P228)</f>
        <v/>
      </c>
      <c r="U228" s="7">
        <f>IF($X228="","",V228-T228)</f>
        <v/>
      </c>
      <c r="V228" s="7">
        <f>IF($X228="","",O228+R228+M228)</f>
        <v/>
      </c>
      <c r="W228" s="7">
        <f>IF($X228="","",V228-T228-I228)</f>
        <v/>
      </c>
      <c r="X228" s="13">
        <f>IF(ROWS($X$2:$X228)&lt;=MAX('Per Line'!$AL$2:$AL$3001),MATCH(ROWS($X$2:$X228),'Per Line'!$AL$2:$AL$3001,0),"")</f>
        <v/>
      </c>
    </row>
    <row r="229">
      <c r="A229" s="12" t="n"/>
      <c r="B229">
        <f>IF($X229="","",INDEX('Per Line'!$D$2:$D$3001,$X229)&amp;"")</f>
        <v/>
      </c>
      <c r="C229" s="11">
        <f>IF($X229="","",INDEX('Per Line'!$F$2:$F$3001,$X229))</f>
        <v/>
      </c>
      <c r="D229">
        <f>IF($X229="","",INDEX('Per Line'!$G$2:$G$3001,$X229)&amp;"")</f>
        <v/>
      </c>
      <c r="E229">
        <f>IF($X229="","",INDEX('Per Line'!$I$2:$I$3001,$X229)&amp;"")</f>
        <v/>
      </c>
      <c r="F229">
        <f>IF($X229="","",INDEX('Per Line'!$J$2:$J$3001,$X229)&amp;"")</f>
        <v/>
      </c>
      <c r="G229">
        <f>IF($X229="","",INDEX('Per Line'!$K$2:$K$3001,$X229)&amp;"")</f>
        <v/>
      </c>
      <c r="H229">
        <f>IF($X229="","",INDEX('Per Line'!$M$2:$M$3001,$X229))</f>
        <v/>
      </c>
      <c r="I229" s="7">
        <f>IF($X229="","",H229*V229/100)</f>
        <v/>
      </c>
      <c r="J229">
        <f>IF($X229="","",INDEX('Per Line'!$W$2:$W$3001,$X229)&amp;"")</f>
        <v/>
      </c>
      <c r="K229">
        <f>IF($X229="","",INDEX('Per Line'!$AD$2:$AD$3001,$X229))</f>
        <v/>
      </c>
      <c r="L229">
        <f>IF($X229="","",IF(AND(ISNUMBER(K229),K229&gt;0),V229&gt;K229,FALSE))</f>
        <v/>
      </c>
      <c r="M229" s="7">
        <f>IF($X229="","",SUMIFS('Per Line'!$V$2:$V$3001,'Per Line'!$D$2:$D$3001,$B229,'Per Line'!$AN$2:$AN$3001,1))</f>
        <v/>
      </c>
      <c r="N229">
        <f>IF($X229="","",Settings!$C$7)</f>
        <v/>
      </c>
      <c r="O229" s="7">
        <f>IF($X229="","",SUMIFS('Per Line'!$V$2:$V$3001,'Per Line'!$D$2:$D$3001,$B229,'Per Line'!$AM$2:$AM$3001,0,'Per Line'!$AN$2:$AN$3001,0))</f>
        <v/>
      </c>
      <c r="P229" s="7">
        <f>IF($X229="","",O229*N229)</f>
        <v/>
      </c>
      <c r="Q229">
        <f>IF($X229="","",Settings!$C$6)</f>
        <v/>
      </c>
      <c r="R229" s="7">
        <f>IF($X229="","",SUMIFS('Per Line'!$V$2:$V$3001,'Per Line'!$D$2:$D$3001,$B229,'Per Line'!$AM$2:$AM$3001,1,'Per Line'!$AN$2:$AN$3001,0))</f>
        <v/>
      </c>
      <c r="S229" s="7">
        <f>IF($X229="","",R229*Q229)</f>
        <v/>
      </c>
      <c r="T229" s="7">
        <f>IF($X229="","",S229+P229)</f>
        <v/>
      </c>
      <c r="U229" s="7">
        <f>IF($X229="","",V229-T229)</f>
        <v/>
      </c>
      <c r="V229" s="7">
        <f>IF($X229="","",O229+R229+M229)</f>
        <v/>
      </c>
      <c r="W229" s="7">
        <f>IF($X229="","",V229-T229-I229)</f>
        <v/>
      </c>
      <c r="X229" s="13">
        <f>IF(ROWS($X$2:$X229)&lt;=MAX('Per Line'!$AL$2:$AL$3001),MATCH(ROWS($X$2:$X229),'Per Line'!$AL$2:$AL$3001,0),"")</f>
        <v/>
      </c>
    </row>
    <row r="230">
      <c r="A230" s="12" t="n"/>
      <c r="B230">
        <f>IF($X230="","",INDEX('Per Line'!$D$2:$D$3001,$X230)&amp;"")</f>
        <v/>
      </c>
      <c r="C230" s="11">
        <f>IF($X230="","",INDEX('Per Line'!$F$2:$F$3001,$X230))</f>
        <v/>
      </c>
      <c r="D230">
        <f>IF($X230="","",INDEX('Per Line'!$G$2:$G$3001,$X230)&amp;"")</f>
        <v/>
      </c>
      <c r="E230">
        <f>IF($X230="","",INDEX('Per Line'!$I$2:$I$3001,$X230)&amp;"")</f>
        <v/>
      </c>
      <c r="F230">
        <f>IF($X230="","",INDEX('Per Line'!$J$2:$J$3001,$X230)&amp;"")</f>
        <v/>
      </c>
      <c r="G230">
        <f>IF($X230="","",INDEX('Per Line'!$K$2:$K$3001,$X230)&amp;"")</f>
        <v/>
      </c>
      <c r="H230">
        <f>IF($X230="","",INDEX('Per Line'!$M$2:$M$3001,$X230))</f>
        <v/>
      </c>
      <c r="I230" s="7">
        <f>IF($X230="","",H230*V230/100)</f>
        <v/>
      </c>
      <c r="J230">
        <f>IF($X230="","",INDEX('Per Line'!$W$2:$W$3001,$X230)&amp;"")</f>
        <v/>
      </c>
      <c r="K230">
        <f>IF($X230="","",INDEX('Per Line'!$AD$2:$AD$3001,$X230))</f>
        <v/>
      </c>
      <c r="L230">
        <f>IF($X230="","",IF(AND(ISNUMBER(K230),K230&gt;0),V230&gt;K230,FALSE))</f>
        <v/>
      </c>
      <c r="M230" s="7">
        <f>IF($X230="","",SUMIFS('Per Line'!$V$2:$V$3001,'Per Line'!$D$2:$D$3001,$B230,'Per Line'!$AN$2:$AN$3001,1))</f>
        <v/>
      </c>
      <c r="N230">
        <f>IF($X230="","",Settings!$C$7)</f>
        <v/>
      </c>
      <c r="O230" s="7">
        <f>IF($X230="","",SUMIFS('Per Line'!$V$2:$V$3001,'Per Line'!$D$2:$D$3001,$B230,'Per Line'!$AM$2:$AM$3001,0,'Per Line'!$AN$2:$AN$3001,0))</f>
        <v/>
      </c>
      <c r="P230" s="7">
        <f>IF($X230="","",O230*N230)</f>
        <v/>
      </c>
      <c r="Q230">
        <f>IF($X230="","",Settings!$C$6)</f>
        <v/>
      </c>
      <c r="R230" s="7">
        <f>IF($X230="","",SUMIFS('Per Line'!$V$2:$V$3001,'Per Line'!$D$2:$D$3001,$B230,'Per Line'!$AM$2:$AM$3001,1,'Per Line'!$AN$2:$AN$3001,0))</f>
        <v/>
      </c>
      <c r="S230" s="7">
        <f>IF($X230="","",R230*Q230)</f>
        <v/>
      </c>
      <c r="T230" s="7">
        <f>IF($X230="","",S230+P230)</f>
        <v/>
      </c>
      <c r="U230" s="7">
        <f>IF($X230="","",V230-T230)</f>
        <v/>
      </c>
      <c r="V230" s="7">
        <f>IF($X230="","",O230+R230+M230)</f>
        <v/>
      </c>
      <c r="W230" s="7">
        <f>IF($X230="","",V230-T230-I230)</f>
        <v/>
      </c>
      <c r="X230" s="13">
        <f>IF(ROWS($X$2:$X230)&lt;=MAX('Per Line'!$AL$2:$AL$3001),MATCH(ROWS($X$2:$X230),'Per Line'!$AL$2:$AL$3001,0),"")</f>
        <v/>
      </c>
    </row>
    <row r="231">
      <c r="A231" s="12" t="n"/>
      <c r="B231">
        <f>IF($X231="","",INDEX('Per Line'!$D$2:$D$3001,$X231)&amp;"")</f>
        <v/>
      </c>
      <c r="C231" s="11">
        <f>IF($X231="","",INDEX('Per Line'!$F$2:$F$3001,$X231))</f>
        <v/>
      </c>
      <c r="D231">
        <f>IF($X231="","",INDEX('Per Line'!$G$2:$G$3001,$X231)&amp;"")</f>
        <v/>
      </c>
      <c r="E231">
        <f>IF($X231="","",INDEX('Per Line'!$I$2:$I$3001,$X231)&amp;"")</f>
        <v/>
      </c>
      <c r="F231">
        <f>IF($X231="","",INDEX('Per Line'!$J$2:$J$3001,$X231)&amp;"")</f>
        <v/>
      </c>
      <c r="G231">
        <f>IF($X231="","",INDEX('Per Line'!$K$2:$K$3001,$X231)&amp;"")</f>
        <v/>
      </c>
      <c r="H231">
        <f>IF($X231="","",INDEX('Per Line'!$M$2:$M$3001,$X231))</f>
        <v/>
      </c>
      <c r="I231" s="7">
        <f>IF($X231="","",H231*V231/100)</f>
        <v/>
      </c>
      <c r="J231">
        <f>IF($X231="","",INDEX('Per Line'!$W$2:$W$3001,$X231)&amp;"")</f>
        <v/>
      </c>
      <c r="K231">
        <f>IF($X231="","",INDEX('Per Line'!$AD$2:$AD$3001,$X231))</f>
        <v/>
      </c>
      <c r="L231">
        <f>IF($X231="","",IF(AND(ISNUMBER(K231),K231&gt;0),V231&gt;K231,FALSE))</f>
        <v/>
      </c>
      <c r="M231" s="7">
        <f>IF($X231="","",SUMIFS('Per Line'!$V$2:$V$3001,'Per Line'!$D$2:$D$3001,$B231,'Per Line'!$AN$2:$AN$3001,1))</f>
        <v/>
      </c>
      <c r="N231">
        <f>IF($X231="","",Settings!$C$7)</f>
        <v/>
      </c>
      <c r="O231" s="7">
        <f>IF($X231="","",SUMIFS('Per Line'!$V$2:$V$3001,'Per Line'!$D$2:$D$3001,$B231,'Per Line'!$AM$2:$AM$3001,0,'Per Line'!$AN$2:$AN$3001,0))</f>
        <v/>
      </c>
      <c r="P231" s="7">
        <f>IF($X231="","",O231*N231)</f>
        <v/>
      </c>
      <c r="Q231">
        <f>IF($X231="","",Settings!$C$6)</f>
        <v/>
      </c>
      <c r="R231" s="7">
        <f>IF($X231="","",SUMIFS('Per Line'!$V$2:$V$3001,'Per Line'!$D$2:$D$3001,$B231,'Per Line'!$AM$2:$AM$3001,1,'Per Line'!$AN$2:$AN$3001,0))</f>
        <v/>
      </c>
      <c r="S231" s="7">
        <f>IF($X231="","",R231*Q231)</f>
        <v/>
      </c>
      <c r="T231" s="7">
        <f>IF($X231="","",S231+P231)</f>
        <v/>
      </c>
      <c r="U231" s="7">
        <f>IF($X231="","",V231-T231)</f>
        <v/>
      </c>
      <c r="V231" s="7">
        <f>IF($X231="","",O231+R231+M231)</f>
        <v/>
      </c>
      <c r="W231" s="7">
        <f>IF($X231="","",V231-T231-I231)</f>
        <v/>
      </c>
      <c r="X231" s="13">
        <f>IF(ROWS($X$2:$X231)&lt;=MAX('Per Line'!$AL$2:$AL$3001),MATCH(ROWS($X$2:$X231),'Per Line'!$AL$2:$AL$3001,0),"")</f>
        <v/>
      </c>
    </row>
    <row r="232">
      <c r="A232" s="12" t="n"/>
      <c r="B232">
        <f>IF($X232="","",INDEX('Per Line'!$D$2:$D$3001,$X232)&amp;"")</f>
        <v/>
      </c>
      <c r="C232" s="11">
        <f>IF($X232="","",INDEX('Per Line'!$F$2:$F$3001,$X232))</f>
        <v/>
      </c>
      <c r="D232">
        <f>IF($X232="","",INDEX('Per Line'!$G$2:$G$3001,$X232)&amp;"")</f>
        <v/>
      </c>
      <c r="E232">
        <f>IF($X232="","",INDEX('Per Line'!$I$2:$I$3001,$X232)&amp;"")</f>
        <v/>
      </c>
      <c r="F232">
        <f>IF($X232="","",INDEX('Per Line'!$J$2:$J$3001,$X232)&amp;"")</f>
        <v/>
      </c>
      <c r="G232">
        <f>IF($X232="","",INDEX('Per Line'!$K$2:$K$3001,$X232)&amp;"")</f>
        <v/>
      </c>
      <c r="H232">
        <f>IF($X232="","",INDEX('Per Line'!$M$2:$M$3001,$X232))</f>
        <v/>
      </c>
      <c r="I232" s="7">
        <f>IF($X232="","",H232*V232/100)</f>
        <v/>
      </c>
      <c r="J232">
        <f>IF($X232="","",INDEX('Per Line'!$W$2:$W$3001,$X232)&amp;"")</f>
        <v/>
      </c>
      <c r="K232">
        <f>IF($X232="","",INDEX('Per Line'!$AD$2:$AD$3001,$X232))</f>
        <v/>
      </c>
      <c r="L232">
        <f>IF($X232="","",IF(AND(ISNUMBER(K232),K232&gt;0),V232&gt;K232,FALSE))</f>
        <v/>
      </c>
      <c r="M232" s="7">
        <f>IF($X232="","",SUMIFS('Per Line'!$V$2:$V$3001,'Per Line'!$D$2:$D$3001,$B232,'Per Line'!$AN$2:$AN$3001,1))</f>
        <v/>
      </c>
      <c r="N232">
        <f>IF($X232="","",Settings!$C$7)</f>
        <v/>
      </c>
      <c r="O232" s="7">
        <f>IF($X232="","",SUMIFS('Per Line'!$V$2:$V$3001,'Per Line'!$D$2:$D$3001,$B232,'Per Line'!$AM$2:$AM$3001,0,'Per Line'!$AN$2:$AN$3001,0))</f>
        <v/>
      </c>
      <c r="P232" s="7">
        <f>IF($X232="","",O232*N232)</f>
        <v/>
      </c>
      <c r="Q232">
        <f>IF($X232="","",Settings!$C$6)</f>
        <v/>
      </c>
      <c r="R232" s="7">
        <f>IF($X232="","",SUMIFS('Per Line'!$V$2:$V$3001,'Per Line'!$D$2:$D$3001,$B232,'Per Line'!$AM$2:$AM$3001,1,'Per Line'!$AN$2:$AN$3001,0))</f>
        <v/>
      </c>
      <c r="S232" s="7">
        <f>IF($X232="","",R232*Q232)</f>
        <v/>
      </c>
      <c r="T232" s="7">
        <f>IF($X232="","",S232+P232)</f>
        <v/>
      </c>
      <c r="U232" s="7">
        <f>IF($X232="","",V232-T232)</f>
        <v/>
      </c>
      <c r="V232" s="7">
        <f>IF($X232="","",O232+R232+M232)</f>
        <v/>
      </c>
      <c r="W232" s="7">
        <f>IF($X232="","",V232-T232-I232)</f>
        <v/>
      </c>
      <c r="X232" s="13">
        <f>IF(ROWS($X$2:$X232)&lt;=MAX('Per Line'!$AL$2:$AL$3001),MATCH(ROWS($X$2:$X232),'Per Line'!$AL$2:$AL$3001,0),"")</f>
        <v/>
      </c>
    </row>
    <row r="233">
      <c r="A233" s="12" t="n"/>
      <c r="B233">
        <f>IF($X233="","",INDEX('Per Line'!$D$2:$D$3001,$X233)&amp;"")</f>
        <v/>
      </c>
      <c r="C233" s="11">
        <f>IF($X233="","",INDEX('Per Line'!$F$2:$F$3001,$X233))</f>
        <v/>
      </c>
      <c r="D233">
        <f>IF($X233="","",INDEX('Per Line'!$G$2:$G$3001,$X233)&amp;"")</f>
        <v/>
      </c>
      <c r="E233">
        <f>IF($X233="","",INDEX('Per Line'!$I$2:$I$3001,$X233)&amp;"")</f>
        <v/>
      </c>
      <c r="F233">
        <f>IF($X233="","",INDEX('Per Line'!$J$2:$J$3001,$X233)&amp;"")</f>
        <v/>
      </c>
      <c r="G233">
        <f>IF($X233="","",INDEX('Per Line'!$K$2:$K$3001,$X233)&amp;"")</f>
        <v/>
      </c>
      <c r="H233">
        <f>IF($X233="","",INDEX('Per Line'!$M$2:$M$3001,$X233))</f>
        <v/>
      </c>
      <c r="I233" s="7">
        <f>IF($X233="","",H233*V233/100)</f>
        <v/>
      </c>
      <c r="J233">
        <f>IF($X233="","",INDEX('Per Line'!$W$2:$W$3001,$X233)&amp;"")</f>
        <v/>
      </c>
      <c r="K233">
        <f>IF($X233="","",INDEX('Per Line'!$AD$2:$AD$3001,$X233))</f>
        <v/>
      </c>
      <c r="L233">
        <f>IF($X233="","",IF(AND(ISNUMBER(K233),K233&gt;0),V233&gt;K233,FALSE))</f>
        <v/>
      </c>
      <c r="M233" s="7">
        <f>IF($X233="","",SUMIFS('Per Line'!$V$2:$V$3001,'Per Line'!$D$2:$D$3001,$B233,'Per Line'!$AN$2:$AN$3001,1))</f>
        <v/>
      </c>
      <c r="N233">
        <f>IF($X233="","",Settings!$C$7)</f>
        <v/>
      </c>
      <c r="O233" s="7">
        <f>IF($X233="","",SUMIFS('Per Line'!$V$2:$V$3001,'Per Line'!$D$2:$D$3001,$B233,'Per Line'!$AM$2:$AM$3001,0,'Per Line'!$AN$2:$AN$3001,0))</f>
        <v/>
      </c>
      <c r="P233" s="7">
        <f>IF($X233="","",O233*N233)</f>
        <v/>
      </c>
      <c r="Q233">
        <f>IF($X233="","",Settings!$C$6)</f>
        <v/>
      </c>
      <c r="R233" s="7">
        <f>IF($X233="","",SUMIFS('Per Line'!$V$2:$V$3001,'Per Line'!$D$2:$D$3001,$B233,'Per Line'!$AM$2:$AM$3001,1,'Per Line'!$AN$2:$AN$3001,0))</f>
        <v/>
      </c>
      <c r="S233" s="7">
        <f>IF($X233="","",R233*Q233)</f>
        <v/>
      </c>
      <c r="T233" s="7">
        <f>IF($X233="","",S233+P233)</f>
        <v/>
      </c>
      <c r="U233" s="7">
        <f>IF($X233="","",V233-T233)</f>
        <v/>
      </c>
      <c r="V233" s="7">
        <f>IF($X233="","",O233+R233+M233)</f>
        <v/>
      </c>
      <c r="W233" s="7">
        <f>IF($X233="","",V233-T233-I233)</f>
        <v/>
      </c>
      <c r="X233" s="13">
        <f>IF(ROWS($X$2:$X233)&lt;=MAX('Per Line'!$AL$2:$AL$3001),MATCH(ROWS($X$2:$X233),'Per Line'!$AL$2:$AL$3001,0),"")</f>
        <v/>
      </c>
    </row>
    <row r="234">
      <c r="A234" s="12" t="n"/>
      <c r="B234">
        <f>IF($X234="","",INDEX('Per Line'!$D$2:$D$3001,$X234)&amp;"")</f>
        <v/>
      </c>
      <c r="C234" s="11">
        <f>IF($X234="","",INDEX('Per Line'!$F$2:$F$3001,$X234))</f>
        <v/>
      </c>
      <c r="D234">
        <f>IF($X234="","",INDEX('Per Line'!$G$2:$G$3001,$X234)&amp;"")</f>
        <v/>
      </c>
      <c r="E234">
        <f>IF($X234="","",INDEX('Per Line'!$I$2:$I$3001,$X234)&amp;"")</f>
        <v/>
      </c>
      <c r="F234">
        <f>IF($X234="","",INDEX('Per Line'!$J$2:$J$3001,$X234)&amp;"")</f>
        <v/>
      </c>
      <c r="G234">
        <f>IF($X234="","",INDEX('Per Line'!$K$2:$K$3001,$X234)&amp;"")</f>
        <v/>
      </c>
      <c r="H234">
        <f>IF($X234="","",INDEX('Per Line'!$M$2:$M$3001,$X234))</f>
        <v/>
      </c>
      <c r="I234" s="7">
        <f>IF($X234="","",H234*V234/100)</f>
        <v/>
      </c>
      <c r="J234">
        <f>IF($X234="","",INDEX('Per Line'!$W$2:$W$3001,$X234)&amp;"")</f>
        <v/>
      </c>
      <c r="K234">
        <f>IF($X234="","",INDEX('Per Line'!$AD$2:$AD$3001,$X234))</f>
        <v/>
      </c>
      <c r="L234">
        <f>IF($X234="","",IF(AND(ISNUMBER(K234),K234&gt;0),V234&gt;K234,FALSE))</f>
        <v/>
      </c>
      <c r="M234" s="7">
        <f>IF($X234="","",SUMIFS('Per Line'!$V$2:$V$3001,'Per Line'!$D$2:$D$3001,$B234,'Per Line'!$AN$2:$AN$3001,1))</f>
        <v/>
      </c>
      <c r="N234">
        <f>IF($X234="","",Settings!$C$7)</f>
        <v/>
      </c>
      <c r="O234" s="7">
        <f>IF($X234="","",SUMIFS('Per Line'!$V$2:$V$3001,'Per Line'!$D$2:$D$3001,$B234,'Per Line'!$AM$2:$AM$3001,0,'Per Line'!$AN$2:$AN$3001,0))</f>
        <v/>
      </c>
      <c r="P234" s="7">
        <f>IF($X234="","",O234*N234)</f>
        <v/>
      </c>
      <c r="Q234">
        <f>IF($X234="","",Settings!$C$6)</f>
        <v/>
      </c>
      <c r="R234" s="7">
        <f>IF($X234="","",SUMIFS('Per Line'!$V$2:$V$3001,'Per Line'!$D$2:$D$3001,$B234,'Per Line'!$AM$2:$AM$3001,1,'Per Line'!$AN$2:$AN$3001,0))</f>
        <v/>
      </c>
      <c r="S234" s="7">
        <f>IF($X234="","",R234*Q234)</f>
        <v/>
      </c>
      <c r="T234" s="7">
        <f>IF($X234="","",S234+P234)</f>
        <v/>
      </c>
      <c r="U234" s="7">
        <f>IF($X234="","",V234-T234)</f>
        <v/>
      </c>
      <c r="V234" s="7">
        <f>IF($X234="","",O234+R234+M234)</f>
        <v/>
      </c>
      <c r="W234" s="7">
        <f>IF($X234="","",V234-T234-I234)</f>
        <v/>
      </c>
      <c r="X234" s="13">
        <f>IF(ROWS($X$2:$X234)&lt;=MAX('Per Line'!$AL$2:$AL$3001),MATCH(ROWS($X$2:$X234),'Per Line'!$AL$2:$AL$3001,0),"")</f>
        <v/>
      </c>
    </row>
    <row r="235">
      <c r="A235" s="12" t="n"/>
      <c r="B235">
        <f>IF($X235="","",INDEX('Per Line'!$D$2:$D$3001,$X235)&amp;"")</f>
        <v/>
      </c>
      <c r="C235" s="11">
        <f>IF($X235="","",INDEX('Per Line'!$F$2:$F$3001,$X235))</f>
        <v/>
      </c>
      <c r="D235">
        <f>IF($X235="","",INDEX('Per Line'!$G$2:$G$3001,$X235)&amp;"")</f>
        <v/>
      </c>
      <c r="E235">
        <f>IF($X235="","",INDEX('Per Line'!$I$2:$I$3001,$X235)&amp;"")</f>
        <v/>
      </c>
      <c r="F235">
        <f>IF($X235="","",INDEX('Per Line'!$J$2:$J$3001,$X235)&amp;"")</f>
        <v/>
      </c>
      <c r="G235">
        <f>IF($X235="","",INDEX('Per Line'!$K$2:$K$3001,$X235)&amp;"")</f>
        <v/>
      </c>
      <c r="H235">
        <f>IF($X235="","",INDEX('Per Line'!$M$2:$M$3001,$X235))</f>
        <v/>
      </c>
      <c r="I235" s="7">
        <f>IF($X235="","",H235*V235/100)</f>
        <v/>
      </c>
      <c r="J235">
        <f>IF($X235="","",INDEX('Per Line'!$W$2:$W$3001,$X235)&amp;"")</f>
        <v/>
      </c>
      <c r="K235">
        <f>IF($X235="","",INDEX('Per Line'!$AD$2:$AD$3001,$X235))</f>
        <v/>
      </c>
      <c r="L235">
        <f>IF($X235="","",IF(AND(ISNUMBER(K235),K235&gt;0),V235&gt;K235,FALSE))</f>
        <v/>
      </c>
      <c r="M235" s="7">
        <f>IF($X235="","",SUMIFS('Per Line'!$V$2:$V$3001,'Per Line'!$D$2:$D$3001,$B235,'Per Line'!$AN$2:$AN$3001,1))</f>
        <v/>
      </c>
      <c r="N235">
        <f>IF($X235="","",Settings!$C$7)</f>
        <v/>
      </c>
      <c r="O235" s="7">
        <f>IF($X235="","",SUMIFS('Per Line'!$V$2:$V$3001,'Per Line'!$D$2:$D$3001,$B235,'Per Line'!$AM$2:$AM$3001,0,'Per Line'!$AN$2:$AN$3001,0))</f>
        <v/>
      </c>
      <c r="P235" s="7">
        <f>IF($X235="","",O235*N235)</f>
        <v/>
      </c>
      <c r="Q235">
        <f>IF($X235="","",Settings!$C$6)</f>
        <v/>
      </c>
      <c r="R235" s="7">
        <f>IF($X235="","",SUMIFS('Per Line'!$V$2:$V$3001,'Per Line'!$D$2:$D$3001,$B235,'Per Line'!$AM$2:$AM$3001,1,'Per Line'!$AN$2:$AN$3001,0))</f>
        <v/>
      </c>
      <c r="S235" s="7">
        <f>IF($X235="","",R235*Q235)</f>
        <v/>
      </c>
      <c r="T235" s="7">
        <f>IF($X235="","",S235+P235)</f>
        <v/>
      </c>
      <c r="U235" s="7">
        <f>IF($X235="","",V235-T235)</f>
        <v/>
      </c>
      <c r="V235" s="7">
        <f>IF($X235="","",O235+R235+M235)</f>
        <v/>
      </c>
      <c r="W235" s="7">
        <f>IF($X235="","",V235-T235-I235)</f>
        <v/>
      </c>
      <c r="X235" s="13">
        <f>IF(ROWS($X$2:$X235)&lt;=MAX('Per Line'!$AL$2:$AL$3001),MATCH(ROWS($X$2:$X235),'Per Line'!$AL$2:$AL$3001,0),"")</f>
        <v/>
      </c>
    </row>
    <row r="236">
      <c r="A236" s="12" t="n"/>
      <c r="B236">
        <f>IF($X236="","",INDEX('Per Line'!$D$2:$D$3001,$X236)&amp;"")</f>
        <v/>
      </c>
      <c r="C236" s="11">
        <f>IF($X236="","",INDEX('Per Line'!$F$2:$F$3001,$X236))</f>
        <v/>
      </c>
      <c r="D236">
        <f>IF($X236="","",INDEX('Per Line'!$G$2:$G$3001,$X236)&amp;"")</f>
        <v/>
      </c>
      <c r="E236">
        <f>IF($X236="","",INDEX('Per Line'!$I$2:$I$3001,$X236)&amp;"")</f>
        <v/>
      </c>
      <c r="F236">
        <f>IF($X236="","",INDEX('Per Line'!$J$2:$J$3001,$X236)&amp;"")</f>
        <v/>
      </c>
      <c r="G236">
        <f>IF($X236="","",INDEX('Per Line'!$K$2:$K$3001,$X236)&amp;"")</f>
        <v/>
      </c>
      <c r="H236">
        <f>IF($X236="","",INDEX('Per Line'!$M$2:$M$3001,$X236))</f>
        <v/>
      </c>
      <c r="I236" s="7">
        <f>IF($X236="","",H236*V236/100)</f>
        <v/>
      </c>
      <c r="J236">
        <f>IF($X236="","",INDEX('Per Line'!$W$2:$W$3001,$X236)&amp;"")</f>
        <v/>
      </c>
      <c r="K236">
        <f>IF($X236="","",INDEX('Per Line'!$AD$2:$AD$3001,$X236))</f>
        <v/>
      </c>
      <c r="L236">
        <f>IF($X236="","",IF(AND(ISNUMBER(K236),K236&gt;0),V236&gt;K236,FALSE))</f>
        <v/>
      </c>
      <c r="M236" s="7">
        <f>IF($X236="","",SUMIFS('Per Line'!$V$2:$V$3001,'Per Line'!$D$2:$D$3001,$B236,'Per Line'!$AN$2:$AN$3001,1))</f>
        <v/>
      </c>
      <c r="N236">
        <f>IF($X236="","",Settings!$C$7)</f>
        <v/>
      </c>
      <c r="O236" s="7">
        <f>IF($X236="","",SUMIFS('Per Line'!$V$2:$V$3001,'Per Line'!$D$2:$D$3001,$B236,'Per Line'!$AM$2:$AM$3001,0,'Per Line'!$AN$2:$AN$3001,0))</f>
        <v/>
      </c>
      <c r="P236" s="7">
        <f>IF($X236="","",O236*N236)</f>
        <v/>
      </c>
      <c r="Q236">
        <f>IF($X236="","",Settings!$C$6)</f>
        <v/>
      </c>
      <c r="R236" s="7">
        <f>IF($X236="","",SUMIFS('Per Line'!$V$2:$V$3001,'Per Line'!$D$2:$D$3001,$B236,'Per Line'!$AM$2:$AM$3001,1,'Per Line'!$AN$2:$AN$3001,0))</f>
        <v/>
      </c>
      <c r="S236" s="7">
        <f>IF($X236="","",R236*Q236)</f>
        <v/>
      </c>
      <c r="T236" s="7">
        <f>IF($X236="","",S236+P236)</f>
        <v/>
      </c>
      <c r="U236" s="7">
        <f>IF($X236="","",V236-T236)</f>
        <v/>
      </c>
      <c r="V236" s="7">
        <f>IF($X236="","",O236+R236+M236)</f>
        <v/>
      </c>
      <c r="W236" s="7">
        <f>IF($X236="","",V236-T236-I236)</f>
        <v/>
      </c>
      <c r="X236" s="13">
        <f>IF(ROWS($X$2:$X236)&lt;=MAX('Per Line'!$AL$2:$AL$3001),MATCH(ROWS($X$2:$X236),'Per Line'!$AL$2:$AL$3001,0),"")</f>
        <v/>
      </c>
    </row>
    <row r="237">
      <c r="A237" s="12" t="n"/>
      <c r="B237">
        <f>IF($X237="","",INDEX('Per Line'!$D$2:$D$3001,$X237)&amp;"")</f>
        <v/>
      </c>
      <c r="C237" s="11">
        <f>IF($X237="","",INDEX('Per Line'!$F$2:$F$3001,$X237))</f>
        <v/>
      </c>
      <c r="D237">
        <f>IF($X237="","",INDEX('Per Line'!$G$2:$G$3001,$X237)&amp;"")</f>
        <v/>
      </c>
      <c r="E237">
        <f>IF($X237="","",INDEX('Per Line'!$I$2:$I$3001,$X237)&amp;"")</f>
        <v/>
      </c>
      <c r="F237">
        <f>IF($X237="","",INDEX('Per Line'!$J$2:$J$3001,$X237)&amp;"")</f>
        <v/>
      </c>
      <c r="G237">
        <f>IF($X237="","",INDEX('Per Line'!$K$2:$K$3001,$X237)&amp;"")</f>
        <v/>
      </c>
      <c r="H237">
        <f>IF($X237="","",INDEX('Per Line'!$M$2:$M$3001,$X237))</f>
        <v/>
      </c>
      <c r="I237" s="7">
        <f>IF($X237="","",H237*V237/100)</f>
        <v/>
      </c>
      <c r="J237">
        <f>IF($X237="","",INDEX('Per Line'!$W$2:$W$3001,$X237)&amp;"")</f>
        <v/>
      </c>
      <c r="K237">
        <f>IF($X237="","",INDEX('Per Line'!$AD$2:$AD$3001,$X237))</f>
        <v/>
      </c>
      <c r="L237">
        <f>IF($X237="","",IF(AND(ISNUMBER(K237),K237&gt;0),V237&gt;K237,FALSE))</f>
        <v/>
      </c>
      <c r="M237" s="7">
        <f>IF($X237="","",SUMIFS('Per Line'!$V$2:$V$3001,'Per Line'!$D$2:$D$3001,$B237,'Per Line'!$AN$2:$AN$3001,1))</f>
        <v/>
      </c>
      <c r="N237">
        <f>IF($X237="","",Settings!$C$7)</f>
        <v/>
      </c>
      <c r="O237" s="7">
        <f>IF($X237="","",SUMIFS('Per Line'!$V$2:$V$3001,'Per Line'!$D$2:$D$3001,$B237,'Per Line'!$AM$2:$AM$3001,0,'Per Line'!$AN$2:$AN$3001,0))</f>
        <v/>
      </c>
      <c r="P237" s="7">
        <f>IF($X237="","",O237*N237)</f>
        <v/>
      </c>
      <c r="Q237">
        <f>IF($X237="","",Settings!$C$6)</f>
        <v/>
      </c>
      <c r="R237" s="7">
        <f>IF($X237="","",SUMIFS('Per Line'!$V$2:$V$3001,'Per Line'!$D$2:$D$3001,$B237,'Per Line'!$AM$2:$AM$3001,1,'Per Line'!$AN$2:$AN$3001,0))</f>
        <v/>
      </c>
      <c r="S237" s="7">
        <f>IF($X237="","",R237*Q237)</f>
        <v/>
      </c>
      <c r="T237" s="7">
        <f>IF($X237="","",S237+P237)</f>
        <v/>
      </c>
      <c r="U237" s="7">
        <f>IF($X237="","",V237-T237)</f>
        <v/>
      </c>
      <c r="V237" s="7">
        <f>IF($X237="","",O237+R237+M237)</f>
        <v/>
      </c>
      <c r="W237" s="7">
        <f>IF($X237="","",V237-T237-I237)</f>
        <v/>
      </c>
      <c r="X237" s="13">
        <f>IF(ROWS($X$2:$X237)&lt;=MAX('Per Line'!$AL$2:$AL$3001),MATCH(ROWS($X$2:$X237),'Per Line'!$AL$2:$AL$3001,0),"")</f>
        <v/>
      </c>
    </row>
    <row r="238">
      <c r="A238" s="12" t="n"/>
      <c r="B238">
        <f>IF($X238="","",INDEX('Per Line'!$D$2:$D$3001,$X238)&amp;"")</f>
        <v/>
      </c>
      <c r="C238" s="11">
        <f>IF($X238="","",INDEX('Per Line'!$F$2:$F$3001,$X238))</f>
        <v/>
      </c>
      <c r="D238">
        <f>IF($X238="","",INDEX('Per Line'!$G$2:$G$3001,$X238)&amp;"")</f>
        <v/>
      </c>
      <c r="E238">
        <f>IF($X238="","",INDEX('Per Line'!$I$2:$I$3001,$X238)&amp;"")</f>
        <v/>
      </c>
      <c r="F238">
        <f>IF($X238="","",INDEX('Per Line'!$J$2:$J$3001,$X238)&amp;"")</f>
        <v/>
      </c>
      <c r="G238">
        <f>IF($X238="","",INDEX('Per Line'!$K$2:$K$3001,$X238)&amp;"")</f>
        <v/>
      </c>
      <c r="H238">
        <f>IF($X238="","",INDEX('Per Line'!$M$2:$M$3001,$X238))</f>
        <v/>
      </c>
      <c r="I238" s="7">
        <f>IF($X238="","",H238*V238/100)</f>
        <v/>
      </c>
      <c r="J238">
        <f>IF($X238="","",INDEX('Per Line'!$W$2:$W$3001,$X238)&amp;"")</f>
        <v/>
      </c>
      <c r="K238">
        <f>IF($X238="","",INDEX('Per Line'!$AD$2:$AD$3001,$X238))</f>
        <v/>
      </c>
      <c r="L238">
        <f>IF($X238="","",IF(AND(ISNUMBER(K238),K238&gt;0),V238&gt;K238,FALSE))</f>
        <v/>
      </c>
      <c r="M238" s="7">
        <f>IF($X238="","",SUMIFS('Per Line'!$V$2:$V$3001,'Per Line'!$D$2:$D$3001,$B238,'Per Line'!$AN$2:$AN$3001,1))</f>
        <v/>
      </c>
      <c r="N238">
        <f>IF($X238="","",Settings!$C$7)</f>
        <v/>
      </c>
      <c r="O238" s="7">
        <f>IF($X238="","",SUMIFS('Per Line'!$V$2:$V$3001,'Per Line'!$D$2:$D$3001,$B238,'Per Line'!$AM$2:$AM$3001,0,'Per Line'!$AN$2:$AN$3001,0))</f>
        <v/>
      </c>
      <c r="P238" s="7">
        <f>IF($X238="","",O238*N238)</f>
        <v/>
      </c>
      <c r="Q238">
        <f>IF($X238="","",Settings!$C$6)</f>
        <v/>
      </c>
      <c r="R238" s="7">
        <f>IF($X238="","",SUMIFS('Per Line'!$V$2:$V$3001,'Per Line'!$D$2:$D$3001,$B238,'Per Line'!$AM$2:$AM$3001,1,'Per Line'!$AN$2:$AN$3001,0))</f>
        <v/>
      </c>
      <c r="S238" s="7">
        <f>IF($X238="","",R238*Q238)</f>
        <v/>
      </c>
      <c r="T238" s="7">
        <f>IF($X238="","",S238+P238)</f>
        <v/>
      </c>
      <c r="U238" s="7">
        <f>IF($X238="","",V238-T238)</f>
        <v/>
      </c>
      <c r="V238" s="7">
        <f>IF($X238="","",O238+R238+M238)</f>
        <v/>
      </c>
      <c r="W238" s="7">
        <f>IF($X238="","",V238-T238-I238)</f>
        <v/>
      </c>
      <c r="X238" s="13">
        <f>IF(ROWS($X$2:$X238)&lt;=MAX('Per Line'!$AL$2:$AL$3001),MATCH(ROWS($X$2:$X238),'Per Line'!$AL$2:$AL$3001,0),"")</f>
        <v/>
      </c>
    </row>
    <row r="239">
      <c r="A239" s="12" t="n"/>
      <c r="B239">
        <f>IF($X239="","",INDEX('Per Line'!$D$2:$D$3001,$X239)&amp;"")</f>
        <v/>
      </c>
      <c r="C239" s="11">
        <f>IF($X239="","",INDEX('Per Line'!$F$2:$F$3001,$X239))</f>
        <v/>
      </c>
      <c r="D239">
        <f>IF($X239="","",INDEX('Per Line'!$G$2:$G$3001,$X239)&amp;"")</f>
        <v/>
      </c>
      <c r="E239">
        <f>IF($X239="","",INDEX('Per Line'!$I$2:$I$3001,$X239)&amp;"")</f>
        <v/>
      </c>
      <c r="F239">
        <f>IF($X239="","",INDEX('Per Line'!$J$2:$J$3001,$X239)&amp;"")</f>
        <v/>
      </c>
      <c r="G239">
        <f>IF($X239="","",INDEX('Per Line'!$K$2:$K$3001,$X239)&amp;"")</f>
        <v/>
      </c>
      <c r="H239">
        <f>IF($X239="","",INDEX('Per Line'!$M$2:$M$3001,$X239))</f>
        <v/>
      </c>
      <c r="I239" s="7">
        <f>IF($X239="","",H239*V239/100)</f>
        <v/>
      </c>
      <c r="J239">
        <f>IF($X239="","",INDEX('Per Line'!$W$2:$W$3001,$X239)&amp;"")</f>
        <v/>
      </c>
      <c r="K239">
        <f>IF($X239="","",INDEX('Per Line'!$AD$2:$AD$3001,$X239))</f>
        <v/>
      </c>
      <c r="L239">
        <f>IF($X239="","",IF(AND(ISNUMBER(K239),K239&gt;0),V239&gt;K239,FALSE))</f>
        <v/>
      </c>
      <c r="M239" s="7">
        <f>IF($X239="","",SUMIFS('Per Line'!$V$2:$V$3001,'Per Line'!$D$2:$D$3001,$B239,'Per Line'!$AN$2:$AN$3001,1))</f>
        <v/>
      </c>
      <c r="N239">
        <f>IF($X239="","",Settings!$C$7)</f>
        <v/>
      </c>
      <c r="O239" s="7">
        <f>IF($X239="","",SUMIFS('Per Line'!$V$2:$V$3001,'Per Line'!$D$2:$D$3001,$B239,'Per Line'!$AM$2:$AM$3001,0,'Per Line'!$AN$2:$AN$3001,0))</f>
        <v/>
      </c>
      <c r="P239" s="7">
        <f>IF($X239="","",O239*N239)</f>
        <v/>
      </c>
      <c r="Q239">
        <f>IF($X239="","",Settings!$C$6)</f>
        <v/>
      </c>
      <c r="R239" s="7">
        <f>IF($X239="","",SUMIFS('Per Line'!$V$2:$V$3001,'Per Line'!$D$2:$D$3001,$B239,'Per Line'!$AM$2:$AM$3001,1,'Per Line'!$AN$2:$AN$3001,0))</f>
        <v/>
      </c>
      <c r="S239" s="7">
        <f>IF($X239="","",R239*Q239)</f>
        <v/>
      </c>
      <c r="T239" s="7">
        <f>IF($X239="","",S239+P239)</f>
        <v/>
      </c>
      <c r="U239" s="7">
        <f>IF($X239="","",V239-T239)</f>
        <v/>
      </c>
      <c r="V239" s="7">
        <f>IF($X239="","",O239+R239+M239)</f>
        <v/>
      </c>
      <c r="W239" s="7">
        <f>IF($X239="","",V239-T239-I239)</f>
        <v/>
      </c>
      <c r="X239" s="13">
        <f>IF(ROWS($X$2:$X239)&lt;=MAX('Per Line'!$AL$2:$AL$3001),MATCH(ROWS($X$2:$X239),'Per Line'!$AL$2:$AL$3001,0),"")</f>
        <v/>
      </c>
    </row>
    <row r="240">
      <c r="A240" s="12" t="n"/>
      <c r="B240">
        <f>IF($X240="","",INDEX('Per Line'!$D$2:$D$3001,$X240)&amp;"")</f>
        <v/>
      </c>
      <c r="C240" s="11">
        <f>IF($X240="","",INDEX('Per Line'!$F$2:$F$3001,$X240))</f>
        <v/>
      </c>
      <c r="D240">
        <f>IF($X240="","",INDEX('Per Line'!$G$2:$G$3001,$X240)&amp;"")</f>
        <v/>
      </c>
      <c r="E240">
        <f>IF($X240="","",INDEX('Per Line'!$I$2:$I$3001,$X240)&amp;"")</f>
        <v/>
      </c>
      <c r="F240">
        <f>IF($X240="","",INDEX('Per Line'!$J$2:$J$3001,$X240)&amp;"")</f>
        <v/>
      </c>
      <c r="G240">
        <f>IF($X240="","",INDEX('Per Line'!$K$2:$K$3001,$X240)&amp;"")</f>
        <v/>
      </c>
      <c r="H240">
        <f>IF($X240="","",INDEX('Per Line'!$M$2:$M$3001,$X240))</f>
        <v/>
      </c>
      <c r="I240" s="7">
        <f>IF($X240="","",H240*V240/100)</f>
        <v/>
      </c>
      <c r="J240">
        <f>IF($X240="","",INDEX('Per Line'!$W$2:$W$3001,$X240)&amp;"")</f>
        <v/>
      </c>
      <c r="K240">
        <f>IF($X240="","",INDEX('Per Line'!$AD$2:$AD$3001,$X240))</f>
        <v/>
      </c>
      <c r="L240">
        <f>IF($X240="","",IF(AND(ISNUMBER(K240),K240&gt;0),V240&gt;K240,FALSE))</f>
        <v/>
      </c>
      <c r="M240" s="7">
        <f>IF($X240="","",SUMIFS('Per Line'!$V$2:$V$3001,'Per Line'!$D$2:$D$3001,$B240,'Per Line'!$AN$2:$AN$3001,1))</f>
        <v/>
      </c>
      <c r="N240">
        <f>IF($X240="","",Settings!$C$7)</f>
        <v/>
      </c>
      <c r="O240" s="7">
        <f>IF($X240="","",SUMIFS('Per Line'!$V$2:$V$3001,'Per Line'!$D$2:$D$3001,$B240,'Per Line'!$AM$2:$AM$3001,0,'Per Line'!$AN$2:$AN$3001,0))</f>
        <v/>
      </c>
      <c r="P240" s="7">
        <f>IF($X240="","",O240*N240)</f>
        <v/>
      </c>
      <c r="Q240">
        <f>IF($X240="","",Settings!$C$6)</f>
        <v/>
      </c>
      <c r="R240" s="7">
        <f>IF($X240="","",SUMIFS('Per Line'!$V$2:$V$3001,'Per Line'!$D$2:$D$3001,$B240,'Per Line'!$AM$2:$AM$3001,1,'Per Line'!$AN$2:$AN$3001,0))</f>
        <v/>
      </c>
      <c r="S240" s="7">
        <f>IF($X240="","",R240*Q240)</f>
        <v/>
      </c>
      <c r="T240" s="7">
        <f>IF($X240="","",S240+P240)</f>
        <v/>
      </c>
      <c r="U240" s="7">
        <f>IF($X240="","",V240-T240)</f>
        <v/>
      </c>
      <c r="V240" s="7">
        <f>IF($X240="","",O240+R240+M240)</f>
        <v/>
      </c>
      <c r="W240" s="7">
        <f>IF($X240="","",V240-T240-I240)</f>
        <v/>
      </c>
      <c r="X240" s="13">
        <f>IF(ROWS($X$2:$X240)&lt;=MAX('Per Line'!$AL$2:$AL$3001),MATCH(ROWS($X$2:$X240),'Per Line'!$AL$2:$AL$3001,0),"")</f>
        <v/>
      </c>
    </row>
    <row r="241">
      <c r="A241" s="12" t="n"/>
      <c r="B241">
        <f>IF($X241="","",INDEX('Per Line'!$D$2:$D$3001,$X241)&amp;"")</f>
        <v/>
      </c>
      <c r="C241" s="11">
        <f>IF($X241="","",INDEX('Per Line'!$F$2:$F$3001,$X241))</f>
        <v/>
      </c>
      <c r="D241">
        <f>IF($X241="","",INDEX('Per Line'!$G$2:$G$3001,$X241)&amp;"")</f>
        <v/>
      </c>
      <c r="E241">
        <f>IF($X241="","",INDEX('Per Line'!$I$2:$I$3001,$X241)&amp;"")</f>
        <v/>
      </c>
      <c r="F241">
        <f>IF($X241="","",INDEX('Per Line'!$J$2:$J$3001,$X241)&amp;"")</f>
        <v/>
      </c>
      <c r="G241">
        <f>IF($X241="","",INDEX('Per Line'!$K$2:$K$3001,$X241)&amp;"")</f>
        <v/>
      </c>
      <c r="H241">
        <f>IF($X241="","",INDEX('Per Line'!$M$2:$M$3001,$X241))</f>
        <v/>
      </c>
      <c r="I241" s="7">
        <f>IF($X241="","",H241*V241/100)</f>
        <v/>
      </c>
      <c r="J241">
        <f>IF($X241="","",INDEX('Per Line'!$W$2:$W$3001,$X241)&amp;"")</f>
        <v/>
      </c>
      <c r="K241">
        <f>IF($X241="","",INDEX('Per Line'!$AD$2:$AD$3001,$X241))</f>
        <v/>
      </c>
      <c r="L241">
        <f>IF($X241="","",IF(AND(ISNUMBER(K241),K241&gt;0),V241&gt;K241,FALSE))</f>
        <v/>
      </c>
      <c r="M241" s="7">
        <f>IF($X241="","",SUMIFS('Per Line'!$V$2:$V$3001,'Per Line'!$D$2:$D$3001,$B241,'Per Line'!$AN$2:$AN$3001,1))</f>
        <v/>
      </c>
      <c r="N241">
        <f>IF($X241="","",Settings!$C$7)</f>
        <v/>
      </c>
      <c r="O241" s="7">
        <f>IF($X241="","",SUMIFS('Per Line'!$V$2:$V$3001,'Per Line'!$D$2:$D$3001,$B241,'Per Line'!$AM$2:$AM$3001,0,'Per Line'!$AN$2:$AN$3001,0))</f>
        <v/>
      </c>
      <c r="P241" s="7">
        <f>IF($X241="","",O241*N241)</f>
        <v/>
      </c>
      <c r="Q241">
        <f>IF($X241="","",Settings!$C$6)</f>
        <v/>
      </c>
      <c r="R241" s="7">
        <f>IF($X241="","",SUMIFS('Per Line'!$V$2:$V$3001,'Per Line'!$D$2:$D$3001,$B241,'Per Line'!$AM$2:$AM$3001,1,'Per Line'!$AN$2:$AN$3001,0))</f>
        <v/>
      </c>
      <c r="S241" s="7">
        <f>IF($X241="","",R241*Q241)</f>
        <v/>
      </c>
      <c r="T241" s="7">
        <f>IF($X241="","",S241+P241)</f>
        <v/>
      </c>
      <c r="U241" s="7">
        <f>IF($X241="","",V241-T241)</f>
        <v/>
      </c>
      <c r="V241" s="7">
        <f>IF($X241="","",O241+R241+M241)</f>
        <v/>
      </c>
      <c r="W241" s="7">
        <f>IF($X241="","",V241-T241-I241)</f>
        <v/>
      </c>
      <c r="X241" s="13">
        <f>IF(ROWS($X$2:$X241)&lt;=MAX('Per Line'!$AL$2:$AL$3001),MATCH(ROWS($X$2:$X241),'Per Line'!$AL$2:$AL$3001,0),"")</f>
        <v/>
      </c>
    </row>
    <row r="242">
      <c r="A242" s="12" t="n"/>
      <c r="B242">
        <f>IF($X242="","",INDEX('Per Line'!$D$2:$D$3001,$X242)&amp;"")</f>
        <v/>
      </c>
      <c r="C242" s="11">
        <f>IF($X242="","",INDEX('Per Line'!$F$2:$F$3001,$X242))</f>
        <v/>
      </c>
      <c r="D242">
        <f>IF($X242="","",INDEX('Per Line'!$G$2:$G$3001,$X242)&amp;"")</f>
        <v/>
      </c>
      <c r="E242">
        <f>IF($X242="","",INDEX('Per Line'!$I$2:$I$3001,$X242)&amp;"")</f>
        <v/>
      </c>
      <c r="F242">
        <f>IF($X242="","",INDEX('Per Line'!$J$2:$J$3001,$X242)&amp;"")</f>
        <v/>
      </c>
      <c r="G242">
        <f>IF($X242="","",INDEX('Per Line'!$K$2:$K$3001,$X242)&amp;"")</f>
        <v/>
      </c>
      <c r="H242">
        <f>IF($X242="","",INDEX('Per Line'!$M$2:$M$3001,$X242))</f>
        <v/>
      </c>
      <c r="I242" s="7">
        <f>IF($X242="","",H242*V242/100)</f>
        <v/>
      </c>
      <c r="J242">
        <f>IF($X242="","",INDEX('Per Line'!$W$2:$W$3001,$X242)&amp;"")</f>
        <v/>
      </c>
      <c r="K242">
        <f>IF($X242="","",INDEX('Per Line'!$AD$2:$AD$3001,$X242))</f>
        <v/>
      </c>
      <c r="L242">
        <f>IF($X242="","",IF(AND(ISNUMBER(K242),K242&gt;0),V242&gt;K242,FALSE))</f>
        <v/>
      </c>
      <c r="M242" s="7">
        <f>IF($X242="","",SUMIFS('Per Line'!$V$2:$V$3001,'Per Line'!$D$2:$D$3001,$B242,'Per Line'!$AN$2:$AN$3001,1))</f>
        <v/>
      </c>
      <c r="N242">
        <f>IF($X242="","",Settings!$C$7)</f>
        <v/>
      </c>
      <c r="O242" s="7">
        <f>IF($X242="","",SUMIFS('Per Line'!$V$2:$V$3001,'Per Line'!$D$2:$D$3001,$B242,'Per Line'!$AM$2:$AM$3001,0,'Per Line'!$AN$2:$AN$3001,0))</f>
        <v/>
      </c>
      <c r="P242" s="7">
        <f>IF($X242="","",O242*N242)</f>
        <v/>
      </c>
      <c r="Q242">
        <f>IF($X242="","",Settings!$C$6)</f>
        <v/>
      </c>
      <c r="R242" s="7">
        <f>IF($X242="","",SUMIFS('Per Line'!$V$2:$V$3001,'Per Line'!$D$2:$D$3001,$B242,'Per Line'!$AM$2:$AM$3001,1,'Per Line'!$AN$2:$AN$3001,0))</f>
        <v/>
      </c>
      <c r="S242" s="7">
        <f>IF($X242="","",R242*Q242)</f>
        <v/>
      </c>
      <c r="T242" s="7">
        <f>IF($X242="","",S242+P242)</f>
        <v/>
      </c>
      <c r="U242" s="7">
        <f>IF($X242="","",V242-T242)</f>
        <v/>
      </c>
      <c r="V242" s="7">
        <f>IF($X242="","",O242+R242+M242)</f>
        <v/>
      </c>
      <c r="W242" s="7">
        <f>IF($X242="","",V242-T242-I242)</f>
        <v/>
      </c>
      <c r="X242" s="13">
        <f>IF(ROWS($X$2:$X242)&lt;=MAX('Per Line'!$AL$2:$AL$3001),MATCH(ROWS($X$2:$X242),'Per Line'!$AL$2:$AL$3001,0),"")</f>
        <v/>
      </c>
    </row>
    <row r="243">
      <c r="A243" s="12" t="n"/>
      <c r="B243">
        <f>IF($X243="","",INDEX('Per Line'!$D$2:$D$3001,$X243)&amp;"")</f>
        <v/>
      </c>
      <c r="C243" s="11">
        <f>IF($X243="","",INDEX('Per Line'!$F$2:$F$3001,$X243))</f>
        <v/>
      </c>
      <c r="D243">
        <f>IF($X243="","",INDEX('Per Line'!$G$2:$G$3001,$X243)&amp;"")</f>
        <v/>
      </c>
      <c r="E243">
        <f>IF($X243="","",INDEX('Per Line'!$I$2:$I$3001,$X243)&amp;"")</f>
        <v/>
      </c>
      <c r="F243">
        <f>IF($X243="","",INDEX('Per Line'!$J$2:$J$3001,$X243)&amp;"")</f>
        <v/>
      </c>
      <c r="G243">
        <f>IF($X243="","",INDEX('Per Line'!$K$2:$K$3001,$X243)&amp;"")</f>
        <v/>
      </c>
      <c r="H243">
        <f>IF($X243="","",INDEX('Per Line'!$M$2:$M$3001,$X243))</f>
        <v/>
      </c>
      <c r="I243" s="7">
        <f>IF($X243="","",H243*V243/100)</f>
        <v/>
      </c>
      <c r="J243">
        <f>IF($X243="","",INDEX('Per Line'!$W$2:$W$3001,$X243)&amp;"")</f>
        <v/>
      </c>
      <c r="K243">
        <f>IF($X243="","",INDEX('Per Line'!$AD$2:$AD$3001,$X243))</f>
        <v/>
      </c>
      <c r="L243">
        <f>IF($X243="","",IF(AND(ISNUMBER(K243),K243&gt;0),V243&gt;K243,FALSE))</f>
        <v/>
      </c>
      <c r="M243" s="7">
        <f>IF($X243="","",SUMIFS('Per Line'!$V$2:$V$3001,'Per Line'!$D$2:$D$3001,$B243,'Per Line'!$AN$2:$AN$3001,1))</f>
        <v/>
      </c>
      <c r="N243">
        <f>IF($X243="","",Settings!$C$7)</f>
        <v/>
      </c>
      <c r="O243" s="7">
        <f>IF($X243="","",SUMIFS('Per Line'!$V$2:$V$3001,'Per Line'!$D$2:$D$3001,$B243,'Per Line'!$AM$2:$AM$3001,0,'Per Line'!$AN$2:$AN$3001,0))</f>
        <v/>
      </c>
      <c r="P243" s="7">
        <f>IF($X243="","",O243*N243)</f>
        <v/>
      </c>
      <c r="Q243">
        <f>IF($X243="","",Settings!$C$6)</f>
        <v/>
      </c>
      <c r="R243" s="7">
        <f>IF($X243="","",SUMIFS('Per Line'!$V$2:$V$3001,'Per Line'!$D$2:$D$3001,$B243,'Per Line'!$AM$2:$AM$3001,1,'Per Line'!$AN$2:$AN$3001,0))</f>
        <v/>
      </c>
      <c r="S243" s="7">
        <f>IF($X243="","",R243*Q243)</f>
        <v/>
      </c>
      <c r="T243" s="7">
        <f>IF($X243="","",S243+P243)</f>
        <v/>
      </c>
      <c r="U243" s="7">
        <f>IF($X243="","",V243-T243)</f>
        <v/>
      </c>
      <c r="V243" s="7">
        <f>IF($X243="","",O243+R243+M243)</f>
        <v/>
      </c>
      <c r="W243" s="7">
        <f>IF($X243="","",V243-T243-I243)</f>
        <v/>
      </c>
      <c r="X243" s="13">
        <f>IF(ROWS($X$2:$X243)&lt;=MAX('Per Line'!$AL$2:$AL$3001),MATCH(ROWS($X$2:$X243),'Per Line'!$AL$2:$AL$3001,0),"")</f>
        <v/>
      </c>
    </row>
    <row r="244">
      <c r="A244" s="12" t="n"/>
      <c r="B244">
        <f>IF($X244="","",INDEX('Per Line'!$D$2:$D$3001,$X244)&amp;"")</f>
        <v/>
      </c>
      <c r="C244" s="11">
        <f>IF($X244="","",INDEX('Per Line'!$F$2:$F$3001,$X244))</f>
        <v/>
      </c>
      <c r="D244">
        <f>IF($X244="","",INDEX('Per Line'!$G$2:$G$3001,$X244)&amp;"")</f>
        <v/>
      </c>
      <c r="E244">
        <f>IF($X244="","",INDEX('Per Line'!$I$2:$I$3001,$X244)&amp;"")</f>
        <v/>
      </c>
      <c r="F244">
        <f>IF($X244="","",INDEX('Per Line'!$J$2:$J$3001,$X244)&amp;"")</f>
        <v/>
      </c>
      <c r="G244">
        <f>IF($X244="","",INDEX('Per Line'!$K$2:$K$3001,$X244)&amp;"")</f>
        <v/>
      </c>
      <c r="H244">
        <f>IF($X244="","",INDEX('Per Line'!$M$2:$M$3001,$X244))</f>
        <v/>
      </c>
      <c r="I244" s="7">
        <f>IF($X244="","",H244*V244/100)</f>
        <v/>
      </c>
      <c r="J244">
        <f>IF($X244="","",INDEX('Per Line'!$W$2:$W$3001,$X244)&amp;"")</f>
        <v/>
      </c>
      <c r="K244">
        <f>IF($X244="","",INDEX('Per Line'!$AD$2:$AD$3001,$X244))</f>
        <v/>
      </c>
      <c r="L244">
        <f>IF($X244="","",IF(AND(ISNUMBER(K244),K244&gt;0),V244&gt;K244,FALSE))</f>
        <v/>
      </c>
      <c r="M244" s="7">
        <f>IF($X244="","",SUMIFS('Per Line'!$V$2:$V$3001,'Per Line'!$D$2:$D$3001,$B244,'Per Line'!$AN$2:$AN$3001,1))</f>
        <v/>
      </c>
      <c r="N244">
        <f>IF($X244="","",Settings!$C$7)</f>
        <v/>
      </c>
      <c r="O244" s="7">
        <f>IF($X244="","",SUMIFS('Per Line'!$V$2:$V$3001,'Per Line'!$D$2:$D$3001,$B244,'Per Line'!$AM$2:$AM$3001,0,'Per Line'!$AN$2:$AN$3001,0))</f>
        <v/>
      </c>
      <c r="P244" s="7">
        <f>IF($X244="","",O244*N244)</f>
        <v/>
      </c>
      <c r="Q244">
        <f>IF($X244="","",Settings!$C$6)</f>
        <v/>
      </c>
      <c r="R244" s="7">
        <f>IF($X244="","",SUMIFS('Per Line'!$V$2:$V$3001,'Per Line'!$D$2:$D$3001,$B244,'Per Line'!$AM$2:$AM$3001,1,'Per Line'!$AN$2:$AN$3001,0))</f>
        <v/>
      </c>
      <c r="S244" s="7">
        <f>IF($X244="","",R244*Q244)</f>
        <v/>
      </c>
      <c r="T244" s="7">
        <f>IF($X244="","",S244+P244)</f>
        <v/>
      </c>
      <c r="U244" s="7">
        <f>IF($X244="","",V244-T244)</f>
        <v/>
      </c>
      <c r="V244" s="7">
        <f>IF($X244="","",O244+R244+M244)</f>
        <v/>
      </c>
      <c r="W244" s="7">
        <f>IF($X244="","",V244-T244-I244)</f>
        <v/>
      </c>
      <c r="X244" s="13">
        <f>IF(ROWS($X$2:$X244)&lt;=MAX('Per Line'!$AL$2:$AL$3001),MATCH(ROWS($X$2:$X244),'Per Line'!$AL$2:$AL$3001,0),"")</f>
        <v/>
      </c>
    </row>
    <row r="245">
      <c r="A245" s="12" t="n"/>
      <c r="B245">
        <f>IF($X245="","",INDEX('Per Line'!$D$2:$D$3001,$X245)&amp;"")</f>
        <v/>
      </c>
      <c r="C245" s="11">
        <f>IF($X245="","",INDEX('Per Line'!$F$2:$F$3001,$X245))</f>
        <v/>
      </c>
      <c r="D245">
        <f>IF($X245="","",INDEX('Per Line'!$G$2:$G$3001,$X245)&amp;"")</f>
        <v/>
      </c>
      <c r="E245">
        <f>IF($X245="","",INDEX('Per Line'!$I$2:$I$3001,$X245)&amp;"")</f>
        <v/>
      </c>
      <c r="F245">
        <f>IF($X245="","",INDEX('Per Line'!$J$2:$J$3001,$X245)&amp;"")</f>
        <v/>
      </c>
      <c r="G245">
        <f>IF($X245="","",INDEX('Per Line'!$K$2:$K$3001,$X245)&amp;"")</f>
        <v/>
      </c>
      <c r="H245">
        <f>IF($X245="","",INDEX('Per Line'!$M$2:$M$3001,$X245))</f>
        <v/>
      </c>
      <c r="I245" s="7">
        <f>IF($X245="","",H245*V245/100)</f>
        <v/>
      </c>
      <c r="J245">
        <f>IF($X245="","",INDEX('Per Line'!$W$2:$W$3001,$X245)&amp;"")</f>
        <v/>
      </c>
      <c r="K245">
        <f>IF($X245="","",INDEX('Per Line'!$AD$2:$AD$3001,$X245))</f>
        <v/>
      </c>
      <c r="L245">
        <f>IF($X245="","",IF(AND(ISNUMBER(K245),K245&gt;0),V245&gt;K245,FALSE))</f>
        <v/>
      </c>
      <c r="M245" s="7">
        <f>IF($X245="","",SUMIFS('Per Line'!$V$2:$V$3001,'Per Line'!$D$2:$D$3001,$B245,'Per Line'!$AN$2:$AN$3001,1))</f>
        <v/>
      </c>
      <c r="N245">
        <f>IF($X245="","",Settings!$C$7)</f>
        <v/>
      </c>
      <c r="O245" s="7">
        <f>IF($X245="","",SUMIFS('Per Line'!$V$2:$V$3001,'Per Line'!$D$2:$D$3001,$B245,'Per Line'!$AM$2:$AM$3001,0,'Per Line'!$AN$2:$AN$3001,0))</f>
        <v/>
      </c>
      <c r="P245" s="7">
        <f>IF($X245="","",O245*N245)</f>
        <v/>
      </c>
      <c r="Q245">
        <f>IF($X245="","",Settings!$C$6)</f>
        <v/>
      </c>
      <c r="R245" s="7">
        <f>IF($X245="","",SUMIFS('Per Line'!$V$2:$V$3001,'Per Line'!$D$2:$D$3001,$B245,'Per Line'!$AM$2:$AM$3001,1,'Per Line'!$AN$2:$AN$3001,0))</f>
        <v/>
      </c>
      <c r="S245" s="7">
        <f>IF($X245="","",R245*Q245)</f>
        <v/>
      </c>
      <c r="T245" s="7">
        <f>IF($X245="","",S245+P245)</f>
        <v/>
      </c>
      <c r="U245" s="7">
        <f>IF($X245="","",V245-T245)</f>
        <v/>
      </c>
      <c r="V245" s="7">
        <f>IF($X245="","",O245+R245+M245)</f>
        <v/>
      </c>
      <c r="W245" s="7">
        <f>IF($X245="","",V245-T245-I245)</f>
        <v/>
      </c>
      <c r="X245" s="13">
        <f>IF(ROWS($X$2:$X245)&lt;=MAX('Per Line'!$AL$2:$AL$3001),MATCH(ROWS($X$2:$X245),'Per Line'!$AL$2:$AL$3001,0),"")</f>
        <v/>
      </c>
    </row>
    <row r="246">
      <c r="A246" s="12" t="n"/>
      <c r="B246">
        <f>IF($X246="","",INDEX('Per Line'!$D$2:$D$3001,$X246)&amp;"")</f>
        <v/>
      </c>
      <c r="C246" s="11">
        <f>IF($X246="","",INDEX('Per Line'!$F$2:$F$3001,$X246))</f>
        <v/>
      </c>
      <c r="D246">
        <f>IF($X246="","",INDEX('Per Line'!$G$2:$G$3001,$X246)&amp;"")</f>
        <v/>
      </c>
      <c r="E246">
        <f>IF($X246="","",INDEX('Per Line'!$I$2:$I$3001,$X246)&amp;"")</f>
        <v/>
      </c>
      <c r="F246">
        <f>IF($X246="","",INDEX('Per Line'!$J$2:$J$3001,$X246)&amp;"")</f>
        <v/>
      </c>
      <c r="G246">
        <f>IF($X246="","",INDEX('Per Line'!$K$2:$K$3001,$X246)&amp;"")</f>
        <v/>
      </c>
      <c r="H246">
        <f>IF($X246="","",INDEX('Per Line'!$M$2:$M$3001,$X246))</f>
        <v/>
      </c>
      <c r="I246" s="7">
        <f>IF($X246="","",H246*V246/100)</f>
        <v/>
      </c>
      <c r="J246">
        <f>IF($X246="","",INDEX('Per Line'!$W$2:$W$3001,$X246)&amp;"")</f>
        <v/>
      </c>
      <c r="K246">
        <f>IF($X246="","",INDEX('Per Line'!$AD$2:$AD$3001,$X246))</f>
        <v/>
      </c>
      <c r="L246">
        <f>IF($X246="","",IF(AND(ISNUMBER(K246),K246&gt;0),V246&gt;K246,FALSE))</f>
        <v/>
      </c>
      <c r="M246" s="7">
        <f>IF($X246="","",SUMIFS('Per Line'!$V$2:$V$3001,'Per Line'!$D$2:$D$3001,$B246,'Per Line'!$AN$2:$AN$3001,1))</f>
        <v/>
      </c>
      <c r="N246">
        <f>IF($X246="","",Settings!$C$7)</f>
        <v/>
      </c>
      <c r="O246" s="7">
        <f>IF($X246="","",SUMIFS('Per Line'!$V$2:$V$3001,'Per Line'!$D$2:$D$3001,$B246,'Per Line'!$AM$2:$AM$3001,0,'Per Line'!$AN$2:$AN$3001,0))</f>
        <v/>
      </c>
      <c r="P246" s="7">
        <f>IF($X246="","",O246*N246)</f>
        <v/>
      </c>
      <c r="Q246">
        <f>IF($X246="","",Settings!$C$6)</f>
        <v/>
      </c>
      <c r="R246" s="7">
        <f>IF($X246="","",SUMIFS('Per Line'!$V$2:$V$3001,'Per Line'!$D$2:$D$3001,$B246,'Per Line'!$AM$2:$AM$3001,1,'Per Line'!$AN$2:$AN$3001,0))</f>
        <v/>
      </c>
      <c r="S246" s="7">
        <f>IF($X246="","",R246*Q246)</f>
        <v/>
      </c>
      <c r="T246" s="7">
        <f>IF($X246="","",S246+P246)</f>
        <v/>
      </c>
      <c r="U246" s="7">
        <f>IF($X246="","",V246-T246)</f>
        <v/>
      </c>
      <c r="V246" s="7">
        <f>IF($X246="","",O246+R246+M246)</f>
        <v/>
      </c>
      <c r="W246" s="7">
        <f>IF($X246="","",V246-T246-I246)</f>
        <v/>
      </c>
      <c r="X246" s="13">
        <f>IF(ROWS($X$2:$X246)&lt;=MAX('Per Line'!$AL$2:$AL$3001),MATCH(ROWS($X$2:$X246),'Per Line'!$AL$2:$AL$3001,0),"")</f>
        <v/>
      </c>
    </row>
    <row r="247">
      <c r="A247" s="12" t="n"/>
      <c r="B247">
        <f>IF($X247="","",INDEX('Per Line'!$D$2:$D$3001,$X247)&amp;"")</f>
        <v/>
      </c>
      <c r="C247" s="11">
        <f>IF($X247="","",INDEX('Per Line'!$F$2:$F$3001,$X247))</f>
        <v/>
      </c>
      <c r="D247">
        <f>IF($X247="","",INDEX('Per Line'!$G$2:$G$3001,$X247)&amp;"")</f>
        <v/>
      </c>
      <c r="E247">
        <f>IF($X247="","",INDEX('Per Line'!$I$2:$I$3001,$X247)&amp;"")</f>
        <v/>
      </c>
      <c r="F247">
        <f>IF($X247="","",INDEX('Per Line'!$J$2:$J$3001,$X247)&amp;"")</f>
        <v/>
      </c>
      <c r="G247">
        <f>IF($X247="","",INDEX('Per Line'!$K$2:$K$3001,$X247)&amp;"")</f>
        <v/>
      </c>
      <c r="H247">
        <f>IF($X247="","",INDEX('Per Line'!$M$2:$M$3001,$X247))</f>
        <v/>
      </c>
      <c r="I247" s="7">
        <f>IF($X247="","",H247*V247/100)</f>
        <v/>
      </c>
      <c r="J247">
        <f>IF($X247="","",INDEX('Per Line'!$W$2:$W$3001,$X247)&amp;"")</f>
        <v/>
      </c>
      <c r="K247">
        <f>IF($X247="","",INDEX('Per Line'!$AD$2:$AD$3001,$X247))</f>
        <v/>
      </c>
      <c r="L247">
        <f>IF($X247="","",IF(AND(ISNUMBER(K247),K247&gt;0),V247&gt;K247,FALSE))</f>
        <v/>
      </c>
      <c r="M247" s="7">
        <f>IF($X247="","",SUMIFS('Per Line'!$V$2:$V$3001,'Per Line'!$D$2:$D$3001,$B247,'Per Line'!$AN$2:$AN$3001,1))</f>
        <v/>
      </c>
      <c r="N247">
        <f>IF($X247="","",Settings!$C$7)</f>
        <v/>
      </c>
      <c r="O247" s="7">
        <f>IF($X247="","",SUMIFS('Per Line'!$V$2:$V$3001,'Per Line'!$D$2:$D$3001,$B247,'Per Line'!$AM$2:$AM$3001,0,'Per Line'!$AN$2:$AN$3001,0))</f>
        <v/>
      </c>
      <c r="P247" s="7">
        <f>IF($X247="","",O247*N247)</f>
        <v/>
      </c>
      <c r="Q247">
        <f>IF($X247="","",Settings!$C$6)</f>
        <v/>
      </c>
      <c r="R247" s="7">
        <f>IF($X247="","",SUMIFS('Per Line'!$V$2:$V$3001,'Per Line'!$D$2:$D$3001,$B247,'Per Line'!$AM$2:$AM$3001,1,'Per Line'!$AN$2:$AN$3001,0))</f>
        <v/>
      </c>
      <c r="S247" s="7">
        <f>IF($X247="","",R247*Q247)</f>
        <v/>
      </c>
      <c r="T247" s="7">
        <f>IF($X247="","",S247+P247)</f>
        <v/>
      </c>
      <c r="U247" s="7">
        <f>IF($X247="","",V247-T247)</f>
        <v/>
      </c>
      <c r="V247" s="7">
        <f>IF($X247="","",O247+R247+M247)</f>
        <v/>
      </c>
      <c r="W247" s="7">
        <f>IF($X247="","",V247-T247-I247)</f>
        <v/>
      </c>
      <c r="X247" s="13">
        <f>IF(ROWS($X$2:$X247)&lt;=MAX('Per Line'!$AL$2:$AL$3001),MATCH(ROWS($X$2:$X247),'Per Line'!$AL$2:$AL$3001,0),"")</f>
        <v/>
      </c>
    </row>
    <row r="248">
      <c r="A248" s="12" t="n"/>
      <c r="B248">
        <f>IF($X248="","",INDEX('Per Line'!$D$2:$D$3001,$X248)&amp;"")</f>
        <v/>
      </c>
      <c r="C248" s="11">
        <f>IF($X248="","",INDEX('Per Line'!$F$2:$F$3001,$X248))</f>
        <v/>
      </c>
      <c r="D248">
        <f>IF($X248="","",INDEX('Per Line'!$G$2:$G$3001,$X248)&amp;"")</f>
        <v/>
      </c>
      <c r="E248">
        <f>IF($X248="","",INDEX('Per Line'!$I$2:$I$3001,$X248)&amp;"")</f>
        <v/>
      </c>
      <c r="F248">
        <f>IF($X248="","",INDEX('Per Line'!$J$2:$J$3001,$X248)&amp;"")</f>
        <v/>
      </c>
      <c r="G248">
        <f>IF($X248="","",INDEX('Per Line'!$K$2:$K$3001,$X248)&amp;"")</f>
        <v/>
      </c>
      <c r="H248">
        <f>IF($X248="","",INDEX('Per Line'!$M$2:$M$3001,$X248))</f>
        <v/>
      </c>
      <c r="I248" s="7">
        <f>IF($X248="","",H248*V248/100)</f>
        <v/>
      </c>
      <c r="J248">
        <f>IF($X248="","",INDEX('Per Line'!$W$2:$W$3001,$X248)&amp;"")</f>
        <v/>
      </c>
      <c r="K248">
        <f>IF($X248="","",INDEX('Per Line'!$AD$2:$AD$3001,$X248))</f>
        <v/>
      </c>
      <c r="L248">
        <f>IF($X248="","",IF(AND(ISNUMBER(K248),K248&gt;0),V248&gt;K248,FALSE))</f>
        <v/>
      </c>
      <c r="M248" s="7">
        <f>IF($X248="","",SUMIFS('Per Line'!$V$2:$V$3001,'Per Line'!$D$2:$D$3001,$B248,'Per Line'!$AN$2:$AN$3001,1))</f>
        <v/>
      </c>
      <c r="N248">
        <f>IF($X248="","",Settings!$C$7)</f>
        <v/>
      </c>
      <c r="O248" s="7">
        <f>IF($X248="","",SUMIFS('Per Line'!$V$2:$V$3001,'Per Line'!$D$2:$D$3001,$B248,'Per Line'!$AM$2:$AM$3001,0,'Per Line'!$AN$2:$AN$3001,0))</f>
        <v/>
      </c>
      <c r="P248" s="7">
        <f>IF($X248="","",O248*N248)</f>
        <v/>
      </c>
      <c r="Q248">
        <f>IF($X248="","",Settings!$C$6)</f>
        <v/>
      </c>
      <c r="R248" s="7">
        <f>IF($X248="","",SUMIFS('Per Line'!$V$2:$V$3001,'Per Line'!$D$2:$D$3001,$B248,'Per Line'!$AM$2:$AM$3001,1,'Per Line'!$AN$2:$AN$3001,0))</f>
        <v/>
      </c>
      <c r="S248" s="7">
        <f>IF($X248="","",R248*Q248)</f>
        <v/>
      </c>
      <c r="T248" s="7">
        <f>IF($X248="","",S248+P248)</f>
        <v/>
      </c>
      <c r="U248" s="7">
        <f>IF($X248="","",V248-T248)</f>
        <v/>
      </c>
      <c r="V248" s="7">
        <f>IF($X248="","",O248+R248+M248)</f>
        <v/>
      </c>
      <c r="W248" s="7">
        <f>IF($X248="","",V248-T248-I248)</f>
        <v/>
      </c>
      <c r="X248" s="13">
        <f>IF(ROWS($X$2:$X248)&lt;=MAX('Per Line'!$AL$2:$AL$3001),MATCH(ROWS($X$2:$X248),'Per Line'!$AL$2:$AL$3001,0),"")</f>
        <v/>
      </c>
    </row>
    <row r="249">
      <c r="A249" s="12" t="n"/>
      <c r="B249">
        <f>IF($X249="","",INDEX('Per Line'!$D$2:$D$3001,$X249)&amp;"")</f>
        <v/>
      </c>
      <c r="C249" s="11">
        <f>IF($X249="","",INDEX('Per Line'!$F$2:$F$3001,$X249))</f>
        <v/>
      </c>
      <c r="D249">
        <f>IF($X249="","",INDEX('Per Line'!$G$2:$G$3001,$X249)&amp;"")</f>
        <v/>
      </c>
      <c r="E249">
        <f>IF($X249="","",INDEX('Per Line'!$I$2:$I$3001,$X249)&amp;"")</f>
        <v/>
      </c>
      <c r="F249">
        <f>IF($X249="","",INDEX('Per Line'!$J$2:$J$3001,$X249)&amp;"")</f>
        <v/>
      </c>
      <c r="G249">
        <f>IF($X249="","",INDEX('Per Line'!$K$2:$K$3001,$X249)&amp;"")</f>
        <v/>
      </c>
      <c r="H249">
        <f>IF($X249="","",INDEX('Per Line'!$M$2:$M$3001,$X249))</f>
        <v/>
      </c>
      <c r="I249" s="7">
        <f>IF($X249="","",H249*V249/100)</f>
        <v/>
      </c>
      <c r="J249">
        <f>IF($X249="","",INDEX('Per Line'!$W$2:$W$3001,$X249)&amp;"")</f>
        <v/>
      </c>
      <c r="K249">
        <f>IF($X249="","",INDEX('Per Line'!$AD$2:$AD$3001,$X249))</f>
        <v/>
      </c>
      <c r="L249">
        <f>IF($X249="","",IF(AND(ISNUMBER(K249),K249&gt;0),V249&gt;K249,FALSE))</f>
        <v/>
      </c>
      <c r="M249" s="7">
        <f>IF($X249="","",SUMIFS('Per Line'!$V$2:$V$3001,'Per Line'!$D$2:$D$3001,$B249,'Per Line'!$AN$2:$AN$3001,1))</f>
        <v/>
      </c>
      <c r="N249">
        <f>IF($X249="","",Settings!$C$7)</f>
        <v/>
      </c>
      <c r="O249" s="7">
        <f>IF($X249="","",SUMIFS('Per Line'!$V$2:$V$3001,'Per Line'!$D$2:$D$3001,$B249,'Per Line'!$AM$2:$AM$3001,0,'Per Line'!$AN$2:$AN$3001,0))</f>
        <v/>
      </c>
      <c r="P249" s="7">
        <f>IF($X249="","",O249*N249)</f>
        <v/>
      </c>
      <c r="Q249">
        <f>IF($X249="","",Settings!$C$6)</f>
        <v/>
      </c>
      <c r="R249" s="7">
        <f>IF($X249="","",SUMIFS('Per Line'!$V$2:$V$3001,'Per Line'!$D$2:$D$3001,$B249,'Per Line'!$AM$2:$AM$3001,1,'Per Line'!$AN$2:$AN$3001,0))</f>
        <v/>
      </c>
      <c r="S249" s="7">
        <f>IF($X249="","",R249*Q249)</f>
        <v/>
      </c>
      <c r="T249" s="7">
        <f>IF($X249="","",S249+P249)</f>
        <v/>
      </c>
      <c r="U249" s="7">
        <f>IF($X249="","",V249-T249)</f>
        <v/>
      </c>
      <c r="V249" s="7">
        <f>IF($X249="","",O249+R249+M249)</f>
        <v/>
      </c>
      <c r="W249" s="7">
        <f>IF($X249="","",V249-T249-I249)</f>
        <v/>
      </c>
      <c r="X249" s="13">
        <f>IF(ROWS($X$2:$X249)&lt;=MAX('Per Line'!$AL$2:$AL$3001),MATCH(ROWS($X$2:$X249),'Per Line'!$AL$2:$AL$3001,0),"")</f>
        <v/>
      </c>
    </row>
    <row r="250">
      <c r="A250" s="12" t="n"/>
      <c r="B250">
        <f>IF($X250="","",INDEX('Per Line'!$D$2:$D$3001,$X250)&amp;"")</f>
        <v/>
      </c>
      <c r="C250" s="11">
        <f>IF($X250="","",INDEX('Per Line'!$F$2:$F$3001,$X250))</f>
        <v/>
      </c>
      <c r="D250">
        <f>IF($X250="","",INDEX('Per Line'!$G$2:$G$3001,$X250)&amp;"")</f>
        <v/>
      </c>
      <c r="E250">
        <f>IF($X250="","",INDEX('Per Line'!$I$2:$I$3001,$X250)&amp;"")</f>
        <v/>
      </c>
      <c r="F250">
        <f>IF($X250="","",INDEX('Per Line'!$J$2:$J$3001,$X250)&amp;"")</f>
        <v/>
      </c>
      <c r="G250">
        <f>IF($X250="","",INDEX('Per Line'!$K$2:$K$3001,$X250)&amp;"")</f>
        <v/>
      </c>
      <c r="H250">
        <f>IF($X250="","",INDEX('Per Line'!$M$2:$M$3001,$X250))</f>
        <v/>
      </c>
      <c r="I250" s="7">
        <f>IF($X250="","",H250*V250/100)</f>
        <v/>
      </c>
      <c r="J250">
        <f>IF($X250="","",INDEX('Per Line'!$W$2:$W$3001,$X250)&amp;"")</f>
        <v/>
      </c>
      <c r="K250">
        <f>IF($X250="","",INDEX('Per Line'!$AD$2:$AD$3001,$X250))</f>
        <v/>
      </c>
      <c r="L250">
        <f>IF($X250="","",IF(AND(ISNUMBER(K250),K250&gt;0),V250&gt;K250,FALSE))</f>
        <v/>
      </c>
      <c r="M250" s="7">
        <f>IF($X250="","",SUMIFS('Per Line'!$V$2:$V$3001,'Per Line'!$D$2:$D$3001,$B250,'Per Line'!$AN$2:$AN$3001,1))</f>
        <v/>
      </c>
      <c r="N250">
        <f>IF($X250="","",Settings!$C$7)</f>
        <v/>
      </c>
      <c r="O250" s="7">
        <f>IF($X250="","",SUMIFS('Per Line'!$V$2:$V$3001,'Per Line'!$D$2:$D$3001,$B250,'Per Line'!$AM$2:$AM$3001,0,'Per Line'!$AN$2:$AN$3001,0))</f>
        <v/>
      </c>
      <c r="P250" s="7">
        <f>IF($X250="","",O250*N250)</f>
        <v/>
      </c>
      <c r="Q250">
        <f>IF($X250="","",Settings!$C$6)</f>
        <v/>
      </c>
      <c r="R250" s="7">
        <f>IF($X250="","",SUMIFS('Per Line'!$V$2:$V$3001,'Per Line'!$D$2:$D$3001,$B250,'Per Line'!$AM$2:$AM$3001,1,'Per Line'!$AN$2:$AN$3001,0))</f>
        <v/>
      </c>
      <c r="S250" s="7">
        <f>IF($X250="","",R250*Q250)</f>
        <v/>
      </c>
      <c r="T250" s="7">
        <f>IF($X250="","",S250+P250)</f>
        <v/>
      </c>
      <c r="U250" s="7">
        <f>IF($X250="","",V250-T250)</f>
        <v/>
      </c>
      <c r="V250" s="7">
        <f>IF($X250="","",O250+R250+M250)</f>
        <v/>
      </c>
      <c r="W250" s="7">
        <f>IF($X250="","",V250-T250-I250)</f>
        <v/>
      </c>
      <c r="X250" s="13">
        <f>IF(ROWS($X$2:$X250)&lt;=MAX('Per Line'!$AL$2:$AL$3001),MATCH(ROWS($X$2:$X250),'Per Line'!$AL$2:$AL$3001,0),"")</f>
        <v/>
      </c>
    </row>
    <row r="251">
      <c r="A251" s="12" t="n"/>
      <c r="B251">
        <f>IF($X251="","",INDEX('Per Line'!$D$2:$D$3001,$X251)&amp;"")</f>
        <v/>
      </c>
      <c r="C251" s="11">
        <f>IF($X251="","",INDEX('Per Line'!$F$2:$F$3001,$X251))</f>
        <v/>
      </c>
      <c r="D251">
        <f>IF($X251="","",INDEX('Per Line'!$G$2:$G$3001,$X251)&amp;"")</f>
        <v/>
      </c>
      <c r="E251">
        <f>IF($X251="","",INDEX('Per Line'!$I$2:$I$3001,$X251)&amp;"")</f>
        <v/>
      </c>
      <c r="F251">
        <f>IF($X251="","",INDEX('Per Line'!$J$2:$J$3001,$X251)&amp;"")</f>
        <v/>
      </c>
      <c r="G251">
        <f>IF($X251="","",INDEX('Per Line'!$K$2:$K$3001,$X251)&amp;"")</f>
        <v/>
      </c>
      <c r="H251">
        <f>IF($X251="","",INDEX('Per Line'!$M$2:$M$3001,$X251))</f>
        <v/>
      </c>
      <c r="I251" s="7">
        <f>IF($X251="","",H251*V251/100)</f>
        <v/>
      </c>
      <c r="J251">
        <f>IF($X251="","",INDEX('Per Line'!$W$2:$W$3001,$X251)&amp;"")</f>
        <v/>
      </c>
      <c r="K251">
        <f>IF($X251="","",INDEX('Per Line'!$AD$2:$AD$3001,$X251))</f>
        <v/>
      </c>
      <c r="L251">
        <f>IF($X251="","",IF(AND(ISNUMBER(K251),K251&gt;0),V251&gt;K251,FALSE))</f>
        <v/>
      </c>
      <c r="M251" s="7">
        <f>IF($X251="","",SUMIFS('Per Line'!$V$2:$V$3001,'Per Line'!$D$2:$D$3001,$B251,'Per Line'!$AN$2:$AN$3001,1))</f>
        <v/>
      </c>
      <c r="N251">
        <f>IF($X251="","",Settings!$C$7)</f>
        <v/>
      </c>
      <c r="O251" s="7">
        <f>IF($X251="","",SUMIFS('Per Line'!$V$2:$V$3001,'Per Line'!$D$2:$D$3001,$B251,'Per Line'!$AM$2:$AM$3001,0,'Per Line'!$AN$2:$AN$3001,0))</f>
        <v/>
      </c>
      <c r="P251" s="7">
        <f>IF($X251="","",O251*N251)</f>
        <v/>
      </c>
      <c r="Q251">
        <f>IF($X251="","",Settings!$C$6)</f>
        <v/>
      </c>
      <c r="R251" s="7">
        <f>IF($X251="","",SUMIFS('Per Line'!$V$2:$V$3001,'Per Line'!$D$2:$D$3001,$B251,'Per Line'!$AM$2:$AM$3001,1,'Per Line'!$AN$2:$AN$3001,0))</f>
        <v/>
      </c>
      <c r="S251" s="7">
        <f>IF($X251="","",R251*Q251)</f>
        <v/>
      </c>
      <c r="T251" s="7">
        <f>IF($X251="","",S251+P251)</f>
        <v/>
      </c>
      <c r="U251" s="7">
        <f>IF($X251="","",V251-T251)</f>
        <v/>
      </c>
      <c r="V251" s="7">
        <f>IF($X251="","",O251+R251+M251)</f>
        <v/>
      </c>
      <c r="W251" s="7">
        <f>IF($X251="","",V251-T251-I251)</f>
        <v/>
      </c>
      <c r="X251" s="13">
        <f>IF(ROWS($X$2:$X251)&lt;=MAX('Per Line'!$AL$2:$AL$3001),MATCH(ROWS($X$2:$X251),'Per Line'!$AL$2:$AL$3001,0),"")</f>
        <v/>
      </c>
    </row>
    <row r="252">
      <c r="A252" s="12" t="n"/>
      <c r="B252">
        <f>IF($X252="","",INDEX('Per Line'!$D$2:$D$3001,$X252)&amp;"")</f>
        <v/>
      </c>
      <c r="C252" s="11">
        <f>IF($X252="","",INDEX('Per Line'!$F$2:$F$3001,$X252))</f>
        <v/>
      </c>
      <c r="D252">
        <f>IF($X252="","",INDEX('Per Line'!$G$2:$G$3001,$X252)&amp;"")</f>
        <v/>
      </c>
      <c r="E252">
        <f>IF($X252="","",INDEX('Per Line'!$I$2:$I$3001,$X252)&amp;"")</f>
        <v/>
      </c>
      <c r="F252">
        <f>IF($X252="","",INDEX('Per Line'!$J$2:$J$3001,$X252)&amp;"")</f>
        <v/>
      </c>
      <c r="G252">
        <f>IF($X252="","",INDEX('Per Line'!$K$2:$K$3001,$X252)&amp;"")</f>
        <v/>
      </c>
      <c r="H252">
        <f>IF($X252="","",INDEX('Per Line'!$M$2:$M$3001,$X252))</f>
        <v/>
      </c>
      <c r="I252" s="7">
        <f>IF($X252="","",H252*V252/100)</f>
        <v/>
      </c>
      <c r="J252">
        <f>IF($X252="","",INDEX('Per Line'!$W$2:$W$3001,$X252)&amp;"")</f>
        <v/>
      </c>
      <c r="K252">
        <f>IF($X252="","",INDEX('Per Line'!$AD$2:$AD$3001,$X252))</f>
        <v/>
      </c>
      <c r="L252">
        <f>IF($X252="","",IF(AND(ISNUMBER(K252),K252&gt;0),V252&gt;K252,FALSE))</f>
        <v/>
      </c>
      <c r="M252" s="7">
        <f>IF($X252="","",SUMIFS('Per Line'!$V$2:$V$3001,'Per Line'!$D$2:$D$3001,$B252,'Per Line'!$AN$2:$AN$3001,1))</f>
        <v/>
      </c>
      <c r="N252">
        <f>IF($X252="","",Settings!$C$7)</f>
        <v/>
      </c>
      <c r="O252" s="7">
        <f>IF($X252="","",SUMIFS('Per Line'!$V$2:$V$3001,'Per Line'!$D$2:$D$3001,$B252,'Per Line'!$AM$2:$AM$3001,0,'Per Line'!$AN$2:$AN$3001,0))</f>
        <v/>
      </c>
      <c r="P252" s="7">
        <f>IF($X252="","",O252*N252)</f>
        <v/>
      </c>
      <c r="Q252">
        <f>IF($X252="","",Settings!$C$6)</f>
        <v/>
      </c>
      <c r="R252" s="7">
        <f>IF($X252="","",SUMIFS('Per Line'!$V$2:$V$3001,'Per Line'!$D$2:$D$3001,$B252,'Per Line'!$AM$2:$AM$3001,1,'Per Line'!$AN$2:$AN$3001,0))</f>
        <v/>
      </c>
      <c r="S252" s="7">
        <f>IF($X252="","",R252*Q252)</f>
        <v/>
      </c>
      <c r="T252" s="7">
        <f>IF($X252="","",S252+P252)</f>
        <v/>
      </c>
      <c r="U252" s="7">
        <f>IF($X252="","",V252-T252)</f>
        <v/>
      </c>
      <c r="V252" s="7">
        <f>IF($X252="","",O252+R252+M252)</f>
        <v/>
      </c>
      <c r="W252" s="7">
        <f>IF($X252="","",V252-T252-I252)</f>
        <v/>
      </c>
      <c r="X252" s="13">
        <f>IF(ROWS($X$2:$X252)&lt;=MAX('Per Line'!$AL$2:$AL$3001),MATCH(ROWS($X$2:$X252),'Per Line'!$AL$2:$AL$3001,0),"")</f>
        <v/>
      </c>
    </row>
    <row r="253">
      <c r="A253" s="12" t="n"/>
      <c r="B253">
        <f>IF($X253="","",INDEX('Per Line'!$D$2:$D$3001,$X253)&amp;"")</f>
        <v/>
      </c>
      <c r="C253" s="11">
        <f>IF($X253="","",INDEX('Per Line'!$F$2:$F$3001,$X253))</f>
        <v/>
      </c>
      <c r="D253">
        <f>IF($X253="","",INDEX('Per Line'!$G$2:$G$3001,$X253)&amp;"")</f>
        <v/>
      </c>
      <c r="E253">
        <f>IF($X253="","",INDEX('Per Line'!$I$2:$I$3001,$X253)&amp;"")</f>
        <v/>
      </c>
      <c r="F253">
        <f>IF($X253="","",INDEX('Per Line'!$J$2:$J$3001,$X253)&amp;"")</f>
        <v/>
      </c>
      <c r="G253">
        <f>IF($X253="","",INDEX('Per Line'!$K$2:$K$3001,$X253)&amp;"")</f>
        <v/>
      </c>
      <c r="H253">
        <f>IF($X253="","",INDEX('Per Line'!$M$2:$M$3001,$X253))</f>
        <v/>
      </c>
      <c r="I253" s="7">
        <f>IF($X253="","",H253*V253/100)</f>
        <v/>
      </c>
      <c r="J253">
        <f>IF($X253="","",INDEX('Per Line'!$W$2:$W$3001,$X253)&amp;"")</f>
        <v/>
      </c>
      <c r="K253">
        <f>IF($X253="","",INDEX('Per Line'!$AD$2:$AD$3001,$X253))</f>
        <v/>
      </c>
      <c r="L253">
        <f>IF($X253="","",IF(AND(ISNUMBER(K253),K253&gt;0),V253&gt;K253,FALSE))</f>
        <v/>
      </c>
      <c r="M253" s="7">
        <f>IF($X253="","",SUMIFS('Per Line'!$V$2:$V$3001,'Per Line'!$D$2:$D$3001,$B253,'Per Line'!$AN$2:$AN$3001,1))</f>
        <v/>
      </c>
      <c r="N253">
        <f>IF($X253="","",Settings!$C$7)</f>
        <v/>
      </c>
      <c r="O253" s="7">
        <f>IF($X253="","",SUMIFS('Per Line'!$V$2:$V$3001,'Per Line'!$D$2:$D$3001,$B253,'Per Line'!$AM$2:$AM$3001,0,'Per Line'!$AN$2:$AN$3001,0))</f>
        <v/>
      </c>
      <c r="P253" s="7">
        <f>IF($X253="","",O253*N253)</f>
        <v/>
      </c>
      <c r="Q253">
        <f>IF($X253="","",Settings!$C$6)</f>
        <v/>
      </c>
      <c r="R253" s="7">
        <f>IF($X253="","",SUMIFS('Per Line'!$V$2:$V$3001,'Per Line'!$D$2:$D$3001,$B253,'Per Line'!$AM$2:$AM$3001,1,'Per Line'!$AN$2:$AN$3001,0))</f>
        <v/>
      </c>
      <c r="S253" s="7">
        <f>IF($X253="","",R253*Q253)</f>
        <v/>
      </c>
      <c r="T253" s="7">
        <f>IF($X253="","",S253+P253)</f>
        <v/>
      </c>
      <c r="U253" s="7">
        <f>IF($X253="","",V253-T253)</f>
        <v/>
      </c>
      <c r="V253" s="7">
        <f>IF($X253="","",O253+R253+M253)</f>
        <v/>
      </c>
      <c r="W253" s="7">
        <f>IF($X253="","",V253-T253-I253)</f>
        <v/>
      </c>
      <c r="X253" s="13">
        <f>IF(ROWS($X$2:$X253)&lt;=MAX('Per Line'!$AL$2:$AL$3001),MATCH(ROWS($X$2:$X253),'Per Line'!$AL$2:$AL$3001,0),"")</f>
        <v/>
      </c>
    </row>
    <row r="254">
      <c r="A254" s="12" t="n"/>
      <c r="B254">
        <f>IF($X254="","",INDEX('Per Line'!$D$2:$D$3001,$X254)&amp;"")</f>
        <v/>
      </c>
      <c r="C254" s="11">
        <f>IF($X254="","",INDEX('Per Line'!$F$2:$F$3001,$X254))</f>
        <v/>
      </c>
      <c r="D254">
        <f>IF($X254="","",INDEX('Per Line'!$G$2:$G$3001,$X254)&amp;"")</f>
        <v/>
      </c>
      <c r="E254">
        <f>IF($X254="","",INDEX('Per Line'!$I$2:$I$3001,$X254)&amp;"")</f>
        <v/>
      </c>
      <c r="F254">
        <f>IF($X254="","",INDEX('Per Line'!$J$2:$J$3001,$X254)&amp;"")</f>
        <v/>
      </c>
      <c r="G254">
        <f>IF($X254="","",INDEX('Per Line'!$K$2:$K$3001,$X254)&amp;"")</f>
        <v/>
      </c>
      <c r="H254">
        <f>IF($X254="","",INDEX('Per Line'!$M$2:$M$3001,$X254))</f>
        <v/>
      </c>
      <c r="I254" s="7">
        <f>IF($X254="","",H254*V254/100)</f>
        <v/>
      </c>
      <c r="J254">
        <f>IF($X254="","",INDEX('Per Line'!$W$2:$W$3001,$X254)&amp;"")</f>
        <v/>
      </c>
      <c r="K254">
        <f>IF($X254="","",INDEX('Per Line'!$AD$2:$AD$3001,$X254))</f>
        <v/>
      </c>
      <c r="L254">
        <f>IF($X254="","",IF(AND(ISNUMBER(K254),K254&gt;0),V254&gt;K254,FALSE))</f>
        <v/>
      </c>
      <c r="M254" s="7">
        <f>IF($X254="","",SUMIFS('Per Line'!$V$2:$V$3001,'Per Line'!$D$2:$D$3001,$B254,'Per Line'!$AN$2:$AN$3001,1))</f>
        <v/>
      </c>
      <c r="N254">
        <f>IF($X254="","",Settings!$C$7)</f>
        <v/>
      </c>
      <c r="O254" s="7">
        <f>IF($X254="","",SUMIFS('Per Line'!$V$2:$V$3001,'Per Line'!$D$2:$D$3001,$B254,'Per Line'!$AM$2:$AM$3001,0,'Per Line'!$AN$2:$AN$3001,0))</f>
        <v/>
      </c>
      <c r="P254" s="7">
        <f>IF($X254="","",O254*N254)</f>
        <v/>
      </c>
      <c r="Q254">
        <f>IF($X254="","",Settings!$C$6)</f>
        <v/>
      </c>
      <c r="R254" s="7">
        <f>IF($X254="","",SUMIFS('Per Line'!$V$2:$V$3001,'Per Line'!$D$2:$D$3001,$B254,'Per Line'!$AM$2:$AM$3001,1,'Per Line'!$AN$2:$AN$3001,0))</f>
        <v/>
      </c>
      <c r="S254" s="7">
        <f>IF($X254="","",R254*Q254)</f>
        <v/>
      </c>
      <c r="T254" s="7">
        <f>IF($X254="","",S254+P254)</f>
        <v/>
      </c>
      <c r="U254" s="7">
        <f>IF($X254="","",V254-T254)</f>
        <v/>
      </c>
      <c r="V254" s="7">
        <f>IF($X254="","",O254+R254+M254)</f>
        <v/>
      </c>
      <c r="W254" s="7">
        <f>IF($X254="","",V254-T254-I254)</f>
        <v/>
      </c>
      <c r="X254" s="13">
        <f>IF(ROWS($X$2:$X254)&lt;=MAX('Per Line'!$AL$2:$AL$3001),MATCH(ROWS($X$2:$X254),'Per Line'!$AL$2:$AL$3001,0),"")</f>
        <v/>
      </c>
    </row>
    <row r="255">
      <c r="A255" s="12" t="n"/>
      <c r="B255">
        <f>IF($X255="","",INDEX('Per Line'!$D$2:$D$3001,$X255)&amp;"")</f>
        <v/>
      </c>
      <c r="C255" s="11">
        <f>IF($X255="","",INDEX('Per Line'!$F$2:$F$3001,$X255))</f>
        <v/>
      </c>
      <c r="D255">
        <f>IF($X255="","",INDEX('Per Line'!$G$2:$G$3001,$X255)&amp;"")</f>
        <v/>
      </c>
      <c r="E255">
        <f>IF($X255="","",INDEX('Per Line'!$I$2:$I$3001,$X255)&amp;"")</f>
        <v/>
      </c>
      <c r="F255">
        <f>IF($X255="","",INDEX('Per Line'!$J$2:$J$3001,$X255)&amp;"")</f>
        <v/>
      </c>
      <c r="G255">
        <f>IF($X255="","",INDEX('Per Line'!$K$2:$K$3001,$X255)&amp;"")</f>
        <v/>
      </c>
      <c r="H255">
        <f>IF($X255="","",INDEX('Per Line'!$M$2:$M$3001,$X255))</f>
        <v/>
      </c>
      <c r="I255" s="7">
        <f>IF($X255="","",H255*V255/100)</f>
        <v/>
      </c>
      <c r="J255">
        <f>IF($X255="","",INDEX('Per Line'!$W$2:$W$3001,$X255)&amp;"")</f>
        <v/>
      </c>
      <c r="K255">
        <f>IF($X255="","",INDEX('Per Line'!$AD$2:$AD$3001,$X255))</f>
        <v/>
      </c>
      <c r="L255">
        <f>IF($X255="","",IF(AND(ISNUMBER(K255),K255&gt;0),V255&gt;K255,FALSE))</f>
        <v/>
      </c>
      <c r="M255" s="7">
        <f>IF($X255="","",SUMIFS('Per Line'!$V$2:$V$3001,'Per Line'!$D$2:$D$3001,$B255,'Per Line'!$AN$2:$AN$3001,1))</f>
        <v/>
      </c>
      <c r="N255">
        <f>IF($X255="","",Settings!$C$7)</f>
        <v/>
      </c>
      <c r="O255" s="7">
        <f>IF($X255="","",SUMIFS('Per Line'!$V$2:$V$3001,'Per Line'!$D$2:$D$3001,$B255,'Per Line'!$AM$2:$AM$3001,0,'Per Line'!$AN$2:$AN$3001,0))</f>
        <v/>
      </c>
      <c r="P255" s="7">
        <f>IF($X255="","",O255*N255)</f>
        <v/>
      </c>
      <c r="Q255">
        <f>IF($X255="","",Settings!$C$6)</f>
        <v/>
      </c>
      <c r="R255" s="7">
        <f>IF($X255="","",SUMIFS('Per Line'!$V$2:$V$3001,'Per Line'!$D$2:$D$3001,$B255,'Per Line'!$AM$2:$AM$3001,1,'Per Line'!$AN$2:$AN$3001,0))</f>
        <v/>
      </c>
      <c r="S255" s="7">
        <f>IF($X255="","",R255*Q255)</f>
        <v/>
      </c>
      <c r="T255" s="7">
        <f>IF($X255="","",S255+P255)</f>
        <v/>
      </c>
      <c r="U255" s="7">
        <f>IF($X255="","",V255-T255)</f>
        <v/>
      </c>
      <c r="V255" s="7">
        <f>IF($X255="","",O255+R255+M255)</f>
        <v/>
      </c>
      <c r="W255" s="7">
        <f>IF($X255="","",V255-T255-I255)</f>
        <v/>
      </c>
      <c r="X255" s="13">
        <f>IF(ROWS($X$2:$X255)&lt;=MAX('Per Line'!$AL$2:$AL$3001),MATCH(ROWS($X$2:$X255),'Per Line'!$AL$2:$AL$3001,0),"")</f>
        <v/>
      </c>
    </row>
    <row r="256">
      <c r="A256" s="12" t="n"/>
      <c r="B256">
        <f>IF($X256="","",INDEX('Per Line'!$D$2:$D$3001,$X256)&amp;"")</f>
        <v/>
      </c>
      <c r="C256" s="11">
        <f>IF($X256="","",INDEX('Per Line'!$F$2:$F$3001,$X256))</f>
        <v/>
      </c>
      <c r="D256">
        <f>IF($X256="","",INDEX('Per Line'!$G$2:$G$3001,$X256)&amp;"")</f>
        <v/>
      </c>
      <c r="E256">
        <f>IF($X256="","",INDEX('Per Line'!$I$2:$I$3001,$X256)&amp;"")</f>
        <v/>
      </c>
      <c r="F256">
        <f>IF($X256="","",INDEX('Per Line'!$J$2:$J$3001,$X256)&amp;"")</f>
        <v/>
      </c>
      <c r="G256">
        <f>IF($X256="","",INDEX('Per Line'!$K$2:$K$3001,$X256)&amp;"")</f>
        <v/>
      </c>
      <c r="H256">
        <f>IF($X256="","",INDEX('Per Line'!$M$2:$M$3001,$X256))</f>
        <v/>
      </c>
      <c r="I256" s="7">
        <f>IF($X256="","",H256*V256/100)</f>
        <v/>
      </c>
      <c r="J256">
        <f>IF($X256="","",INDEX('Per Line'!$W$2:$W$3001,$X256)&amp;"")</f>
        <v/>
      </c>
      <c r="K256">
        <f>IF($X256="","",INDEX('Per Line'!$AD$2:$AD$3001,$X256))</f>
        <v/>
      </c>
      <c r="L256">
        <f>IF($X256="","",IF(AND(ISNUMBER(K256),K256&gt;0),V256&gt;K256,FALSE))</f>
        <v/>
      </c>
      <c r="M256" s="7">
        <f>IF($X256="","",SUMIFS('Per Line'!$V$2:$V$3001,'Per Line'!$D$2:$D$3001,$B256,'Per Line'!$AN$2:$AN$3001,1))</f>
        <v/>
      </c>
      <c r="N256">
        <f>IF($X256="","",Settings!$C$7)</f>
        <v/>
      </c>
      <c r="O256" s="7">
        <f>IF($X256="","",SUMIFS('Per Line'!$V$2:$V$3001,'Per Line'!$D$2:$D$3001,$B256,'Per Line'!$AM$2:$AM$3001,0,'Per Line'!$AN$2:$AN$3001,0))</f>
        <v/>
      </c>
      <c r="P256" s="7">
        <f>IF($X256="","",O256*N256)</f>
        <v/>
      </c>
      <c r="Q256">
        <f>IF($X256="","",Settings!$C$6)</f>
        <v/>
      </c>
      <c r="R256" s="7">
        <f>IF($X256="","",SUMIFS('Per Line'!$V$2:$V$3001,'Per Line'!$D$2:$D$3001,$B256,'Per Line'!$AM$2:$AM$3001,1,'Per Line'!$AN$2:$AN$3001,0))</f>
        <v/>
      </c>
      <c r="S256" s="7">
        <f>IF($X256="","",R256*Q256)</f>
        <v/>
      </c>
      <c r="T256" s="7">
        <f>IF($X256="","",S256+P256)</f>
        <v/>
      </c>
      <c r="U256" s="7">
        <f>IF($X256="","",V256-T256)</f>
        <v/>
      </c>
      <c r="V256" s="7">
        <f>IF($X256="","",O256+R256+M256)</f>
        <v/>
      </c>
      <c r="W256" s="7">
        <f>IF($X256="","",V256-T256-I256)</f>
        <v/>
      </c>
      <c r="X256" s="13">
        <f>IF(ROWS($X$2:$X256)&lt;=MAX('Per Line'!$AL$2:$AL$3001),MATCH(ROWS($X$2:$X256),'Per Line'!$AL$2:$AL$3001,0),"")</f>
        <v/>
      </c>
    </row>
    <row r="257">
      <c r="A257" s="12" t="n"/>
      <c r="B257">
        <f>IF($X257="","",INDEX('Per Line'!$D$2:$D$3001,$X257)&amp;"")</f>
        <v/>
      </c>
      <c r="C257" s="11">
        <f>IF($X257="","",INDEX('Per Line'!$F$2:$F$3001,$X257))</f>
        <v/>
      </c>
      <c r="D257">
        <f>IF($X257="","",INDEX('Per Line'!$G$2:$G$3001,$X257)&amp;"")</f>
        <v/>
      </c>
      <c r="E257">
        <f>IF($X257="","",INDEX('Per Line'!$I$2:$I$3001,$X257)&amp;"")</f>
        <v/>
      </c>
      <c r="F257">
        <f>IF($X257="","",INDEX('Per Line'!$J$2:$J$3001,$X257)&amp;"")</f>
        <v/>
      </c>
      <c r="G257">
        <f>IF($X257="","",INDEX('Per Line'!$K$2:$K$3001,$X257)&amp;"")</f>
        <v/>
      </c>
      <c r="H257">
        <f>IF($X257="","",INDEX('Per Line'!$M$2:$M$3001,$X257))</f>
        <v/>
      </c>
      <c r="I257" s="7">
        <f>IF($X257="","",H257*V257/100)</f>
        <v/>
      </c>
      <c r="J257">
        <f>IF($X257="","",INDEX('Per Line'!$W$2:$W$3001,$X257)&amp;"")</f>
        <v/>
      </c>
      <c r="K257">
        <f>IF($X257="","",INDEX('Per Line'!$AD$2:$AD$3001,$X257))</f>
        <v/>
      </c>
      <c r="L257">
        <f>IF($X257="","",IF(AND(ISNUMBER(K257),K257&gt;0),V257&gt;K257,FALSE))</f>
        <v/>
      </c>
      <c r="M257" s="7">
        <f>IF($X257="","",SUMIFS('Per Line'!$V$2:$V$3001,'Per Line'!$D$2:$D$3001,$B257,'Per Line'!$AN$2:$AN$3001,1))</f>
        <v/>
      </c>
      <c r="N257">
        <f>IF($X257="","",Settings!$C$7)</f>
        <v/>
      </c>
      <c r="O257" s="7">
        <f>IF($X257="","",SUMIFS('Per Line'!$V$2:$V$3001,'Per Line'!$D$2:$D$3001,$B257,'Per Line'!$AM$2:$AM$3001,0,'Per Line'!$AN$2:$AN$3001,0))</f>
        <v/>
      </c>
      <c r="P257" s="7">
        <f>IF($X257="","",O257*N257)</f>
        <v/>
      </c>
      <c r="Q257">
        <f>IF($X257="","",Settings!$C$6)</f>
        <v/>
      </c>
      <c r="R257" s="7">
        <f>IF($X257="","",SUMIFS('Per Line'!$V$2:$V$3001,'Per Line'!$D$2:$D$3001,$B257,'Per Line'!$AM$2:$AM$3001,1,'Per Line'!$AN$2:$AN$3001,0))</f>
        <v/>
      </c>
      <c r="S257" s="7">
        <f>IF($X257="","",R257*Q257)</f>
        <v/>
      </c>
      <c r="T257" s="7">
        <f>IF($X257="","",S257+P257)</f>
        <v/>
      </c>
      <c r="U257" s="7">
        <f>IF($X257="","",V257-T257)</f>
        <v/>
      </c>
      <c r="V257" s="7">
        <f>IF($X257="","",O257+R257+M257)</f>
        <v/>
      </c>
      <c r="W257" s="7">
        <f>IF($X257="","",V257-T257-I257)</f>
        <v/>
      </c>
      <c r="X257" s="13">
        <f>IF(ROWS($X$2:$X257)&lt;=MAX('Per Line'!$AL$2:$AL$3001),MATCH(ROWS($X$2:$X257),'Per Line'!$AL$2:$AL$3001,0),"")</f>
        <v/>
      </c>
    </row>
    <row r="258">
      <c r="A258" s="12" t="n"/>
      <c r="B258">
        <f>IF($X258="","",INDEX('Per Line'!$D$2:$D$3001,$X258)&amp;"")</f>
        <v/>
      </c>
      <c r="C258" s="11">
        <f>IF($X258="","",INDEX('Per Line'!$F$2:$F$3001,$X258))</f>
        <v/>
      </c>
      <c r="D258">
        <f>IF($X258="","",INDEX('Per Line'!$G$2:$G$3001,$X258)&amp;"")</f>
        <v/>
      </c>
      <c r="E258">
        <f>IF($X258="","",INDEX('Per Line'!$I$2:$I$3001,$X258)&amp;"")</f>
        <v/>
      </c>
      <c r="F258">
        <f>IF($X258="","",INDEX('Per Line'!$J$2:$J$3001,$X258)&amp;"")</f>
        <v/>
      </c>
      <c r="G258">
        <f>IF($X258="","",INDEX('Per Line'!$K$2:$K$3001,$X258)&amp;"")</f>
        <v/>
      </c>
      <c r="H258">
        <f>IF($X258="","",INDEX('Per Line'!$M$2:$M$3001,$X258))</f>
        <v/>
      </c>
      <c r="I258" s="7">
        <f>IF($X258="","",H258*V258/100)</f>
        <v/>
      </c>
      <c r="J258">
        <f>IF($X258="","",INDEX('Per Line'!$W$2:$W$3001,$X258)&amp;"")</f>
        <v/>
      </c>
      <c r="K258">
        <f>IF($X258="","",INDEX('Per Line'!$AD$2:$AD$3001,$X258))</f>
        <v/>
      </c>
      <c r="L258">
        <f>IF($X258="","",IF(AND(ISNUMBER(K258),K258&gt;0),V258&gt;K258,FALSE))</f>
        <v/>
      </c>
      <c r="M258" s="7">
        <f>IF($X258="","",SUMIFS('Per Line'!$V$2:$V$3001,'Per Line'!$D$2:$D$3001,$B258,'Per Line'!$AN$2:$AN$3001,1))</f>
        <v/>
      </c>
      <c r="N258">
        <f>IF($X258="","",Settings!$C$7)</f>
        <v/>
      </c>
      <c r="O258" s="7">
        <f>IF($X258="","",SUMIFS('Per Line'!$V$2:$V$3001,'Per Line'!$D$2:$D$3001,$B258,'Per Line'!$AM$2:$AM$3001,0,'Per Line'!$AN$2:$AN$3001,0))</f>
        <v/>
      </c>
      <c r="P258" s="7">
        <f>IF($X258="","",O258*N258)</f>
        <v/>
      </c>
      <c r="Q258">
        <f>IF($X258="","",Settings!$C$6)</f>
        <v/>
      </c>
      <c r="R258" s="7">
        <f>IF($X258="","",SUMIFS('Per Line'!$V$2:$V$3001,'Per Line'!$D$2:$D$3001,$B258,'Per Line'!$AM$2:$AM$3001,1,'Per Line'!$AN$2:$AN$3001,0))</f>
        <v/>
      </c>
      <c r="S258" s="7">
        <f>IF($X258="","",R258*Q258)</f>
        <v/>
      </c>
      <c r="T258" s="7">
        <f>IF($X258="","",S258+P258)</f>
        <v/>
      </c>
      <c r="U258" s="7">
        <f>IF($X258="","",V258-T258)</f>
        <v/>
      </c>
      <c r="V258" s="7">
        <f>IF($X258="","",O258+R258+M258)</f>
        <v/>
      </c>
      <c r="W258" s="7">
        <f>IF($X258="","",V258-T258-I258)</f>
        <v/>
      </c>
      <c r="X258" s="13">
        <f>IF(ROWS($X$2:$X258)&lt;=MAX('Per Line'!$AL$2:$AL$3001),MATCH(ROWS($X$2:$X258),'Per Line'!$AL$2:$AL$3001,0),"")</f>
        <v/>
      </c>
    </row>
    <row r="259">
      <c r="A259" s="12" t="n"/>
      <c r="B259">
        <f>IF($X259="","",INDEX('Per Line'!$D$2:$D$3001,$X259)&amp;"")</f>
        <v/>
      </c>
      <c r="C259" s="11">
        <f>IF($X259="","",INDEX('Per Line'!$F$2:$F$3001,$X259))</f>
        <v/>
      </c>
      <c r="D259">
        <f>IF($X259="","",INDEX('Per Line'!$G$2:$G$3001,$X259)&amp;"")</f>
        <v/>
      </c>
      <c r="E259">
        <f>IF($X259="","",INDEX('Per Line'!$I$2:$I$3001,$X259)&amp;"")</f>
        <v/>
      </c>
      <c r="F259">
        <f>IF($X259="","",INDEX('Per Line'!$J$2:$J$3001,$X259)&amp;"")</f>
        <v/>
      </c>
      <c r="G259">
        <f>IF($X259="","",INDEX('Per Line'!$K$2:$K$3001,$X259)&amp;"")</f>
        <v/>
      </c>
      <c r="H259">
        <f>IF($X259="","",INDEX('Per Line'!$M$2:$M$3001,$X259))</f>
        <v/>
      </c>
      <c r="I259" s="7">
        <f>IF($X259="","",H259*V259/100)</f>
        <v/>
      </c>
      <c r="J259">
        <f>IF($X259="","",INDEX('Per Line'!$W$2:$W$3001,$X259)&amp;"")</f>
        <v/>
      </c>
      <c r="K259">
        <f>IF($X259="","",INDEX('Per Line'!$AD$2:$AD$3001,$X259))</f>
        <v/>
      </c>
      <c r="L259">
        <f>IF($X259="","",IF(AND(ISNUMBER(K259),K259&gt;0),V259&gt;K259,FALSE))</f>
        <v/>
      </c>
      <c r="M259" s="7">
        <f>IF($X259="","",SUMIFS('Per Line'!$V$2:$V$3001,'Per Line'!$D$2:$D$3001,$B259,'Per Line'!$AN$2:$AN$3001,1))</f>
        <v/>
      </c>
      <c r="N259">
        <f>IF($X259="","",Settings!$C$7)</f>
        <v/>
      </c>
      <c r="O259" s="7">
        <f>IF($X259="","",SUMIFS('Per Line'!$V$2:$V$3001,'Per Line'!$D$2:$D$3001,$B259,'Per Line'!$AM$2:$AM$3001,0,'Per Line'!$AN$2:$AN$3001,0))</f>
        <v/>
      </c>
      <c r="P259" s="7">
        <f>IF($X259="","",O259*N259)</f>
        <v/>
      </c>
      <c r="Q259">
        <f>IF($X259="","",Settings!$C$6)</f>
        <v/>
      </c>
      <c r="R259" s="7">
        <f>IF($X259="","",SUMIFS('Per Line'!$V$2:$V$3001,'Per Line'!$D$2:$D$3001,$B259,'Per Line'!$AM$2:$AM$3001,1,'Per Line'!$AN$2:$AN$3001,0))</f>
        <v/>
      </c>
      <c r="S259" s="7">
        <f>IF($X259="","",R259*Q259)</f>
        <v/>
      </c>
      <c r="T259" s="7">
        <f>IF($X259="","",S259+P259)</f>
        <v/>
      </c>
      <c r="U259" s="7">
        <f>IF($X259="","",V259-T259)</f>
        <v/>
      </c>
      <c r="V259" s="7">
        <f>IF($X259="","",O259+R259+M259)</f>
        <v/>
      </c>
      <c r="W259" s="7">
        <f>IF($X259="","",V259-T259-I259)</f>
        <v/>
      </c>
      <c r="X259" s="13">
        <f>IF(ROWS($X$2:$X259)&lt;=MAX('Per Line'!$AL$2:$AL$3001),MATCH(ROWS($X$2:$X259),'Per Line'!$AL$2:$AL$3001,0),"")</f>
        <v/>
      </c>
    </row>
    <row r="260">
      <c r="A260" s="12" t="n"/>
      <c r="B260">
        <f>IF($X260="","",INDEX('Per Line'!$D$2:$D$3001,$X260)&amp;"")</f>
        <v/>
      </c>
      <c r="C260" s="11">
        <f>IF($X260="","",INDEX('Per Line'!$F$2:$F$3001,$X260))</f>
        <v/>
      </c>
      <c r="D260">
        <f>IF($X260="","",INDEX('Per Line'!$G$2:$G$3001,$X260)&amp;"")</f>
        <v/>
      </c>
      <c r="E260">
        <f>IF($X260="","",INDEX('Per Line'!$I$2:$I$3001,$X260)&amp;"")</f>
        <v/>
      </c>
      <c r="F260">
        <f>IF($X260="","",INDEX('Per Line'!$J$2:$J$3001,$X260)&amp;"")</f>
        <v/>
      </c>
      <c r="G260">
        <f>IF($X260="","",INDEX('Per Line'!$K$2:$K$3001,$X260)&amp;"")</f>
        <v/>
      </c>
      <c r="H260">
        <f>IF($X260="","",INDEX('Per Line'!$M$2:$M$3001,$X260))</f>
        <v/>
      </c>
      <c r="I260" s="7">
        <f>IF($X260="","",H260*V260/100)</f>
        <v/>
      </c>
      <c r="J260">
        <f>IF($X260="","",INDEX('Per Line'!$W$2:$W$3001,$X260)&amp;"")</f>
        <v/>
      </c>
      <c r="K260">
        <f>IF($X260="","",INDEX('Per Line'!$AD$2:$AD$3001,$X260))</f>
        <v/>
      </c>
      <c r="L260">
        <f>IF($X260="","",IF(AND(ISNUMBER(K260),K260&gt;0),V260&gt;K260,FALSE))</f>
        <v/>
      </c>
      <c r="M260" s="7">
        <f>IF($X260="","",SUMIFS('Per Line'!$V$2:$V$3001,'Per Line'!$D$2:$D$3001,$B260,'Per Line'!$AN$2:$AN$3001,1))</f>
        <v/>
      </c>
      <c r="N260">
        <f>IF($X260="","",Settings!$C$7)</f>
        <v/>
      </c>
      <c r="O260" s="7">
        <f>IF($X260="","",SUMIFS('Per Line'!$V$2:$V$3001,'Per Line'!$D$2:$D$3001,$B260,'Per Line'!$AM$2:$AM$3001,0,'Per Line'!$AN$2:$AN$3001,0))</f>
        <v/>
      </c>
      <c r="P260" s="7">
        <f>IF($X260="","",O260*N260)</f>
        <v/>
      </c>
      <c r="Q260">
        <f>IF($X260="","",Settings!$C$6)</f>
        <v/>
      </c>
      <c r="R260" s="7">
        <f>IF($X260="","",SUMIFS('Per Line'!$V$2:$V$3001,'Per Line'!$D$2:$D$3001,$B260,'Per Line'!$AM$2:$AM$3001,1,'Per Line'!$AN$2:$AN$3001,0))</f>
        <v/>
      </c>
      <c r="S260" s="7">
        <f>IF($X260="","",R260*Q260)</f>
        <v/>
      </c>
      <c r="T260" s="7">
        <f>IF($X260="","",S260+P260)</f>
        <v/>
      </c>
      <c r="U260" s="7">
        <f>IF($X260="","",V260-T260)</f>
        <v/>
      </c>
      <c r="V260" s="7">
        <f>IF($X260="","",O260+R260+M260)</f>
        <v/>
      </c>
      <c r="W260" s="7">
        <f>IF($X260="","",V260-T260-I260)</f>
        <v/>
      </c>
      <c r="X260" s="13">
        <f>IF(ROWS($X$2:$X260)&lt;=MAX('Per Line'!$AL$2:$AL$3001),MATCH(ROWS($X$2:$X260),'Per Line'!$AL$2:$AL$3001,0),"")</f>
        <v/>
      </c>
    </row>
    <row r="261">
      <c r="A261" s="12" t="n"/>
      <c r="B261">
        <f>IF($X261="","",INDEX('Per Line'!$D$2:$D$3001,$X261)&amp;"")</f>
        <v/>
      </c>
      <c r="C261" s="11">
        <f>IF($X261="","",INDEX('Per Line'!$F$2:$F$3001,$X261))</f>
        <v/>
      </c>
      <c r="D261">
        <f>IF($X261="","",INDEX('Per Line'!$G$2:$G$3001,$X261)&amp;"")</f>
        <v/>
      </c>
      <c r="E261">
        <f>IF($X261="","",INDEX('Per Line'!$I$2:$I$3001,$X261)&amp;"")</f>
        <v/>
      </c>
      <c r="F261">
        <f>IF($X261="","",INDEX('Per Line'!$J$2:$J$3001,$X261)&amp;"")</f>
        <v/>
      </c>
      <c r="G261">
        <f>IF($X261="","",INDEX('Per Line'!$K$2:$K$3001,$X261)&amp;"")</f>
        <v/>
      </c>
      <c r="H261">
        <f>IF($X261="","",INDEX('Per Line'!$M$2:$M$3001,$X261))</f>
        <v/>
      </c>
      <c r="I261" s="7">
        <f>IF($X261="","",H261*V261/100)</f>
        <v/>
      </c>
      <c r="J261">
        <f>IF($X261="","",INDEX('Per Line'!$W$2:$W$3001,$X261)&amp;"")</f>
        <v/>
      </c>
      <c r="K261">
        <f>IF($X261="","",INDEX('Per Line'!$AD$2:$AD$3001,$X261))</f>
        <v/>
      </c>
      <c r="L261">
        <f>IF($X261="","",IF(AND(ISNUMBER(K261),K261&gt;0),V261&gt;K261,FALSE))</f>
        <v/>
      </c>
      <c r="M261" s="7">
        <f>IF($X261="","",SUMIFS('Per Line'!$V$2:$V$3001,'Per Line'!$D$2:$D$3001,$B261,'Per Line'!$AN$2:$AN$3001,1))</f>
        <v/>
      </c>
      <c r="N261">
        <f>IF($X261="","",Settings!$C$7)</f>
        <v/>
      </c>
      <c r="O261" s="7">
        <f>IF($X261="","",SUMIFS('Per Line'!$V$2:$V$3001,'Per Line'!$D$2:$D$3001,$B261,'Per Line'!$AM$2:$AM$3001,0,'Per Line'!$AN$2:$AN$3001,0))</f>
        <v/>
      </c>
      <c r="P261" s="7">
        <f>IF($X261="","",O261*N261)</f>
        <v/>
      </c>
      <c r="Q261">
        <f>IF($X261="","",Settings!$C$6)</f>
        <v/>
      </c>
      <c r="R261" s="7">
        <f>IF($X261="","",SUMIFS('Per Line'!$V$2:$V$3001,'Per Line'!$D$2:$D$3001,$B261,'Per Line'!$AM$2:$AM$3001,1,'Per Line'!$AN$2:$AN$3001,0))</f>
        <v/>
      </c>
      <c r="S261" s="7">
        <f>IF($X261="","",R261*Q261)</f>
        <v/>
      </c>
      <c r="T261" s="7">
        <f>IF($X261="","",S261+P261)</f>
        <v/>
      </c>
      <c r="U261" s="7">
        <f>IF($X261="","",V261-T261)</f>
        <v/>
      </c>
      <c r="V261" s="7">
        <f>IF($X261="","",O261+R261+M261)</f>
        <v/>
      </c>
      <c r="W261" s="7">
        <f>IF($X261="","",V261-T261-I261)</f>
        <v/>
      </c>
      <c r="X261" s="13">
        <f>IF(ROWS($X$2:$X261)&lt;=MAX('Per Line'!$AL$2:$AL$3001),MATCH(ROWS($X$2:$X261),'Per Line'!$AL$2:$AL$3001,0),"")</f>
        <v/>
      </c>
    </row>
    <row r="262">
      <c r="A262" s="12" t="n"/>
      <c r="B262">
        <f>IF($X262="","",INDEX('Per Line'!$D$2:$D$3001,$X262)&amp;"")</f>
        <v/>
      </c>
      <c r="C262" s="11">
        <f>IF($X262="","",INDEX('Per Line'!$F$2:$F$3001,$X262))</f>
        <v/>
      </c>
      <c r="D262">
        <f>IF($X262="","",INDEX('Per Line'!$G$2:$G$3001,$X262)&amp;"")</f>
        <v/>
      </c>
      <c r="E262">
        <f>IF($X262="","",INDEX('Per Line'!$I$2:$I$3001,$X262)&amp;"")</f>
        <v/>
      </c>
      <c r="F262">
        <f>IF($X262="","",INDEX('Per Line'!$J$2:$J$3001,$X262)&amp;"")</f>
        <v/>
      </c>
      <c r="G262">
        <f>IF($X262="","",INDEX('Per Line'!$K$2:$K$3001,$X262)&amp;"")</f>
        <v/>
      </c>
      <c r="H262">
        <f>IF($X262="","",INDEX('Per Line'!$M$2:$M$3001,$X262))</f>
        <v/>
      </c>
      <c r="I262" s="7">
        <f>IF($X262="","",H262*V262/100)</f>
        <v/>
      </c>
      <c r="J262">
        <f>IF($X262="","",INDEX('Per Line'!$W$2:$W$3001,$X262)&amp;"")</f>
        <v/>
      </c>
      <c r="K262">
        <f>IF($X262="","",INDEX('Per Line'!$AD$2:$AD$3001,$X262))</f>
        <v/>
      </c>
      <c r="L262">
        <f>IF($X262="","",IF(AND(ISNUMBER(K262),K262&gt;0),V262&gt;K262,FALSE))</f>
        <v/>
      </c>
      <c r="M262" s="7">
        <f>IF($X262="","",SUMIFS('Per Line'!$V$2:$V$3001,'Per Line'!$D$2:$D$3001,$B262,'Per Line'!$AN$2:$AN$3001,1))</f>
        <v/>
      </c>
      <c r="N262">
        <f>IF($X262="","",Settings!$C$7)</f>
        <v/>
      </c>
      <c r="O262" s="7">
        <f>IF($X262="","",SUMIFS('Per Line'!$V$2:$V$3001,'Per Line'!$D$2:$D$3001,$B262,'Per Line'!$AM$2:$AM$3001,0,'Per Line'!$AN$2:$AN$3001,0))</f>
        <v/>
      </c>
      <c r="P262" s="7">
        <f>IF($X262="","",O262*N262)</f>
        <v/>
      </c>
      <c r="Q262">
        <f>IF($X262="","",Settings!$C$6)</f>
        <v/>
      </c>
      <c r="R262" s="7">
        <f>IF($X262="","",SUMIFS('Per Line'!$V$2:$V$3001,'Per Line'!$D$2:$D$3001,$B262,'Per Line'!$AM$2:$AM$3001,1,'Per Line'!$AN$2:$AN$3001,0))</f>
        <v/>
      </c>
      <c r="S262" s="7">
        <f>IF($X262="","",R262*Q262)</f>
        <v/>
      </c>
      <c r="T262" s="7">
        <f>IF($X262="","",S262+P262)</f>
        <v/>
      </c>
      <c r="U262" s="7">
        <f>IF($X262="","",V262-T262)</f>
        <v/>
      </c>
      <c r="V262" s="7">
        <f>IF($X262="","",O262+R262+M262)</f>
        <v/>
      </c>
      <c r="W262" s="7">
        <f>IF($X262="","",V262-T262-I262)</f>
        <v/>
      </c>
      <c r="X262" s="13">
        <f>IF(ROWS($X$2:$X262)&lt;=MAX('Per Line'!$AL$2:$AL$3001),MATCH(ROWS($X$2:$X262),'Per Line'!$AL$2:$AL$3001,0),"")</f>
        <v/>
      </c>
    </row>
    <row r="263">
      <c r="A263" s="12" t="n"/>
      <c r="B263">
        <f>IF($X263="","",INDEX('Per Line'!$D$2:$D$3001,$X263)&amp;"")</f>
        <v/>
      </c>
      <c r="C263" s="11">
        <f>IF($X263="","",INDEX('Per Line'!$F$2:$F$3001,$X263))</f>
        <v/>
      </c>
      <c r="D263">
        <f>IF($X263="","",INDEX('Per Line'!$G$2:$G$3001,$X263)&amp;"")</f>
        <v/>
      </c>
      <c r="E263">
        <f>IF($X263="","",INDEX('Per Line'!$I$2:$I$3001,$X263)&amp;"")</f>
        <v/>
      </c>
      <c r="F263">
        <f>IF($X263="","",INDEX('Per Line'!$J$2:$J$3001,$X263)&amp;"")</f>
        <v/>
      </c>
      <c r="G263">
        <f>IF($X263="","",INDEX('Per Line'!$K$2:$K$3001,$X263)&amp;"")</f>
        <v/>
      </c>
      <c r="H263">
        <f>IF($X263="","",INDEX('Per Line'!$M$2:$M$3001,$X263))</f>
        <v/>
      </c>
      <c r="I263" s="7">
        <f>IF($X263="","",H263*V263/100)</f>
        <v/>
      </c>
      <c r="J263">
        <f>IF($X263="","",INDEX('Per Line'!$W$2:$W$3001,$X263)&amp;"")</f>
        <v/>
      </c>
      <c r="K263">
        <f>IF($X263="","",INDEX('Per Line'!$AD$2:$AD$3001,$X263))</f>
        <v/>
      </c>
      <c r="L263">
        <f>IF($X263="","",IF(AND(ISNUMBER(K263),K263&gt;0),V263&gt;K263,FALSE))</f>
        <v/>
      </c>
      <c r="M263" s="7">
        <f>IF($X263="","",SUMIFS('Per Line'!$V$2:$V$3001,'Per Line'!$D$2:$D$3001,$B263,'Per Line'!$AN$2:$AN$3001,1))</f>
        <v/>
      </c>
      <c r="N263">
        <f>IF($X263="","",Settings!$C$7)</f>
        <v/>
      </c>
      <c r="O263" s="7">
        <f>IF($X263="","",SUMIFS('Per Line'!$V$2:$V$3001,'Per Line'!$D$2:$D$3001,$B263,'Per Line'!$AM$2:$AM$3001,0,'Per Line'!$AN$2:$AN$3001,0))</f>
        <v/>
      </c>
      <c r="P263" s="7">
        <f>IF($X263="","",O263*N263)</f>
        <v/>
      </c>
      <c r="Q263">
        <f>IF($X263="","",Settings!$C$6)</f>
        <v/>
      </c>
      <c r="R263" s="7">
        <f>IF($X263="","",SUMIFS('Per Line'!$V$2:$V$3001,'Per Line'!$D$2:$D$3001,$B263,'Per Line'!$AM$2:$AM$3001,1,'Per Line'!$AN$2:$AN$3001,0))</f>
        <v/>
      </c>
      <c r="S263" s="7">
        <f>IF($X263="","",R263*Q263)</f>
        <v/>
      </c>
      <c r="T263" s="7">
        <f>IF($X263="","",S263+P263)</f>
        <v/>
      </c>
      <c r="U263" s="7">
        <f>IF($X263="","",V263-T263)</f>
        <v/>
      </c>
      <c r="V263" s="7">
        <f>IF($X263="","",O263+R263+M263)</f>
        <v/>
      </c>
      <c r="W263" s="7">
        <f>IF($X263="","",V263-T263-I263)</f>
        <v/>
      </c>
      <c r="X263" s="13">
        <f>IF(ROWS($X$2:$X263)&lt;=MAX('Per Line'!$AL$2:$AL$3001),MATCH(ROWS($X$2:$X263),'Per Line'!$AL$2:$AL$3001,0),"")</f>
        <v/>
      </c>
    </row>
    <row r="264">
      <c r="A264" s="12" t="n"/>
      <c r="B264">
        <f>IF($X264="","",INDEX('Per Line'!$D$2:$D$3001,$X264)&amp;"")</f>
        <v/>
      </c>
      <c r="C264" s="11">
        <f>IF($X264="","",INDEX('Per Line'!$F$2:$F$3001,$X264))</f>
        <v/>
      </c>
      <c r="D264">
        <f>IF($X264="","",INDEX('Per Line'!$G$2:$G$3001,$X264)&amp;"")</f>
        <v/>
      </c>
      <c r="E264">
        <f>IF($X264="","",INDEX('Per Line'!$I$2:$I$3001,$X264)&amp;"")</f>
        <v/>
      </c>
      <c r="F264">
        <f>IF($X264="","",INDEX('Per Line'!$J$2:$J$3001,$X264)&amp;"")</f>
        <v/>
      </c>
      <c r="G264">
        <f>IF($X264="","",INDEX('Per Line'!$K$2:$K$3001,$X264)&amp;"")</f>
        <v/>
      </c>
      <c r="H264">
        <f>IF($X264="","",INDEX('Per Line'!$M$2:$M$3001,$X264))</f>
        <v/>
      </c>
      <c r="I264" s="7">
        <f>IF($X264="","",H264*V264/100)</f>
        <v/>
      </c>
      <c r="J264">
        <f>IF($X264="","",INDEX('Per Line'!$W$2:$W$3001,$X264)&amp;"")</f>
        <v/>
      </c>
      <c r="K264">
        <f>IF($X264="","",INDEX('Per Line'!$AD$2:$AD$3001,$X264))</f>
        <v/>
      </c>
      <c r="L264">
        <f>IF($X264="","",IF(AND(ISNUMBER(K264),K264&gt;0),V264&gt;K264,FALSE))</f>
        <v/>
      </c>
      <c r="M264" s="7">
        <f>IF($X264="","",SUMIFS('Per Line'!$V$2:$V$3001,'Per Line'!$D$2:$D$3001,$B264,'Per Line'!$AN$2:$AN$3001,1))</f>
        <v/>
      </c>
      <c r="N264">
        <f>IF($X264="","",Settings!$C$7)</f>
        <v/>
      </c>
      <c r="O264" s="7">
        <f>IF($X264="","",SUMIFS('Per Line'!$V$2:$V$3001,'Per Line'!$D$2:$D$3001,$B264,'Per Line'!$AM$2:$AM$3001,0,'Per Line'!$AN$2:$AN$3001,0))</f>
        <v/>
      </c>
      <c r="P264" s="7">
        <f>IF($X264="","",O264*N264)</f>
        <v/>
      </c>
      <c r="Q264">
        <f>IF($X264="","",Settings!$C$6)</f>
        <v/>
      </c>
      <c r="R264" s="7">
        <f>IF($X264="","",SUMIFS('Per Line'!$V$2:$V$3001,'Per Line'!$D$2:$D$3001,$B264,'Per Line'!$AM$2:$AM$3001,1,'Per Line'!$AN$2:$AN$3001,0))</f>
        <v/>
      </c>
      <c r="S264" s="7">
        <f>IF($X264="","",R264*Q264)</f>
        <v/>
      </c>
      <c r="T264" s="7">
        <f>IF($X264="","",S264+P264)</f>
        <v/>
      </c>
      <c r="U264" s="7">
        <f>IF($X264="","",V264-T264)</f>
        <v/>
      </c>
      <c r="V264" s="7">
        <f>IF($X264="","",O264+R264+M264)</f>
        <v/>
      </c>
      <c r="W264" s="7">
        <f>IF($X264="","",V264-T264-I264)</f>
        <v/>
      </c>
      <c r="X264" s="13">
        <f>IF(ROWS($X$2:$X264)&lt;=MAX('Per Line'!$AL$2:$AL$3001),MATCH(ROWS($X$2:$X264),'Per Line'!$AL$2:$AL$3001,0),"")</f>
        <v/>
      </c>
    </row>
    <row r="265">
      <c r="A265" s="12" t="n"/>
      <c r="B265">
        <f>IF($X265="","",INDEX('Per Line'!$D$2:$D$3001,$X265)&amp;"")</f>
        <v/>
      </c>
      <c r="C265" s="11">
        <f>IF($X265="","",INDEX('Per Line'!$F$2:$F$3001,$X265))</f>
        <v/>
      </c>
      <c r="D265">
        <f>IF($X265="","",INDEX('Per Line'!$G$2:$G$3001,$X265)&amp;"")</f>
        <v/>
      </c>
      <c r="E265">
        <f>IF($X265="","",INDEX('Per Line'!$I$2:$I$3001,$X265)&amp;"")</f>
        <v/>
      </c>
      <c r="F265">
        <f>IF($X265="","",INDEX('Per Line'!$J$2:$J$3001,$X265)&amp;"")</f>
        <v/>
      </c>
      <c r="G265">
        <f>IF($X265="","",INDEX('Per Line'!$K$2:$K$3001,$X265)&amp;"")</f>
        <v/>
      </c>
      <c r="H265">
        <f>IF($X265="","",INDEX('Per Line'!$M$2:$M$3001,$X265))</f>
        <v/>
      </c>
      <c r="I265" s="7">
        <f>IF($X265="","",H265*V265/100)</f>
        <v/>
      </c>
      <c r="J265">
        <f>IF($X265="","",INDEX('Per Line'!$W$2:$W$3001,$X265)&amp;"")</f>
        <v/>
      </c>
      <c r="K265">
        <f>IF($X265="","",INDEX('Per Line'!$AD$2:$AD$3001,$X265))</f>
        <v/>
      </c>
      <c r="L265">
        <f>IF($X265="","",IF(AND(ISNUMBER(K265),K265&gt;0),V265&gt;K265,FALSE))</f>
        <v/>
      </c>
      <c r="M265" s="7">
        <f>IF($X265="","",SUMIFS('Per Line'!$V$2:$V$3001,'Per Line'!$D$2:$D$3001,$B265,'Per Line'!$AN$2:$AN$3001,1))</f>
        <v/>
      </c>
      <c r="N265">
        <f>IF($X265="","",Settings!$C$7)</f>
        <v/>
      </c>
      <c r="O265" s="7">
        <f>IF($X265="","",SUMIFS('Per Line'!$V$2:$V$3001,'Per Line'!$D$2:$D$3001,$B265,'Per Line'!$AM$2:$AM$3001,0,'Per Line'!$AN$2:$AN$3001,0))</f>
        <v/>
      </c>
      <c r="P265" s="7">
        <f>IF($X265="","",O265*N265)</f>
        <v/>
      </c>
      <c r="Q265">
        <f>IF($X265="","",Settings!$C$6)</f>
        <v/>
      </c>
      <c r="R265" s="7">
        <f>IF($X265="","",SUMIFS('Per Line'!$V$2:$V$3001,'Per Line'!$D$2:$D$3001,$B265,'Per Line'!$AM$2:$AM$3001,1,'Per Line'!$AN$2:$AN$3001,0))</f>
        <v/>
      </c>
      <c r="S265" s="7">
        <f>IF($X265="","",R265*Q265)</f>
        <v/>
      </c>
      <c r="T265" s="7">
        <f>IF($X265="","",S265+P265)</f>
        <v/>
      </c>
      <c r="U265" s="7">
        <f>IF($X265="","",V265-T265)</f>
        <v/>
      </c>
      <c r="V265" s="7">
        <f>IF($X265="","",O265+R265+M265)</f>
        <v/>
      </c>
      <c r="W265" s="7">
        <f>IF($X265="","",V265-T265-I265)</f>
        <v/>
      </c>
      <c r="X265" s="13">
        <f>IF(ROWS($X$2:$X265)&lt;=MAX('Per Line'!$AL$2:$AL$3001),MATCH(ROWS($X$2:$X265),'Per Line'!$AL$2:$AL$3001,0),"")</f>
        <v/>
      </c>
    </row>
    <row r="266">
      <c r="A266" s="12" t="n"/>
      <c r="B266">
        <f>IF($X266="","",INDEX('Per Line'!$D$2:$D$3001,$X266)&amp;"")</f>
        <v/>
      </c>
      <c r="C266" s="11">
        <f>IF($X266="","",INDEX('Per Line'!$F$2:$F$3001,$X266))</f>
        <v/>
      </c>
      <c r="D266">
        <f>IF($X266="","",INDEX('Per Line'!$G$2:$G$3001,$X266)&amp;"")</f>
        <v/>
      </c>
      <c r="E266">
        <f>IF($X266="","",INDEX('Per Line'!$I$2:$I$3001,$X266)&amp;"")</f>
        <v/>
      </c>
      <c r="F266">
        <f>IF($X266="","",INDEX('Per Line'!$J$2:$J$3001,$X266)&amp;"")</f>
        <v/>
      </c>
      <c r="G266">
        <f>IF($X266="","",INDEX('Per Line'!$K$2:$K$3001,$X266)&amp;"")</f>
        <v/>
      </c>
      <c r="H266">
        <f>IF($X266="","",INDEX('Per Line'!$M$2:$M$3001,$X266))</f>
        <v/>
      </c>
      <c r="I266" s="7">
        <f>IF($X266="","",H266*V266/100)</f>
        <v/>
      </c>
      <c r="J266">
        <f>IF($X266="","",INDEX('Per Line'!$W$2:$W$3001,$X266)&amp;"")</f>
        <v/>
      </c>
      <c r="K266">
        <f>IF($X266="","",INDEX('Per Line'!$AD$2:$AD$3001,$X266))</f>
        <v/>
      </c>
      <c r="L266">
        <f>IF($X266="","",IF(AND(ISNUMBER(K266),K266&gt;0),V266&gt;K266,FALSE))</f>
        <v/>
      </c>
      <c r="M266" s="7">
        <f>IF($X266="","",SUMIFS('Per Line'!$V$2:$V$3001,'Per Line'!$D$2:$D$3001,$B266,'Per Line'!$AN$2:$AN$3001,1))</f>
        <v/>
      </c>
      <c r="N266">
        <f>IF($X266="","",Settings!$C$7)</f>
        <v/>
      </c>
      <c r="O266" s="7">
        <f>IF($X266="","",SUMIFS('Per Line'!$V$2:$V$3001,'Per Line'!$D$2:$D$3001,$B266,'Per Line'!$AM$2:$AM$3001,0,'Per Line'!$AN$2:$AN$3001,0))</f>
        <v/>
      </c>
      <c r="P266" s="7">
        <f>IF($X266="","",O266*N266)</f>
        <v/>
      </c>
      <c r="Q266">
        <f>IF($X266="","",Settings!$C$6)</f>
        <v/>
      </c>
      <c r="R266" s="7">
        <f>IF($X266="","",SUMIFS('Per Line'!$V$2:$V$3001,'Per Line'!$D$2:$D$3001,$B266,'Per Line'!$AM$2:$AM$3001,1,'Per Line'!$AN$2:$AN$3001,0))</f>
        <v/>
      </c>
      <c r="S266" s="7">
        <f>IF($X266="","",R266*Q266)</f>
        <v/>
      </c>
      <c r="T266" s="7">
        <f>IF($X266="","",S266+P266)</f>
        <v/>
      </c>
      <c r="U266" s="7">
        <f>IF($X266="","",V266-T266)</f>
        <v/>
      </c>
      <c r="V266" s="7">
        <f>IF($X266="","",O266+R266+M266)</f>
        <v/>
      </c>
      <c r="W266" s="7">
        <f>IF($X266="","",V266-T266-I266)</f>
        <v/>
      </c>
      <c r="X266" s="13">
        <f>IF(ROWS($X$2:$X266)&lt;=MAX('Per Line'!$AL$2:$AL$3001),MATCH(ROWS($X$2:$X266),'Per Line'!$AL$2:$AL$3001,0),"")</f>
        <v/>
      </c>
    </row>
    <row r="267">
      <c r="A267" s="12" t="n"/>
      <c r="B267">
        <f>IF($X267="","",INDEX('Per Line'!$D$2:$D$3001,$X267)&amp;"")</f>
        <v/>
      </c>
      <c r="C267" s="11">
        <f>IF($X267="","",INDEX('Per Line'!$F$2:$F$3001,$X267))</f>
        <v/>
      </c>
      <c r="D267">
        <f>IF($X267="","",INDEX('Per Line'!$G$2:$G$3001,$X267)&amp;"")</f>
        <v/>
      </c>
      <c r="E267">
        <f>IF($X267="","",INDEX('Per Line'!$I$2:$I$3001,$X267)&amp;"")</f>
        <v/>
      </c>
      <c r="F267">
        <f>IF($X267="","",INDEX('Per Line'!$J$2:$J$3001,$X267)&amp;"")</f>
        <v/>
      </c>
      <c r="G267">
        <f>IF($X267="","",INDEX('Per Line'!$K$2:$K$3001,$X267)&amp;"")</f>
        <v/>
      </c>
      <c r="H267">
        <f>IF($X267="","",INDEX('Per Line'!$M$2:$M$3001,$X267))</f>
        <v/>
      </c>
      <c r="I267" s="7">
        <f>IF($X267="","",H267*V267/100)</f>
        <v/>
      </c>
      <c r="J267">
        <f>IF($X267="","",INDEX('Per Line'!$W$2:$W$3001,$X267)&amp;"")</f>
        <v/>
      </c>
      <c r="K267">
        <f>IF($X267="","",INDEX('Per Line'!$AD$2:$AD$3001,$X267))</f>
        <v/>
      </c>
      <c r="L267">
        <f>IF($X267="","",IF(AND(ISNUMBER(K267),K267&gt;0),V267&gt;K267,FALSE))</f>
        <v/>
      </c>
      <c r="M267" s="7">
        <f>IF($X267="","",SUMIFS('Per Line'!$V$2:$V$3001,'Per Line'!$D$2:$D$3001,$B267,'Per Line'!$AN$2:$AN$3001,1))</f>
        <v/>
      </c>
      <c r="N267">
        <f>IF($X267="","",Settings!$C$7)</f>
        <v/>
      </c>
      <c r="O267" s="7">
        <f>IF($X267="","",SUMIFS('Per Line'!$V$2:$V$3001,'Per Line'!$D$2:$D$3001,$B267,'Per Line'!$AM$2:$AM$3001,0,'Per Line'!$AN$2:$AN$3001,0))</f>
        <v/>
      </c>
      <c r="P267" s="7">
        <f>IF($X267="","",O267*N267)</f>
        <v/>
      </c>
      <c r="Q267">
        <f>IF($X267="","",Settings!$C$6)</f>
        <v/>
      </c>
      <c r="R267" s="7">
        <f>IF($X267="","",SUMIFS('Per Line'!$V$2:$V$3001,'Per Line'!$D$2:$D$3001,$B267,'Per Line'!$AM$2:$AM$3001,1,'Per Line'!$AN$2:$AN$3001,0))</f>
        <v/>
      </c>
      <c r="S267" s="7">
        <f>IF($X267="","",R267*Q267)</f>
        <v/>
      </c>
      <c r="T267" s="7">
        <f>IF($X267="","",S267+P267)</f>
        <v/>
      </c>
      <c r="U267" s="7">
        <f>IF($X267="","",V267-T267)</f>
        <v/>
      </c>
      <c r="V267" s="7">
        <f>IF($X267="","",O267+R267+M267)</f>
        <v/>
      </c>
      <c r="W267" s="7">
        <f>IF($X267="","",V267-T267-I267)</f>
        <v/>
      </c>
      <c r="X267" s="13">
        <f>IF(ROWS($X$2:$X267)&lt;=MAX('Per Line'!$AL$2:$AL$3001),MATCH(ROWS($X$2:$X267),'Per Line'!$AL$2:$AL$3001,0),"")</f>
        <v/>
      </c>
    </row>
    <row r="268">
      <c r="A268" s="12" t="n"/>
      <c r="B268">
        <f>IF($X268="","",INDEX('Per Line'!$D$2:$D$3001,$X268)&amp;"")</f>
        <v/>
      </c>
      <c r="C268" s="11">
        <f>IF($X268="","",INDEX('Per Line'!$F$2:$F$3001,$X268))</f>
        <v/>
      </c>
      <c r="D268">
        <f>IF($X268="","",INDEX('Per Line'!$G$2:$G$3001,$X268)&amp;"")</f>
        <v/>
      </c>
      <c r="E268">
        <f>IF($X268="","",INDEX('Per Line'!$I$2:$I$3001,$X268)&amp;"")</f>
        <v/>
      </c>
      <c r="F268">
        <f>IF($X268="","",INDEX('Per Line'!$J$2:$J$3001,$X268)&amp;"")</f>
        <v/>
      </c>
      <c r="G268">
        <f>IF($X268="","",INDEX('Per Line'!$K$2:$K$3001,$X268)&amp;"")</f>
        <v/>
      </c>
      <c r="H268">
        <f>IF($X268="","",INDEX('Per Line'!$M$2:$M$3001,$X268))</f>
        <v/>
      </c>
      <c r="I268" s="7">
        <f>IF($X268="","",H268*V268/100)</f>
        <v/>
      </c>
      <c r="J268">
        <f>IF($X268="","",INDEX('Per Line'!$W$2:$W$3001,$X268)&amp;"")</f>
        <v/>
      </c>
      <c r="K268">
        <f>IF($X268="","",INDEX('Per Line'!$AD$2:$AD$3001,$X268))</f>
        <v/>
      </c>
      <c r="L268">
        <f>IF($X268="","",IF(AND(ISNUMBER(K268),K268&gt;0),V268&gt;K268,FALSE))</f>
        <v/>
      </c>
      <c r="M268" s="7">
        <f>IF($X268="","",SUMIFS('Per Line'!$V$2:$V$3001,'Per Line'!$D$2:$D$3001,$B268,'Per Line'!$AN$2:$AN$3001,1))</f>
        <v/>
      </c>
      <c r="N268">
        <f>IF($X268="","",Settings!$C$7)</f>
        <v/>
      </c>
      <c r="O268" s="7">
        <f>IF($X268="","",SUMIFS('Per Line'!$V$2:$V$3001,'Per Line'!$D$2:$D$3001,$B268,'Per Line'!$AM$2:$AM$3001,0,'Per Line'!$AN$2:$AN$3001,0))</f>
        <v/>
      </c>
      <c r="P268" s="7">
        <f>IF($X268="","",O268*N268)</f>
        <v/>
      </c>
      <c r="Q268">
        <f>IF($X268="","",Settings!$C$6)</f>
        <v/>
      </c>
      <c r="R268" s="7">
        <f>IF($X268="","",SUMIFS('Per Line'!$V$2:$V$3001,'Per Line'!$D$2:$D$3001,$B268,'Per Line'!$AM$2:$AM$3001,1,'Per Line'!$AN$2:$AN$3001,0))</f>
        <v/>
      </c>
      <c r="S268" s="7">
        <f>IF($X268="","",R268*Q268)</f>
        <v/>
      </c>
      <c r="T268" s="7">
        <f>IF($X268="","",S268+P268)</f>
        <v/>
      </c>
      <c r="U268" s="7">
        <f>IF($X268="","",V268-T268)</f>
        <v/>
      </c>
      <c r="V268" s="7">
        <f>IF($X268="","",O268+R268+M268)</f>
        <v/>
      </c>
      <c r="W268" s="7">
        <f>IF($X268="","",V268-T268-I268)</f>
        <v/>
      </c>
      <c r="X268" s="13">
        <f>IF(ROWS($X$2:$X268)&lt;=MAX('Per Line'!$AL$2:$AL$3001),MATCH(ROWS($X$2:$X268),'Per Line'!$AL$2:$AL$3001,0),"")</f>
        <v/>
      </c>
    </row>
    <row r="269">
      <c r="A269" s="12" t="n"/>
      <c r="B269">
        <f>IF($X269="","",INDEX('Per Line'!$D$2:$D$3001,$X269)&amp;"")</f>
        <v/>
      </c>
      <c r="C269" s="11">
        <f>IF($X269="","",INDEX('Per Line'!$F$2:$F$3001,$X269))</f>
        <v/>
      </c>
      <c r="D269">
        <f>IF($X269="","",INDEX('Per Line'!$G$2:$G$3001,$X269)&amp;"")</f>
        <v/>
      </c>
      <c r="E269">
        <f>IF($X269="","",INDEX('Per Line'!$I$2:$I$3001,$X269)&amp;"")</f>
        <v/>
      </c>
      <c r="F269">
        <f>IF($X269="","",INDEX('Per Line'!$J$2:$J$3001,$X269)&amp;"")</f>
        <v/>
      </c>
      <c r="G269">
        <f>IF($X269="","",INDEX('Per Line'!$K$2:$K$3001,$X269)&amp;"")</f>
        <v/>
      </c>
      <c r="H269">
        <f>IF($X269="","",INDEX('Per Line'!$M$2:$M$3001,$X269))</f>
        <v/>
      </c>
      <c r="I269" s="7">
        <f>IF($X269="","",H269*V269/100)</f>
        <v/>
      </c>
      <c r="J269">
        <f>IF($X269="","",INDEX('Per Line'!$W$2:$W$3001,$X269)&amp;"")</f>
        <v/>
      </c>
      <c r="K269">
        <f>IF($X269="","",INDEX('Per Line'!$AD$2:$AD$3001,$X269))</f>
        <v/>
      </c>
      <c r="L269">
        <f>IF($X269="","",IF(AND(ISNUMBER(K269),K269&gt;0),V269&gt;K269,FALSE))</f>
        <v/>
      </c>
      <c r="M269" s="7">
        <f>IF($X269="","",SUMIFS('Per Line'!$V$2:$V$3001,'Per Line'!$D$2:$D$3001,$B269,'Per Line'!$AN$2:$AN$3001,1))</f>
        <v/>
      </c>
      <c r="N269">
        <f>IF($X269="","",Settings!$C$7)</f>
        <v/>
      </c>
      <c r="O269" s="7">
        <f>IF($X269="","",SUMIFS('Per Line'!$V$2:$V$3001,'Per Line'!$D$2:$D$3001,$B269,'Per Line'!$AM$2:$AM$3001,0,'Per Line'!$AN$2:$AN$3001,0))</f>
        <v/>
      </c>
      <c r="P269" s="7">
        <f>IF($X269="","",O269*N269)</f>
        <v/>
      </c>
      <c r="Q269">
        <f>IF($X269="","",Settings!$C$6)</f>
        <v/>
      </c>
      <c r="R269" s="7">
        <f>IF($X269="","",SUMIFS('Per Line'!$V$2:$V$3001,'Per Line'!$D$2:$D$3001,$B269,'Per Line'!$AM$2:$AM$3001,1,'Per Line'!$AN$2:$AN$3001,0))</f>
        <v/>
      </c>
      <c r="S269" s="7">
        <f>IF($X269="","",R269*Q269)</f>
        <v/>
      </c>
      <c r="T269" s="7">
        <f>IF($X269="","",S269+P269)</f>
        <v/>
      </c>
      <c r="U269" s="7">
        <f>IF($X269="","",V269-T269)</f>
        <v/>
      </c>
      <c r="V269" s="7">
        <f>IF($X269="","",O269+R269+M269)</f>
        <v/>
      </c>
      <c r="W269" s="7">
        <f>IF($X269="","",V269-T269-I269)</f>
        <v/>
      </c>
      <c r="X269" s="13">
        <f>IF(ROWS($X$2:$X269)&lt;=MAX('Per Line'!$AL$2:$AL$3001),MATCH(ROWS($X$2:$X269),'Per Line'!$AL$2:$AL$3001,0),"")</f>
        <v/>
      </c>
    </row>
    <row r="270">
      <c r="A270" s="12" t="n"/>
      <c r="B270">
        <f>IF($X270="","",INDEX('Per Line'!$D$2:$D$3001,$X270)&amp;"")</f>
        <v/>
      </c>
      <c r="C270" s="11">
        <f>IF($X270="","",INDEX('Per Line'!$F$2:$F$3001,$X270))</f>
        <v/>
      </c>
      <c r="D270">
        <f>IF($X270="","",INDEX('Per Line'!$G$2:$G$3001,$X270)&amp;"")</f>
        <v/>
      </c>
      <c r="E270">
        <f>IF($X270="","",INDEX('Per Line'!$I$2:$I$3001,$X270)&amp;"")</f>
        <v/>
      </c>
      <c r="F270">
        <f>IF($X270="","",INDEX('Per Line'!$J$2:$J$3001,$X270)&amp;"")</f>
        <v/>
      </c>
      <c r="G270">
        <f>IF($X270="","",INDEX('Per Line'!$K$2:$K$3001,$X270)&amp;"")</f>
        <v/>
      </c>
      <c r="H270">
        <f>IF($X270="","",INDEX('Per Line'!$M$2:$M$3001,$X270))</f>
        <v/>
      </c>
      <c r="I270" s="7">
        <f>IF($X270="","",H270*V270/100)</f>
        <v/>
      </c>
      <c r="J270">
        <f>IF($X270="","",INDEX('Per Line'!$W$2:$W$3001,$X270)&amp;"")</f>
        <v/>
      </c>
      <c r="K270">
        <f>IF($X270="","",INDEX('Per Line'!$AD$2:$AD$3001,$X270))</f>
        <v/>
      </c>
      <c r="L270">
        <f>IF($X270="","",IF(AND(ISNUMBER(K270),K270&gt;0),V270&gt;K270,FALSE))</f>
        <v/>
      </c>
      <c r="M270" s="7">
        <f>IF($X270="","",SUMIFS('Per Line'!$V$2:$V$3001,'Per Line'!$D$2:$D$3001,$B270,'Per Line'!$AN$2:$AN$3001,1))</f>
        <v/>
      </c>
      <c r="N270">
        <f>IF($X270="","",Settings!$C$7)</f>
        <v/>
      </c>
      <c r="O270" s="7">
        <f>IF($X270="","",SUMIFS('Per Line'!$V$2:$V$3001,'Per Line'!$D$2:$D$3001,$B270,'Per Line'!$AM$2:$AM$3001,0,'Per Line'!$AN$2:$AN$3001,0))</f>
        <v/>
      </c>
      <c r="P270" s="7">
        <f>IF($X270="","",O270*N270)</f>
        <v/>
      </c>
      <c r="Q270">
        <f>IF($X270="","",Settings!$C$6)</f>
        <v/>
      </c>
      <c r="R270" s="7">
        <f>IF($X270="","",SUMIFS('Per Line'!$V$2:$V$3001,'Per Line'!$D$2:$D$3001,$B270,'Per Line'!$AM$2:$AM$3001,1,'Per Line'!$AN$2:$AN$3001,0))</f>
        <v/>
      </c>
      <c r="S270" s="7">
        <f>IF($X270="","",R270*Q270)</f>
        <v/>
      </c>
      <c r="T270" s="7">
        <f>IF($X270="","",S270+P270)</f>
        <v/>
      </c>
      <c r="U270" s="7">
        <f>IF($X270="","",V270-T270)</f>
        <v/>
      </c>
      <c r="V270" s="7">
        <f>IF($X270="","",O270+R270+M270)</f>
        <v/>
      </c>
      <c r="W270" s="7">
        <f>IF($X270="","",V270-T270-I270)</f>
        <v/>
      </c>
      <c r="X270" s="13">
        <f>IF(ROWS($X$2:$X270)&lt;=MAX('Per Line'!$AL$2:$AL$3001),MATCH(ROWS($X$2:$X270),'Per Line'!$AL$2:$AL$3001,0),"")</f>
        <v/>
      </c>
    </row>
    <row r="271">
      <c r="A271" s="12" t="n"/>
      <c r="B271">
        <f>IF($X271="","",INDEX('Per Line'!$D$2:$D$3001,$X271)&amp;"")</f>
        <v/>
      </c>
      <c r="C271" s="11">
        <f>IF($X271="","",INDEX('Per Line'!$F$2:$F$3001,$X271))</f>
        <v/>
      </c>
      <c r="D271">
        <f>IF($X271="","",INDEX('Per Line'!$G$2:$G$3001,$X271)&amp;"")</f>
        <v/>
      </c>
      <c r="E271">
        <f>IF($X271="","",INDEX('Per Line'!$I$2:$I$3001,$X271)&amp;"")</f>
        <v/>
      </c>
      <c r="F271">
        <f>IF($X271="","",INDEX('Per Line'!$J$2:$J$3001,$X271)&amp;"")</f>
        <v/>
      </c>
      <c r="G271">
        <f>IF($X271="","",INDEX('Per Line'!$K$2:$K$3001,$X271)&amp;"")</f>
        <v/>
      </c>
      <c r="H271">
        <f>IF($X271="","",INDEX('Per Line'!$M$2:$M$3001,$X271))</f>
        <v/>
      </c>
      <c r="I271" s="7">
        <f>IF($X271="","",H271*V271/100)</f>
        <v/>
      </c>
      <c r="J271">
        <f>IF($X271="","",INDEX('Per Line'!$W$2:$W$3001,$X271)&amp;"")</f>
        <v/>
      </c>
      <c r="K271">
        <f>IF($X271="","",INDEX('Per Line'!$AD$2:$AD$3001,$X271))</f>
        <v/>
      </c>
      <c r="L271">
        <f>IF($X271="","",IF(AND(ISNUMBER(K271),K271&gt;0),V271&gt;K271,FALSE))</f>
        <v/>
      </c>
      <c r="M271" s="7">
        <f>IF($X271="","",SUMIFS('Per Line'!$V$2:$V$3001,'Per Line'!$D$2:$D$3001,$B271,'Per Line'!$AN$2:$AN$3001,1))</f>
        <v/>
      </c>
      <c r="N271">
        <f>IF($X271="","",Settings!$C$7)</f>
        <v/>
      </c>
      <c r="O271" s="7">
        <f>IF($X271="","",SUMIFS('Per Line'!$V$2:$V$3001,'Per Line'!$D$2:$D$3001,$B271,'Per Line'!$AM$2:$AM$3001,0,'Per Line'!$AN$2:$AN$3001,0))</f>
        <v/>
      </c>
      <c r="P271" s="7">
        <f>IF($X271="","",O271*N271)</f>
        <v/>
      </c>
      <c r="Q271">
        <f>IF($X271="","",Settings!$C$6)</f>
        <v/>
      </c>
      <c r="R271" s="7">
        <f>IF($X271="","",SUMIFS('Per Line'!$V$2:$V$3001,'Per Line'!$D$2:$D$3001,$B271,'Per Line'!$AM$2:$AM$3001,1,'Per Line'!$AN$2:$AN$3001,0))</f>
        <v/>
      </c>
      <c r="S271" s="7">
        <f>IF($X271="","",R271*Q271)</f>
        <v/>
      </c>
      <c r="T271" s="7">
        <f>IF($X271="","",S271+P271)</f>
        <v/>
      </c>
      <c r="U271" s="7">
        <f>IF($X271="","",V271-T271)</f>
        <v/>
      </c>
      <c r="V271" s="7">
        <f>IF($X271="","",O271+R271+M271)</f>
        <v/>
      </c>
      <c r="W271" s="7">
        <f>IF($X271="","",V271-T271-I271)</f>
        <v/>
      </c>
      <c r="X271" s="13">
        <f>IF(ROWS($X$2:$X271)&lt;=MAX('Per Line'!$AL$2:$AL$3001),MATCH(ROWS($X$2:$X271),'Per Line'!$AL$2:$AL$3001,0),"")</f>
        <v/>
      </c>
    </row>
    <row r="272">
      <c r="A272" s="12" t="n"/>
      <c r="B272">
        <f>IF($X272="","",INDEX('Per Line'!$D$2:$D$3001,$X272)&amp;"")</f>
        <v/>
      </c>
      <c r="C272" s="11">
        <f>IF($X272="","",INDEX('Per Line'!$F$2:$F$3001,$X272))</f>
        <v/>
      </c>
      <c r="D272">
        <f>IF($X272="","",INDEX('Per Line'!$G$2:$G$3001,$X272)&amp;"")</f>
        <v/>
      </c>
      <c r="E272">
        <f>IF($X272="","",INDEX('Per Line'!$I$2:$I$3001,$X272)&amp;"")</f>
        <v/>
      </c>
      <c r="F272">
        <f>IF($X272="","",INDEX('Per Line'!$J$2:$J$3001,$X272)&amp;"")</f>
        <v/>
      </c>
      <c r="G272">
        <f>IF($X272="","",INDEX('Per Line'!$K$2:$K$3001,$X272)&amp;"")</f>
        <v/>
      </c>
      <c r="H272">
        <f>IF($X272="","",INDEX('Per Line'!$M$2:$M$3001,$X272))</f>
        <v/>
      </c>
      <c r="I272" s="7">
        <f>IF($X272="","",H272*V272/100)</f>
        <v/>
      </c>
      <c r="J272">
        <f>IF($X272="","",INDEX('Per Line'!$W$2:$W$3001,$X272)&amp;"")</f>
        <v/>
      </c>
      <c r="K272">
        <f>IF($X272="","",INDEX('Per Line'!$AD$2:$AD$3001,$X272))</f>
        <v/>
      </c>
      <c r="L272">
        <f>IF($X272="","",IF(AND(ISNUMBER(K272),K272&gt;0),V272&gt;K272,FALSE))</f>
        <v/>
      </c>
      <c r="M272" s="7">
        <f>IF($X272="","",SUMIFS('Per Line'!$V$2:$V$3001,'Per Line'!$D$2:$D$3001,$B272,'Per Line'!$AN$2:$AN$3001,1))</f>
        <v/>
      </c>
      <c r="N272">
        <f>IF($X272="","",Settings!$C$7)</f>
        <v/>
      </c>
      <c r="O272" s="7">
        <f>IF($X272="","",SUMIFS('Per Line'!$V$2:$V$3001,'Per Line'!$D$2:$D$3001,$B272,'Per Line'!$AM$2:$AM$3001,0,'Per Line'!$AN$2:$AN$3001,0))</f>
        <v/>
      </c>
      <c r="P272" s="7">
        <f>IF($X272="","",O272*N272)</f>
        <v/>
      </c>
      <c r="Q272">
        <f>IF($X272="","",Settings!$C$6)</f>
        <v/>
      </c>
      <c r="R272" s="7">
        <f>IF($X272="","",SUMIFS('Per Line'!$V$2:$V$3001,'Per Line'!$D$2:$D$3001,$B272,'Per Line'!$AM$2:$AM$3001,1,'Per Line'!$AN$2:$AN$3001,0))</f>
        <v/>
      </c>
      <c r="S272" s="7">
        <f>IF($X272="","",R272*Q272)</f>
        <v/>
      </c>
      <c r="T272" s="7">
        <f>IF($X272="","",S272+P272)</f>
        <v/>
      </c>
      <c r="U272" s="7">
        <f>IF($X272="","",V272-T272)</f>
        <v/>
      </c>
      <c r="V272" s="7">
        <f>IF($X272="","",O272+R272+M272)</f>
        <v/>
      </c>
      <c r="W272" s="7">
        <f>IF($X272="","",V272-T272-I272)</f>
        <v/>
      </c>
      <c r="X272" s="13">
        <f>IF(ROWS($X$2:$X272)&lt;=MAX('Per Line'!$AL$2:$AL$3001),MATCH(ROWS($X$2:$X272),'Per Line'!$AL$2:$AL$3001,0),"")</f>
        <v/>
      </c>
    </row>
    <row r="273">
      <c r="A273" s="12" t="n"/>
      <c r="B273">
        <f>IF($X273="","",INDEX('Per Line'!$D$2:$D$3001,$X273)&amp;"")</f>
        <v/>
      </c>
      <c r="C273" s="11">
        <f>IF($X273="","",INDEX('Per Line'!$F$2:$F$3001,$X273))</f>
        <v/>
      </c>
      <c r="D273">
        <f>IF($X273="","",INDEX('Per Line'!$G$2:$G$3001,$X273)&amp;"")</f>
        <v/>
      </c>
      <c r="E273">
        <f>IF($X273="","",INDEX('Per Line'!$I$2:$I$3001,$X273)&amp;"")</f>
        <v/>
      </c>
      <c r="F273">
        <f>IF($X273="","",INDEX('Per Line'!$J$2:$J$3001,$X273)&amp;"")</f>
        <v/>
      </c>
      <c r="G273">
        <f>IF($X273="","",INDEX('Per Line'!$K$2:$K$3001,$X273)&amp;"")</f>
        <v/>
      </c>
      <c r="H273">
        <f>IF($X273="","",INDEX('Per Line'!$M$2:$M$3001,$X273))</f>
        <v/>
      </c>
      <c r="I273" s="7">
        <f>IF($X273="","",H273*V273/100)</f>
        <v/>
      </c>
      <c r="J273">
        <f>IF($X273="","",INDEX('Per Line'!$W$2:$W$3001,$X273)&amp;"")</f>
        <v/>
      </c>
      <c r="K273">
        <f>IF($X273="","",INDEX('Per Line'!$AD$2:$AD$3001,$X273))</f>
        <v/>
      </c>
      <c r="L273">
        <f>IF($X273="","",IF(AND(ISNUMBER(K273),K273&gt;0),V273&gt;K273,FALSE))</f>
        <v/>
      </c>
      <c r="M273" s="7">
        <f>IF($X273="","",SUMIFS('Per Line'!$V$2:$V$3001,'Per Line'!$D$2:$D$3001,$B273,'Per Line'!$AN$2:$AN$3001,1))</f>
        <v/>
      </c>
      <c r="N273">
        <f>IF($X273="","",Settings!$C$7)</f>
        <v/>
      </c>
      <c r="O273" s="7">
        <f>IF($X273="","",SUMIFS('Per Line'!$V$2:$V$3001,'Per Line'!$D$2:$D$3001,$B273,'Per Line'!$AM$2:$AM$3001,0,'Per Line'!$AN$2:$AN$3001,0))</f>
        <v/>
      </c>
      <c r="P273" s="7">
        <f>IF($X273="","",O273*N273)</f>
        <v/>
      </c>
      <c r="Q273">
        <f>IF($X273="","",Settings!$C$6)</f>
        <v/>
      </c>
      <c r="R273" s="7">
        <f>IF($X273="","",SUMIFS('Per Line'!$V$2:$V$3001,'Per Line'!$D$2:$D$3001,$B273,'Per Line'!$AM$2:$AM$3001,1,'Per Line'!$AN$2:$AN$3001,0))</f>
        <v/>
      </c>
      <c r="S273" s="7">
        <f>IF($X273="","",R273*Q273)</f>
        <v/>
      </c>
      <c r="T273" s="7">
        <f>IF($X273="","",S273+P273)</f>
        <v/>
      </c>
      <c r="U273" s="7">
        <f>IF($X273="","",V273-T273)</f>
        <v/>
      </c>
      <c r="V273" s="7">
        <f>IF($X273="","",O273+R273+M273)</f>
        <v/>
      </c>
      <c r="W273" s="7">
        <f>IF($X273="","",V273-T273-I273)</f>
        <v/>
      </c>
      <c r="X273" s="13">
        <f>IF(ROWS($X$2:$X273)&lt;=MAX('Per Line'!$AL$2:$AL$3001),MATCH(ROWS($X$2:$X273),'Per Line'!$AL$2:$AL$3001,0),"")</f>
        <v/>
      </c>
    </row>
    <row r="274">
      <c r="A274" s="12" t="n"/>
      <c r="B274">
        <f>IF($X274="","",INDEX('Per Line'!$D$2:$D$3001,$X274)&amp;"")</f>
        <v/>
      </c>
      <c r="C274" s="11">
        <f>IF($X274="","",INDEX('Per Line'!$F$2:$F$3001,$X274))</f>
        <v/>
      </c>
      <c r="D274">
        <f>IF($X274="","",INDEX('Per Line'!$G$2:$G$3001,$X274)&amp;"")</f>
        <v/>
      </c>
      <c r="E274">
        <f>IF($X274="","",INDEX('Per Line'!$I$2:$I$3001,$X274)&amp;"")</f>
        <v/>
      </c>
      <c r="F274">
        <f>IF($X274="","",INDEX('Per Line'!$J$2:$J$3001,$X274)&amp;"")</f>
        <v/>
      </c>
      <c r="G274">
        <f>IF($X274="","",INDEX('Per Line'!$K$2:$K$3001,$X274)&amp;"")</f>
        <v/>
      </c>
      <c r="H274">
        <f>IF($X274="","",INDEX('Per Line'!$M$2:$M$3001,$X274))</f>
        <v/>
      </c>
      <c r="I274" s="7">
        <f>IF($X274="","",H274*V274/100)</f>
        <v/>
      </c>
      <c r="J274">
        <f>IF($X274="","",INDEX('Per Line'!$W$2:$W$3001,$X274)&amp;"")</f>
        <v/>
      </c>
      <c r="K274">
        <f>IF($X274="","",INDEX('Per Line'!$AD$2:$AD$3001,$X274))</f>
        <v/>
      </c>
      <c r="L274">
        <f>IF($X274="","",IF(AND(ISNUMBER(K274),K274&gt;0),V274&gt;K274,FALSE))</f>
        <v/>
      </c>
      <c r="M274" s="7">
        <f>IF($X274="","",SUMIFS('Per Line'!$V$2:$V$3001,'Per Line'!$D$2:$D$3001,$B274,'Per Line'!$AN$2:$AN$3001,1))</f>
        <v/>
      </c>
      <c r="N274">
        <f>IF($X274="","",Settings!$C$7)</f>
        <v/>
      </c>
      <c r="O274" s="7">
        <f>IF($X274="","",SUMIFS('Per Line'!$V$2:$V$3001,'Per Line'!$D$2:$D$3001,$B274,'Per Line'!$AM$2:$AM$3001,0,'Per Line'!$AN$2:$AN$3001,0))</f>
        <v/>
      </c>
      <c r="P274" s="7">
        <f>IF($X274="","",O274*N274)</f>
        <v/>
      </c>
      <c r="Q274">
        <f>IF($X274="","",Settings!$C$6)</f>
        <v/>
      </c>
      <c r="R274" s="7">
        <f>IF($X274="","",SUMIFS('Per Line'!$V$2:$V$3001,'Per Line'!$D$2:$D$3001,$B274,'Per Line'!$AM$2:$AM$3001,1,'Per Line'!$AN$2:$AN$3001,0))</f>
        <v/>
      </c>
      <c r="S274" s="7">
        <f>IF($X274="","",R274*Q274)</f>
        <v/>
      </c>
      <c r="T274" s="7">
        <f>IF($X274="","",S274+P274)</f>
        <v/>
      </c>
      <c r="U274" s="7">
        <f>IF($X274="","",V274-T274)</f>
        <v/>
      </c>
      <c r="V274" s="7">
        <f>IF($X274="","",O274+R274+M274)</f>
        <v/>
      </c>
      <c r="W274" s="7">
        <f>IF($X274="","",V274-T274-I274)</f>
        <v/>
      </c>
      <c r="X274" s="13">
        <f>IF(ROWS($X$2:$X274)&lt;=MAX('Per Line'!$AL$2:$AL$3001),MATCH(ROWS($X$2:$X274),'Per Line'!$AL$2:$AL$3001,0),"")</f>
        <v/>
      </c>
    </row>
    <row r="275">
      <c r="A275" s="12" t="n"/>
      <c r="B275">
        <f>IF($X275="","",INDEX('Per Line'!$D$2:$D$3001,$X275)&amp;"")</f>
        <v/>
      </c>
      <c r="C275" s="11">
        <f>IF($X275="","",INDEX('Per Line'!$F$2:$F$3001,$X275))</f>
        <v/>
      </c>
      <c r="D275">
        <f>IF($X275="","",INDEX('Per Line'!$G$2:$G$3001,$X275)&amp;"")</f>
        <v/>
      </c>
      <c r="E275">
        <f>IF($X275="","",INDEX('Per Line'!$I$2:$I$3001,$X275)&amp;"")</f>
        <v/>
      </c>
      <c r="F275">
        <f>IF($X275="","",INDEX('Per Line'!$J$2:$J$3001,$X275)&amp;"")</f>
        <v/>
      </c>
      <c r="G275">
        <f>IF($X275="","",INDEX('Per Line'!$K$2:$K$3001,$X275)&amp;"")</f>
        <v/>
      </c>
      <c r="H275">
        <f>IF($X275="","",INDEX('Per Line'!$M$2:$M$3001,$X275))</f>
        <v/>
      </c>
      <c r="I275" s="7">
        <f>IF($X275="","",H275*V275/100)</f>
        <v/>
      </c>
      <c r="J275">
        <f>IF($X275="","",INDEX('Per Line'!$W$2:$W$3001,$X275)&amp;"")</f>
        <v/>
      </c>
      <c r="K275">
        <f>IF($X275="","",INDEX('Per Line'!$AD$2:$AD$3001,$X275))</f>
        <v/>
      </c>
      <c r="L275">
        <f>IF($X275="","",IF(AND(ISNUMBER(K275),K275&gt;0),V275&gt;K275,FALSE))</f>
        <v/>
      </c>
      <c r="M275" s="7">
        <f>IF($X275="","",SUMIFS('Per Line'!$V$2:$V$3001,'Per Line'!$D$2:$D$3001,$B275,'Per Line'!$AN$2:$AN$3001,1))</f>
        <v/>
      </c>
      <c r="N275">
        <f>IF($X275="","",Settings!$C$7)</f>
        <v/>
      </c>
      <c r="O275" s="7">
        <f>IF($X275="","",SUMIFS('Per Line'!$V$2:$V$3001,'Per Line'!$D$2:$D$3001,$B275,'Per Line'!$AM$2:$AM$3001,0,'Per Line'!$AN$2:$AN$3001,0))</f>
        <v/>
      </c>
      <c r="P275" s="7">
        <f>IF($X275="","",O275*N275)</f>
        <v/>
      </c>
      <c r="Q275">
        <f>IF($X275="","",Settings!$C$6)</f>
        <v/>
      </c>
      <c r="R275" s="7">
        <f>IF($X275="","",SUMIFS('Per Line'!$V$2:$V$3001,'Per Line'!$D$2:$D$3001,$B275,'Per Line'!$AM$2:$AM$3001,1,'Per Line'!$AN$2:$AN$3001,0))</f>
        <v/>
      </c>
      <c r="S275" s="7">
        <f>IF($X275="","",R275*Q275)</f>
        <v/>
      </c>
      <c r="T275" s="7">
        <f>IF($X275="","",S275+P275)</f>
        <v/>
      </c>
      <c r="U275" s="7">
        <f>IF($X275="","",V275-T275)</f>
        <v/>
      </c>
      <c r="V275" s="7">
        <f>IF($X275="","",O275+R275+M275)</f>
        <v/>
      </c>
      <c r="W275" s="7">
        <f>IF($X275="","",V275-T275-I275)</f>
        <v/>
      </c>
      <c r="X275" s="13">
        <f>IF(ROWS($X$2:$X275)&lt;=MAX('Per Line'!$AL$2:$AL$3001),MATCH(ROWS($X$2:$X275),'Per Line'!$AL$2:$AL$3001,0),"")</f>
        <v/>
      </c>
    </row>
    <row r="276">
      <c r="A276" s="12" t="n"/>
      <c r="B276">
        <f>IF($X276="","",INDEX('Per Line'!$D$2:$D$3001,$X276)&amp;"")</f>
        <v/>
      </c>
      <c r="C276" s="11">
        <f>IF($X276="","",INDEX('Per Line'!$F$2:$F$3001,$X276))</f>
        <v/>
      </c>
      <c r="D276">
        <f>IF($X276="","",INDEX('Per Line'!$G$2:$G$3001,$X276)&amp;"")</f>
        <v/>
      </c>
      <c r="E276">
        <f>IF($X276="","",INDEX('Per Line'!$I$2:$I$3001,$X276)&amp;"")</f>
        <v/>
      </c>
      <c r="F276">
        <f>IF($X276="","",INDEX('Per Line'!$J$2:$J$3001,$X276)&amp;"")</f>
        <v/>
      </c>
      <c r="G276">
        <f>IF($X276="","",INDEX('Per Line'!$K$2:$K$3001,$X276)&amp;"")</f>
        <v/>
      </c>
      <c r="H276">
        <f>IF($X276="","",INDEX('Per Line'!$M$2:$M$3001,$X276))</f>
        <v/>
      </c>
      <c r="I276" s="7">
        <f>IF($X276="","",H276*V276/100)</f>
        <v/>
      </c>
      <c r="J276">
        <f>IF($X276="","",INDEX('Per Line'!$W$2:$W$3001,$X276)&amp;"")</f>
        <v/>
      </c>
      <c r="K276">
        <f>IF($X276="","",INDEX('Per Line'!$AD$2:$AD$3001,$X276))</f>
        <v/>
      </c>
      <c r="L276">
        <f>IF($X276="","",IF(AND(ISNUMBER(K276),K276&gt;0),V276&gt;K276,FALSE))</f>
        <v/>
      </c>
      <c r="M276" s="7">
        <f>IF($X276="","",SUMIFS('Per Line'!$V$2:$V$3001,'Per Line'!$D$2:$D$3001,$B276,'Per Line'!$AN$2:$AN$3001,1))</f>
        <v/>
      </c>
      <c r="N276">
        <f>IF($X276="","",Settings!$C$7)</f>
        <v/>
      </c>
      <c r="O276" s="7">
        <f>IF($X276="","",SUMIFS('Per Line'!$V$2:$V$3001,'Per Line'!$D$2:$D$3001,$B276,'Per Line'!$AM$2:$AM$3001,0,'Per Line'!$AN$2:$AN$3001,0))</f>
        <v/>
      </c>
      <c r="P276" s="7">
        <f>IF($X276="","",O276*N276)</f>
        <v/>
      </c>
      <c r="Q276">
        <f>IF($X276="","",Settings!$C$6)</f>
        <v/>
      </c>
      <c r="R276" s="7">
        <f>IF($X276="","",SUMIFS('Per Line'!$V$2:$V$3001,'Per Line'!$D$2:$D$3001,$B276,'Per Line'!$AM$2:$AM$3001,1,'Per Line'!$AN$2:$AN$3001,0))</f>
        <v/>
      </c>
      <c r="S276" s="7">
        <f>IF($X276="","",R276*Q276)</f>
        <v/>
      </c>
      <c r="T276" s="7">
        <f>IF($X276="","",S276+P276)</f>
        <v/>
      </c>
      <c r="U276" s="7">
        <f>IF($X276="","",V276-T276)</f>
        <v/>
      </c>
      <c r="V276" s="7">
        <f>IF($X276="","",O276+R276+M276)</f>
        <v/>
      </c>
      <c r="W276" s="7">
        <f>IF($X276="","",V276-T276-I276)</f>
        <v/>
      </c>
      <c r="X276" s="13">
        <f>IF(ROWS($X$2:$X276)&lt;=MAX('Per Line'!$AL$2:$AL$3001),MATCH(ROWS($X$2:$X276),'Per Line'!$AL$2:$AL$3001,0),"")</f>
        <v/>
      </c>
    </row>
    <row r="277">
      <c r="A277" s="12" t="n"/>
      <c r="B277">
        <f>IF($X277="","",INDEX('Per Line'!$D$2:$D$3001,$X277)&amp;"")</f>
        <v/>
      </c>
      <c r="C277" s="11">
        <f>IF($X277="","",INDEX('Per Line'!$F$2:$F$3001,$X277))</f>
        <v/>
      </c>
      <c r="D277">
        <f>IF($X277="","",INDEX('Per Line'!$G$2:$G$3001,$X277)&amp;"")</f>
        <v/>
      </c>
      <c r="E277">
        <f>IF($X277="","",INDEX('Per Line'!$I$2:$I$3001,$X277)&amp;"")</f>
        <v/>
      </c>
      <c r="F277">
        <f>IF($X277="","",INDEX('Per Line'!$J$2:$J$3001,$X277)&amp;"")</f>
        <v/>
      </c>
      <c r="G277">
        <f>IF($X277="","",INDEX('Per Line'!$K$2:$K$3001,$X277)&amp;"")</f>
        <v/>
      </c>
      <c r="H277">
        <f>IF($X277="","",INDEX('Per Line'!$M$2:$M$3001,$X277))</f>
        <v/>
      </c>
      <c r="I277" s="7">
        <f>IF($X277="","",H277*V277/100)</f>
        <v/>
      </c>
      <c r="J277">
        <f>IF($X277="","",INDEX('Per Line'!$W$2:$W$3001,$X277)&amp;"")</f>
        <v/>
      </c>
      <c r="K277">
        <f>IF($X277="","",INDEX('Per Line'!$AD$2:$AD$3001,$X277))</f>
        <v/>
      </c>
      <c r="L277">
        <f>IF($X277="","",IF(AND(ISNUMBER(K277),K277&gt;0),V277&gt;K277,FALSE))</f>
        <v/>
      </c>
      <c r="M277" s="7">
        <f>IF($X277="","",SUMIFS('Per Line'!$V$2:$V$3001,'Per Line'!$D$2:$D$3001,$B277,'Per Line'!$AN$2:$AN$3001,1))</f>
        <v/>
      </c>
      <c r="N277">
        <f>IF($X277="","",Settings!$C$7)</f>
        <v/>
      </c>
      <c r="O277" s="7">
        <f>IF($X277="","",SUMIFS('Per Line'!$V$2:$V$3001,'Per Line'!$D$2:$D$3001,$B277,'Per Line'!$AM$2:$AM$3001,0,'Per Line'!$AN$2:$AN$3001,0))</f>
        <v/>
      </c>
      <c r="P277" s="7">
        <f>IF($X277="","",O277*N277)</f>
        <v/>
      </c>
      <c r="Q277">
        <f>IF($X277="","",Settings!$C$6)</f>
        <v/>
      </c>
      <c r="R277" s="7">
        <f>IF($X277="","",SUMIFS('Per Line'!$V$2:$V$3001,'Per Line'!$D$2:$D$3001,$B277,'Per Line'!$AM$2:$AM$3001,1,'Per Line'!$AN$2:$AN$3001,0))</f>
        <v/>
      </c>
      <c r="S277" s="7">
        <f>IF($X277="","",R277*Q277)</f>
        <v/>
      </c>
      <c r="T277" s="7">
        <f>IF($X277="","",S277+P277)</f>
        <v/>
      </c>
      <c r="U277" s="7">
        <f>IF($X277="","",V277-T277)</f>
        <v/>
      </c>
      <c r="V277" s="7">
        <f>IF($X277="","",O277+R277+M277)</f>
        <v/>
      </c>
      <c r="W277" s="7">
        <f>IF($X277="","",V277-T277-I277)</f>
        <v/>
      </c>
      <c r="X277" s="13">
        <f>IF(ROWS($X$2:$X277)&lt;=MAX('Per Line'!$AL$2:$AL$3001),MATCH(ROWS($X$2:$X277),'Per Line'!$AL$2:$AL$3001,0),"")</f>
        <v/>
      </c>
    </row>
    <row r="278">
      <c r="A278" s="12" t="n"/>
      <c r="B278">
        <f>IF($X278="","",INDEX('Per Line'!$D$2:$D$3001,$X278)&amp;"")</f>
        <v/>
      </c>
      <c r="C278" s="11">
        <f>IF($X278="","",INDEX('Per Line'!$F$2:$F$3001,$X278))</f>
        <v/>
      </c>
      <c r="D278">
        <f>IF($X278="","",INDEX('Per Line'!$G$2:$G$3001,$X278)&amp;"")</f>
        <v/>
      </c>
      <c r="E278">
        <f>IF($X278="","",INDEX('Per Line'!$I$2:$I$3001,$X278)&amp;"")</f>
        <v/>
      </c>
      <c r="F278">
        <f>IF($X278="","",INDEX('Per Line'!$J$2:$J$3001,$X278)&amp;"")</f>
        <v/>
      </c>
      <c r="G278">
        <f>IF($X278="","",INDEX('Per Line'!$K$2:$K$3001,$X278)&amp;"")</f>
        <v/>
      </c>
      <c r="H278">
        <f>IF($X278="","",INDEX('Per Line'!$M$2:$M$3001,$X278))</f>
        <v/>
      </c>
      <c r="I278" s="7">
        <f>IF($X278="","",H278*V278/100)</f>
        <v/>
      </c>
      <c r="J278">
        <f>IF($X278="","",INDEX('Per Line'!$W$2:$W$3001,$X278)&amp;"")</f>
        <v/>
      </c>
      <c r="K278">
        <f>IF($X278="","",INDEX('Per Line'!$AD$2:$AD$3001,$X278))</f>
        <v/>
      </c>
      <c r="L278">
        <f>IF($X278="","",IF(AND(ISNUMBER(K278),K278&gt;0),V278&gt;K278,FALSE))</f>
        <v/>
      </c>
      <c r="M278" s="7">
        <f>IF($X278="","",SUMIFS('Per Line'!$V$2:$V$3001,'Per Line'!$D$2:$D$3001,$B278,'Per Line'!$AN$2:$AN$3001,1))</f>
        <v/>
      </c>
      <c r="N278">
        <f>IF($X278="","",Settings!$C$7)</f>
        <v/>
      </c>
      <c r="O278" s="7">
        <f>IF($X278="","",SUMIFS('Per Line'!$V$2:$V$3001,'Per Line'!$D$2:$D$3001,$B278,'Per Line'!$AM$2:$AM$3001,0,'Per Line'!$AN$2:$AN$3001,0))</f>
        <v/>
      </c>
      <c r="P278" s="7">
        <f>IF($X278="","",O278*N278)</f>
        <v/>
      </c>
      <c r="Q278">
        <f>IF($X278="","",Settings!$C$6)</f>
        <v/>
      </c>
      <c r="R278" s="7">
        <f>IF($X278="","",SUMIFS('Per Line'!$V$2:$V$3001,'Per Line'!$D$2:$D$3001,$B278,'Per Line'!$AM$2:$AM$3001,1,'Per Line'!$AN$2:$AN$3001,0))</f>
        <v/>
      </c>
      <c r="S278" s="7">
        <f>IF($X278="","",R278*Q278)</f>
        <v/>
      </c>
      <c r="T278" s="7">
        <f>IF($X278="","",S278+P278)</f>
        <v/>
      </c>
      <c r="U278" s="7">
        <f>IF($X278="","",V278-T278)</f>
        <v/>
      </c>
      <c r="V278" s="7">
        <f>IF($X278="","",O278+R278+M278)</f>
        <v/>
      </c>
      <c r="W278" s="7">
        <f>IF($X278="","",V278-T278-I278)</f>
        <v/>
      </c>
      <c r="X278" s="13">
        <f>IF(ROWS($X$2:$X278)&lt;=MAX('Per Line'!$AL$2:$AL$3001),MATCH(ROWS($X$2:$X278),'Per Line'!$AL$2:$AL$3001,0),"")</f>
        <v/>
      </c>
    </row>
    <row r="279">
      <c r="A279" s="12" t="n"/>
      <c r="B279">
        <f>IF($X279="","",INDEX('Per Line'!$D$2:$D$3001,$X279)&amp;"")</f>
        <v/>
      </c>
      <c r="C279" s="11">
        <f>IF($X279="","",INDEX('Per Line'!$F$2:$F$3001,$X279))</f>
        <v/>
      </c>
      <c r="D279">
        <f>IF($X279="","",INDEX('Per Line'!$G$2:$G$3001,$X279)&amp;"")</f>
        <v/>
      </c>
      <c r="E279">
        <f>IF($X279="","",INDEX('Per Line'!$I$2:$I$3001,$X279)&amp;"")</f>
        <v/>
      </c>
      <c r="F279">
        <f>IF($X279="","",INDEX('Per Line'!$J$2:$J$3001,$X279)&amp;"")</f>
        <v/>
      </c>
      <c r="G279">
        <f>IF($X279="","",INDEX('Per Line'!$K$2:$K$3001,$X279)&amp;"")</f>
        <v/>
      </c>
      <c r="H279">
        <f>IF($X279="","",INDEX('Per Line'!$M$2:$M$3001,$X279))</f>
        <v/>
      </c>
      <c r="I279" s="7">
        <f>IF($X279="","",H279*V279/100)</f>
        <v/>
      </c>
      <c r="J279">
        <f>IF($X279="","",INDEX('Per Line'!$W$2:$W$3001,$X279)&amp;"")</f>
        <v/>
      </c>
      <c r="K279">
        <f>IF($X279="","",INDEX('Per Line'!$AD$2:$AD$3001,$X279))</f>
        <v/>
      </c>
      <c r="L279">
        <f>IF($X279="","",IF(AND(ISNUMBER(K279),K279&gt;0),V279&gt;K279,FALSE))</f>
        <v/>
      </c>
      <c r="M279" s="7">
        <f>IF($X279="","",SUMIFS('Per Line'!$V$2:$V$3001,'Per Line'!$D$2:$D$3001,$B279,'Per Line'!$AN$2:$AN$3001,1))</f>
        <v/>
      </c>
      <c r="N279">
        <f>IF($X279="","",Settings!$C$7)</f>
        <v/>
      </c>
      <c r="O279" s="7">
        <f>IF($X279="","",SUMIFS('Per Line'!$V$2:$V$3001,'Per Line'!$D$2:$D$3001,$B279,'Per Line'!$AM$2:$AM$3001,0,'Per Line'!$AN$2:$AN$3001,0))</f>
        <v/>
      </c>
      <c r="P279" s="7">
        <f>IF($X279="","",O279*N279)</f>
        <v/>
      </c>
      <c r="Q279">
        <f>IF($X279="","",Settings!$C$6)</f>
        <v/>
      </c>
      <c r="R279" s="7">
        <f>IF($X279="","",SUMIFS('Per Line'!$V$2:$V$3001,'Per Line'!$D$2:$D$3001,$B279,'Per Line'!$AM$2:$AM$3001,1,'Per Line'!$AN$2:$AN$3001,0))</f>
        <v/>
      </c>
      <c r="S279" s="7">
        <f>IF($X279="","",R279*Q279)</f>
        <v/>
      </c>
      <c r="T279" s="7">
        <f>IF($X279="","",S279+P279)</f>
        <v/>
      </c>
      <c r="U279" s="7">
        <f>IF($X279="","",V279-T279)</f>
        <v/>
      </c>
      <c r="V279" s="7">
        <f>IF($X279="","",O279+R279+M279)</f>
        <v/>
      </c>
      <c r="W279" s="7">
        <f>IF($X279="","",V279-T279-I279)</f>
        <v/>
      </c>
      <c r="X279" s="13">
        <f>IF(ROWS($X$2:$X279)&lt;=MAX('Per Line'!$AL$2:$AL$3001),MATCH(ROWS($X$2:$X279),'Per Line'!$AL$2:$AL$3001,0),"")</f>
        <v/>
      </c>
    </row>
    <row r="280">
      <c r="A280" s="12" t="n"/>
      <c r="B280">
        <f>IF($X280="","",INDEX('Per Line'!$D$2:$D$3001,$X280)&amp;"")</f>
        <v/>
      </c>
      <c r="C280" s="11">
        <f>IF($X280="","",INDEX('Per Line'!$F$2:$F$3001,$X280))</f>
        <v/>
      </c>
      <c r="D280">
        <f>IF($X280="","",INDEX('Per Line'!$G$2:$G$3001,$X280)&amp;"")</f>
        <v/>
      </c>
      <c r="E280">
        <f>IF($X280="","",INDEX('Per Line'!$I$2:$I$3001,$X280)&amp;"")</f>
        <v/>
      </c>
      <c r="F280">
        <f>IF($X280="","",INDEX('Per Line'!$J$2:$J$3001,$X280)&amp;"")</f>
        <v/>
      </c>
      <c r="G280">
        <f>IF($X280="","",INDEX('Per Line'!$K$2:$K$3001,$X280)&amp;"")</f>
        <v/>
      </c>
      <c r="H280">
        <f>IF($X280="","",INDEX('Per Line'!$M$2:$M$3001,$X280))</f>
        <v/>
      </c>
      <c r="I280" s="7">
        <f>IF($X280="","",H280*V280/100)</f>
        <v/>
      </c>
      <c r="J280">
        <f>IF($X280="","",INDEX('Per Line'!$W$2:$W$3001,$X280)&amp;"")</f>
        <v/>
      </c>
      <c r="K280">
        <f>IF($X280="","",INDEX('Per Line'!$AD$2:$AD$3001,$X280))</f>
        <v/>
      </c>
      <c r="L280">
        <f>IF($X280="","",IF(AND(ISNUMBER(K280),K280&gt;0),V280&gt;K280,FALSE))</f>
        <v/>
      </c>
      <c r="M280" s="7">
        <f>IF($X280="","",SUMIFS('Per Line'!$V$2:$V$3001,'Per Line'!$D$2:$D$3001,$B280,'Per Line'!$AN$2:$AN$3001,1))</f>
        <v/>
      </c>
      <c r="N280">
        <f>IF($X280="","",Settings!$C$7)</f>
        <v/>
      </c>
      <c r="O280" s="7">
        <f>IF($X280="","",SUMIFS('Per Line'!$V$2:$V$3001,'Per Line'!$D$2:$D$3001,$B280,'Per Line'!$AM$2:$AM$3001,0,'Per Line'!$AN$2:$AN$3001,0))</f>
        <v/>
      </c>
      <c r="P280" s="7">
        <f>IF($X280="","",O280*N280)</f>
        <v/>
      </c>
      <c r="Q280">
        <f>IF($X280="","",Settings!$C$6)</f>
        <v/>
      </c>
      <c r="R280" s="7">
        <f>IF($X280="","",SUMIFS('Per Line'!$V$2:$V$3001,'Per Line'!$D$2:$D$3001,$B280,'Per Line'!$AM$2:$AM$3001,1,'Per Line'!$AN$2:$AN$3001,0))</f>
        <v/>
      </c>
      <c r="S280" s="7">
        <f>IF($X280="","",R280*Q280)</f>
        <v/>
      </c>
      <c r="T280" s="7">
        <f>IF($X280="","",S280+P280)</f>
        <v/>
      </c>
      <c r="U280" s="7">
        <f>IF($X280="","",V280-T280)</f>
        <v/>
      </c>
      <c r="V280" s="7">
        <f>IF($X280="","",O280+R280+M280)</f>
        <v/>
      </c>
      <c r="W280" s="7">
        <f>IF($X280="","",V280-T280-I280)</f>
        <v/>
      </c>
      <c r="X280" s="13">
        <f>IF(ROWS($X$2:$X280)&lt;=MAX('Per Line'!$AL$2:$AL$3001),MATCH(ROWS($X$2:$X280),'Per Line'!$AL$2:$AL$3001,0),"")</f>
        <v/>
      </c>
    </row>
    <row r="281">
      <c r="A281" s="12" t="n"/>
      <c r="B281">
        <f>IF($X281="","",INDEX('Per Line'!$D$2:$D$3001,$X281)&amp;"")</f>
        <v/>
      </c>
      <c r="C281" s="11">
        <f>IF($X281="","",INDEX('Per Line'!$F$2:$F$3001,$X281))</f>
        <v/>
      </c>
      <c r="D281">
        <f>IF($X281="","",INDEX('Per Line'!$G$2:$G$3001,$X281)&amp;"")</f>
        <v/>
      </c>
      <c r="E281">
        <f>IF($X281="","",INDEX('Per Line'!$I$2:$I$3001,$X281)&amp;"")</f>
        <v/>
      </c>
      <c r="F281">
        <f>IF($X281="","",INDEX('Per Line'!$J$2:$J$3001,$X281)&amp;"")</f>
        <v/>
      </c>
      <c r="G281">
        <f>IF($X281="","",INDEX('Per Line'!$K$2:$K$3001,$X281)&amp;"")</f>
        <v/>
      </c>
      <c r="H281">
        <f>IF($X281="","",INDEX('Per Line'!$M$2:$M$3001,$X281))</f>
        <v/>
      </c>
      <c r="I281" s="7">
        <f>IF($X281="","",H281*V281/100)</f>
        <v/>
      </c>
      <c r="J281">
        <f>IF($X281="","",INDEX('Per Line'!$W$2:$W$3001,$X281)&amp;"")</f>
        <v/>
      </c>
      <c r="K281">
        <f>IF($X281="","",INDEX('Per Line'!$AD$2:$AD$3001,$X281))</f>
        <v/>
      </c>
      <c r="L281">
        <f>IF($X281="","",IF(AND(ISNUMBER(K281),K281&gt;0),V281&gt;K281,FALSE))</f>
        <v/>
      </c>
      <c r="M281" s="7">
        <f>IF($X281="","",SUMIFS('Per Line'!$V$2:$V$3001,'Per Line'!$D$2:$D$3001,$B281,'Per Line'!$AN$2:$AN$3001,1))</f>
        <v/>
      </c>
      <c r="N281">
        <f>IF($X281="","",Settings!$C$7)</f>
        <v/>
      </c>
      <c r="O281" s="7">
        <f>IF($X281="","",SUMIFS('Per Line'!$V$2:$V$3001,'Per Line'!$D$2:$D$3001,$B281,'Per Line'!$AM$2:$AM$3001,0,'Per Line'!$AN$2:$AN$3001,0))</f>
        <v/>
      </c>
      <c r="P281" s="7">
        <f>IF($X281="","",O281*N281)</f>
        <v/>
      </c>
      <c r="Q281">
        <f>IF($X281="","",Settings!$C$6)</f>
        <v/>
      </c>
      <c r="R281" s="7">
        <f>IF($X281="","",SUMIFS('Per Line'!$V$2:$V$3001,'Per Line'!$D$2:$D$3001,$B281,'Per Line'!$AM$2:$AM$3001,1,'Per Line'!$AN$2:$AN$3001,0))</f>
        <v/>
      </c>
      <c r="S281" s="7">
        <f>IF($X281="","",R281*Q281)</f>
        <v/>
      </c>
      <c r="T281" s="7">
        <f>IF($X281="","",S281+P281)</f>
        <v/>
      </c>
      <c r="U281" s="7">
        <f>IF($X281="","",V281-T281)</f>
        <v/>
      </c>
      <c r="V281" s="7">
        <f>IF($X281="","",O281+R281+M281)</f>
        <v/>
      </c>
      <c r="W281" s="7">
        <f>IF($X281="","",V281-T281-I281)</f>
        <v/>
      </c>
      <c r="X281" s="13">
        <f>IF(ROWS($X$2:$X281)&lt;=MAX('Per Line'!$AL$2:$AL$3001),MATCH(ROWS($X$2:$X281),'Per Line'!$AL$2:$AL$3001,0),"")</f>
        <v/>
      </c>
    </row>
    <row r="282">
      <c r="A282" s="12" t="n"/>
      <c r="B282">
        <f>IF($X282="","",INDEX('Per Line'!$D$2:$D$3001,$X282)&amp;"")</f>
        <v/>
      </c>
      <c r="C282" s="11">
        <f>IF($X282="","",INDEX('Per Line'!$F$2:$F$3001,$X282))</f>
        <v/>
      </c>
      <c r="D282">
        <f>IF($X282="","",INDEX('Per Line'!$G$2:$G$3001,$X282)&amp;"")</f>
        <v/>
      </c>
      <c r="E282">
        <f>IF($X282="","",INDEX('Per Line'!$I$2:$I$3001,$X282)&amp;"")</f>
        <v/>
      </c>
      <c r="F282">
        <f>IF($X282="","",INDEX('Per Line'!$J$2:$J$3001,$X282)&amp;"")</f>
        <v/>
      </c>
      <c r="G282">
        <f>IF($X282="","",INDEX('Per Line'!$K$2:$K$3001,$X282)&amp;"")</f>
        <v/>
      </c>
      <c r="H282">
        <f>IF($X282="","",INDEX('Per Line'!$M$2:$M$3001,$X282))</f>
        <v/>
      </c>
      <c r="I282" s="7">
        <f>IF($X282="","",H282*V282/100)</f>
        <v/>
      </c>
      <c r="J282">
        <f>IF($X282="","",INDEX('Per Line'!$W$2:$W$3001,$X282)&amp;"")</f>
        <v/>
      </c>
      <c r="K282">
        <f>IF($X282="","",INDEX('Per Line'!$AD$2:$AD$3001,$X282))</f>
        <v/>
      </c>
      <c r="L282">
        <f>IF($X282="","",IF(AND(ISNUMBER(K282),K282&gt;0),V282&gt;K282,FALSE))</f>
        <v/>
      </c>
      <c r="M282" s="7">
        <f>IF($X282="","",SUMIFS('Per Line'!$V$2:$V$3001,'Per Line'!$D$2:$D$3001,$B282,'Per Line'!$AN$2:$AN$3001,1))</f>
        <v/>
      </c>
      <c r="N282">
        <f>IF($X282="","",Settings!$C$7)</f>
        <v/>
      </c>
      <c r="O282" s="7">
        <f>IF($X282="","",SUMIFS('Per Line'!$V$2:$V$3001,'Per Line'!$D$2:$D$3001,$B282,'Per Line'!$AM$2:$AM$3001,0,'Per Line'!$AN$2:$AN$3001,0))</f>
        <v/>
      </c>
      <c r="P282" s="7">
        <f>IF($X282="","",O282*N282)</f>
        <v/>
      </c>
      <c r="Q282">
        <f>IF($X282="","",Settings!$C$6)</f>
        <v/>
      </c>
      <c r="R282" s="7">
        <f>IF($X282="","",SUMIFS('Per Line'!$V$2:$V$3001,'Per Line'!$D$2:$D$3001,$B282,'Per Line'!$AM$2:$AM$3001,1,'Per Line'!$AN$2:$AN$3001,0))</f>
        <v/>
      </c>
      <c r="S282" s="7">
        <f>IF($X282="","",R282*Q282)</f>
        <v/>
      </c>
      <c r="T282" s="7">
        <f>IF($X282="","",S282+P282)</f>
        <v/>
      </c>
      <c r="U282" s="7">
        <f>IF($X282="","",V282-T282)</f>
        <v/>
      </c>
      <c r="V282" s="7">
        <f>IF($X282="","",O282+R282+M282)</f>
        <v/>
      </c>
      <c r="W282" s="7">
        <f>IF($X282="","",V282-T282-I282)</f>
        <v/>
      </c>
      <c r="X282" s="13">
        <f>IF(ROWS($X$2:$X282)&lt;=MAX('Per Line'!$AL$2:$AL$3001),MATCH(ROWS($X$2:$X282),'Per Line'!$AL$2:$AL$3001,0),"")</f>
        <v/>
      </c>
    </row>
    <row r="283">
      <c r="A283" s="12" t="n"/>
      <c r="B283">
        <f>IF($X283="","",INDEX('Per Line'!$D$2:$D$3001,$X283)&amp;"")</f>
        <v/>
      </c>
      <c r="C283" s="11">
        <f>IF($X283="","",INDEX('Per Line'!$F$2:$F$3001,$X283))</f>
        <v/>
      </c>
      <c r="D283">
        <f>IF($X283="","",INDEX('Per Line'!$G$2:$G$3001,$X283)&amp;"")</f>
        <v/>
      </c>
      <c r="E283">
        <f>IF($X283="","",INDEX('Per Line'!$I$2:$I$3001,$X283)&amp;"")</f>
        <v/>
      </c>
      <c r="F283">
        <f>IF($X283="","",INDEX('Per Line'!$J$2:$J$3001,$X283)&amp;"")</f>
        <v/>
      </c>
      <c r="G283">
        <f>IF($X283="","",INDEX('Per Line'!$K$2:$K$3001,$X283)&amp;"")</f>
        <v/>
      </c>
      <c r="H283">
        <f>IF($X283="","",INDEX('Per Line'!$M$2:$M$3001,$X283))</f>
        <v/>
      </c>
      <c r="I283" s="7">
        <f>IF($X283="","",H283*V283/100)</f>
        <v/>
      </c>
      <c r="J283">
        <f>IF($X283="","",INDEX('Per Line'!$W$2:$W$3001,$X283)&amp;"")</f>
        <v/>
      </c>
      <c r="K283">
        <f>IF($X283="","",INDEX('Per Line'!$AD$2:$AD$3001,$X283))</f>
        <v/>
      </c>
      <c r="L283">
        <f>IF($X283="","",IF(AND(ISNUMBER(K283),K283&gt;0),V283&gt;K283,FALSE))</f>
        <v/>
      </c>
      <c r="M283" s="7">
        <f>IF($X283="","",SUMIFS('Per Line'!$V$2:$V$3001,'Per Line'!$D$2:$D$3001,$B283,'Per Line'!$AN$2:$AN$3001,1))</f>
        <v/>
      </c>
      <c r="N283">
        <f>IF($X283="","",Settings!$C$7)</f>
        <v/>
      </c>
      <c r="O283" s="7">
        <f>IF($X283="","",SUMIFS('Per Line'!$V$2:$V$3001,'Per Line'!$D$2:$D$3001,$B283,'Per Line'!$AM$2:$AM$3001,0,'Per Line'!$AN$2:$AN$3001,0))</f>
        <v/>
      </c>
      <c r="P283" s="7">
        <f>IF($X283="","",O283*N283)</f>
        <v/>
      </c>
      <c r="Q283">
        <f>IF($X283="","",Settings!$C$6)</f>
        <v/>
      </c>
      <c r="R283" s="7">
        <f>IF($X283="","",SUMIFS('Per Line'!$V$2:$V$3001,'Per Line'!$D$2:$D$3001,$B283,'Per Line'!$AM$2:$AM$3001,1,'Per Line'!$AN$2:$AN$3001,0))</f>
        <v/>
      </c>
      <c r="S283" s="7">
        <f>IF($X283="","",R283*Q283)</f>
        <v/>
      </c>
      <c r="T283" s="7">
        <f>IF($X283="","",S283+P283)</f>
        <v/>
      </c>
      <c r="U283" s="7">
        <f>IF($X283="","",V283-T283)</f>
        <v/>
      </c>
      <c r="V283" s="7">
        <f>IF($X283="","",O283+R283+M283)</f>
        <v/>
      </c>
      <c r="W283" s="7">
        <f>IF($X283="","",V283-T283-I283)</f>
        <v/>
      </c>
      <c r="X283" s="13">
        <f>IF(ROWS($X$2:$X283)&lt;=MAX('Per Line'!$AL$2:$AL$3001),MATCH(ROWS($X$2:$X283),'Per Line'!$AL$2:$AL$3001,0),"")</f>
        <v/>
      </c>
    </row>
    <row r="284">
      <c r="A284" s="12" t="n"/>
      <c r="B284">
        <f>IF($X284="","",INDEX('Per Line'!$D$2:$D$3001,$X284)&amp;"")</f>
        <v/>
      </c>
      <c r="C284" s="11">
        <f>IF($X284="","",INDEX('Per Line'!$F$2:$F$3001,$X284))</f>
        <v/>
      </c>
      <c r="D284">
        <f>IF($X284="","",INDEX('Per Line'!$G$2:$G$3001,$X284)&amp;"")</f>
        <v/>
      </c>
      <c r="E284">
        <f>IF($X284="","",INDEX('Per Line'!$I$2:$I$3001,$X284)&amp;"")</f>
        <v/>
      </c>
      <c r="F284">
        <f>IF($X284="","",INDEX('Per Line'!$J$2:$J$3001,$X284)&amp;"")</f>
        <v/>
      </c>
      <c r="G284">
        <f>IF($X284="","",INDEX('Per Line'!$K$2:$K$3001,$X284)&amp;"")</f>
        <v/>
      </c>
      <c r="H284">
        <f>IF($X284="","",INDEX('Per Line'!$M$2:$M$3001,$X284))</f>
        <v/>
      </c>
      <c r="I284" s="7">
        <f>IF($X284="","",H284*V284/100)</f>
        <v/>
      </c>
      <c r="J284">
        <f>IF($X284="","",INDEX('Per Line'!$W$2:$W$3001,$X284)&amp;"")</f>
        <v/>
      </c>
      <c r="K284">
        <f>IF($X284="","",INDEX('Per Line'!$AD$2:$AD$3001,$X284))</f>
        <v/>
      </c>
      <c r="L284">
        <f>IF($X284="","",IF(AND(ISNUMBER(K284),K284&gt;0),V284&gt;K284,FALSE))</f>
        <v/>
      </c>
      <c r="M284" s="7">
        <f>IF($X284="","",SUMIFS('Per Line'!$V$2:$V$3001,'Per Line'!$D$2:$D$3001,$B284,'Per Line'!$AN$2:$AN$3001,1))</f>
        <v/>
      </c>
      <c r="N284">
        <f>IF($X284="","",Settings!$C$7)</f>
        <v/>
      </c>
      <c r="O284" s="7">
        <f>IF($X284="","",SUMIFS('Per Line'!$V$2:$V$3001,'Per Line'!$D$2:$D$3001,$B284,'Per Line'!$AM$2:$AM$3001,0,'Per Line'!$AN$2:$AN$3001,0))</f>
        <v/>
      </c>
      <c r="P284" s="7">
        <f>IF($X284="","",O284*N284)</f>
        <v/>
      </c>
      <c r="Q284">
        <f>IF($X284="","",Settings!$C$6)</f>
        <v/>
      </c>
      <c r="R284" s="7">
        <f>IF($X284="","",SUMIFS('Per Line'!$V$2:$V$3001,'Per Line'!$D$2:$D$3001,$B284,'Per Line'!$AM$2:$AM$3001,1,'Per Line'!$AN$2:$AN$3001,0))</f>
        <v/>
      </c>
      <c r="S284" s="7">
        <f>IF($X284="","",R284*Q284)</f>
        <v/>
      </c>
      <c r="T284" s="7">
        <f>IF($X284="","",S284+P284)</f>
        <v/>
      </c>
      <c r="U284" s="7">
        <f>IF($X284="","",V284-T284)</f>
        <v/>
      </c>
      <c r="V284" s="7">
        <f>IF($X284="","",O284+R284+M284)</f>
        <v/>
      </c>
      <c r="W284" s="7">
        <f>IF($X284="","",V284-T284-I284)</f>
        <v/>
      </c>
      <c r="X284" s="13">
        <f>IF(ROWS($X$2:$X284)&lt;=MAX('Per Line'!$AL$2:$AL$3001),MATCH(ROWS($X$2:$X284),'Per Line'!$AL$2:$AL$3001,0),"")</f>
        <v/>
      </c>
    </row>
    <row r="285">
      <c r="A285" s="12" t="n"/>
      <c r="B285">
        <f>IF($X285="","",INDEX('Per Line'!$D$2:$D$3001,$X285)&amp;"")</f>
        <v/>
      </c>
      <c r="C285" s="11">
        <f>IF($X285="","",INDEX('Per Line'!$F$2:$F$3001,$X285))</f>
        <v/>
      </c>
      <c r="D285">
        <f>IF($X285="","",INDEX('Per Line'!$G$2:$G$3001,$X285)&amp;"")</f>
        <v/>
      </c>
      <c r="E285">
        <f>IF($X285="","",INDEX('Per Line'!$I$2:$I$3001,$X285)&amp;"")</f>
        <v/>
      </c>
      <c r="F285">
        <f>IF($X285="","",INDEX('Per Line'!$J$2:$J$3001,$X285)&amp;"")</f>
        <v/>
      </c>
      <c r="G285">
        <f>IF($X285="","",INDEX('Per Line'!$K$2:$K$3001,$X285)&amp;"")</f>
        <v/>
      </c>
      <c r="H285">
        <f>IF($X285="","",INDEX('Per Line'!$M$2:$M$3001,$X285))</f>
        <v/>
      </c>
      <c r="I285" s="7">
        <f>IF($X285="","",H285*V285/100)</f>
        <v/>
      </c>
      <c r="J285">
        <f>IF($X285="","",INDEX('Per Line'!$W$2:$W$3001,$X285)&amp;"")</f>
        <v/>
      </c>
      <c r="K285">
        <f>IF($X285="","",INDEX('Per Line'!$AD$2:$AD$3001,$X285))</f>
        <v/>
      </c>
      <c r="L285">
        <f>IF($X285="","",IF(AND(ISNUMBER(K285),K285&gt;0),V285&gt;K285,FALSE))</f>
        <v/>
      </c>
      <c r="M285" s="7">
        <f>IF($X285="","",SUMIFS('Per Line'!$V$2:$V$3001,'Per Line'!$D$2:$D$3001,$B285,'Per Line'!$AN$2:$AN$3001,1))</f>
        <v/>
      </c>
      <c r="N285">
        <f>IF($X285="","",Settings!$C$7)</f>
        <v/>
      </c>
      <c r="O285" s="7">
        <f>IF($X285="","",SUMIFS('Per Line'!$V$2:$V$3001,'Per Line'!$D$2:$D$3001,$B285,'Per Line'!$AM$2:$AM$3001,0,'Per Line'!$AN$2:$AN$3001,0))</f>
        <v/>
      </c>
      <c r="P285" s="7">
        <f>IF($X285="","",O285*N285)</f>
        <v/>
      </c>
      <c r="Q285">
        <f>IF($X285="","",Settings!$C$6)</f>
        <v/>
      </c>
      <c r="R285" s="7">
        <f>IF($X285="","",SUMIFS('Per Line'!$V$2:$V$3001,'Per Line'!$D$2:$D$3001,$B285,'Per Line'!$AM$2:$AM$3001,1,'Per Line'!$AN$2:$AN$3001,0))</f>
        <v/>
      </c>
      <c r="S285" s="7">
        <f>IF($X285="","",R285*Q285)</f>
        <v/>
      </c>
      <c r="T285" s="7">
        <f>IF($X285="","",S285+P285)</f>
        <v/>
      </c>
      <c r="U285" s="7">
        <f>IF($X285="","",V285-T285)</f>
        <v/>
      </c>
      <c r="V285" s="7">
        <f>IF($X285="","",O285+R285+M285)</f>
        <v/>
      </c>
      <c r="W285" s="7">
        <f>IF($X285="","",V285-T285-I285)</f>
        <v/>
      </c>
      <c r="X285" s="13">
        <f>IF(ROWS($X$2:$X285)&lt;=MAX('Per Line'!$AL$2:$AL$3001),MATCH(ROWS($X$2:$X285),'Per Line'!$AL$2:$AL$3001,0),"")</f>
        <v/>
      </c>
    </row>
    <row r="286">
      <c r="A286" s="12" t="n"/>
      <c r="B286">
        <f>IF($X286="","",INDEX('Per Line'!$D$2:$D$3001,$X286)&amp;"")</f>
        <v/>
      </c>
      <c r="C286" s="11">
        <f>IF($X286="","",INDEX('Per Line'!$F$2:$F$3001,$X286))</f>
        <v/>
      </c>
      <c r="D286">
        <f>IF($X286="","",INDEX('Per Line'!$G$2:$G$3001,$X286)&amp;"")</f>
        <v/>
      </c>
      <c r="E286">
        <f>IF($X286="","",INDEX('Per Line'!$I$2:$I$3001,$X286)&amp;"")</f>
        <v/>
      </c>
      <c r="F286">
        <f>IF($X286="","",INDEX('Per Line'!$J$2:$J$3001,$X286)&amp;"")</f>
        <v/>
      </c>
      <c r="G286">
        <f>IF($X286="","",INDEX('Per Line'!$K$2:$K$3001,$X286)&amp;"")</f>
        <v/>
      </c>
      <c r="H286">
        <f>IF($X286="","",INDEX('Per Line'!$M$2:$M$3001,$X286))</f>
        <v/>
      </c>
      <c r="I286" s="7">
        <f>IF($X286="","",H286*V286/100)</f>
        <v/>
      </c>
      <c r="J286">
        <f>IF($X286="","",INDEX('Per Line'!$W$2:$W$3001,$X286)&amp;"")</f>
        <v/>
      </c>
      <c r="K286">
        <f>IF($X286="","",INDEX('Per Line'!$AD$2:$AD$3001,$X286))</f>
        <v/>
      </c>
      <c r="L286">
        <f>IF($X286="","",IF(AND(ISNUMBER(K286),K286&gt;0),V286&gt;K286,FALSE))</f>
        <v/>
      </c>
      <c r="M286" s="7">
        <f>IF($X286="","",SUMIFS('Per Line'!$V$2:$V$3001,'Per Line'!$D$2:$D$3001,$B286,'Per Line'!$AN$2:$AN$3001,1))</f>
        <v/>
      </c>
      <c r="N286">
        <f>IF($X286="","",Settings!$C$7)</f>
        <v/>
      </c>
      <c r="O286" s="7">
        <f>IF($X286="","",SUMIFS('Per Line'!$V$2:$V$3001,'Per Line'!$D$2:$D$3001,$B286,'Per Line'!$AM$2:$AM$3001,0,'Per Line'!$AN$2:$AN$3001,0))</f>
        <v/>
      </c>
      <c r="P286" s="7">
        <f>IF($X286="","",O286*N286)</f>
        <v/>
      </c>
      <c r="Q286">
        <f>IF($X286="","",Settings!$C$6)</f>
        <v/>
      </c>
      <c r="R286" s="7">
        <f>IF($X286="","",SUMIFS('Per Line'!$V$2:$V$3001,'Per Line'!$D$2:$D$3001,$B286,'Per Line'!$AM$2:$AM$3001,1,'Per Line'!$AN$2:$AN$3001,0))</f>
        <v/>
      </c>
      <c r="S286" s="7">
        <f>IF($X286="","",R286*Q286)</f>
        <v/>
      </c>
      <c r="T286" s="7">
        <f>IF($X286="","",S286+P286)</f>
        <v/>
      </c>
      <c r="U286" s="7">
        <f>IF($X286="","",V286-T286)</f>
        <v/>
      </c>
      <c r="V286" s="7">
        <f>IF($X286="","",O286+R286+M286)</f>
        <v/>
      </c>
      <c r="W286" s="7">
        <f>IF($X286="","",V286-T286-I286)</f>
        <v/>
      </c>
      <c r="X286" s="13">
        <f>IF(ROWS($X$2:$X286)&lt;=MAX('Per Line'!$AL$2:$AL$3001),MATCH(ROWS($X$2:$X286),'Per Line'!$AL$2:$AL$3001,0),"")</f>
        <v/>
      </c>
    </row>
    <row r="287">
      <c r="A287" s="12" t="n"/>
      <c r="B287">
        <f>IF($X287="","",INDEX('Per Line'!$D$2:$D$3001,$X287)&amp;"")</f>
        <v/>
      </c>
      <c r="C287" s="11">
        <f>IF($X287="","",INDEX('Per Line'!$F$2:$F$3001,$X287))</f>
        <v/>
      </c>
      <c r="D287">
        <f>IF($X287="","",INDEX('Per Line'!$G$2:$G$3001,$X287)&amp;"")</f>
        <v/>
      </c>
      <c r="E287">
        <f>IF($X287="","",INDEX('Per Line'!$I$2:$I$3001,$X287)&amp;"")</f>
        <v/>
      </c>
      <c r="F287">
        <f>IF($X287="","",INDEX('Per Line'!$J$2:$J$3001,$X287)&amp;"")</f>
        <v/>
      </c>
      <c r="G287">
        <f>IF($X287="","",INDEX('Per Line'!$K$2:$K$3001,$X287)&amp;"")</f>
        <v/>
      </c>
      <c r="H287">
        <f>IF($X287="","",INDEX('Per Line'!$M$2:$M$3001,$X287))</f>
        <v/>
      </c>
      <c r="I287" s="7">
        <f>IF($X287="","",H287*V287/100)</f>
        <v/>
      </c>
      <c r="J287">
        <f>IF($X287="","",INDEX('Per Line'!$W$2:$W$3001,$X287)&amp;"")</f>
        <v/>
      </c>
      <c r="K287">
        <f>IF($X287="","",INDEX('Per Line'!$AD$2:$AD$3001,$X287))</f>
        <v/>
      </c>
      <c r="L287">
        <f>IF($X287="","",IF(AND(ISNUMBER(K287),K287&gt;0),V287&gt;K287,FALSE))</f>
        <v/>
      </c>
      <c r="M287" s="7">
        <f>IF($X287="","",SUMIFS('Per Line'!$V$2:$V$3001,'Per Line'!$D$2:$D$3001,$B287,'Per Line'!$AN$2:$AN$3001,1))</f>
        <v/>
      </c>
      <c r="N287">
        <f>IF($X287="","",Settings!$C$7)</f>
        <v/>
      </c>
      <c r="O287" s="7">
        <f>IF($X287="","",SUMIFS('Per Line'!$V$2:$V$3001,'Per Line'!$D$2:$D$3001,$B287,'Per Line'!$AM$2:$AM$3001,0,'Per Line'!$AN$2:$AN$3001,0))</f>
        <v/>
      </c>
      <c r="P287" s="7">
        <f>IF($X287="","",O287*N287)</f>
        <v/>
      </c>
      <c r="Q287">
        <f>IF($X287="","",Settings!$C$6)</f>
        <v/>
      </c>
      <c r="R287" s="7">
        <f>IF($X287="","",SUMIFS('Per Line'!$V$2:$V$3001,'Per Line'!$D$2:$D$3001,$B287,'Per Line'!$AM$2:$AM$3001,1,'Per Line'!$AN$2:$AN$3001,0))</f>
        <v/>
      </c>
      <c r="S287" s="7">
        <f>IF($X287="","",R287*Q287)</f>
        <v/>
      </c>
      <c r="T287" s="7">
        <f>IF($X287="","",S287+P287)</f>
        <v/>
      </c>
      <c r="U287" s="7">
        <f>IF($X287="","",V287-T287)</f>
        <v/>
      </c>
      <c r="V287" s="7">
        <f>IF($X287="","",O287+R287+M287)</f>
        <v/>
      </c>
      <c r="W287" s="7">
        <f>IF($X287="","",V287-T287-I287)</f>
        <v/>
      </c>
      <c r="X287" s="13">
        <f>IF(ROWS($X$2:$X287)&lt;=MAX('Per Line'!$AL$2:$AL$3001),MATCH(ROWS($X$2:$X287),'Per Line'!$AL$2:$AL$3001,0),"")</f>
        <v/>
      </c>
    </row>
    <row r="288">
      <c r="A288" s="12" t="n"/>
      <c r="B288">
        <f>IF($X288="","",INDEX('Per Line'!$D$2:$D$3001,$X288)&amp;"")</f>
        <v/>
      </c>
      <c r="C288" s="11">
        <f>IF($X288="","",INDEX('Per Line'!$F$2:$F$3001,$X288))</f>
        <v/>
      </c>
      <c r="D288">
        <f>IF($X288="","",INDEX('Per Line'!$G$2:$G$3001,$X288)&amp;"")</f>
        <v/>
      </c>
      <c r="E288">
        <f>IF($X288="","",INDEX('Per Line'!$I$2:$I$3001,$X288)&amp;"")</f>
        <v/>
      </c>
      <c r="F288">
        <f>IF($X288="","",INDEX('Per Line'!$J$2:$J$3001,$X288)&amp;"")</f>
        <v/>
      </c>
      <c r="G288">
        <f>IF($X288="","",INDEX('Per Line'!$K$2:$K$3001,$X288)&amp;"")</f>
        <v/>
      </c>
      <c r="H288">
        <f>IF($X288="","",INDEX('Per Line'!$M$2:$M$3001,$X288))</f>
        <v/>
      </c>
      <c r="I288" s="7">
        <f>IF($X288="","",H288*V288/100)</f>
        <v/>
      </c>
      <c r="J288">
        <f>IF($X288="","",INDEX('Per Line'!$W$2:$W$3001,$X288)&amp;"")</f>
        <v/>
      </c>
      <c r="K288">
        <f>IF($X288="","",INDEX('Per Line'!$AD$2:$AD$3001,$X288))</f>
        <v/>
      </c>
      <c r="L288">
        <f>IF($X288="","",IF(AND(ISNUMBER(K288),K288&gt;0),V288&gt;K288,FALSE))</f>
        <v/>
      </c>
      <c r="M288" s="7">
        <f>IF($X288="","",SUMIFS('Per Line'!$V$2:$V$3001,'Per Line'!$D$2:$D$3001,$B288,'Per Line'!$AN$2:$AN$3001,1))</f>
        <v/>
      </c>
      <c r="N288">
        <f>IF($X288="","",Settings!$C$7)</f>
        <v/>
      </c>
      <c r="O288" s="7">
        <f>IF($X288="","",SUMIFS('Per Line'!$V$2:$V$3001,'Per Line'!$D$2:$D$3001,$B288,'Per Line'!$AM$2:$AM$3001,0,'Per Line'!$AN$2:$AN$3001,0))</f>
        <v/>
      </c>
      <c r="P288" s="7">
        <f>IF($X288="","",O288*N288)</f>
        <v/>
      </c>
      <c r="Q288">
        <f>IF($X288="","",Settings!$C$6)</f>
        <v/>
      </c>
      <c r="R288" s="7">
        <f>IF($X288="","",SUMIFS('Per Line'!$V$2:$V$3001,'Per Line'!$D$2:$D$3001,$B288,'Per Line'!$AM$2:$AM$3001,1,'Per Line'!$AN$2:$AN$3001,0))</f>
        <v/>
      </c>
      <c r="S288" s="7">
        <f>IF($X288="","",R288*Q288)</f>
        <v/>
      </c>
      <c r="T288" s="7">
        <f>IF($X288="","",S288+P288)</f>
        <v/>
      </c>
      <c r="U288" s="7">
        <f>IF($X288="","",V288-T288)</f>
        <v/>
      </c>
      <c r="V288" s="7">
        <f>IF($X288="","",O288+R288+M288)</f>
        <v/>
      </c>
      <c r="W288" s="7">
        <f>IF($X288="","",V288-T288-I288)</f>
        <v/>
      </c>
      <c r="X288" s="13">
        <f>IF(ROWS($X$2:$X288)&lt;=MAX('Per Line'!$AL$2:$AL$3001),MATCH(ROWS($X$2:$X288),'Per Line'!$AL$2:$AL$3001,0),"")</f>
        <v/>
      </c>
    </row>
    <row r="289">
      <c r="A289" s="12" t="n"/>
      <c r="B289">
        <f>IF($X289="","",INDEX('Per Line'!$D$2:$D$3001,$X289)&amp;"")</f>
        <v/>
      </c>
      <c r="C289" s="11">
        <f>IF($X289="","",INDEX('Per Line'!$F$2:$F$3001,$X289))</f>
        <v/>
      </c>
      <c r="D289">
        <f>IF($X289="","",INDEX('Per Line'!$G$2:$G$3001,$X289)&amp;"")</f>
        <v/>
      </c>
      <c r="E289">
        <f>IF($X289="","",INDEX('Per Line'!$I$2:$I$3001,$X289)&amp;"")</f>
        <v/>
      </c>
      <c r="F289">
        <f>IF($X289="","",INDEX('Per Line'!$J$2:$J$3001,$X289)&amp;"")</f>
        <v/>
      </c>
      <c r="G289">
        <f>IF($X289="","",INDEX('Per Line'!$K$2:$K$3001,$X289)&amp;"")</f>
        <v/>
      </c>
      <c r="H289">
        <f>IF($X289="","",INDEX('Per Line'!$M$2:$M$3001,$X289))</f>
        <v/>
      </c>
      <c r="I289" s="7">
        <f>IF($X289="","",H289*V289/100)</f>
        <v/>
      </c>
      <c r="J289">
        <f>IF($X289="","",INDEX('Per Line'!$W$2:$W$3001,$X289)&amp;"")</f>
        <v/>
      </c>
      <c r="K289">
        <f>IF($X289="","",INDEX('Per Line'!$AD$2:$AD$3001,$X289))</f>
        <v/>
      </c>
      <c r="L289">
        <f>IF($X289="","",IF(AND(ISNUMBER(K289),K289&gt;0),V289&gt;K289,FALSE))</f>
        <v/>
      </c>
      <c r="M289" s="7">
        <f>IF($X289="","",SUMIFS('Per Line'!$V$2:$V$3001,'Per Line'!$D$2:$D$3001,$B289,'Per Line'!$AN$2:$AN$3001,1))</f>
        <v/>
      </c>
      <c r="N289">
        <f>IF($X289="","",Settings!$C$7)</f>
        <v/>
      </c>
      <c r="O289" s="7">
        <f>IF($X289="","",SUMIFS('Per Line'!$V$2:$V$3001,'Per Line'!$D$2:$D$3001,$B289,'Per Line'!$AM$2:$AM$3001,0,'Per Line'!$AN$2:$AN$3001,0))</f>
        <v/>
      </c>
      <c r="P289" s="7">
        <f>IF($X289="","",O289*N289)</f>
        <v/>
      </c>
      <c r="Q289">
        <f>IF($X289="","",Settings!$C$6)</f>
        <v/>
      </c>
      <c r="R289" s="7">
        <f>IF($X289="","",SUMIFS('Per Line'!$V$2:$V$3001,'Per Line'!$D$2:$D$3001,$B289,'Per Line'!$AM$2:$AM$3001,1,'Per Line'!$AN$2:$AN$3001,0))</f>
        <v/>
      </c>
      <c r="S289" s="7">
        <f>IF($X289="","",R289*Q289)</f>
        <v/>
      </c>
      <c r="T289" s="7">
        <f>IF($X289="","",S289+P289)</f>
        <v/>
      </c>
      <c r="U289" s="7">
        <f>IF($X289="","",V289-T289)</f>
        <v/>
      </c>
      <c r="V289" s="7">
        <f>IF($X289="","",O289+R289+M289)</f>
        <v/>
      </c>
      <c r="W289" s="7">
        <f>IF($X289="","",V289-T289-I289)</f>
        <v/>
      </c>
      <c r="X289" s="13">
        <f>IF(ROWS($X$2:$X289)&lt;=MAX('Per Line'!$AL$2:$AL$3001),MATCH(ROWS($X$2:$X289),'Per Line'!$AL$2:$AL$3001,0),"")</f>
        <v/>
      </c>
    </row>
    <row r="290">
      <c r="A290" s="12" t="n"/>
      <c r="B290">
        <f>IF($X290="","",INDEX('Per Line'!$D$2:$D$3001,$X290)&amp;"")</f>
        <v/>
      </c>
      <c r="C290" s="11">
        <f>IF($X290="","",INDEX('Per Line'!$F$2:$F$3001,$X290))</f>
        <v/>
      </c>
      <c r="D290">
        <f>IF($X290="","",INDEX('Per Line'!$G$2:$G$3001,$X290)&amp;"")</f>
        <v/>
      </c>
      <c r="E290">
        <f>IF($X290="","",INDEX('Per Line'!$I$2:$I$3001,$X290)&amp;"")</f>
        <v/>
      </c>
      <c r="F290">
        <f>IF($X290="","",INDEX('Per Line'!$J$2:$J$3001,$X290)&amp;"")</f>
        <v/>
      </c>
      <c r="G290">
        <f>IF($X290="","",INDEX('Per Line'!$K$2:$K$3001,$X290)&amp;"")</f>
        <v/>
      </c>
      <c r="H290">
        <f>IF($X290="","",INDEX('Per Line'!$M$2:$M$3001,$X290))</f>
        <v/>
      </c>
      <c r="I290" s="7">
        <f>IF($X290="","",H290*V290/100)</f>
        <v/>
      </c>
      <c r="J290">
        <f>IF($X290="","",INDEX('Per Line'!$W$2:$W$3001,$X290)&amp;"")</f>
        <v/>
      </c>
      <c r="K290">
        <f>IF($X290="","",INDEX('Per Line'!$AD$2:$AD$3001,$X290))</f>
        <v/>
      </c>
      <c r="L290">
        <f>IF($X290="","",IF(AND(ISNUMBER(K290),K290&gt;0),V290&gt;K290,FALSE))</f>
        <v/>
      </c>
      <c r="M290" s="7">
        <f>IF($X290="","",SUMIFS('Per Line'!$V$2:$V$3001,'Per Line'!$D$2:$D$3001,$B290,'Per Line'!$AN$2:$AN$3001,1))</f>
        <v/>
      </c>
      <c r="N290">
        <f>IF($X290="","",Settings!$C$7)</f>
        <v/>
      </c>
      <c r="O290" s="7">
        <f>IF($X290="","",SUMIFS('Per Line'!$V$2:$V$3001,'Per Line'!$D$2:$D$3001,$B290,'Per Line'!$AM$2:$AM$3001,0,'Per Line'!$AN$2:$AN$3001,0))</f>
        <v/>
      </c>
      <c r="P290" s="7">
        <f>IF($X290="","",O290*N290)</f>
        <v/>
      </c>
      <c r="Q290">
        <f>IF($X290="","",Settings!$C$6)</f>
        <v/>
      </c>
      <c r="R290" s="7">
        <f>IF($X290="","",SUMIFS('Per Line'!$V$2:$V$3001,'Per Line'!$D$2:$D$3001,$B290,'Per Line'!$AM$2:$AM$3001,1,'Per Line'!$AN$2:$AN$3001,0))</f>
        <v/>
      </c>
      <c r="S290" s="7">
        <f>IF($X290="","",R290*Q290)</f>
        <v/>
      </c>
      <c r="T290" s="7">
        <f>IF($X290="","",S290+P290)</f>
        <v/>
      </c>
      <c r="U290" s="7">
        <f>IF($X290="","",V290-T290)</f>
        <v/>
      </c>
      <c r="V290" s="7">
        <f>IF($X290="","",O290+R290+M290)</f>
        <v/>
      </c>
      <c r="W290" s="7">
        <f>IF($X290="","",V290-T290-I290)</f>
        <v/>
      </c>
      <c r="X290" s="13">
        <f>IF(ROWS($X$2:$X290)&lt;=MAX('Per Line'!$AL$2:$AL$3001),MATCH(ROWS($X$2:$X290),'Per Line'!$AL$2:$AL$3001,0),"")</f>
        <v/>
      </c>
    </row>
    <row r="291">
      <c r="A291" s="12" t="n"/>
      <c r="B291">
        <f>IF($X291="","",INDEX('Per Line'!$D$2:$D$3001,$X291)&amp;"")</f>
        <v/>
      </c>
      <c r="C291" s="11">
        <f>IF($X291="","",INDEX('Per Line'!$F$2:$F$3001,$X291))</f>
        <v/>
      </c>
      <c r="D291">
        <f>IF($X291="","",INDEX('Per Line'!$G$2:$G$3001,$X291)&amp;"")</f>
        <v/>
      </c>
      <c r="E291">
        <f>IF($X291="","",INDEX('Per Line'!$I$2:$I$3001,$X291)&amp;"")</f>
        <v/>
      </c>
      <c r="F291">
        <f>IF($X291="","",INDEX('Per Line'!$J$2:$J$3001,$X291)&amp;"")</f>
        <v/>
      </c>
      <c r="G291">
        <f>IF($X291="","",INDEX('Per Line'!$K$2:$K$3001,$X291)&amp;"")</f>
        <v/>
      </c>
      <c r="H291">
        <f>IF($X291="","",INDEX('Per Line'!$M$2:$M$3001,$X291))</f>
        <v/>
      </c>
      <c r="I291" s="7">
        <f>IF($X291="","",H291*V291/100)</f>
        <v/>
      </c>
      <c r="J291">
        <f>IF($X291="","",INDEX('Per Line'!$W$2:$W$3001,$X291)&amp;"")</f>
        <v/>
      </c>
      <c r="K291">
        <f>IF($X291="","",INDEX('Per Line'!$AD$2:$AD$3001,$X291))</f>
        <v/>
      </c>
      <c r="L291">
        <f>IF($X291="","",IF(AND(ISNUMBER(K291),K291&gt;0),V291&gt;K291,FALSE))</f>
        <v/>
      </c>
      <c r="M291" s="7">
        <f>IF($X291="","",SUMIFS('Per Line'!$V$2:$V$3001,'Per Line'!$D$2:$D$3001,$B291,'Per Line'!$AN$2:$AN$3001,1))</f>
        <v/>
      </c>
      <c r="N291">
        <f>IF($X291="","",Settings!$C$7)</f>
        <v/>
      </c>
      <c r="O291" s="7">
        <f>IF($X291="","",SUMIFS('Per Line'!$V$2:$V$3001,'Per Line'!$D$2:$D$3001,$B291,'Per Line'!$AM$2:$AM$3001,0,'Per Line'!$AN$2:$AN$3001,0))</f>
        <v/>
      </c>
      <c r="P291" s="7">
        <f>IF($X291="","",O291*N291)</f>
        <v/>
      </c>
      <c r="Q291">
        <f>IF($X291="","",Settings!$C$6)</f>
        <v/>
      </c>
      <c r="R291" s="7">
        <f>IF($X291="","",SUMIFS('Per Line'!$V$2:$V$3001,'Per Line'!$D$2:$D$3001,$B291,'Per Line'!$AM$2:$AM$3001,1,'Per Line'!$AN$2:$AN$3001,0))</f>
        <v/>
      </c>
      <c r="S291" s="7">
        <f>IF($X291="","",R291*Q291)</f>
        <v/>
      </c>
      <c r="T291" s="7">
        <f>IF($X291="","",S291+P291)</f>
        <v/>
      </c>
      <c r="U291" s="7">
        <f>IF($X291="","",V291-T291)</f>
        <v/>
      </c>
      <c r="V291" s="7">
        <f>IF($X291="","",O291+R291+M291)</f>
        <v/>
      </c>
      <c r="W291" s="7">
        <f>IF($X291="","",V291-T291-I291)</f>
        <v/>
      </c>
      <c r="X291" s="13">
        <f>IF(ROWS($X$2:$X291)&lt;=MAX('Per Line'!$AL$2:$AL$3001),MATCH(ROWS($X$2:$X291),'Per Line'!$AL$2:$AL$3001,0),"")</f>
        <v/>
      </c>
    </row>
    <row r="292">
      <c r="A292" s="12" t="n"/>
      <c r="B292">
        <f>IF($X292="","",INDEX('Per Line'!$D$2:$D$3001,$X292)&amp;"")</f>
        <v/>
      </c>
      <c r="C292" s="11">
        <f>IF($X292="","",INDEX('Per Line'!$F$2:$F$3001,$X292))</f>
        <v/>
      </c>
      <c r="D292">
        <f>IF($X292="","",INDEX('Per Line'!$G$2:$G$3001,$X292)&amp;"")</f>
        <v/>
      </c>
      <c r="E292">
        <f>IF($X292="","",INDEX('Per Line'!$I$2:$I$3001,$X292)&amp;"")</f>
        <v/>
      </c>
      <c r="F292">
        <f>IF($X292="","",INDEX('Per Line'!$J$2:$J$3001,$X292)&amp;"")</f>
        <v/>
      </c>
      <c r="G292">
        <f>IF($X292="","",INDEX('Per Line'!$K$2:$K$3001,$X292)&amp;"")</f>
        <v/>
      </c>
      <c r="H292">
        <f>IF($X292="","",INDEX('Per Line'!$M$2:$M$3001,$X292))</f>
        <v/>
      </c>
      <c r="I292" s="7">
        <f>IF($X292="","",H292*V292/100)</f>
        <v/>
      </c>
      <c r="J292">
        <f>IF($X292="","",INDEX('Per Line'!$W$2:$W$3001,$X292)&amp;"")</f>
        <v/>
      </c>
      <c r="K292">
        <f>IF($X292="","",INDEX('Per Line'!$AD$2:$AD$3001,$X292))</f>
        <v/>
      </c>
      <c r="L292">
        <f>IF($X292="","",IF(AND(ISNUMBER(K292),K292&gt;0),V292&gt;K292,FALSE))</f>
        <v/>
      </c>
      <c r="M292" s="7">
        <f>IF($X292="","",SUMIFS('Per Line'!$V$2:$V$3001,'Per Line'!$D$2:$D$3001,$B292,'Per Line'!$AN$2:$AN$3001,1))</f>
        <v/>
      </c>
      <c r="N292">
        <f>IF($X292="","",Settings!$C$7)</f>
        <v/>
      </c>
      <c r="O292" s="7">
        <f>IF($X292="","",SUMIFS('Per Line'!$V$2:$V$3001,'Per Line'!$D$2:$D$3001,$B292,'Per Line'!$AM$2:$AM$3001,0,'Per Line'!$AN$2:$AN$3001,0))</f>
        <v/>
      </c>
      <c r="P292" s="7">
        <f>IF($X292="","",O292*N292)</f>
        <v/>
      </c>
      <c r="Q292">
        <f>IF($X292="","",Settings!$C$6)</f>
        <v/>
      </c>
      <c r="R292" s="7">
        <f>IF($X292="","",SUMIFS('Per Line'!$V$2:$V$3001,'Per Line'!$D$2:$D$3001,$B292,'Per Line'!$AM$2:$AM$3001,1,'Per Line'!$AN$2:$AN$3001,0))</f>
        <v/>
      </c>
      <c r="S292" s="7">
        <f>IF($X292="","",R292*Q292)</f>
        <v/>
      </c>
      <c r="T292" s="7">
        <f>IF($X292="","",S292+P292)</f>
        <v/>
      </c>
      <c r="U292" s="7">
        <f>IF($X292="","",V292-T292)</f>
        <v/>
      </c>
      <c r="V292" s="7">
        <f>IF($X292="","",O292+R292+M292)</f>
        <v/>
      </c>
      <c r="W292" s="7">
        <f>IF($X292="","",V292-T292-I292)</f>
        <v/>
      </c>
      <c r="X292" s="13">
        <f>IF(ROWS($X$2:$X292)&lt;=MAX('Per Line'!$AL$2:$AL$3001),MATCH(ROWS($X$2:$X292),'Per Line'!$AL$2:$AL$3001,0),"")</f>
        <v/>
      </c>
    </row>
    <row r="293">
      <c r="A293" s="12" t="n"/>
      <c r="B293">
        <f>IF($X293="","",INDEX('Per Line'!$D$2:$D$3001,$X293)&amp;"")</f>
        <v/>
      </c>
      <c r="C293" s="11">
        <f>IF($X293="","",INDEX('Per Line'!$F$2:$F$3001,$X293))</f>
        <v/>
      </c>
      <c r="D293">
        <f>IF($X293="","",INDEX('Per Line'!$G$2:$G$3001,$X293)&amp;"")</f>
        <v/>
      </c>
      <c r="E293">
        <f>IF($X293="","",INDEX('Per Line'!$I$2:$I$3001,$X293)&amp;"")</f>
        <v/>
      </c>
      <c r="F293">
        <f>IF($X293="","",INDEX('Per Line'!$J$2:$J$3001,$X293)&amp;"")</f>
        <v/>
      </c>
      <c r="G293">
        <f>IF($X293="","",INDEX('Per Line'!$K$2:$K$3001,$X293)&amp;"")</f>
        <v/>
      </c>
      <c r="H293">
        <f>IF($X293="","",INDEX('Per Line'!$M$2:$M$3001,$X293))</f>
        <v/>
      </c>
      <c r="I293" s="7">
        <f>IF($X293="","",H293*V293/100)</f>
        <v/>
      </c>
      <c r="J293">
        <f>IF($X293="","",INDEX('Per Line'!$W$2:$W$3001,$X293)&amp;"")</f>
        <v/>
      </c>
      <c r="K293">
        <f>IF($X293="","",INDEX('Per Line'!$AD$2:$AD$3001,$X293))</f>
        <v/>
      </c>
      <c r="L293">
        <f>IF($X293="","",IF(AND(ISNUMBER(K293),K293&gt;0),V293&gt;K293,FALSE))</f>
        <v/>
      </c>
      <c r="M293" s="7">
        <f>IF($X293="","",SUMIFS('Per Line'!$V$2:$V$3001,'Per Line'!$D$2:$D$3001,$B293,'Per Line'!$AN$2:$AN$3001,1))</f>
        <v/>
      </c>
      <c r="N293">
        <f>IF($X293="","",Settings!$C$7)</f>
        <v/>
      </c>
      <c r="O293" s="7">
        <f>IF($X293="","",SUMIFS('Per Line'!$V$2:$V$3001,'Per Line'!$D$2:$D$3001,$B293,'Per Line'!$AM$2:$AM$3001,0,'Per Line'!$AN$2:$AN$3001,0))</f>
        <v/>
      </c>
      <c r="P293" s="7">
        <f>IF($X293="","",O293*N293)</f>
        <v/>
      </c>
      <c r="Q293">
        <f>IF($X293="","",Settings!$C$6)</f>
        <v/>
      </c>
      <c r="R293" s="7">
        <f>IF($X293="","",SUMIFS('Per Line'!$V$2:$V$3001,'Per Line'!$D$2:$D$3001,$B293,'Per Line'!$AM$2:$AM$3001,1,'Per Line'!$AN$2:$AN$3001,0))</f>
        <v/>
      </c>
      <c r="S293" s="7">
        <f>IF($X293="","",R293*Q293)</f>
        <v/>
      </c>
      <c r="T293" s="7">
        <f>IF($X293="","",S293+P293)</f>
        <v/>
      </c>
      <c r="U293" s="7">
        <f>IF($X293="","",V293-T293)</f>
        <v/>
      </c>
      <c r="V293" s="7">
        <f>IF($X293="","",O293+R293+M293)</f>
        <v/>
      </c>
      <c r="W293" s="7">
        <f>IF($X293="","",V293-T293-I293)</f>
        <v/>
      </c>
      <c r="X293" s="13">
        <f>IF(ROWS($X$2:$X293)&lt;=MAX('Per Line'!$AL$2:$AL$3001),MATCH(ROWS($X$2:$X293),'Per Line'!$AL$2:$AL$3001,0),"")</f>
        <v/>
      </c>
    </row>
    <row r="294">
      <c r="A294" s="12" t="n"/>
      <c r="B294">
        <f>IF($X294="","",INDEX('Per Line'!$D$2:$D$3001,$X294)&amp;"")</f>
        <v/>
      </c>
      <c r="C294" s="11">
        <f>IF($X294="","",INDEX('Per Line'!$F$2:$F$3001,$X294))</f>
        <v/>
      </c>
      <c r="D294">
        <f>IF($X294="","",INDEX('Per Line'!$G$2:$G$3001,$X294)&amp;"")</f>
        <v/>
      </c>
      <c r="E294">
        <f>IF($X294="","",INDEX('Per Line'!$I$2:$I$3001,$X294)&amp;"")</f>
        <v/>
      </c>
      <c r="F294">
        <f>IF($X294="","",INDEX('Per Line'!$J$2:$J$3001,$X294)&amp;"")</f>
        <v/>
      </c>
      <c r="G294">
        <f>IF($X294="","",INDEX('Per Line'!$K$2:$K$3001,$X294)&amp;"")</f>
        <v/>
      </c>
      <c r="H294">
        <f>IF($X294="","",INDEX('Per Line'!$M$2:$M$3001,$X294))</f>
        <v/>
      </c>
      <c r="I294" s="7">
        <f>IF($X294="","",H294*V294/100)</f>
        <v/>
      </c>
      <c r="J294">
        <f>IF($X294="","",INDEX('Per Line'!$W$2:$W$3001,$X294)&amp;"")</f>
        <v/>
      </c>
      <c r="K294">
        <f>IF($X294="","",INDEX('Per Line'!$AD$2:$AD$3001,$X294))</f>
        <v/>
      </c>
      <c r="L294">
        <f>IF($X294="","",IF(AND(ISNUMBER(K294),K294&gt;0),V294&gt;K294,FALSE))</f>
        <v/>
      </c>
      <c r="M294" s="7">
        <f>IF($X294="","",SUMIFS('Per Line'!$V$2:$V$3001,'Per Line'!$D$2:$D$3001,$B294,'Per Line'!$AN$2:$AN$3001,1))</f>
        <v/>
      </c>
      <c r="N294">
        <f>IF($X294="","",Settings!$C$7)</f>
        <v/>
      </c>
      <c r="O294" s="7">
        <f>IF($X294="","",SUMIFS('Per Line'!$V$2:$V$3001,'Per Line'!$D$2:$D$3001,$B294,'Per Line'!$AM$2:$AM$3001,0,'Per Line'!$AN$2:$AN$3001,0))</f>
        <v/>
      </c>
      <c r="P294" s="7">
        <f>IF($X294="","",O294*N294)</f>
        <v/>
      </c>
      <c r="Q294">
        <f>IF($X294="","",Settings!$C$6)</f>
        <v/>
      </c>
      <c r="R294" s="7">
        <f>IF($X294="","",SUMIFS('Per Line'!$V$2:$V$3001,'Per Line'!$D$2:$D$3001,$B294,'Per Line'!$AM$2:$AM$3001,1,'Per Line'!$AN$2:$AN$3001,0))</f>
        <v/>
      </c>
      <c r="S294" s="7">
        <f>IF($X294="","",R294*Q294)</f>
        <v/>
      </c>
      <c r="T294" s="7">
        <f>IF($X294="","",S294+P294)</f>
        <v/>
      </c>
      <c r="U294" s="7">
        <f>IF($X294="","",V294-T294)</f>
        <v/>
      </c>
      <c r="V294" s="7">
        <f>IF($X294="","",O294+R294+M294)</f>
        <v/>
      </c>
      <c r="W294" s="7">
        <f>IF($X294="","",V294-T294-I294)</f>
        <v/>
      </c>
      <c r="X294" s="13">
        <f>IF(ROWS($X$2:$X294)&lt;=MAX('Per Line'!$AL$2:$AL$3001),MATCH(ROWS($X$2:$X294),'Per Line'!$AL$2:$AL$3001,0),"")</f>
        <v/>
      </c>
    </row>
    <row r="295">
      <c r="A295" s="12" t="n"/>
      <c r="B295">
        <f>IF($X295="","",INDEX('Per Line'!$D$2:$D$3001,$X295)&amp;"")</f>
        <v/>
      </c>
      <c r="C295" s="11">
        <f>IF($X295="","",INDEX('Per Line'!$F$2:$F$3001,$X295))</f>
        <v/>
      </c>
      <c r="D295">
        <f>IF($X295="","",INDEX('Per Line'!$G$2:$G$3001,$X295)&amp;"")</f>
        <v/>
      </c>
      <c r="E295">
        <f>IF($X295="","",INDEX('Per Line'!$I$2:$I$3001,$X295)&amp;"")</f>
        <v/>
      </c>
      <c r="F295">
        <f>IF($X295="","",INDEX('Per Line'!$J$2:$J$3001,$X295)&amp;"")</f>
        <v/>
      </c>
      <c r="G295">
        <f>IF($X295="","",INDEX('Per Line'!$K$2:$K$3001,$X295)&amp;"")</f>
        <v/>
      </c>
      <c r="H295">
        <f>IF($X295="","",INDEX('Per Line'!$M$2:$M$3001,$X295))</f>
        <v/>
      </c>
      <c r="I295" s="7">
        <f>IF($X295="","",H295*V295/100)</f>
        <v/>
      </c>
      <c r="J295">
        <f>IF($X295="","",INDEX('Per Line'!$W$2:$W$3001,$X295)&amp;"")</f>
        <v/>
      </c>
      <c r="K295">
        <f>IF($X295="","",INDEX('Per Line'!$AD$2:$AD$3001,$X295))</f>
        <v/>
      </c>
      <c r="L295">
        <f>IF($X295="","",IF(AND(ISNUMBER(K295),K295&gt;0),V295&gt;K295,FALSE))</f>
        <v/>
      </c>
      <c r="M295" s="7">
        <f>IF($X295="","",SUMIFS('Per Line'!$V$2:$V$3001,'Per Line'!$D$2:$D$3001,$B295,'Per Line'!$AN$2:$AN$3001,1))</f>
        <v/>
      </c>
      <c r="N295">
        <f>IF($X295="","",Settings!$C$7)</f>
        <v/>
      </c>
      <c r="O295" s="7">
        <f>IF($X295="","",SUMIFS('Per Line'!$V$2:$V$3001,'Per Line'!$D$2:$D$3001,$B295,'Per Line'!$AM$2:$AM$3001,0,'Per Line'!$AN$2:$AN$3001,0))</f>
        <v/>
      </c>
      <c r="P295" s="7">
        <f>IF($X295="","",O295*N295)</f>
        <v/>
      </c>
      <c r="Q295">
        <f>IF($X295="","",Settings!$C$6)</f>
        <v/>
      </c>
      <c r="R295" s="7">
        <f>IF($X295="","",SUMIFS('Per Line'!$V$2:$V$3001,'Per Line'!$D$2:$D$3001,$B295,'Per Line'!$AM$2:$AM$3001,1,'Per Line'!$AN$2:$AN$3001,0))</f>
        <v/>
      </c>
      <c r="S295" s="7">
        <f>IF($X295="","",R295*Q295)</f>
        <v/>
      </c>
      <c r="T295" s="7">
        <f>IF($X295="","",S295+P295)</f>
        <v/>
      </c>
      <c r="U295" s="7">
        <f>IF($X295="","",V295-T295)</f>
        <v/>
      </c>
      <c r="V295" s="7">
        <f>IF($X295="","",O295+R295+M295)</f>
        <v/>
      </c>
      <c r="W295" s="7">
        <f>IF($X295="","",V295-T295-I295)</f>
        <v/>
      </c>
      <c r="X295" s="13">
        <f>IF(ROWS($X$2:$X295)&lt;=MAX('Per Line'!$AL$2:$AL$3001),MATCH(ROWS($X$2:$X295),'Per Line'!$AL$2:$AL$3001,0),"")</f>
        <v/>
      </c>
    </row>
    <row r="296">
      <c r="A296" s="12" t="n"/>
      <c r="B296">
        <f>IF($X296="","",INDEX('Per Line'!$D$2:$D$3001,$X296)&amp;"")</f>
        <v/>
      </c>
      <c r="C296" s="11">
        <f>IF($X296="","",INDEX('Per Line'!$F$2:$F$3001,$X296))</f>
        <v/>
      </c>
      <c r="D296">
        <f>IF($X296="","",INDEX('Per Line'!$G$2:$G$3001,$X296)&amp;"")</f>
        <v/>
      </c>
      <c r="E296">
        <f>IF($X296="","",INDEX('Per Line'!$I$2:$I$3001,$X296)&amp;"")</f>
        <v/>
      </c>
      <c r="F296">
        <f>IF($X296="","",INDEX('Per Line'!$J$2:$J$3001,$X296)&amp;"")</f>
        <v/>
      </c>
      <c r="G296">
        <f>IF($X296="","",INDEX('Per Line'!$K$2:$K$3001,$X296)&amp;"")</f>
        <v/>
      </c>
      <c r="H296">
        <f>IF($X296="","",INDEX('Per Line'!$M$2:$M$3001,$X296))</f>
        <v/>
      </c>
      <c r="I296" s="7">
        <f>IF($X296="","",H296*V296/100)</f>
        <v/>
      </c>
      <c r="J296">
        <f>IF($X296="","",INDEX('Per Line'!$W$2:$W$3001,$X296)&amp;"")</f>
        <v/>
      </c>
      <c r="K296">
        <f>IF($X296="","",INDEX('Per Line'!$AD$2:$AD$3001,$X296))</f>
        <v/>
      </c>
      <c r="L296">
        <f>IF($X296="","",IF(AND(ISNUMBER(K296),K296&gt;0),V296&gt;K296,FALSE))</f>
        <v/>
      </c>
      <c r="M296" s="7">
        <f>IF($X296="","",SUMIFS('Per Line'!$V$2:$V$3001,'Per Line'!$D$2:$D$3001,$B296,'Per Line'!$AN$2:$AN$3001,1))</f>
        <v/>
      </c>
      <c r="N296">
        <f>IF($X296="","",Settings!$C$7)</f>
        <v/>
      </c>
      <c r="O296" s="7">
        <f>IF($X296="","",SUMIFS('Per Line'!$V$2:$V$3001,'Per Line'!$D$2:$D$3001,$B296,'Per Line'!$AM$2:$AM$3001,0,'Per Line'!$AN$2:$AN$3001,0))</f>
        <v/>
      </c>
      <c r="P296" s="7">
        <f>IF($X296="","",O296*N296)</f>
        <v/>
      </c>
      <c r="Q296">
        <f>IF($X296="","",Settings!$C$6)</f>
        <v/>
      </c>
      <c r="R296" s="7">
        <f>IF($X296="","",SUMIFS('Per Line'!$V$2:$V$3001,'Per Line'!$D$2:$D$3001,$B296,'Per Line'!$AM$2:$AM$3001,1,'Per Line'!$AN$2:$AN$3001,0))</f>
        <v/>
      </c>
      <c r="S296" s="7">
        <f>IF($X296="","",R296*Q296)</f>
        <v/>
      </c>
      <c r="T296" s="7">
        <f>IF($X296="","",S296+P296)</f>
        <v/>
      </c>
      <c r="U296" s="7">
        <f>IF($X296="","",V296-T296)</f>
        <v/>
      </c>
      <c r="V296" s="7">
        <f>IF($X296="","",O296+R296+M296)</f>
        <v/>
      </c>
      <c r="W296" s="7">
        <f>IF($X296="","",V296-T296-I296)</f>
        <v/>
      </c>
      <c r="X296" s="13">
        <f>IF(ROWS($X$2:$X296)&lt;=MAX('Per Line'!$AL$2:$AL$3001),MATCH(ROWS($X$2:$X296),'Per Line'!$AL$2:$AL$3001,0),"")</f>
        <v/>
      </c>
    </row>
    <row r="297">
      <c r="A297" s="12" t="n"/>
      <c r="B297">
        <f>IF($X297="","",INDEX('Per Line'!$D$2:$D$3001,$X297)&amp;"")</f>
        <v/>
      </c>
      <c r="C297" s="11">
        <f>IF($X297="","",INDEX('Per Line'!$F$2:$F$3001,$X297))</f>
        <v/>
      </c>
      <c r="D297">
        <f>IF($X297="","",INDEX('Per Line'!$G$2:$G$3001,$X297)&amp;"")</f>
        <v/>
      </c>
      <c r="E297">
        <f>IF($X297="","",INDEX('Per Line'!$I$2:$I$3001,$X297)&amp;"")</f>
        <v/>
      </c>
      <c r="F297">
        <f>IF($X297="","",INDEX('Per Line'!$J$2:$J$3001,$X297)&amp;"")</f>
        <v/>
      </c>
      <c r="G297">
        <f>IF($X297="","",INDEX('Per Line'!$K$2:$K$3001,$X297)&amp;"")</f>
        <v/>
      </c>
      <c r="H297">
        <f>IF($X297="","",INDEX('Per Line'!$M$2:$M$3001,$X297))</f>
        <v/>
      </c>
      <c r="I297" s="7">
        <f>IF($X297="","",H297*V297/100)</f>
        <v/>
      </c>
      <c r="J297">
        <f>IF($X297="","",INDEX('Per Line'!$W$2:$W$3001,$X297)&amp;"")</f>
        <v/>
      </c>
      <c r="K297">
        <f>IF($X297="","",INDEX('Per Line'!$AD$2:$AD$3001,$X297))</f>
        <v/>
      </c>
      <c r="L297">
        <f>IF($X297="","",IF(AND(ISNUMBER(K297),K297&gt;0),V297&gt;K297,FALSE))</f>
        <v/>
      </c>
      <c r="M297" s="7">
        <f>IF($X297="","",SUMIFS('Per Line'!$V$2:$V$3001,'Per Line'!$D$2:$D$3001,$B297,'Per Line'!$AN$2:$AN$3001,1))</f>
        <v/>
      </c>
      <c r="N297">
        <f>IF($X297="","",Settings!$C$7)</f>
        <v/>
      </c>
      <c r="O297" s="7">
        <f>IF($X297="","",SUMIFS('Per Line'!$V$2:$V$3001,'Per Line'!$D$2:$D$3001,$B297,'Per Line'!$AM$2:$AM$3001,0,'Per Line'!$AN$2:$AN$3001,0))</f>
        <v/>
      </c>
      <c r="P297" s="7">
        <f>IF($X297="","",O297*N297)</f>
        <v/>
      </c>
      <c r="Q297">
        <f>IF($X297="","",Settings!$C$6)</f>
        <v/>
      </c>
      <c r="R297" s="7">
        <f>IF($X297="","",SUMIFS('Per Line'!$V$2:$V$3001,'Per Line'!$D$2:$D$3001,$B297,'Per Line'!$AM$2:$AM$3001,1,'Per Line'!$AN$2:$AN$3001,0))</f>
        <v/>
      </c>
      <c r="S297" s="7">
        <f>IF($X297="","",R297*Q297)</f>
        <v/>
      </c>
      <c r="T297" s="7">
        <f>IF($X297="","",S297+P297)</f>
        <v/>
      </c>
      <c r="U297" s="7">
        <f>IF($X297="","",V297-T297)</f>
        <v/>
      </c>
      <c r="V297" s="7">
        <f>IF($X297="","",O297+R297+M297)</f>
        <v/>
      </c>
      <c r="W297" s="7">
        <f>IF($X297="","",V297-T297-I297)</f>
        <v/>
      </c>
      <c r="X297" s="13">
        <f>IF(ROWS($X$2:$X297)&lt;=MAX('Per Line'!$AL$2:$AL$3001),MATCH(ROWS($X$2:$X297),'Per Line'!$AL$2:$AL$3001,0),"")</f>
        <v/>
      </c>
    </row>
    <row r="298">
      <c r="A298" s="12" t="n"/>
      <c r="B298">
        <f>IF($X298="","",INDEX('Per Line'!$D$2:$D$3001,$X298)&amp;"")</f>
        <v/>
      </c>
      <c r="C298" s="11">
        <f>IF($X298="","",INDEX('Per Line'!$F$2:$F$3001,$X298))</f>
        <v/>
      </c>
      <c r="D298">
        <f>IF($X298="","",INDEX('Per Line'!$G$2:$G$3001,$X298)&amp;"")</f>
        <v/>
      </c>
      <c r="E298">
        <f>IF($X298="","",INDEX('Per Line'!$I$2:$I$3001,$X298)&amp;"")</f>
        <v/>
      </c>
      <c r="F298">
        <f>IF($X298="","",INDEX('Per Line'!$J$2:$J$3001,$X298)&amp;"")</f>
        <v/>
      </c>
      <c r="G298">
        <f>IF($X298="","",INDEX('Per Line'!$K$2:$K$3001,$X298)&amp;"")</f>
        <v/>
      </c>
      <c r="H298">
        <f>IF($X298="","",INDEX('Per Line'!$M$2:$M$3001,$X298))</f>
        <v/>
      </c>
      <c r="I298" s="7">
        <f>IF($X298="","",H298*V298/100)</f>
        <v/>
      </c>
      <c r="J298">
        <f>IF($X298="","",INDEX('Per Line'!$W$2:$W$3001,$X298)&amp;"")</f>
        <v/>
      </c>
      <c r="K298">
        <f>IF($X298="","",INDEX('Per Line'!$AD$2:$AD$3001,$X298))</f>
        <v/>
      </c>
      <c r="L298">
        <f>IF($X298="","",IF(AND(ISNUMBER(K298),K298&gt;0),V298&gt;K298,FALSE))</f>
        <v/>
      </c>
      <c r="M298" s="7">
        <f>IF($X298="","",SUMIFS('Per Line'!$V$2:$V$3001,'Per Line'!$D$2:$D$3001,$B298,'Per Line'!$AN$2:$AN$3001,1))</f>
        <v/>
      </c>
      <c r="N298">
        <f>IF($X298="","",Settings!$C$7)</f>
        <v/>
      </c>
      <c r="O298" s="7">
        <f>IF($X298="","",SUMIFS('Per Line'!$V$2:$V$3001,'Per Line'!$D$2:$D$3001,$B298,'Per Line'!$AM$2:$AM$3001,0,'Per Line'!$AN$2:$AN$3001,0))</f>
        <v/>
      </c>
      <c r="P298" s="7">
        <f>IF($X298="","",O298*N298)</f>
        <v/>
      </c>
      <c r="Q298">
        <f>IF($X298="","",Settings!$C$6)</f>
        <v/>
      </c>
      <c r="R298" s="7">
        <f>IF($X298="","",SUMIFS('Per Line'!$V$2:$V$3001,'Per Line'!$D$2:$D$3001,$B298,'Per Line'!$AM$2:$AM$3001,1,'Per Line'!$AN$2:$AN$3001,0))</f>
        <v/>
      </c>
      <c r="S298" s="7">
        <f>IF($X298="","",R298*Q298)</f>
        <v/>
      </c>
      <c r="T298" s="7">
        <f>IF($X298="","",S298+P298)</f>
        <v/>
      </c>
      <c r="U298" s="7">
        <f>IF($X298="","",V298-T298)</f>
        <v/>
      </c>
      <c r="V298" s="7">
        <f>IF($X298="","",O298+R298+M298)</f>
        <v/>
      </c>
      <c r="W298" s="7">
        <f>IF($X298="","",V298-T298-I298)</f>
        <v/>
      </c>
      <c r="X298" s="13">
        <f>IF(ROWS($X$2:$X298)&lt;=MAX('Per Line'!$AL$2:$AL$3001),MATCH(ROWS($X$2:$X298),'Per Line'!$AL$2:$AL$3001,0),"")</f>
        <v/>
      </c>
    </row>
    <row r="299">
      <c r="A299" s="12" t="n"/>
      <c r="B299">
        <f>IF($X299="","",INDEX('Per Line'!$D$2:$D$3001,$X299)&amp;"")</f>
        <v/>
      </c>
      <c r="C299" s="11">
        <f>IF($X299="","",INDEX('Per Line'!$F$2:$F$3001,$X299))</f>
        <v/>
      </c>
      <c r="D299">
        <f>IF($X299="","",INDEX('Per Line'!$G$2:$G$3001,$X299)&amp;"")</f>
        <v/>
      </c>
      <c r="E299">
        <f>IF($X299="","",INDEX('Per Line'!$I$2:$I$3001,$X299)&amp;"")</f>
        <v/>
      </c>
      <c r="F299">
        <f>IF($X299="","",INDEX('Per Line'!$J$2:$J$3001,$X299)&amp;"")</f>
        <v/>
      </c>
      <c r="G299">
        <f>IF($X299="","",INDEX('Per Line'!$K$2:$K$3001,$X299)&amp;"")</f>
        <v/>
      </c>
      <c r="H299">
        <f>IF($X299="","",INDEX('Per Line'!$M$2:$M$3001,$X299))</f>
        <v/>
      </c>
      <c r="I299" s="7">
        <f>IF($X299="","",H299*V299/100)</f>
        <v/>
      </c>
      <c r="J299">
        <f>IF($X299="","",INDEX('Per Line'!$W$2:$W$3001,$X299)&amp;"")</f>
        <v/>
      </c>
      <c r="K299">
        <f>IF($X299="","",INDEX('Per Line'!$AD$2:$AD$3001,$X299))</f>
        <v/>
      </c>
      <c r="L299">
        <f>IF($X299="","",IF(AND(ISNUMBER(K299),K299&gt;0),V299&gt;K299,FALSE))</f>
        <v/>
      </c>
      <c r="M299" s="7">
        <f>IF($X299="","",SUMIFS('Per Line'!$V$2:$V$3001,'Per Line'!$D$2:$D$3001,$B299,'Per Line'!$AN$2:$AN$3001,1))</f>
        <v/>
      </c>
      <c r="N299">
        <f>IF($X299="","",Settings!$C$7)</f>
        <v/>
      </c>
      <c r="O299" s="7">
        <f>IF($X299="","",SUMIFS('Per Line'!$V$2:$V$3001,'Per Line'!$D$2:$D$3001,$B299,'Per Line'!$AM$2:$AM$3001,0,'Per Line'!$AN$2:$AN$3001,0))</f>
        <v/>
      </c>
      <c r="P299" s="7">
        <f>IF($X299="","",O299*N299)</f>
        <v/>
      </c>
      <c r="Q299">
        <f>IF($X299="","",Settings!$C$6)</f>
        <v/>
      </c>
      <c r="R299" s="7">
        <f>IF($X299="","",SUMIFS('Per Line'!$V$2:$V$3001,'Per Line'!$D$2:$D$3001,$B299,'Per Line'!$AM$2:$AM$3001,1,'Per Line'!$AN$2:$AN$3001,0))</f>
        <v/>
      </c>
      <c r="S299" s="7">
        <f>IF($X299="","",R299*Q299)</f>
        <v/>
      </c>
      <c r="T299" s="7">
        <f>IF($X299="","",S299+P299)</f>
        <v/>
      </c>
      <c r="U299" s="7">
        <f>IF($X299="","",V299-T299)</f>
        <v/>
      </c>
      <c r="V299" s="7">
        <f>IF($X299="","",O299+R299+M299)</f>
        <v/>
      </c>
      <c r="W299" s="7">
        <f>IF($X299="","",V299-T299-I299)</f>
        <v/>
      </c>
      <c r="X299" s="13">
        <f>IF(ROWS($X$2:$X299)&lt;=MAX('Per Line'!$AL$2:$AL$3001),MATCH(ROWS($X$2:$X299),'Per Line'!$AL$2:$AL$3001,0),"")</f>
        <v/>
      </c>
    </row>
    <row r="300">
      <c r="A300" s="12" t="n"/>
      <c r="B300">
        <f>IF($X300="","",INDEX('Per Line'!$D$2:$D$3001,$X300)&amp;"")</f>
        <v/>
      </c>
      <c r="C300" s="11">
        <f>IF($X300="","",INDEX('Per Line'!$F$2:$F$3001,$X300))</f>
        <v/>
      </c>
      <c r="D300">
        <f>IF($X300="","",INDEX('Per Line'!$G$2:$G$3001,$X300)&amp;"")</f>
        <v/>
      </c>
      <c r="E300">
        <f>IF($X300="","",INDEX('Per Line'!$I$2:$I$3001,$X300)&amp;"")</f>
        <v/>
      </c>
      <c r="F300">
        <f>IF($X300="","",INDEX('Per Line'!$J$2:$J$3001,$X300)&amp;"")</f>
        <v/>
      </c>
      <c r="G300">
        <f>IF($X300="","",INDEX('Per Line'!$K$2:$K$3001,$X300)&amp;"")</f>
        <v/>
      </c>
      <c r="H300">
        <f>IF($X300="","",INDEX('Per Line'!$M$2:$M$3001,$X300))</f>
        <v/>
      </c>
      <c r="I300" s="7">
        <f>IF($X300="","",H300*V300/100)</f>
        <v/>
      </c>
      <c r="J300">
        <f>IF($X300="","",INDEX('Per Line'!$W$2:$W$3001,$X300)&amp;"")</f>
        <v/>
      </c>
      <c r="K300">
        <f>IF($X300="","",INDEX('Per Line'!$AD$2:$AD$3001,$X300))</f>
        <v/>
      </c>
      <c r="L300">
        <f>IF($X300="","",IF(AND(ISNUMBER(K300),K300&gt;0),V300&gt;K300,FALSE))</f>
        <v/>
      </c>
      <c r="M300" s="7">
        <f>IF($X300="","",SUMIFS('Per Line'!$V$2:$V$3001,'Per Line'!$D$2:$D$3001,$B300,'Per Line'!$AN$2:$AN$3001,1))</f>
        <v/>
      </c>
      <c r="N300">
        <f>IF($X300="","",Settings!$C$7)</f>
        <v/>
      </c>
      <c r="O300" s="7">
        <f>IF($X300="","",SUMIFS('Per Line'!$V$2:$V$3001,'Per Line'!$D$2:$D$3001,$B300,'Per Line'!$AM$2:$AM$3001,0,'Per Line'!$AN$2:$AN$3001,0))</f>
        <v/>
      </c>
      <c r="P300" s="7">
        <f>IF($X300="","",O300*N300)</f>
        <v/>
      </c>
      <c r="Q300">
        <f>IF($X300="","",Settings!$C$6)</f>
        <v/>
      </c>
      <c r="R300" s="7">
        <f>IF($X300="","",SUMIFS('Per Line'!$V$2:$V$3001,'Per Line'!$D$2:$D$3001,$B300,'Per Line'!$AM$2:$AM$3001,1,'Per Line'!$AN$2:$AN$3001,0))</f>
        <v/>
      </c>
      <c r="S300" s="7">
        <f>IF($X300="","",R300*Q300)</f>
        <v/>
      </c>
      <c r="T300" s="7">
        <f>IF($X300="","",S300+P300)</f>
        <v/>
      </c>
      <c r="U300" s="7">
        <f>IF($X300="","",V300-T300)</f>
        <v/>
      </c>
      <c r="V300" s="7">
        <f>IF($X300="","",O300+R300+M300)</f>
        <v/>
      </c>
      <c r="W300" s="7">
        <f>IF($X300="","",V300-T300-I300)</f>
        <v/>
      </c>
      <c r="X300" s="13">
        <f>IF(ROWS($X$2:$X300)&lt;=MAX('Per Line'!$AL$2:$AL$3001),MATCH(ROWS($X$2:$X300),'Per Line'!$AL$2:$AL$3001,0),"")</f>
        <v/>
      </c>
    </row>
    <row r="301">
      <c r="A301" s="12" t="n"/>
      <c r="B301">
        <f>IF($X301="","",INDEX('Per Line'!$D$2:$D$3001,$X301)&amp;"")</f>
        <v/>
      </c>
      <c r="C301" s="11">
        <f>IF($X301="","",INDEX('Per Line'!$F$2:$F$3001,$X301))</f>
        <v/>
      </c>
      <c r="D301">
        <f>IF($X301="","",INDEX('Per Line'!$G$2:$G$3001,$X301)&amp;"")</f>
        <v/>
      </c>
      <c r="E301">
        <f>IF($X301="","",INDEX('Per Line'!$I$2:$I$3001,$X301)&amp;"")</f>
        <v/>
      </c>
      <c r="F301">
        <f>IF($X301="","",INDEX('Per Line'!$J$2:$J$3001,$X301)&amp;"")</f>
        <v/>
      </c>
      <c r="G301">
        <f>IF($X301="","",INDEX('Per Line'!$K$2:$K$3001,$X301)&amp;"")</f>
        <v/>
      </c>
      <c r="H301">
        <f>IF($X301="","",INDEX('Per Line'!$M$2:$M$3001,$X301))</f>
        <v/>
      </c>
      <c r="I301" s="7">
        <f>IF($X301="","",H301*V301/100)</f>
        <v/>
      </c>
      <c r="J301">
        <f>IF($X301="","",INDEX('Per Line'!$W$2:$W$3001,$X301)&amp;"")</f>
        <v/>
      </c>
      <c r="K301">
        <f>IF($X301="","",INDEX('Per Line'!$AD$2:$AD$3001,$X301))</f>
        <v/>
      </c>
      <c r="L301">
        <f>IF($X301="","",IF(AND(ISNUMBER(K301),K301&gt;0),V301&gt;K301,FALSE))</f>
        <v/>
      </c>
      <c r="M301" s="7">
        <f>IF($X301="","",SUMIFS('Per Line'!$V$2:$V$3001,'Per Line'!$D$2:$D$3001,$B301,'Per Line'!$AN$2:$AN$3001,1))</f>
        <v/>
      </c>
      <c r="N301">
        <f>IF($X301="","",Settings!$C$7)</f>
        <v/>
      </c>
      <c r="O301" s="7">
        <f>IF($X301="","",SUMIFS('Per Line'!$V$2:$V$3001,'Per Line'!$D$2:$D$3001,$B301,'Per Line'!$AM$2:$AM$3001,0,'Per Line'!$AN$2:$AN$3001,0))</f>
        <v/>
      </c>
      <c r="P301" s="7">
        <f>IF($X301="","",O301*N301)</f>
        <v/>
      </c>
      <c r="Q301">
        <f>IF($X301="","",Settings!$C$6)</f>
        <v/>
      </c>
      <c r="R301" s="7">
        <f>IF($X301="","",SUMIFS('Per Line'!$V$2:$V$3001,'Per Line'!$D$2:$D$3001,$B301,'Per Line'!$AM$2:$AM$3001,1,'Per Line'!$AN$2:$AN$3001,0))</f>
        <v/>
      </c>
      <c r="S301" s="7">
        <f>IF($X301="","",R301*Q301)</f>
        <v/>
      </c>
      <c r="T301" s="7">
        <f>IF($X301="","",S301+P301)</f>
        <v/>
      </c>
      <c r="U301" s="7">
        <f>IF($X301="","",V301-T301)</f>
        <v/>
      </c>
      <c r="V301" s="7">
        <f>IF($X301="","",O301+R301+M301)</f>
        <v/>
      </c>
      <c r="W301" s="7">
        <f>IF($X301="","",V301-T301-I301)</f>
        <v/>
      </c>
      <c r="X301" s="13">
        <f>IF(ROWS($X$2:$X301)&lt;=MAX('Per Line'!$AL$2:$AL$3001),MATCH(ROWS($X$2:$X301),'Per Line'!$AL$2:$AL$3001,0),"")</f>
        <v/>
      </c>
    </row>
    <row r="302">
      <c r="A302" s="12" t="n"/>
      <c r="B302">
        <f>IF($X302="","",INDEX('Per Line'!$D$2:$D$3001,$X302)&amp;"")</f>
        <v/>
      </c>
      <c r="C302" s="11">
        <f>IF($X302="","",INDEX('Per Line'!$F$2:$F$3001,$X302))</f>
        <v/>
      </c>
      <c r="D302">
        <f>IF($X302="","",INDEX('Per Line'!$G$2:$G$3001,$X302)&amp;"")</f>
        <v/>
      </c>
      <c r="E302">
        <f>IF($X302="","",INDEX('Per Line'!$I$2:$I$3001,$X302)&amp;"")</f>
        <v/>
      </c>
      <c r="F302">
        <f>IF($X302="","",INDEX('Per Line'!$J$2:$J$3001,$X302)&amp;"")</f>
        <v/>
      </c>
      <c r="G302">
        <f>IF($X302="","",INDEX('Per Line'!$K$2:$K$3001,$X302)&amp;"")</f>
        <v/>
      </c>
      <c r="H302">
        <f>IF($X302="","",INDEX('Per Line'!$M$2:$M$3001,$X302))</f>
        <v/>
      </c>
      <c r="I302" s="7">
        <f>IF($X302="","",H302*V302/100)</f>
        <v/>
      </c>
      <c r="J302">
        <f>IF($X302="","",INDEX('Per Line'!$W$2:$W$3001,$X302)&amp;"")</f>
        <v/>
      </c>
      <c r="K302">
        <f>IF($X302="","",INDEX('Per Line'!$AD$2:$AD$3001,$X302))</f>
        <v/>
      </c>
      <c r="L302">
        <f>IF($X302="","",IF(AND(ISNUMBER(K302),K302&gt;0),V302&gt;K302,FALSE))</f>
        <v/>
      </c>
      <c r="M302" s="7">
        <f>IF($X302="","",SUMIFS('Per Line'!$V$2:$V$3001,'Per Line'!$D$2:$D$3001,$B302,'Per Line'!$AN$2:$AN$3001,1))</f>
        <v/>
      </c>
      <c r="N302">
        <f>IF($X302="","",Settings!$C$7)</f>
        <v/>
      </c>
      <c r="O302" s="7">
        <f>IF($X302="","",SUMIFS('Per Line'!$V$2:$V$3001,'Per Line'!$D$2:$D$3001,$B302,'Per Line'!$AM$2:$AM$3001,0,'Per Line'!$AN$2:$AN$3001,0))</f>
        <v/>
      </c>
      <c r="P302" s="7">
        <f>IF($X302="","",O302*N302)</f>
        <v/>
      </c>
      <c r="Q302">
        <f>IF($X302="","",Settings!$C$6)</f>
        <v/>
      </c>
      <c r="R302" s="7">
        <f>IF($X302="","",SUMIFS('Per Line'!$V$2:$V$3001,'Per Line'!$D$2:$D$3001,$B302,'Per Line'!$AM$2:$AM$3001,1,'Per Line'!$AN$2:$AN$3001,0))</f>
        <v/>
      </c>
      <c r="S302" s="7">
        <f>IF($X302="","",R302*Q302)</f>
        <v/>
      </c>
      <c r="T302" s="7">
        <f>IF($X302="","",S302+P302)</f>
        <v/>
      </c>
      <c r="U302" s="7">
        <f>IF($X302="","",V302-T302)</f>
        <v/>
      </c>
      <c r="V302" s="7">
        <f>IF($X302="","",O302+R302+M302)</f>
        <v/>
      </c>
      <c r="W302" s="7">
        <f>IF($X302="","",V302-T302-I302)</f>
        <v/>
      </c>
      <c r="X302" s="13">
        <f>IF(ROWS($X$2:$X302)&lt;=MAX('Per Line'!$AL$2:$AL$3001),MATCH(ROWS($X$2:$X302),'Per Line'!$AL$2:$AL$3001,0),"")</f>
        <v/>
      </c>
    </row>
    <row r="303">
      <c r="A303" s="12" t="n"/>
      <c r="B303">
        <f>IF($X303="","",INDEX('Per Line'!$D$2:$D$3001,$X303)&amp;"")</f>
        <v/>
      </c>
      <c r="C303" s="11">
        <f>IF($X303="","",INDEX('Per Line'!$F$2:$F$3001,$X303))</f>
        <v/>
      </c>
      <c r="D303">
        <f>IF($X303="","",INDEX('Per Line'!$G$2:$G$3001,$X303)&amp;"")</f>
        <v/>
      </c>
      <c r="E303">
        <f>IF($X303="","",INDEX('Per Line'!$I$2:$I$3001,$X303)&amp;"")</f>
        <v/>
      </c>
      <c r="F303">
        <f>IF($X303="","",INDEX('Per Line'!$J$2:$J$3001,$X303)&amp;"")</f>
        <v/>
      </c>
      <c r="G303">
        <f>IF($X303="","",INDEX('Per Line'!$K$2:$K$3001,$X303)&amp;"")</f>
        <v/>
      </c>
      <c r="H303">
        <f>IF($X303="","",INDEX('Per Line'!$M$2:$M$3001,$X303))</f>
        <v/>
      </c>
      <c r="I303" s="7">
        <f>IF($X303="","",H303*V303/100)</f>
        <v/>
      </c>
      <c r="J303">
        <f>IF($X303="","",INDEX('Per Line'!$W$2:$W$3001,$X303)&amp;"")</f>
        <v/>
      </c>
      <c r="K303">
        <f>IF($X303="","",INDEX('Per Line'!$AD$2:$AD$3001,$X303))</f>
        <v/>
      </c>
      <c r="L303">
        <f>IF($X303="","",IF(AND(ISNUMBER(K303),K303&gt;0),V303&gt;K303,FALSE))</f>
        <v/>
      </c>
      <c r="M303" s="7">
        <f>IF($X303="","",SUMIFS('Per Line'!$V$2:$V$3001,'Per Line'!$D$2:$D$3001,$B303,'Per Line'!$AN$2:$AN$3001,1))</f>
        <v/>
      </c>
      <c r="N303">
        <f>IF($X303="","",Settings!$C$7)</f>
        <v/>
      </c>
      <c r="O303" s="7">
        <f>IF($X303="","",SUMIFS('Per Line'!$V$2:$V$3001,'Per Line'!$D$2:$D$3001,$B303,'Per Line'!$AM$2:$AM$3001,0,'Per Line'!$AN$2:$AN$3001,0))</f>
        <v/>
      </c>
      <c r="P303" s="7">
        <f>IF($X303="","",O303*N303)</f>
        <v/>
      </c>
      <c r="Q303">
        <f>IF($X303="","",Settings!$C$6)</f>
        <v/>
      </c>
      <c r="R303" s="7">
        <f>IF($X303="","",SUMIFS('Per Line'!$V$2:$V$3001,'Per Line'!$D$2:$D$3001,$B303,'Per Line'!$AM$2:$AM$3001,1,'Per Line'!$AN$2:$AN$3001,0))</f>
        <v/>
      </c>
      <c r="S303" s="7">
        <f>IF($X303="","",R303*Q303)</f>
        <v/>
      </c>
      <c r="T303" s="7">
        <f>IF($X303="","",S303+P303)</f>
        <v/>
      </c>
      <c r="U303" s="7">
        <f>IF($X303="","",V303-T303)</f>
        <v/>
      </c>
      <c r="V303" s="7">
        <f>IF($X303="","",O303+R303+M303)</f>
        <v/>
      </c>
      <c r="W303" s="7">
        <f>IF($X303="","",V303-T303-I303)</f>
        <v/>
      </c>
      <c r="X303" s="13">
        <f>IF(ROWS($X$2:$X303)&lt;=MAX('Per Line'!$AL$2:$AL$3001),MATCH(ROWS($X$2:$X303),'Per Line'!$AL$2:$AL$3001,0),"")</f>
        <v/>
      </c>
    </row>
    <row r="304">
      <c r="A304" s="12" t="n"/>
      <c r="B304">
        <f>IF($X304="","",INDEX('Per Line'!$D$2:$D$3001,$X304)&amp;"")</f>
        <v/>
      </c>
      <c r="C304" s="11">
        <f>IF($X304="","",INDEX('Per Line'!$F$2:$F$3001,$X304))</f>
        <v/>
      </c>
      <c r="D304">
        <f>IF($X304="","",INDEX('Per Line'!$G$2:$G$3001,$X304)&amp;"")</f>
        <v/>
      </c>
      <c r="E304">
        <f>IF($X304="","",INDEX('Per Line'!$I$2:$I$3001,$X304)&amp;"")</f>
        <v/>
      </c>
      <c r="F304">
        <f>IF($X304="","",INDEX('Per Line'!$J$2:$J$3001,$X304)&amp;"")</f>
        <v/>
      </c>
      <c r="G304">
        <f>IF($X304="","",INDEX('Per Line'!$K$2:$K$3001,$X304)&amp;"")</f>
        <v/>
      </c>
      <c r="H304">
        <f>IF($X304="","",INDEX('Per Line'!$M$2:$M$3001,$X304))</f>
        <v/>
      </c>
      <c r="I304" s="7">
        <f>IF($X304="","",H304*V304/100)</f>
        <v/>
      </c>
      <c r="J304">
        <f>IF($X304="","",INDEX('Per Line'!$W$2:$W$3001,$X304)&amp;"")</f>
        <v/>
      </c>
      <c r="K304">
        <f>IF($X304="","",INDEX('Per Line'!$AD$2:$AD$3001,$X304))</f>
        <v/>
      </c>
      <c r="L304">
        <f>IF($X304="","",IF(AND(ISNUMBER(K304),K304&gt;0),V304&gt;K304,FALSE))</f>
        <v/>
      </c>
      <c r="M304" s="7">
        <f>IF($X304="","",SUMIFS('Per Line'!$V$2:$V$3001,'Per Line'!$D$2:$D$3001,$B304,'Per Line'!$AN$2:$AN$3001,1))</f>
        <v/>
      </c>
      <c r="N304">
        <f>IF($X304="","",Settings!$C$7)</f>
        <v/>
      </c>
      <c r="O304" s="7">
        <f>IF($X304="","",SUMIFS('Per Line'!$V$2:$V$3001,'Per Line'!$D$2:$D$3001,$B304,'Per Line'!$AM$2:$AM$3001,0,'Per Line'!$AN$2:$AN$3001,0))</f>
        <v/>
      </c>
      <c r="P304" s="7">
        <f>IF($X304="","",O304*N304)</f>
        <v/>
      </c>
      <c r="Q304">
        <f>IF($X304="","",Settings!$C$6)</f>
        <v/>
      </c>
      <c r="R304" s="7">
        <f>IF($X304="","",SUMIFS('Per Line'!$V$2:$V$3001,'Per Line'!$D$2:$D$3001,$B304,'Per Line'!$AM$2:$AM$3001,1,'Per Line'!$AN$2:$AN$3001,0))</f>
        <v/>
      </c>
      <c r="S304" s="7">
        <f>IF($X304="","",R304*Q304)</f>
        <v/>
      </c>
      <c r="T304" s="7">
        <f>IF($X304="","",S304+P304)</f>
        <v/>
      </c>
      <c r="U304" s="7">
        <f>IF($X304="","",V304-T304)</f>
        <v/>
      </c>
      <c r="V304" s="7">
        <f>IF($X304="","",O304+R304+M304)</f>
        <v/>
      </c>
      <c r="W304" s="7">
        <f>IF($X304="","",V304-T304-I304)</f>
        <v/>
      </c>
      <c r="X304" s="13">
        <f>IF(ROWS($X$2:$X304)&lt;=MAX('Per Line'!$AL$2:$AL$3001),MATCH(ROWS($X$2:$X304),'Per Line'!$AL$2:$AL$3001,0),"")</f>
        <v/>
      </c>
    </row>
    <row r="305">
      <c r="A305" s="12" t="n"/>
      <c r="B305">
        <f>IF($X305="","",INDEX('Per Line'!$D$2:$D$3001,$X305)&amp;"")</f>
        <v/>
      </c>
      <c r="C305" s="11">
        <f>IF($X305="","",INDEX('Per Line'!$F$2:$F$3001,$X305))</f>
        <v/>
      </c>
      <c r="D305">
        <f>IF($X305="","",INDEX('Per Line'!$G$2:$G$3001,$X305)&amp;"")</f>
        <v/>
      </c>
      <c r="E305">
        <f>IF($X305="","",INDEX('Per Line'!$I$2:$I$3001,$X305)&amp;"")</f>
        <v/>
      </c>
      <c r="F305">
        <f>IF($X305="","",INDEX('Per Line'!$J$2:$J$3001,$X305)&amp;"")</f>
        <v/>
      </c>
      <c r="G305">
        <f>IF($X305="","",INDEX('Per Line'!$K$2:$K$3001,$X305)&amp;"")</f>
        <v/>
      </c>
      <c r="H305">
        <f>IF($X305="","",INDEX('Per Line'!$M$2:$M$3001,$X305))</f>
        <v/>
      </c>
      <c r="I305" s="7">
        <f>IF($X305="","",H305*V305/100)</f>
        <v/>
      </c>
      <c r="J305">
        <f>IF($X305="","",INDEX('Per Line'!$W$2:$W$3001,$X305)&amp;"")</f>
        <v/>
      </c>
      <c r="K305">
        <f>IF($X305="","",INDEX('Per Line'!$AD$2:$AD$3001,$X305))</f>
        <v/>
      </c>
      <c r="L305">
        <f>IF($X305="","",IF(AND(ISNUMBER(K305),K305&gt;0),V305&gt;K305,FALSE))</f>
        <v/>
      </c>
      <c r="M305" s="7">
        <f>IF($X305="","",SUMIFS('Per Line'!$V$2:$V$3001,'Per Line'!$D$2:$D$3001,$B305,'Per Line'!$AN$2:$AN$3001,1))</f>
        <v/>
      </c>
      <c r="N305">
        <f>IF($X305="","",Settings!$C$7)</f>
        <v/>
      </c>
      <c r="O305" s="7">
        <f>IF($X305="","",SUMIFS('Per Line'!$V$2:$V$3001,'Per Line'!$D$2:$D$3001,$B305,'Per Line'!$AM$2:$AM$3001,0,'Per Line'!$AN$2:$AN$3001,0))</f>
        <v/>
      </c>
      <c r="P305" s="7">
        <f>IF($X305="","",O305*N305)</f>
        <v/>
      </c>
      <c r="Q305">
        <f>IF($X305="","",Settings!$C$6)</f>
        <v/>
      </c>
      <c r="R305" s="7">
        <f>IF($X305="","",SUMIFS('Per Line'!$V$2:$V$3001,'Per Line'!$D$2:$D$3001,$B305,'Per Line'!$AM$2:$AM$3001,1,'Per Line'!$AN$2:$AN$3001,0))</f>
        <v/>
      </c>
      <c r="S305" s="7">
        <f>IF($X305="","",R305*Q305)</f>
        <v/>
      </c>
      <c r="T305" s="7">
        <f>IF($X305="","",S305+P305)</f>
        <v/>
      </c>
      <c r="U305" s="7">
        <f>IF($X305="","",V305-T305)</f>
        <v/>
      </c>
      <c r="V305" s="7">
        <f>IF($X305="","",O305+R305+M305)</f>
        <v/>
      </c>
      <c r="W305" s="7">
        <f>IF($X305="","",V305-T305-I305)</f>
        <v/>
      </c>
      <c r="X305" s="13">
        <f>IF(ROWS($X$2:$X305)&lt;=MAX('Per Line'!$AL$2:$AL$3001),MATCH(ROWS($X$2:$X305),'Per Line'!$AL$2:$AL$3001,0),"")</f>
        <v/>
      </c>
    </row>
    <row r="306">
      <c r="A306" s="12" t="n"/>
      <c r="B306">
        <f>IF($X306="","",INDEX('Per Line'!$D$2:$D$3001,$X306)&amp;"")</f>
        <v/>
      </c>
      <c r="C306" s="11">
        <f>IF($X306="","",INDEX('Per Line'!$F$2:$F$3001,$X306))</f>
        <v/>
      </c>
      <c r="D306">
        <f>IF($X306="","",INDEX('Per Line'!$G$2:$G$3001,$X306)&amp;"")</f>
        <v/>
      </c>
      <c r="E306">
        <f>IF($X306="","",INDEX('Per Line'!$I$2:$I$3001,$X306)&amp;"")</f>
        <v/>
      </c>
      <c r="F306">
        <f>IF($X306="","",INDEX('Per Line'!$J$2:$J$3001,$X306)&amp;"")</f>
        <v/>
      </c>
      <c r="G306">
        <f>IF($X306="","",INDEX('Per Line'!$K$2:$K$3001,$X306)&amp;"")</f>
        <v/>
      </c>
      <c r="H306">
        <f>IF($X306="","",INDEX('Per Line'!$M$2:$M$3001,$X306))</f>
        <v/>
      </c>
      <c r="I306" s="7">
        <f>IF($X306="","",H306*V306/100)</f>
        <v/>
      </c>
      <c r="J306">
        <f>IF($X306="","",INDEX('Per Line'!$W$2:$W$3001,$X306)&amp;"")</f>
        <v/>
      </c>
      <c r="K306">
        <f>IF($X306="","",INDEX('Per Line'!$AD$2:$AD$3001,$X306))</f>
        <v/>
      </c>
      <c r="L306">
        <f>IF($X306="","",IF(AND(ISNUMBER(K306),K306&gt;0),V306&gt;K306,FALSE))</f>
        <v/>
      </c>
      <c r="M306" s="7">
        <f>IF($X306="","",SUMIFS('Per Line'!$V$2:$V$3001,'Per Line'!$D$2:$D$3001,$B306,'Per Line'!$AN$2:$AN$3001,1))</f>
        <v/>
      </c>
      <c r="N306">
        <f>IF($X306="","",Settings!$C$7)</f>
        <v/>
      </c>
      <c r="O306" s="7">
        <f>IF($X306="","",SUMIFS('Per Line'!$V$2:$V$3001,'Per Line'!$D$2:$D$3001,$B306,'Per Line'!$AM$2:$AM$3001,0,'Per Line'!$AN$2:$AN$3001,0))</f>
        <v/>
      </c>
      <c r="P306" s="7">
        <f>IF($X306="","",O306*N306)</f>
        <v/>
      </c>
      <c r="Q306">
        <f>IF($X306="","",Settings!$C$6)</f>
        <v/>
      </c>
      <c r="R306" s="7">
        <f>IF($X306="","",SUMIFS('Per Line'!$V$2:$V$3001,'Per Line'!$D$2:$D$3001,$B306,'Per Line'!$AM$2:$AM$3001,1,'Per Line'!$AN$2:$AN$3001,0))</f>
        <v/>
      </c>
      <c r="S306" s="7">
        <f>IF($X306="","",R306*Q306)</f>
        <v/>
      </c>
      <c r="T306" s="7">
        <f>IF($X306="","",S306+P306)</f>
        <v/>
      </c>
      <c r="U306" s="7">
        <f>IF($X306="","",V306-T306)</f>
        <v/>
      </c>
      <c r="V306" s="7">
        <f>IF($X306="","",O306+R306+M306)</f>
        <v/>
      </c>
      <c r="W306" s="7">
        <f>IF($X306="","",V306-T306-I306)</f>
        <v/>
      </c>
      <c r="X306" s="13">
        <f>IF(ROWS($X$2:$X306)&lt;=MAX('Per Line'!$AL$2:$AL$3001),MATCH(ROWS($X$2:$X306),'Per Line'!$AL$2:$AL$3001,0),"")</f>
        <v/>
      </c>
    </row>
    <row r="307">
      <c r="A307" s="12" t="n"/>
      <c r="B307">
        <f>IF($X307="","",INDEX('Per Line'!$D$2:$D$3001,$X307)&amp;"")</f>
        <v/>
      </c>
      <c r="C307" s="11">
        <f>IF($X307="","",INDEX('Per Line'!$F$2:$F$3001,$X307))</f>
        <v/>
      </c>
      <c r="D307">
        <f>IF($X307="","",INDEX('Per Line'!$G$2:$G$3001,$X307)&amp;"")</f>
        <v/>
      </c>
      <c r="E307">
        <f>IF($X307="","",INDEX('Per Line'!$I$2:$I$3001,$X307)&amp;"")</f>
        <v/>
      </c>
      <c r="F307">
        <f>IF($X307="","",INDEX('Per Line'!$J$2:$J$3001,$X307)&amp;"")</f>
        <v/>
      </c>
      <c r="G307">
        <f>IF($X307="","",INDEX('Per Line'!$K$2:$K$3001,$X307)&amp;"")</f>
        <v/>
      </c>
      <c r="H307">
        <f>IF($X307="","",INDEX('Per Line'!$M$2:$M$3001,$X307))</f>
        <v/>
      </c>
      <c r="I307" s="7">
        <f>IF($X307="","",H307*V307/100)</f>
        <v/>
      </c>
      <c r="J307">
        <f>IF($X307="","",INDEX('Per Line'!$W$2:$W$3001,$X307)&amp;"")</f>
        <v/>
      </c>
      <c r="K307">
        <f>IF($X307="","",INDEX('Per Line'!$AD$2:$AD$3001,$X307))</f>
        <v/>
      </c>
      <c r="L307">
        <f>IF($X307="","",IF(AND(ISNUMBER(K307),K307&gt;0),V307&gt;K307,FALSE))</f>
        <v/>
      </c>
      <c r="M307" s="7">
        <f>IF($X307="","",SUMIFS('Per Line'!$V$2:$V$3001,'Per Line'!$D$2:$D$3001,$B307,'Per Line'!$AN$2:$AN$3001,1))</f>
        <v/>
      </c>
      <c r="N307">
        <f>IF($X307="","",Settings!$C$7)</f>
        <v/>
      </c>
      <c r="O307" s="7">
        <f>IF($X307="","",SUMIFS('Per Line'!$V$2:$V$3001,'Per Line'!$D$2:$D$3001,$B307,'Per Line'!$AM$2:$AM$3001,0,'Per Line'!$AN$2:$AN$3001,0))</f>
        <v/>
      </c>
      <c r="P307" s="7">
        <f>IF($X307="","",O307*N307)</f>
        <v/>
      </c>
      <c r="Q307">
        <f>IF($X307="","",Settings!$C$6)</f>
        <v/>
      </c>
      <c r="R307" s="7">
        <f>IF($X307="","",SUMIFS('Per Line'!$V$2:$V$3001,'Per Line'!$D$2:$D$3001,$B307,'Per Line'!$AM$2:$AM$3001,1,'Per Line'!$AN$2:$AN$3001,0))</f>
        <v/>
      </c>
      <c r="S307" s="7">
        <f>IF($X307="","",R307*Q307)</f>
        <v/>
      </c>
      <c r="T307" s="7">
        <f>IF($X307="","",S307+P307)</f>
        <v/>
      </c>
      <c r="U307" s="7">
        <f>IF($X307="","",V307-T307)</f>
        <v/>
      </c>
      <c r="V307" s="7">
        <f>IF($X307="","",O307+R307+M307)</f>
        <v/>
      </c>
      <c r="W307" s="7">
        <f>IF($X307="","",V307-T307-I307)</f>
        <v/>
      </c>
      <c r="X307" s="13">
        <f>IF(ROWS($X$2:$X307)&lt;=MAX('Per Line'!$AL$2:$AL$3001),MATCH(ROWS($X$2:$X307),'Per Line'!$AL$2:$AL$3001,0),"")</f>
        <v/>
      </c>
    </row>
    <row r="308">
      <c r="A308" s="12" t="n"/>
      <c r="B308">
        <f>IF($X308="","",INDEX('Per Line'!$D$2:$D$3001,$X308)&amp;"")</f>
        <v/>
      </c>
      <c r="C308" s="11">
        <f>IF($X308="","",INDEX('Per Line'!$F$2:$F$3001,$X308))</f>
        <v/>
      </c>
      <c r="D308">
        <f>IF($X308="","",INDEX('Per Line'!$G$2:$G$3001,$X308)&amp;"")</f>
        <v/>
      </c>
      <c r="E308">
        <f>IF($X308="","",INDEX('Per Line'!$I$2:$I$3001,$X308)&amp;"")</f>
        <v/>
      </c>
      <c r="F308">
        <f>IF($X308="","",INDEX('Per Line'!$J$2:$J$3001,$X308)&amp;"")</f>
        <v/>
      </c>
      <c r="G308">
        <f>IF($X308="","",INDEX('Per Line'!$K$2:$K$3001,$X308)&amp;"")</f>
        <v/>
      </c>
      <c r="H308">
        <f>IF($X308="","",INDEX('Per Line'!$M$2:$M$3001,$X308))</f>
        <v/>
      </c>
      <c r="I308" s="7">
        <f>IF($X308="","",H308*V308/100)</f>
        <v/>
      </c>
      <c r="J308">
        <f>IF($X308="","",INDEX('Per Line'!$W$2:$W$3001,$X308)&amp;"")</f>
        <v/>
      </c>
      <c r="K308">
        <f>IF($X308="","",INDEX('Per Line'!$AD$2:$AD$3001,$X308))</f>
        <v/>
      </c>
      <c r="L308">
        <f>IF($X308="","",IF(AND(ISNUMBER(K308),K308&gt;0),V308&gt;K308,FALSE))</f>
        <v/>
      </c>
      <c r="M308" s="7">
        <f>IF($X308="","",SUMIFS('Per Line'!$V$2:$V$3001,'Per Line'!$D$2:$D$3001,$B308,'Per Line'!$AN$2:$AN$3001,1))</f>
        <v/>
      </c>
      <c r="N308">
        <f>IF($X308="","",Settings!$C$7)</f>
        <v/>
      </c>
      <c r="O308" s="7">
        <f>IF($X308="","",SUMIFS('Per Line'!$V$2:$V$3001,'Per Line'!$D$2:$D$3001,$B308,'Per Line'!$AM$2:$AM$3001,0,'Per Line'!$AN$2:$AN$3001,0))</f>
        <v/>
      </c>
      <c r="P308" s="7">
        <f>IF($X308="","",O308*N308)</f>
        <v/>
      </c>
      <c r="Q308">
        <f>IF($X308="","",Settings!$C$6)</f>
        <v/>
      </c>
      <c r="R308" s="7">
        <f>IF($X308="","",SUMIFS('Per Line'!$V$2:$V$3001,'Per Line'!$D$2:$D$3001,$B308,'Per Line'!$AM$2:$AM$3001,1,'Per Line'!$AN$2:$AN$3001,0))</f>
        <v/>
      </c>
      <c r="S308" s="7">
        <f>IF($X308="","",R308*Q308)</f>
        <v/>
      </c>
      <c r="T308" s="7">
        <f>IF($X308="","",S308+P308)</f>
        <v/>
      </c>
      <c r="U308" s="7">
        <f>IF($X308="","",V308-T308)</f>
        <v/>
      </c>
      <c r="V308" s="7">
        <f>IF($X308="","",O308+R308+M308)</f>
        <v/>
      </c>
      <c r="W308" s="7">
        <f>IF($X308="","",V308-T308-I308)</f>
        <v/>
      </c>
      <c r="X308" s="13">
        <f>IF(ROWS($X$2:$X308)&lt;=MAX('Per Line'!$AL$2:$AL$3001),MATCH(ROWS($X$2:$X308),'Per Line'!$AL$2:$AL$3001,0),"")</f>
        <v/>
      </c>
    </row>
    <row r="309">
      <c r="A309" s="12" t="n"/>
      <c r="B309">
        <f>IF($X309="","",INDEX('Per Line'!$D$2:$D$3001,$X309)&amp;"")</f>
        <v/>
      </c>
      <c r="C309" s="11">
        <f>IF($X309="","",INDEX('Per Line'!$F$2:$F$3001,$X309))</f>
        <v/>
      </c>
      <c r="D309">
        <f>IF($X309="","",INDEX('Per Line'!$G$2:$G$3001,$X309)&amp;"")</f>
        <v/>
      </c>
      <c r="E309">
        <f>IF($X309="","",INDEX('Per Line'!$I$2:$I$3001,$X309)&amp;"")</f>
        <v/>
      </c>
      <c r="F309">
        <f>IF($X309="","",INDEX('Per Line'!$J$2:$J$3001,$X309)&amp;"")</f>
        <v/>
      </c>
      <c r="G309">
        <f>IF($X309="","",INDEX('Per Line'!$K$2:$K$3001,$X309)&amp;"")</f>
        <v/>
      </c>
      <c r="H309">
        <f>IF($X309="","",INDEX('Per Line'!$M$2:$M$3001,$X309))</f>
        <v/>
      </c>
      <c r="I309" s="7">
        <f>IF($X309="","",H309*V309/100)</f>
        <v/>
      </c>
      <c r="J309">
        <f>IF($X309="","",INDEX('Per Line'!$W$2:$W$3001,$X309)&amp;"")</f>
        <v/>
      </c>
      <c r="K309">
        <f>IF($X309="","",INDEX('Per Line'!$AD$2:$AD$3001,$X309))</f>
        <v/>
      </c>
      <c r="L309">
        <f>IF($X309="","",IF(AND(ISNUMBER(K309),K309&gt;0),V309&gt;K309,FALSE))</f>
        <v/>
      </c>
      <c r="M309" s="7">
        <f>IF($X309="","",SUMIFS('Per Line'!$V$2:$V$3001,'Per Line'!$D$2:$D$3001,$B309,'Per Line'!$AN$2:$AN$3001,1))</f>
        <v/>
      </c>
      <c r="N309">
        <f>IF($X309="","",Settings!$C$7)</f>
        <v/>
      </c>
      <c r="O309" s="7">
        <f>IF($X309="","",SUMIFS('Per Line'!$V$2:$V$3001,'Per Line'!$D$2:$D$3001,$B309,'Per Line'!$AM$2:$AM$3001,0,'Per Line'!$AN$2:$AN$3001,0))</f>
        <v/>
      </c>
      <c r="P309" s="7">
        <f>IF($X309="","",O309*N309)</f>
        <v/>
      </c>
      <c r="Q309">
        <f>IF($X309="","",Settings!$C$6)</f>
        <v/>
      </c>
      <c r="R309" s="7">
        <f>IF($X309="","",SUMIFS('Per Line'!$V$2:$V$3001,'Per Line'!$D$2:$D$3001,$B309,'Per Line'!$AM$2:$AM$3001,1,'Per Line'!$AN$2:$AN$3001,0))</f>
        <v/>
      </c>
      <c r="S309" s="7">
        <f>IF($X309="","",R309*Q309)</f>
        <v/>
      </c>
      <c r="T309" s="7">
        <f>IF($X309="","",S309+P309)</f>
        <v/>
      </c>
      <c r="U309" s="7">
        <f>IF($X309="","",V309-T309)</f>
        <v/>
      </c>
      <c r="V309" s="7">
        <f>IF($X309="","",O309+R309+M309)</f>
        <v/>
      </c>
      <c r="W309" s="7">
        <f>IF($X309="","",V309-T309-I309)</f>
        <v/>
      </c>
      <c r="X309" s="13">
        <f>IF(ROWS($X$2:$X309)&lt;=MAX('Per Line'!$AL$2:$AL$3001),MATCH(ROWS($X$2:$X309),'Per Line'!$AL$2:$AL$3001,0),"")</f>
        <v/>
      </c>
    </row>
    <row r="310">
      <c r="A310" s="12" t="n"/>
      <c r="B310">
        <f>IF($X310="","",INDEX('Per Line'!$D$2:$D$3001,$X310)&amp;"")</f>
        <v/>
      </c>
      <c r="C310" s="11">
        <f>IF($X310="","",INDEX('Per Line'!$F$2:$F$3001,$X310))</f>
        <v/>
      </c>
      <c r="D310">
        <f>IF($X310="","",INDEX('Per Line'!$G$2:$G$3001,$X310)&amp;"")</f>
        <v/>
      </c>
      <c r="E310">
        <f>IF($X310="","",INDEX('Per Line'!$I$2:$I$3001,$X310)&amp;"")</f>
        <v/>
      </c>
      <c r="F310">
        <f>IF($X310="","",INDEX('Per Line'!$J$2:$J$3001,$X310)&amp;"")</f>
        <v/>
      </c>
      <c r="G310">
        <f>IF($X310="","",INDEX('Per Line'!$K$2:$K$3001,$X310)&amp;"")</f>
        <v/>
      </c>
      <c r="H310">
        <f>IF($X310="","",INDEX('Per Line'!$M$2:$M$3001,$X310))</f>
        <v/>
      </c>
      <c r="I310" s="7">
        <f>IF($X310="","",H310*V310/100)</f>
        <v/>
      </c>
      <c r="J310">
        <f>IF($X310="","",INDEX('Per Line'!$W$2:$W$3001,$X310)&amp;"")</f>
        <v/>
      </c>
      <c r="K310">
        <f>IF($X310="","",INDEX('Per Line'!$AD$2:$AD$3001,$X310))</f>
        <v/>
      </c>
      <c r="L310">
        <f>IF($X310="","",IF(AND(ISNUMBER(K310),K310&gt;0),V310&gt;K310,FALSE))</f>
        <v/>
      </c>
      <c r="M310" s="7">
        <f>IF($X310="","",SUMIFS('Per Line'!$V$2:$V$3001,'Per Line'!$D$2:$D$3001,$B310,'Per Line'!$AN$2:$AN$3001,1))</f>
        <v/>
      </c>
      <c r="N310">
        <f>IF($X310="","",Settings!$C$7)</f>
        <v/>
      </c>
      <c r="O310" s="7">
        <f>IF($X310="","",SUMIFS('Per Line'!$V$2:$V$3001,'Per Line'!$D$2:$D$3001,$B310,'Per Line'!$AM$2:$AM$3001,0,'Per Line'!$AN$2:$AN$3001,0))</f>
        <v/>
      </c>
      <c r="P310" s="7">
        <f>IF($X310="","",O310*N310)</f>
        <v/>
      </c>
      <c r="Q310">
        <f>IF($X310="","",Settings!$C$6)</f>
        <v/>
      </c>
      <c r="R310" s="7">
        <f>IF($X310="","",SUMIFS('Per Line'!$V$2:$V$3001,'Per Line'!$D$2:$D$3001,$B310,'Per Line'!$AM$2:$AM$3001,1,'Per Line'!$AN$2:$AN$3001,0))</f>
        <v/>
      </c>
      <c r="S310" s="7">
        <f>IF($X310="","",R310*Q310)</f>
        <v/>
      </c>
      <c r="T310" s="7">
        <f>IF($X310="","",S310+P310)</f>
        <v/>
      </c>
      <c r="U310" s="7">
        <f>IF($X310="","",V310-T310)</f>
        <v/>
      </c>
      <c r="V310" s="7">
        <f>IF($X310="","",O310+R310+M310)</f>
        <v/>
      </c>
      <c r="W310" s="7">
        <f>IF($X310="","",V310-T310-I310)</f>
        <v/>
      </c>
      <c r="X310" s="13">
        <f>IF(ROWS($X$2:$X310)&lt;=MAX('Per Line'!$AL$2:$AL$3001),MATCH(ROWS($X$2:$X310),'Per Line'!$AL$2:$AL$3001,0),"")</f>
        <v/>
      </c>
    </row>
    <row r="311">
      <c r="A311" s="12" t="n"/>
      <c r="B311">
        <f>IF($X311="","",INDEX('Per Line'!$D$2:$D$3001,$X311)&amp;"")</f>
        <v/>
      </c>
      <c r="C311" s="11">
        <f>IF($X311="","",INDEX('Per Line'!$F$2:$F$3001,$X311))</f>
        <v/>
      </c>
      <c r="D311">
        <f>IF($X311="","",INDEX('Per Line'!$G$2:$G$3001,$X311)&amp;"")</f>
        <v/>
      </c>
      <c r="E311">
        <f>IF($X311="","",INDEX('Per Line'!$I$2:$I$3001,$X311)&amp;"")</f>
        <v/>
      </c>
      <c r="F311">
        <f>IF($X311="","",INDEX('Per Line'!$J$2:$J$3001,$X311)&amp;"")</f>
        <v/>
      </c>
      <c r="G311">
        <f>IF($X311="","",INDEX('Per Line'!$K$2:$K$3001,$X311)&amp;"")</f>
        <v/>
      </c>
      <c r="H311">
        <f>IF($X311="","",INDEX('Per Line'!$M$2:$M$3001,$X311))</f>
        <v/>
      </c>
      <c r="I311" s="7">
        <f>IF($X311="","",H311*V311/100)</f>
        <v/>
      </c>
      <c r="J311">
        <f>IF($X311="","",INDEX('Per Line'!$W$2:$W$3001,$X311)&amp;"")</f>
        <v/>
      </c>
      <c r="K311">
        <f>IF($X311="","",INDEX('Per Line'!$AD$2:$AD$3001,$X311))</f>
        <v/>
      </c>
      <c r="L311">
        <f>IF($X311="","",IF(AND(ISNUMBER(K311),K311&gt;0),V311&gt;K311,FALSE))</f>
        <v/>
      </c>
      <c r="M311" s="7">
        <f>IF($X311="","",SUMIFS('Per Line'!$V$2:$V$3001,'Per Line'!$D$2:$D$3001,$B311,'Per Line'!$AN$2:$AN$3001,1))</f>
        <v/>
      </c>
      <c r="N311">
        <f>IF($X311="","",Settings!$C$7)</f>
        <v/>
      </c>
      <c r="O311" s="7">
        <f>IF($X311="","",SUMIFS('Per Line'!$V$2:$V$3001,'Per Line'!$D$2:$D$3001,$B311,'Per Line'!$AM$2:$AM$3001,0,'Per Line'!$AN$2:$AN$3001,0))</f>
        <v/>
      </c>
      <c r="P311" s="7">
        <f>IF($X311="","",O311*N311)</f>
        <v/>
      </c>
      <c r="Q311">
        <f>IF($X311="","",Settings!$C$6)</f>
        <v/>
      </c>
      <c r="R311" s="7">
        <f>IF($X311="","",SUMIFS('Per Line'!$V$2:$V$3001,'Per Line'!$D$2:$D$3001,$B311,'Per Line'!$AM$2:$AM$3001,1,'Per Line'!$AN$2:$AN$3001,0))</f>
        <v/>
      </c>
      <c r="S311" s="7">
        <f>IF($X311="","",R311*Q311)</f>
        <v/>
      </c>
      <c r="T311" s="7">
        <f>IF($X311="","",S311+P311)</f>
        <v/>
      </c>
      <c r="U311" s="7">
        <f>IF($X311="","",V311-T311)</f>
        <v/>
      </c>
      <c r="V311" s="7">
        <f>IF($X311="","",O311+R311+M311)</f>
        <v/>
      </c>
      <c r="W311" s="7">
        <f>IF($X311="","",V311-T311-I311)</f>
        <v/>
      </c>
      <c r="X311" s="13">
        <f>IF(ROWS($X$2:$X311)&lt;=MAX('Per Line'!$AL$2:$AL$3001),MATCH(ROWS($X$2:$X311),'Per Line'!$AL$2:$AL$3001,0),"")</f>
        <v/>
      </c>
    </row>
    <row r="312">
      <c r="A312" s="12" t="n"/>
      <c r="B312">
        <f>IF($X312="","",INDEX('Per Line'!$D$2:$D$3001,$X312)&amp;"")</f>
        <v/>
      </c>
      <c r="C312" s="11">
        <f>IF($X312="","",INDEX('Per Line'!$F$2:$F$3001,$X312))</f>
        <v/>
      </c>
      <c r="D312">
        <f>IF($X312="","",INDEX('Per Line'!$G$2:$G$3001,$X312)&amp;"")</f>
        <v/>
      </c>
      <c r="E312">
        <f>IF($X312="","",INDEX('Per Line'!$I$2:$I$3001,$X312)&amp;"")</f>
        <v/>
      </c>
      <c r="F312">
        <f>IF($X312="","",INDEX('Per Line'!$J$2:$J$3001,$X312)&amp;"")</f>
        <v/>
      </c>
      <c r="G312">
        <f>IF($X312="","",INDEX('Per Line'!$K$2:$K$3001,$X312)&amp;"")</f>
        <v/>
      </c>
      <c r="H312">
        <f>IF($X312="","",INDEX('Per Line'!$M$2:$M$3001,$X312))</f>
        <v/>
      </c>
      <c r="I312" s="7">
        <f>IF($X312="","",H312*V312/100)</f>
        <v/>
      </c>
      <c r="J312">
        <f>IF($X312="","",INDEX('Per Line'!$W$2:$W$3001,$X312)&amp;"")</f>
        <v/>
      </c>
      <c r="K312">
        <f>IF($X312="","",INDEX('Per Line'!$AD$2:$AD$3001,$X312))</f>
        <v/>
      </c>
      <c r="L312">
        <f>IF($X312="","",IF(AND(ISNUMBER(K312),K312&gt;0),V312&gt;K312,FALSE))</f>
        <v/>
      </c>
      <c r="M312" s="7">
        <f>IF($X312="","",SUMIFS('Per Line'!$V$2:$V$3001,'Per Line'!$D$2:$D$3001,$B312,'Per Line'!$AN$2:$AN$3001,1))</f>
        <v/>
      </c>
      <c r="N312">
        <f>IF($X312="","",Settings!$C$7)</f>
        <v/>
      </c>
      <c r="O312" s="7">
        <f>IF($X312="","",SUMIFS('Per Line'!$V$2:$V$3001,'Per Line'!$D$2:$D$3001,$B312,'Per Line'!$AM$2:$AM$3001,0,'Per Line'!$AN$2:$AN$3001,0))</f>
        <v/>
      </c>
      <c r="P312" s="7">
        <f>IF($X312="","",O312*N312)</f>
        <v/>
      </c>
      <c r="Q312">
        <f>IF($X312="","",Settings!$C$6)</f>
        <v/>
      </c>
      <c r="R312" s="7">
        <f>IF($X312="","",SUMIFS('Per Line'!$V$2:$V$3001,'Per Line'!$D$2:$D$3001,$B312,'Per Line'!$AM$2:$AM$3001,1,'Per Line'!$AN$2:$AN$3001,0))</f>
        <v/>
      </c>
      <c r="S312" s="7">
        <f>IF($X312="","",R312*Q312)</f>
        <v/>
      </c>
      <c r="T312" s="7">
        <f>IF($X312="","",S312+P312)</f>
        <v/>
      </c>
      <c r="U312" s="7">
        <f>IF($X312="","",V312-T312)</f>
        <v/>
      </c>
      <c r="V312" s="7">
        <f>IF($X312="","",O312+R312+M312)</f>
        <v/>
      </c>
      <c r="W312" s="7">
        <f>IF($X312="","",V312-T312-I312)</f>
        <v/>
      </c>
      <c r="X312" s="13">
        <f>IF(ROWS($X$2:$X312)&lt;=MAX('Per Line'!$AL$2:$AL$3001),MATCH(ROWS($X$2:$X312),'Per Line'!$AL$2:$AL$3001,0),"")</f>
        <v/>
      </c>
    </row>
    <row r="313">
      <c r="A313" s="12" t="n"/>
      <c r="B313">
        <f>IF($X313="","",INDEX('Per Line'!$D$2:$D$3001,$X313)&amp;"")</f>
        <v/>
      </c>
      <c r="C313" s="11">
        <f>IF($X313="","",INDEX('Per Line'!$F$2:$F$3001,$X313))</f>
        <v/>
      </c>
      <c r="D313">
        <f>IF($X313="","",INDEX('Per Line'!$G$2:$G$3001,$X313)&amp;"")</f>
        <v/>
      </c>
      <c r="E313">
        <f>IF($X313="","",INDEX('Per Line'!$I$2:$I$3001,$X313)&amp;"")</f>
        <v/>
      </c>
      <c r="F313">
        <f>IF($X313="","",INDEX('Per Line'!$J$2:$J$3001,$X313)&amp;"")</f>
        <v/>
      </c>
      <c r="G313">
        <f>IF($X313="","",INDEX('Per Line'!$K$2:$K$3001,$X313)&amp;"")</f>
        <v/>
      </c>
      <c r="H313">
        <f>IF($X313="","",INDEX('Per Line'!$M$2:$M$3001,$X313))</f>
        <v/>
      </c>
      <c r="I313" s="7">
        <f>IF($X313="","",H313*V313/100)</f>
        <v/>
      </c>
      <c r="J313">
        <f>IF($X313="","",INDEX('Per Line'!$W$2:$W$3001,$X313)&amp;"")</f>
        <v/>
      </c>
      <c r="K313">
        <f>IF($X313="","",INDEX('Per Line'!$AD$2:$AD$3001,$X313))</f>
        <v/>
      </c>
      <c r="L313">
        <f>IF($X313="","",IF(AND(ISNUMBER(K313),K313&gt;0),V313&gt;K313,FALSE))</f>
        <v/>
      </c>
      <c r="M313" s="7">
        <f>IF($X313="","",SUMIFS('Per Line'!$V$2:$V$3001,'Per Line'!$D$2:$D$3001,$B313,'Per Line'!$AN$2:$AN$3001,1))</f>
        <v/>
      </c>
      <c r="N313">
        <f>IF($X313="","",Settings!$C$7)</f>
        <v/>
      </c>
      <c r="O313" s="7">
        <f>IF($X313="","",SUMIFS('Per Line'!$V$2:$V$3001,'Per Line'!$D$2:$D$3001,$B313,'Per Line'!$AM$2:$AM$3001,0,'Per Line'!$AN$2:$AN$3001,0))</f>
        <v/>
      </c>
      <c r="P313" s="7">
        <f>IF($X313="","",O313*N313)</f>
        <v/>
      </c>
      <c r="Q313">
        <f>IF($X313="","",Settings!$C$6)</f>
        <v/>
      </c>
      <c r="R313" s="7">
        <f>IF($X313="","",SUMIFS('Per Line'!$V$2:$V$3001,'Per Line'!$D$2:$D$3001,$B313,'Per Line'!$AM$2:$AM$3001,1,'Per Line'!$AN$2:$AN$3001,0))</f>
        <v/>
      </c>
      <c r="S313" s="7">
        <f>IF($X313="","",R313*Q313)</f>
        <v/>
      </c>
      <c r="T313" s="7">
        <f>IF($X313="","",S313+P313)</f>
        <v/>
      </c>
      <c r="U313" s="7">
        <f>IF($X313="","",V313-T313)</f>
        <v/>
      </c>
      <c r="V313" s="7">
        <f>IF($X313="","",O313+R313+M313)</f>
        <v/>
      </c>
      <c r="W313" s="7">
        <f>IF($X313="","",V313-T313-I313)</f>
        <v/>
      </c>
      <c r="X313" s="13">
        <f>IF(ROWS($X$2:$X313)&lt;=MAX('Per Line'!$AL$2:$AL$3001),MATCH(ROWS($X$2:$X313),'Per Line'!$AL$2:$AL$3001,0),"")</f>
        <v/>
      </c>
    </row>
    <row r="314">
      <c r="A314" s="12" t="n"/>
      <c r="B314">
        <f>IF($X314="","",INDEX('Per Line'!$D$2:$D$3001,$X314)&amp;"")</f>
        <v/>
      </c>
      <c r="C314" s="11">
        <f>IF($X314="","",INDEX('Per Line'!$F$2:$F$3001,$X314))</f>
        <v/>
      </c>
      <c r="D314">
        <f>IF($X314="","",INDEX('Per Line'!$G$2:$G$3001,$X314)&amp;"")</f>
        <v/>
      </c>
      <c r="E314">
        <f>IF($X314="","",INDEX('Per Line'!$I$2:$I$3001,$X314)&amp;"")</f>
        <v/>
      </c>
      <c r="F314">
        <f>IF($X314="","",INDEX('Per Line'!$J$2:$J$3001,$X314)&amp;"")</f>
        <v/>
      </c>
      <c r="G314">
        <f>IF($X314="","",INDEX('Per Line'!$K$2:$K$3001,$X314)&amp;"")</f>
        <v/>
      </c>
      <c r="H314">
        <f>IF($X314="","",INDEX('Per Line'!$M$2:$M$3001,$X314))</f>
        <v/>
      </c>
      <c r="I314" s="7">
        <f>IF($X314="","",H314*V314/100)</f>
        <v/>
      </c>
      <c r="J314">
        <f>IF($X314="","",INDEX('Per Line'!$W$2:$W$3001,$X314)&amp;"")</f>
        <v/>
      </c>
      <c r="K314">
        <f>IF($X314="","",INDEX('Per Line'!$AD$2:$AD$3001,$X314))</f>
        <v/>
      </c>
      <c r="L314">
        <f>IF($X314="","",IF(AND(ISNUMBER(K314),K314&gt;0),V314&gt;K314,FALSE))</f>
        <v/>
      </c>
      <c r="M314" s="7">
        <f>IF($X314="","",SUMIFS('Per Line'!$V$2:$V$3001,'Per Line'!$D$2:$D$3001,$B314,'Per Line'!$AN$2:$AN$3001,1))</f>
        <v/>
      </c>
      <c r="N314">
        <f>IF($X314="","",Settings!$C$7)</f>
        <v/>
      </c>
      <c r="O314" s="7">
        <f>IF($X314="","",SUMIFS('Per Line'!$V$2:$V$3001,'Per Line'!$D$2:$D$3001,$B314,'Per Line'!$AM$2:$AM$3001,0,'Per Line'!$AN$2:$AN$3001,0))</f>
        <v/>
      </c>
      <c r="P314" s="7">
        <f>IF($X314="","",O314*N314)</f>
        <v/>
      </c>
      <c r="Q314">
        <f>IF($X314="","",Settings!$C$6)</f>
        <v/>
      </c>
      <c r="R314" s="7">
        <f>IF($X314="","",SUMIFS('Per Line'!$V$2:$V$3001,'Per Line'!$D$2:$D$3001,$B314,'Per Line'!$AM$2:$AM$3001,1,'Per Line'!$AN$2:$AN$3001,0))</f>
        <v/>
      </c>
      <c r="S314" s="7">
        <f>IF($X314="","",R314*Q314)</f>
        <v/>
      </c>
      <c r="T314" s="7">
        <f>IF($X314="","",S314+P314)</f>
        <v/>
      </c>
      <c r="U314" s="7">
        <f>IF($X314="","",V314-T314)</f>
        <v/>
      </c>
      <c r="V314" s="7">
        <f>IF($X314="","",O314+R314+M314)</f>
        <v/>
      </c>
      <c r="W314" s="7">
        <f>IF($X314="","",V314-T314-I314)</f>
        <v/>
      </c>
      <c r="X314" s="13">
        <f>IF(ROWS($X$2:$X314)&lt;=MAX('Per Line'!$AL$2:$AL$3001),MATCH(ROWS($X$2:$X314),'Per Line'!$AL$2:$AL$3001,0),"")</f>
        <v/>
      </c>
    </row>
    <row r="315">
      <c r="A315" s="12" t="n"/>
      <c r="B315">
        <f>IF($X315="","",INDEX('Per Line'!$D$2:$D$3001,$X315)&amp;"")</f>
        <v/>
      </c>
      <c r="C315" s="11">
        <f>IF($X315="","",INDEX('Per Line'!$F$2:$F$3001,$X315))</f>
        <v/>
      </c>
      <c r="D315">
        <f>IF($X315="","",INDEX('Per Line'!$G$2:$G$3001,$X315)&amp;"")</f>
        <v/>
      </c>
      <c r="E315">
        <f>IF($X315="","",INDEX('Per Line'!$I$2:$I$3001,$X315)&amp;"")</f>
        <v/>
      </c>
      <c r="F315">
        <f>IF($X315="","",INDEX('Per Line'!$J$2:$J$3001,$X315)&amp;"")</f>
        <v/>
      </c>
      <c r="G315">
        <f>IF($X315="","",INDEX('Per Line'!$K$2:$K$3001,$X315)&amp;"")</f>
        <v/>
      </c>
      <c r="H315">
        <f>IF($X315="","",INDEX('Per Line'!$M$2:$M$3001,$X315))</f>
        <v/>
      </c>
      <c r="I315" s="7">
        <f>IF($X315="","",H315*V315/100)</f>
        <v/>
      </c>
      <c r="J315">
        <f>IF($X315="","",INDEX('Per Line'!$W$2:$W$3001,$X315)&amp;"")</f>
        <v/>
      </c>
      <c r="K315">
        <f>IF($X315="","",INDEX('Per Line'!$AD$2:$AD$3001,$X315))</f>
        <v/>
      </c>
      <c r="L315">
        <f>IF($X315="","",IF(AND(ISNUMBER(K315),K315&gt;0),V315&gt;K315,FALSE))</f>
        <v/>
      </c>
      <c r="M315" s="7">
        <f>IF($X315="","",SUMIFS('Per Line'!$V$2:$V$3001,'Per Line'!$D$2:$D$3001,$B315,'Per Line'!$AN$2:$AN$3001,1))</f>
        <v/>
      </c>
      <c r="N315">
        <f>IF($X315="","",Settings!$C$7)</f>
        <v/>
      </c>
      <c r="O315" s="7">
        <f>IF($X315="","",SUMIFS('Per Line'!$V$2:$V$3001,'Per Line'!$D$2:$D$3001,$B315,'Per Line'!$AM$2:$AM$3001,0,'Per Line'!$AN$2:$AN$3001,0))</f>
        <v/>
      </c>
      <c r="P315" s="7">
        <f>IF($X315="","",O315*N315)</f>
        <v/>
      </c>
      <c r="Q315">
        <f>IF($X315="","",Settings!$C$6)</f>
        <v/>
      </c>
      <c r="R315" s="7">
        <f>IF($X315="","",SUMIFS('Per Line'!$V$2:$V$3001,'Per Line'!$D$2:$D$3001,$B315,'Per Line'!$AM$2:$AM$3001,1,'Per Line'!$AN$2:$AN$3001,0))</f>
        <v/>
      </c>
      <c r="S315" s="7">
        <f>IF($X315="","",R315*Q315)</f>
        <v/>
      </c>
      <c r="T315" s="7">
        <f>IF($X315="","",S315+P315)</f>
        <v/>
      </c>
      <c r="U315" s="7">
        <f>IF($X315="","",V315-T315)</f>
        <v/>
      </c>
      <c r="V315" s="7">
        <f>IF($X315="","",O315+R315+M315)</f>
        <v/>
      </c>
      <c r="W315" s="7">
        <f>IF($X315="","",V315-T315-I315)</f>
        <v/>
      </c>
      <c r="X315" s="13">
        <f>IF(ROWS($X$2:$X315)&lt;=MAX('Per Line'!$AL$2:$AL$3001),MATCH(ROWS($X$2:$X315),'Per Line'!$AL$2:$AL$3001,0),"")</f>
        <v/>
      </c>
    </row>
    <row r="316">
      <c r="A316" s="12" t="n"/>
      <c r="B316">
        <f>IF($X316="","",INDEX('Per Line'!$D$2:$D$3001,$X316)&amp;"")</f>
        <v/>
      </c>
      <c r="C316" s="11">
        <f>IF($X316="","",INDEX('Per Line'!$F$2:$F$3001,$X316))</f>
        <v/>
      </c>
      <c r="D316">
        <f>IF($X316="","",INDEX('Per Line'!$G$2:$G$3001,$X316)&amp;"")</f>
        <v/>
      </c>
      <c r="E316">
        <f>IF($X316="","",INDEX('Per Line'!$I$2:$I$3001,$X316)&amp;"")</f>
        <v/>
      </c>
      <c r="F316">
        <f>IF($X316="","",INDEX('Per Line'!$J$2:$J$3001,$X316)&amp;"")</f>
        <v/>
      </c>
      <c r="G316">
        <f>IF($X316="","",INDEX('Per Line'!$K$2:$K$3001,$X316)&amp;"")</f>
        <v/>
      </c>
      <c r="H316">
        <f>IF($X316="","",INDEX('Per Line'!$M$2:$M$3001,$X316))</f>
        <v/>
      </c>
      <c r="I316" s="7">
        <f>IF($X316="","",H316*V316/100)</f>
        <v/>
      </c>
      <c r="J316">
        <f>IF($X316="","",INDEX('Per Line'!$W$2:$W$3001,$X316)&amp;"")</f>
        <v/>
      </c>
      <c r="K316">
        <f>IF($X316="","",INDEX('Per Line'!$AD$2:$AD$3001,$X316))</f>
        <v/>
      </c>
      <c r="L316">
        <f>IF($X316="","",IF(AND(ISNUMBER(K316),K316&gt;0),V316&gt;K316,FALSE))</f>
        <v/>
      </c>
      <c r="M316" s="7">
        <f>IF($X316="","",SUMIFS('Per Line'!$V$2:$V$3001,'Per Line'!$D$2:$D$3001,$B316,'Per Line'!$AN$2:$AN$3001,1))</f>
        <v/>
      </c>
      <c r="N316">
        <f>IF($X316="","",Settings!$C$7)</f>
        <v/>
      </c>
      <c r="O316" s="7">
        <f>IF($X316="","",SUMIFS('Per Line'!$V$2:$V$3001,'Per Line'!$D$2:$D$3001,$B316,'Per Line'!$AM$2:$AM$3001,0,'Per Line'!$AN$2:$AN$3001,0))</f>
        <v/>
      </c>
      <c r="P316" s="7">
        <f>IF($X316="","",O316*N316)</f>
        <v/>
      </c>
      <c r="Q316">
        <f>IF($X316="","",Settings!$C$6)</f>
        <v/>
      </c>
      <c r="R316" s="7">
        <f>IF($X316="","",SUMIFS('Per Line'!$V$2:$V$3001,'Per Line'!$D$2:$D$3001,$B316,'Per Line'!$AM$2:$AM$3001,1,'Per Line'!$AN$2:$AN$3001,0))</f>
        <v/>
      </c>
      <c r="S316" s="7">
        <f>IF($X316="","",R316*Q316)</f>
        <v/>
      </c>
      <c r="T316" s="7">
        <f>IF($X316="","",S316+P316)</f>
        <v/>
      </c>
      <c r="U316" s="7">
        <f>IF($X316="","",V316-T316)</f>
        <v/>
      </c>
      <c r="V316" s="7">
        <f>IF($X316="","",O316+R316+M316)</f>
        <v/>
      </c>
      <c r="W316" s="7">
        <f>IF($X316="","",V316-T316-I316)</f>
        <v/>
      </c>
      <c r="X316" s="13">
        <f>IF(ROWS($X$2:$X316)&lt;=MAX('Per Line'!$AL$2:$AL$3001),MATCH(ROWS($X$2:$X316),'Per Line'!$AL$2:$AL$3001,0),"")</f>
        <v/>
      </c>
    </row>
    <row r="317">
      <c r="A317" s="12" t="n"/>
      <c r="B317">
        <f>IF($X317="","",INDEX('Per Line'!$D$2:$D$3001,$X317)&amp;"")</f>
        <v/>
      </c>
      <c r="C317" s="11">
        <f>IF($X317="","",INDEX('Per Line'!$F$2:$F$3001,$X317))</f>
        <v/>
      </c>
      <c r="D317">
        <f>IF($X317="","",INDEX('Per Line'!$G$2:$G$3001,$X317)&amp;"")</f>
        <v/>
      </c>
      <c r="E317">
        <f>IF($X317="","",INDEX('Per Line'!$I$2:$I$3001,$X317)&amp;"")</f>
        <v/>
      </c>
      <c r="F317">
        <f>IF($X317="","",INDEX('Per Line'!$J$2:$J$3001,$X317)&amp;"")</f>
        <v/>
      </c>
      <c r="G317">
        <f>IF($X317="","",INDEX('Per Line'!$K$2:$K$3001,$X317)&amp;"")</f>
        <v/>
      </c>
      <c r="H317">
        <f>IF($X317="","",INDEX('Per Line'!$M$2:$M$3001,$X317))</f>
        <v/>
      </c>
      <c r="I317" s="7">
        <f>IF($X317="","",H317*V317/100)</f>
        <v/>
      </c>
      <c r="J317">
        <f>IF($X317="","",INDEX('Per Line'!$W$2:$W$3001,$X317)&amp;"")</f>
        <v/>
      </c>
      <c r="K317">
        <f>IF($X317="","",INDEX('Per Line'!$AD$2:$AD$3001,$X317))</f>
        <v/>
      </c>
      <c r="L317">
        <f>IF($X317="","",IF(AND(ISNUMBER(K317),K317&gt;0),V317&gt;K317,FALSE))</f>
        <v/>
      </c>
      <c r="M317" s="7">
        <f>IF($X317="","",SUMIFS('Per Line'!$V$2:$V$3001,'Per Line'!$D$2:$D$3001,$B317,'Per Line'!$AN$2:$AN$3001,1))</f>
        <v/>
      </c>
      <c r="N317">
        <f>IF($X317="","",Settings!$C$7)</f>
        <v/>
      </c>
      <c r="O317" s="7">
        <f>IF($X317="","",SUMIFS('Per Line'!$V$2:$V$3001,'Per Line'!$D$2:$D$3001,$B317,'Per Line'!$AM$2:$AM$3001,0,'Per Line'!$AN$2:$AN$3001,0))</f>
        <v/>
      </c>
      <c r="P317" s="7">
        <f>IF($X317="","",O317*N317)</f>
        <v/>
      </c>
      <c r="Q317">
        <f>IF($X317="","",Settings!$C$6)</f>
        <v/>
      </c>
      <c r="R317" s="7">
        <f>IF($X317="","",SUMIFS('Per Line'!$V$2:$V$3001,'Per Line'!$D$2:$D$3001,$B317,'Per Line'!$AM$2:$AM$3001,1,'Per Line'!$AN$2:$AN$3001,0))</f>
        <v/>
      </c>
      <c r="S317" s="7">
        <f>IF($X317="","",R317*Q317)</f>
        <v/>
      </c>
      <c r="T317" s="7">
        <f>IF($X317="","",S317+P317)</f>
        <v/>
      </c>
      <c r="U317" s="7">
        <f>IF($X317="","",V317-T317)</f>
        <v/>
      </c>
      <c r="V317" s="7">
        <f>IF($X317="","",O317+R317+M317)</f>
        <v/>
      </c>
      <c r="W317" s="7">
        <f>IF($X317="","",V317-T317-I317)</f>
        <v/>
      </c>
      <c r="X317" s="13">
        <f>IF(ROWS($X$2:$X317)&lt;=MAX('Per Line'!$AL$2:$AL$3001),MATCH(ROWS($X$2:$X317),'Per Line'!$AL$2:$AL$3001,0),"")</f>
        <v/>
      </c>
    </row>
    <row r="318">
      <c r="A318" s="12" t="n"/>
      <c r="B318">
        <f>IF($X318="","",INDEX('Per Line'!$D$2:$D$3001,$X318)&amp;"")</f>
        <v/>
      </c>
      <c r="C318" s="11">
        <f>IF($X318="","",INDEX('Per Line'!$F$2:$F$3001,$X318))</f>
        <v/>
      </c>
      <c r="D318">
        <f>IF($X318="","",INDEX('Per Line'!$G$2:$G$3001,$X318)&amp;"")</f>
        <v/>
      </c>
      <c r="E318">
        <f>IF($X318="","",INDEX('Per Line'!$I$2:$I$3001,$X318)&amp;"")</f>
        <v/>
      </c>
      <c r="F318">
        <f>IF($X318="","",INDEX('Per Line'!$J$2:$J$3001,$X318)&amp;"")</f>
        <v/>
      </c>
      <c r="G318">
        <f>IF($X318="","",INDEX('Per Line'!$K$2:$K$3001,$X318)&amp;"")</f>
        <v/>
      </c>
      <c r="H318">
        <f>IF($X318="","",INDEX('Per Line'!$M$2:$M$3001,$X318))</f>
        <v/>
      </c>
      <c r="I318" s="7">
        <f>IF($X318="","",H318*V318/100)</f>
        <v/>
      </c>
      <c r="J318">
        <f>IF($X318="","",INDEX('Per Line'!$W$2:$W$3001,$X318)&amp;"")</f>
        <v/>
      </c>
      <c r="K318">
        <f>IF($X318="","",INDEX('Per Line'!$AD$2:$AD$3001,$X318))</f>
        <v/>
      </c>
      <c r="L318">
        <f>IF($X318="","",IF(AND(ISNUMBER(K318),K318&gt;0),V318&gt;K318,FALSE))</f>
        <v/>
      </c>
      <c r="M318" s="7">
        <f>IF($X318="","",SUMIFS('Per Line'!$V$2:$V$3001,'Per Line'!$D$2:$D$3001,$B318,'Per Line'!$AN$2:$AN$3001,1))</f>
        <v/>
      </c>
      <c r="N318">
        <f>IF($X318="","",Settings!$C$7)</f>
        <v/>
      </c>
      <c r="O318" s="7">
        <f>IF($X318="","",SUMIFS('Per Line'!$V$2:$V$3001,'Per Line'!$D$2:$D$3001,$B318,'Per Line'!$AM$2:$AM$3001,0,'Per Line'!$AN$2:$AN$3001,0))</f>
        <v/>
      </c>
      <c r="P318" s="7">
        <f>IF($X318="","",O318*N318)</f>
        <v/>
      </c>
      <c r="Q318">
        <f>IF($X318="","",Settings!$C$6)</f>
        <v/>
      </c>
      <c r="R318" s="7">
        <f>IF($X318="","",SUMIFS('Per Line'!$V$2:$V$3001,'Per Line'!$D$2:$D$3001,$B318,'Per Line'!$AM$2:$AM$3001,1,'Per Line'!$AN$2:$AN$3001,0))</f>
        <v/>
      </c>
      <c r="S318" s="7">
        <f>IF($X318="","",R318*Q318)</f>
        <v/>
      </c>
      <c r="T318" s="7">
        <f>IF($X318="","",S318+P318)</f>
        <v/>
      </c>
      <c r="U318" s="7">
        <f>IF($X318="","",V318-T318)</f>
        <v/>
      </c>
      <c r="V318" s="7">
        <f>IF($X318="","",O318+R318+M318)</f>
        <v/>
      </c>
      <c r="W318" s="7">
        <f>IF($X318="","",V318-T318-I318)</f>
        <v/>
      </c>
      <c r="X318" s="13">
        <f>IF(ROWS($X$2:$X318)&lt;=MAX('Per Line'!$AL$2:$AL$3001),MATCH(ROWS($X$2:$X318),'Per Line'!$AL$2:$AL$3001,0),"")</f>
        <v/>
      </c>
    </row>
    <row r="319">
      <c r="A319" s="12" t="n"/>
      <c r="B319">
        <f>IF($X319="","",INDEX('Per Line'!$D$2:$D$3001,$X319)&amp;"")</f>
        <v/>
      </c>
      <c r="C319" s="11">
        <f>IF($X319="","",INDEX('Per Line'!$F$2:$F$3001,$X319))</f>
        <v/>
      </c>
      <c r="D319">
        <f>IF($X319="","",INDEX('Per Line'!$G$2:$G$3001,$X319)&amp;"")</f>
        <v/>
      </c>
      <c r="E319">
        <f>IF($X319="","",INDEX('Per Line'!$I$2:$I$3001,$X319)&amp;"")</f>
        <v/>
      </c>
      <c r="F319">
        <f>IF($X319="","",INDEX('Per Line'!$J$2:$J$3001,$X319)&amp;"")</f>
        <v/>
      </c>
      <c r="G319">
        <f>IF($X319="","",INDEX('Per Line'!$K$2:$K$3001,$X319)&amp;"")</f>
        <v/>
      </c>
      <c r="H319">
        <f>IF($X319="","",INDEX('Per Line'!$M$2:$M$3001,$X319))</f>
        <v/>
      </c>
      <c r="I319" s="7">
        <f>IF($X319="","",H319*V319/100)</f>
        <v/>
      </c>
      <c r="J319">
        <f>IF($X319="","",INDEX('Per Line'!$W$2:$W$3001,$X319)&amp;"")</f>
        <v/>
      </c>
      <c r="K319">
        <f>IF($X319="","",INDEX('Per Line'!$AD$2:$AD$3001,$X319))</f>
        <v/>
      </c>
      <c r="L319">
        <f>IF($X319="","",IF(AND(ISNUMBER(K319),K319&gt;0),V319&gt;K319,FALSE))</f>
        <v/>
      </c>
      <c r="M319" s="7">
        <f>IF($X319="","",SUMIFS('Per Line'!$V$2:$V$3001,'Per Line'!$D$2:$D$3001,$B319,'Per Line'!$AN$2:$AN$3001,1))</f>
        <v/>
      </c>
      <c r="N319">
        <f>IF($X319="","",Settings!$C$7)</f>
        <v/>
      </c>
      <c r="O319" s="7">
        <f>IF($X319="","",SUMIFS('Per Line'!$V$2:$V$3001,'Per Line'!$D$2:$D$3001,$B319,'Per Line'!$AM$2:$AM$3001,0,'Per Line'!$AN$2:$AN$3001,0))</f>
        <v/>
      </c>
      <c r="P319" s="7">
        <f>IF($X319="","",O319*N319)</f>
        <v/>
      </c>
      <c r="Q319">
        <f>IF($X319="","",Settings!$C$6)</f>
        <v/>
      </c>
      <c r="R319" s="7">
        <f>IF($X319="","",SUMIFS('Per Line'!$V$2:$V$3001,'Per Line'!$D$2:$D$3001,$B319,'Per Line'!$AM$2:$AM$3001,1,'Per Line'!$AN$2:$AN$3001,0))</f>
        <v/>
      </c>
      <c r="S319" s="7">
        <f>IF($X319="","",R319*Q319)</f>
        <v/>
      </c>
      <c r="T319" s="7">
        <f>IF($X319="","",S319+P319)</f>
        <v/>
      </c>
      <c r="U319" s="7">
        <f>IF($X319="","",V319-T319)</f>
        <v/>
      </c>
      <c r="V319" s="7">
        <f>IF($X319="","",O319+R319+M319)</f>
        <v/>
      </c>
      <c r="W319" s="7">
        <f>IF($X319="","",V319-T319-I319)</f>
        <v/>
      </c>
      <c r="X319" s="13">
        <f>IF(ROWS($X$2:$X319)&lt;=MAX('Per Line'!$AL$2:$AL$3001),MATCH(ROWS($X$2:$X319),'Per Line'!$AL$2:$AL$3001,0),"")</f>
        <v/>
      </c>
    </row>
    <row r="320">
      <c r="A320" s="12" t="n"/>
      <c r="B320">
        <f>IF($X320="","",INDEX('Per Line'!$D$2:$D$3001,$X320)&amp;"")</f>
        <v/>
      </c>
      <c r="C320" s="11">
        <f>IF($X320="","",INDEX('Per Line'!$F$2:$F$3001,$X320))</f>
        <v/>
      </c>
      <c r="D320">
        <f>IF($X320="","",INDEX('Per Line'!$G$2:$G$3001,$X320)&amp;"")</f>
        <v/>
      </c>
      <c r="E320">
        <f>IF($X320="","",INDEX('Per Line'!$I$2:$I$3001,$X320)&amp;"")</f>
        <v/>
      </c>
      <c r="F320">
        <f>IF($X320="","",INDEX('Per Line'!$J$2:$J$3001,$X320)&amp;"")</f>
        <v/>
      </c>
      <c r="G320">
        <f>IF($X320="","",INDEX('Per Line'!$K$2:$K$3001,$X320)&amp;"")</f>
        <v/>
      </c>
      <c r="H320">
        <f>IF($X320="","",INDEX('Per Line'!$M$2:$M$3001,$X320))</f>
        <v/>
      </c>
      <c r="I320" s="7">
        <f>IF($X320="","",H320*V320/100)</f>
        <v/>
      </c>
      <c r="J320">
        <f>IF($X320="","",INDEX('Per Line'!$W$2:$W$3001,$X320)&amp;"")</f>
        <v/>
      </c>
      <c r="K320">
        <f>IF($X320="","",INDEX('Per Line'!$AD$2:$AD$3001,$X320))</f>
        <v/>
      </c>
      <c r="L320">
        <f>IF($X320="","",IF(AND(ISNUMBER(K320),K320&gt;0),V320&gt;K320,FALSE))</f>
        <v/>
      </c>
      <c r="M320" s="7">
        <f>IF($X320="","",SUMIFS('Per Line'!$V$2:$V$3001,'Per Line'!$D$2:$D$3001,$B320,'Per Line'!$AN$2:$AN$3001,1))</f>
        <v/>
      </c>
      <c r="N320">
        <f>IF($X320="","",Settings!$C$7)</f>
        <v/>
      </c>
      <c r="O320" s="7">
        <f>IF($X320="","",SUMIFS('Per Line'!$V$2:$V$3001,'Per Line'!$D$2:$D$3001,$B320,'Per Line'!$AM$2:$AM$3001,0,'Per Line'!$AN$2:$AN$3001,0))</f>
        <v/>
      </c>
      <c r="P320" s="7">
        <f>IF($X320="","",O320*N320)</f>
        <v/>
      </c>
      <c r="Q320">
        <f>IF($X320="","",Settings!$C$6)</f>
        <v/>
      </c>
      <c r="R320" s="7">
        <f>IF($X320="","",SUMIFS('Per Line'!$V$2:$V$3001,'Per Line'!$D$2:$D$3001,$B320,'Per Line'!$AM$2:$AM$3001,1,'Per Line'!$AN$2:$AN$3001,0))</f>
        <v/>
      </c>
      <c r="S320" s="7">
        <f>IF($X320="","",R320*Q320)</f>
        <v/>
      </c>
      <c r="T320" s="7">
        <f>IF($X320="","",S320+P320)</f>
        <v/>
      </c>
      <c r="U320" s="7">
        <f>IF($X320="","",V320-T320)</f>
        <v/>
      </c>
      <c r="V320" s="7">
        <f>IF($X320="","",O320+R320+M320)</f>
        <v/>
      </c>
      <c r="W320" s="7">
        <f>IF($X320="","",V320-T320-I320)</f>
        <v/>
      </c>
      <c r="X320" s="13">
        <f>IF(ROWS($X$2:$X320)&lt;=MAX('Per Line'!$AL$2:$AL$3001),MATCH(ROWS($X$2:$X320),'Per Line'!$AL$2:$AL$3001,0),"")</f>
        <v/>
      </c>
    </row>
    <row r="321">
      <c r="A321" s="12" t="n"/>
      <c r="B321">
        <f>IF($X321="","",INDEX('Per Line'!$D$2:$D$3001,$X321)&amp;"")</f>
        <v/>
      </c>
      <c r="C321" s="11">
        <f>IF($X321="","",INDEX('Per Line'!$F$2:$F$3001,$X321))</f>
        <v/>
      </c>
      <c r="D321">
        <f>IF($X321="","",INDEX('Per Line'!$G$2:$G$3001,$X321)&amp;"")</f>
        <v/>
      </c>
      <c r="E321">
        <f>IF($X321="","",INDEX('Per Line'!$I$2:$I$3001,$X321)&amp;"")</f>
        <v/>
      </c>
      <c r="F321">
        <f>IF($X321="","",INDEX('Per Line'!$J$2:$J$3001,$X321)&amp;"")</f>
        <v/>
      </c>
      <c r="G321">
        <f>IF($X321="","",INDEX('Per Line'!$K$2:$K$3001,$X321)&amp;"")</f>
        <v/>
      </c>
      <c r="H321">
        <f>IF($X321="","",INDEX('Per Line'!$M$2:$M$3001,$X321))</f>
        <v/>
      </c>
      <c r="I321" s="7">
        <f>IF($X321="","",H321*V321/100)</f>
        <v/>
      </c>
      <c r="J321">
        <f>IF($X321="","",INDEX('Per Line'!$W$2:$W$3001,$X321)&amp;"")</f>
        <v/>
      </c>
      <c r="K321">
        <f>IF($X321="","",INDEX('Per Line'!$AD$2:$AD$3001,$X321))</f>
        <v/>
      </c>
      <c r="L321">
        <f>IF($X321="","",IF(AND(ISNUMBER(K321),K321&gt;0),V321&gt;K321,FALSE))</f>
        <v/>
      </c>
      <c r="M321" s="7">
        <f>IF($X321="","",SUMIFS('Per Line'!$V$2:$V$3001,'Per Line'!$D$2:$D$3001,$B321,'Per Line'!$AN$2:$AN$3001,1))</f>
        <v/>
      </c>
      <c r="N321">
        <f>IF($X321="","",Settings!$C$7)</f>
        <v/>
      </c>
      <c r="O321" s="7">
        <f>IF($X321="","",SUMIFS('Per Line'!$V$2:$V$3001,'Per Line'!$D$2:$D$3001,$B321,'Per Line'!$AM$2:$AM$3001,0,'Per Line'!$AN$2:$AN$3001,0))</f>
        <v/>
      </c>
      <c r="P321" s="7">
        <f>IF($X321="","",O321*N321)</f>
        <v/>
      </c>
      <c r="Q321">
        <f>IF($X321="","",Settings!$C$6)</f>
        <v/>
      </c>
      <c r="R321" s="7">
        <f>IF($X321="","",SUMIFS('Per Line'!$V$2:$V$3001,'Per Line'!$D$2:$D$3001,$B321,'Per Line'!$AM$2:$AM$3001,1,'Per Line'!$AN$2:$AN$3001,0))</f>
        <v/>
      </c>
      <c r="S321" s="7">
        <f>IF($X321="","",R321*Q321)</f>
        <v/>
      </c>
      <c r="T321" s="7">
        <f>IF($X321="","",S321+P321)</f>
        <v/>
      </c>
      <c r="U321" s="7">
        <f>IF($X321="","",V321-T321)</f>
        <v/>
      </c>
      <c r="V321" s="7">
        <f>IF($X321="","",O321+R321+M321)</f>
        <v/>
      </c>
      <c r="W321" s="7">
        <f>IF($X321="","",V321-T321-I321)</f>
        <v/>
      </c>
      <c r="X321" s="13">
        <f>IF(ROWS($X$2:$X321)&lt;=MAX('Per Line'!$AL$2:$AL$3001),MATCH(ROWS($X$2:$X321),'Per Line'!$AL$2:$AL$3001,0),"")</f>
        <v/>
      </c>
    </row>
    <row r="322">
      <c r="A322" s="12" t="n"/>
      <c r="B322">
        <f>IF($X322="","",INDEX('Per Line'!$D$2:$D$3001,$X322)&amp;"")</f>
        <v/>
      </c>
      <c r="C322" s="11">
        <f>IF($X322="","",INDEX('Per Line'!$F$2:$F$3001,$X322))</f>
        <v/>
      </c>
      <c r="D322">
        <f>IF($X322="","",INDEX('Per Line'!$G$2:$G$3001,$X322)&amp;"")</f>
        <v/>
      </c>
      <c r="E322">
        <f>IF($X322="","",INDEX('Per Line'!$I$2:$I$3001,$X322)&amp;"")</f>
        <v/>
      </c>
      <c r="F322">
        <f>IF($X322="","",INDEX('Per Line'!$J$2:$J$3001,$X322)&amp;"")</f>
        <v/>
      </c>
      <c r="G322">
        <f>IF($X322="","",INDEX('Per Line'!$K$2:$K$3001,$X322)&amp;"")</f>
        <v/>
      </c>
      <c r="H322">
        <f>IF($X322="","",INDEX('Per Line'!$M$2:$M$3001,$X322))</f>
        <v/>
      </c>
      <c r="I322" s="7">
        <f>IF($X322="","",H322*V322/100)</f>
        <v/>
      </c>
      <c r="J322">
        <f>IF($X322="","",INDEX('Per Line'!$W$2:$W$3001,$X322)&amp;"")</f>
        <v/>
      </c>
      <c r="K322">
        <f>IF($X322="","",INDEX('Per Line'!$AD$2:$AD$3001,$X322))</f>
        <v/>
      </c>
      <c r="L322">
        <f>IF($X322="","",IF(AND(ISNUMBER(K322),K322&gt;0),V322&gt;K322,FALSE))</f>
        <v/>
      </c>
      <c r="M322" s="7">
        <f>IF($X322="","",SUMIFS('Per Line'!$V$2:$V$3001,'Per Line'!$D$2:$D$3001,$B322,'Per Line'!$AN$2:$AN$3001,1))</f>
        <v/>
      </c>
      <c r="N322">
        <f>IF($X322="","",Settings!$C$7)</f>
        <v/>
      </c>
      <c r="O322" s="7">
        <f>IF($X322="","",SUMIFS('Per Line'!$V$2:$V$3001,'Per Line'!$D$2:$D$3001,$B322,'Per Line'!$AM$2:$AM$3001,0,'Per Line'!$AN$2:$AN$3001,0))</f>
        <v/>
      </c>
      <c r="P322" s="7">
        <f>IF($X322="","",O322*N322)</f>
        <v/>
      </c>
      <c r="Q322">
        <f>IF($X322="","",Settings!$C$6)</f>
        <v/>
      </c>
      <c r="R322" s="7">
        <f>IF($X322="","",SUMIFS('Per Line'!$V$2:$V$3001,'Per Line'!$D$2:$D$3001,$B322,'Per Line'!$AM$2:$AM$3001,1,'Per Line'!$AN$2:$AN$3001,0))</f>
        <v/>
      </c>
      <c r="S322" s="7">
        <f>IF($X322="","",R322*Q322)</f>
        <v/>
      </c>
      <c r="T322" s="7">
        <f>IF($X322="","",S322+P322)</f>
        <v/>
      </c>
      <c r="U322" s="7">
        <f>IF($X322="","",V322-T322)</f>
        <v/>
      </c>
      <c r="V322" s="7">
        <f>IF($X322="","",O322+R322+M322)</f>
        <v/>
      </c>
      <c r="W322" s="7">
        <f>IF($X322="","",V322-T322-I322)</f>
        <v/>
      </c>
      <c r="X322" s="13">
        <f>IF(ROWS($X$2:$X322)&lt;=MAX('Per Line'!$AL$2:$AL$3001),MATCH(ROWS($X$2:$X322),'Per Line'!$AL$2:$AL$3001,0),"")</f>
        <v/>
      </c>
    </row>
    <row r="323">
      <c r="A323" s="12" t="n"/>
      <c r="B323">
        <f>IF($X323="","",INDEX('Per Line'!$D$2:$D$3001,$X323)&amp;"")</f>
        <v/>
      </c>
      <c r="C323" s="11">
        <f>IF($X323="","",INDEX('Per Line'!$F$2:$F$3001,$X323))</f>
        <v/>
      </c>
      <c r="D323">
        <f>IF($X323="","",INDEX('Per Line'!$G$2:$G$3001,$X323)&amp;"")</f>
        <v/>
      </c>
      <c r="E323">
        <f>IF($X323="","",INDEX('Per Line'!$I$2:$I$3001,$X323)&amp;"")</f>
        <v/>
      </c>
      <c r="F323">
        <f>IF($X323="","",INDEX('Per Line'!$J$2:$J$3001,$X323)&amp;"")</f>
        <v/>
      </c>
      <c r="G323">
        <f>IF($X323="","",INDEX('Per Line'!$K$2:$K$3001,$X323)&amp;"")</f>
        <v/>
      </c>
      <c r="H323">
        <f>IF($X323="","",INDEX('Per Line'!$M$2:$M$3001,$X323))</f>
        <v/>
      </c>
      <c r="I323" s="7">
        <f>IF($X323="","",H323*V323/100)</f>
        <v/>
      </c>
      <c r="J323">
        <f>IF($X323="","",INDEX('Per Line'!$W$2:$W$3001,$X323)&amp;"")</f>
        <v/>
      </c>
      <c r="K323">
        <f>IF($X323="","",INDEX('Per Line'!$AD$2:$AD$3001,$X323))</f>
        <v/>
      </c>
      <c r="L323">
        <f>IF($X323="","",IF(AND(ISNUMBER(K323),K323&gt;0),V323&gt;K323,FALSE))</f>
        <v/>
      </c>
      <c r="M323" s="7">
        <f>IF($X323="","",SUMIFS('Per Line'!$V$2:$V$3001,'Per Line'!$D$2:$D$3001,$B323,'Per Line'!$AN$2:$AN$3001,1))</f>
        <v/>
      </c>
      <c r="N323">
        <f>IF($X323="","",Settings!$C$7)</f>
        <v/>
      </c>
      <c r="O323" s="7">
        <f>IF($X323="","",SUMIFS('Per Line'!$V$2:$V$3001,'Per Line'!$D$2:$D$3001,$B323,'Per Line'!$AM$2:$AM$3001,0,'Per Line'!$AN$2:$AN$3001,0))</f>
        <v/>
      </c>
      <c r="P323" s="7">
        <f>IF($X323="","",O323*N323)</f>
        <v/>
      </c>
      <c r="Q323">
        <f>IF($X323="","",Settings!$C$6)</f>
        <v/>
      </c>
      <c r="R323" s="7">
        <f>IF($X323="","",SUMIFS('Per Line'!$V$2:$V$3001,'Per Line'!$D$2:$D$3001,$B323,'Per Line'!$AM$2:$AM$3001,1,'Per Line'!$AN$2:$AN$3001,0))</f>
        <v/>
      </c>
      <c r="S323" s="7">
        <f>IF($X323="","",R323*Q323)</f>
        <v/>
      </c>
      <c r="T323" s="7">
        <f>IF($X323="","",S323+P323)</f>
        <v/>
      </c>
      <c r="U323" s="7">
        <f>IF($X323="","",V323-T323)</f>
        <v/>
      </c>
      <c r="V323" s="7">
        <f>IF($X323="","",O323+R323+M323)</f>
        <v/>
      </c>
      <c r="W323" s="7">
        <f>IF($X323="","",V323-T323-I323)</f>
        <v/>
      </c>
      <c r="X323" s="13">
        <f>IF(ROWS($X$2:$X323)&lt;=MAX('Per Line'!$AL$2:$AL$3001),MATCH(ROWS($X$2:$X323),'Per Line'!$AL$2:$AL$3001,0),"")</f>
        <v/>
      </c>
    </row>
    <row r="324">
      <c r="A324" s="12" t="n"/>
      <c r="B324">
        <f>IF($X324="","",INDEX('Per Line'!$D$2:$D$3001,$X324)&amp;"")</f>
        <v/>
      </c>
      <c r="C324" s="11">
        <f>IF($X324="","",INDEX('Per Line'!$F$2:$F$3001,$X324))</f>
        <v/>
      </c>
      <c r="D324">
        <f>IF($X324="","",INDEX('Per Line'!$G$2:$G$3001,$X324)&amp;"")</f>
        <v/>
      </c>
      <c r="E324">
        <f>IF($X324="","",INDEX('Per Line'!$I$2:$I$3001,$X324)&amp;"")</f>
        <v/>
      </c>
      <c r="F324">
        <f>IF($X324="","",INDEX('Per Line'!$J$2:$J$3001,$X324)&amp;"")</f>
        <v/>
      </c>
      <c r="G324">
        <f>IF($X324="","",INDEX('Per Line'!$K$2:$K$3001,$X324)&amp;"")</f>
        <v/>
      </c>
      <c r="H324">
        <f>IF($X324="","",INDEX('Per Line'!$M$2:$M$3001,$X324))</f>
        <v/>
      </c>
      <c r="I324" s="7">
        <f>IF($X324="","",H324*V324/100)</f>
        <v/>
      </c>
      <c r="J324">
        <f>IF($X324="","",INDEX('Per Line'!$W$2:$W$3001,$X324)&amp;"")</f>
        <v/>
      </c>
      <c r="K324">
        <f>IF($X324="","",INDEX('Per Line'!$AD$2:$AD$3001,$X324))</f>
        <v/>
      </c>
      <c r="L324">
        <f>IF($X324="","",IF(AND(ISNUMBER(K324),K324&gt;0),V324&gt;K324,FALSE))</f>
        <v/>
      </c>
      <c r="M324" s="7">
        <f>IF($X324="","",SUMIFS('Per Line'!$V$2:$V$3001,'Per Line'!$D$2:$D$3001,$B324,'Per Line'!$AN$2:$AN$3001,1))</f>
        <v/>
      </c>
      <c r="N324">
        <f>IF($X324="","",Settings!$C$7)</f>
        <v/>
      </c>
      <c r="O324" s="7">
        <f>IF($X324="","",SUMIFS('Per Line'!$V$2:$V$3001,'Per Line'!$D$2:$D$3001,$B324,'Per Line'!$AM$2:$AM$3001,0,'Per Line'!$AN$2:$AN$3001,0))</f>
        <v/>
      </c>
      <c r="P324" s="7">
        <f>IF($X324="","",O324*N324)</f>
        <v/>
      </c>
      <c r="Q324">
        <f>IF($X324="","",Settings!$C$6)</f>
        <v/>
      </c>
      <c r="R324" s="7">
        <f>IF($X324="","",SUMIFS('Per Line'!$V$2:$V$3001,'Per Line'!$D$2:$D$3001,$B324,'Per Line'!$AM$2:$AM$3001,1,'Per Line'!$AN$2:$AN$3001,0))</f>
        <v/>
      </c>
      <c r="S324" s="7">
        <f>IF($X324="","",R324*Q324)</f>
        <v/>
      </c>
      <c r="T324" s="7">
        <f>IF($X324="","",S324+P324)</f>
        <v/>
      </c>
      <c r="U324" s="7">
        <f>IF($X324="","",V324-T324)</f>
        <v/>
      </c>
      <c r="V324" s="7">
        <f>IF($X324="","",O324+R324+M324)</f>
        <v/>
      </c>
      <c r="W324" s="7">
        <f>IF($X324="","",V324-T324-I324)</f>
        <v/>
      </c>
      <c r="X324" s="13">
        <f>IF(ROWS($X$2:$X324)&lt;=MAX('Per Line'!$AL$2:$AL$3001),MATCH(ROWS($X$2:$X324),'Per Line'!$AL$2:$AL$3001,0),"")</f>
        <v/>
      </c>
    </row>
    <row r="325">
      <c r="A325" s="12" t="n"/>
      <c r="B325">
        <f>IF($X325="","",INDEX('Per Line'!$D$2:$D$3001,$X325)&amp;"")</f>
        <v/>
      </c>
      <c r="C325" s="11">
        <f>IF($X325="","",INDEX('Per Line'!$F$2:$F$3001,$X325))</f>
        <v/>
      </c>
      <c r="D325">
        <f>IF($X325="","",INDEX('Per Line'!$G$2:$G$3001,$X325)&amp;"")</f>
        <v/>
      </c>
      <c r="E325">
        <f>IF($X325="","",INDEX('Per Line'!$I$2:$I$3001,$X325)&amp;"")</f>
        <v/>
      </c>
      <c r="F325">
        <f>IF($X325="","",INDEX('Per Line'!$J$2:$J$3001,$X325)&amp;"")</f>
        <v/>
      </c>
      <c r="G325">
        <f>IF($X325="","",INDEX('Per Line'!$K$2:$K$3001,$X325)&amp;"")</f>
        <v/>
      </c>
      <c r="H325">
        <f>IF($X325="","",INDEX('Per Line'!$M$2:$M$3001,$X325))</f>
        <v/>
      </c>
      <c r="I325" s="7">
        <f>IF($X325="","",H325*V325/100)</f>
        <v/>
      </c>
      <c r="J325">
        <f>IF($X325="","",INDEX('Per Line'!$W$2:$W$3001,$X325)&amp;"")</f>
        <v/>
      </c>
      <c r="K325">
        <f>IF($X325="","",INDEX('Per Line'!$AD$2:$AD$3001,$X325))</f>
        <v/>
      </c>
      <c r="L325">
        <f>IF($X325="","",IF(AND(ISNUMBER(K325),K325&gt;0),V325&gt;K325,FALSE))</f>
        <v/>
      </c>
      <c r="M325" s="7">
        <f>IF($X325="","",SUMIFS('Per Line'!$V$2:$V$3001,'Per Line'!$D$2:$D$3001,$B325,'Per Line'!$AN$2:$AN$3001,1))</f>
        <v/>
      </c>
      <c r="N325">
        <f>IF($X325="","",Settings!$C$7)</f>
        <v/>
      </c>
      <c r="O325" s="7">
        <f>IF($X325="","",SUMIFS('Per Line'!$V$2:$V$3001,'Per Line'!$D$2:$D$3001,$B325,'Per Line'!$AM$2:$AM$3001,0,'Per Line'!$AN$2:$AN$3001,0))</f>
        <v/>
      </c>
      <c r="P325" s="7">
        <f>IF($X325="","",O325*N325)</f>
        <v/>
      </c>
      <c r="Q325">
        <f>IF($X325="","",Settings!$C$6)</f>
        <v/>
      </c>
      <c r="R325" s="7">
        <f>IF($X325="","",SUMIFS('Per Line'!$V$2:$V$3001,'Per Line'!$D$2:$D$3001,$B325,'Per Line'!$AM$2:$AM$3001,1,'Per Line'!$AN$2:$AN$3001,0))</f>
        <v/>
      </c>
      <c r="S325" s="7">
        <f>IF($X325="","",R325*Q325)</f>
        <v/>
      </c>
      <c r="T325" s="7">
        <f>IF($X325="","",S325+P325)</f>
        <v/>
      </c>
      <c r="U325" s="7">
        <f>IF($X325="","",V325-T325)</f>
        <v/>
      </c>
      <c r="V325" s="7">
        <f>IF($X325="","",O325+R325+M325)</f>
        <v/>
      </c>
      <c r="W325" s="7">
        <f>IF($X325="","",V325-T325-I325)</f>
        <v/>
      </c>
      <c r="X325" s="13">
        <f>IF(ROWS($X$2:$X325)&lt;=MAX('Per Line'!$AL$2:$AL$3001),MATCH(ROWS($X$2:$X325),'Per Line'!$AL$2:$AL$3001,0),"")</f>
        <v/>
      </c>
    </row>
    <row r="326">
      <c r="A326" s="12" t="n"/>
      <c r="B326">
        <f>IF($X326="","",INDEX('Per Line'!$D$2:$D$3001,$X326)&amp;"")</f>
        <v/>
      </c>
      <c r="C326" s="11">
        <f>IF($X326="","",INDEX('Per Line'!$F$2:$F$3001,$X326))</f>
        <v/>
      </c>
      <c r="D326">
        <f>IF($X326="","",INDEX('Per Line'!$G$2:$G$3001,$X326)&amp;"")</f>
        <v/>
      </c>
      <c r="E326">
        <f>IF($X326="","",INDEX('Per Line'!$I$2:$I$3001,$X326)&amp;"")</f>
        <v/>
      </c>
      <c r="F326">
        <f>IF($X326="","",INDEX('Per Line'!$J$2:$J$3001,$X326)&amp;"")</f>
        <v/>
      </c>
      <c r="G326">
        <f>IF($X326="","",INDEX('Per Line'!$K$2:$K$3001,$X326)&amp;"")</f>
        <v/>
      </c>
      <c r="H326">
        <f>IF($X326="","",INDEX('Per Line'!$M$2:$M$3001,$X326))</f>
        <v/>
      </c>
      <c r="I326" s="7">
        <f>IF($X326="","",H326*V326/100)</f>
        <v/>
      </c>
      <c r="J326">
        <f>IF($X326="","",INDEX('Per Line'!$W$2:$W$3001,$X326)&amp;"")</f>
        <v/>
      </c>
      <c r="K326">
        <f>IF($X326="","",INDEX('Per Line'!$AD$2:$AD$3001,$X326))</f>
        <v/>
      </c>
      <c r="L326">
        <f>IF($X326="","",IF(AND(ISNUMBER(K326),K326&gt;0),V326&gt;K326,FALSE))</f>
        <v/>
      </c>
      <c r="M326" s="7">
        <f>IF($X326="","",SUMIFS('Per Line'!$V$2:$V$3001,'Per Line'!$D$2:$D$3001,$B326,'Per Line'!$AN$2:$AN$3001,1))</f>
        <v/>
      </c>
      <c r="N326">
        <f>IF($X326="","",Settings!$C$7)</f>
        <v/>
      </c>
      <c r="O326" s="7">
        <f>IF($X326="","",SUMIFS('Per Line'!$V$2:$V$3001,'Per Line'!$D$2:$D$3001,$B326,'Per Line'!$AM$2:$AM$3001,0,'Per Line'!$AN$2:$AN$3001,0))</f>
        <v/>
      </c>
      <c r="P326" s="7">
        <f>IF($X326="","",O326*N326)</f>
        <v/>
      </c>
      <c r="Q326">
        <f>IF($X326="","",Settings!$C$6)</f>
        <v/>
      </c>
      <c r="R326" s="7">
        <f>IF($X326="","",SUMIFS('Per Line'!$V$2:$V$3001,'Per Line'!$D$2:$D$3001,$B326,'Per Line'!$AM$2:$AM$3001,1,'Per Line'!$AN$2:$AN$3001,0))</f>
        <v/>
      </c>
      <c r="S326" s="7">
        <f>IF($X326="","",R326*Q326)</f>
        <v/>
      </c>
      <c r="T326" s="7">
        <f>IF($X326="","",S326+P326)</f>
        <v/>
      </c>
      <c r="U326" s="7">
        <f>IF($X326="","",V326-T326)</f>
        <v/>
      </c>
      <c r="V326" s="7">
        <f>IF($X326="","",O326+R326+M326)</f>
        <v/>
      </c>
      <c r="W326" s="7">
        <f>IF($X326="","",V326-T326-I326)</f>
        <v/>
      </c>
      <c r="X326" s="13">
        <f>IF(ROWS($X$2:$X326)&lt;=MAX('Per Line'!$AL$2:$AL$3001),MATCH(ROWS($X$2:$X326),'Per Line'!$AL$2:$AL$3001,0),"")</f>
        <v/>
      </c>
    </row>
    <row r="327">
      <c r="A327" s="12" t="n"/>
      <c r="B327">
        <f>IF($X327="","",INDEX('Per Line'!$D$2:$D$3001,$X327)&amp;"")</f>
        <v/>
      </c>
      <c r="C327" s="11">
        <f>IF($X327="","",INDEX('Per Line'!$F$2:$F$3001,$X327))</f>
        <v/>
      </c>
      <c r="D327">
        <f>IF($X327="","",INDEX('Per Line'!$G$2:$G$3001,$X327)&amp;"")</f>
        <v/>
      </c>
      <c r="E327">
        <f>IF($X327="","",INDEX('Per Line'!$I$2:$I$3001,$X327)&amp;"")</f>
        <v/>
      </c>
      <c r="F327">
        <f>IF($X327="","",INDEX('Per Line'!$J$2:$J$3001,$X327)&amp;"")</f>
        <v/>
      </c>
      <c r="G327">
        <f>IF($X327="","",INDEX('Per Line'!$K$2:$K$3001,$X327)&amp;"")</f>
        <v/>
      </c>
      <c r="H327">
        <f>IF($X327="","",INDEX('Per Line'!$M$2:$M$3001,$X327))</f>
        <v/>
      </c>
      <c r="I327" s="7">
        <f>IF($X327="","",H327*V327/100)</f>
        <v/>
      </c>
      <c r="J327">
        <f>IF($X327="","",INDEX('Per Line'!$W$2:$W$3001,$X327)&amp;"")</f>
        <v/>
      </c>
      <c r="K327">
        <f>IF($X327="","",INDEX('Per Line'!$AD$2:$AD$3001,$X327))</f>
        <v/>
      </c>
      <c r="L327">
        <f>IF($X327="","",IF(AND(ISNUMBER(K327),K327&gt;0),V327&gt;K327,FALSE))</f>
        <v/>
      </c>
      <c r="M327" s="7">
        <f>IF($X327="","",SUMIFS('Per Line'!$V$2:$V$3001,'Per Line'!$D$2:$D$3001,$B327,'Per Line'!$AN$2:$AN$3001,1))</f>
        <v/>
      </c>
      <c r="N327">
        <f>IF($X327="","",Settings!$C$7)</f>
        <v/>
      </c>
      <c r="O327" s="7">
        <f>IF($X327="","",SUMIFS('Per Line'!$V$2:$V$3001,'Per Line'!$D$2:$D$3001,$B327,'Per Line'!$AM$2:$AM$3001,0,'Per Line'!$AN$2:$AN$3001,0))</f>
        <v/>
      </c>
      <c r="P327" s="7">
        <f>IF($X327="","",O327*N327)</f>
        <v/>
      </c>
      <c r="Q327">
        <f>IF($X327="","",Settings!$C$6)</f>
        <v/>
      </c>
      <c r="R327" s="7">
        <f>IF($X327="","",SUMIFS('Per Line'!$V$2:$V$3001,'Per Line'!$D$2:$D$3001,$B327,'Per Line'!$AM$2:$AM$3001,1,'Per Line'!$AN$2:$AN$3001,0))</f>
        <v/>
      </c>
      <c r="S327" s="7">
        <f>IF($X327="","",R327*Q327)</f>
        <v/>
      </c>
      <c r="T327" s="7">
        <f>IF($X327="","",S327+P327)</f>
        <v/>
      </c>
      <c r="U327" s="7">
        <f>IF($X327="","",V327-T327)</f>
        <v/>
      </c>
      <c r="V327" s="7">
        <f>IF($X327="","",O327+R327+M327)</f>
        <v/>
      </c>
      <c r="W327" s="7">
        <f>IF($X327="","",V327-T327-I327)</f>
        <v/>
      </c>
      <c r="X327" s="13">
        <f>IF(ROWS($X$2:$X327)&lt;=MAX('Per Line'!$AL$2:$AL$3001),MATCH(ROWS($X$2:$X327),'Per Line'!$AL$2:$AL$3001,0),"")</f>
        <v/>
      </c>
    </row>
    <row r="328">
      <c r="A328" s="12" t="n"/>
      <c r="B328">
        <f>IF($X328="","",INDEX('Per Line'!$D$2:$D$3001,$X328)&amp;"")</f>
        <v/>
      </c>
      <c r="C328" s="11">
        <f>IF($X328="","",INDEX('Per Line'!$F$2:$F$3001,$X328))</f>
        <v/>
      </c>
      <c r="D328">
        <f>IF($X328="","",INDEX('Per Line'!$G$2:$G$3001,$X328)&amp;"")</f>
        <v/>
      </c>
      <c r="E328">
        <f>IF($X328="","",INDEX('Per Line'!$I$2:$I$3001,$X328)&amp;"")</f>
        <v/>
      </c>
      <c r="F328">
        <f>IF($X328="","",INDEX('Per Line'!$J$2:$J$3001,$X328)&amp;"")</f>
        <v/>
      </c>
      <c r="G328">
        <f>IF($X328="","",INDEX('Per Line'!$K$2:$K$3001,$X328)&amp;"")</f>
        <v/>
      </c>
      <c r="H328">
        <f>IF($X328="","",INDEX('Per Line'!$M$2:$M$3001,$X328))</f>
        <v/>
      </c>
      <c r="I328" s="7">
        <f>IF($X328="","",H328*V328/100)</f>
        <v/>
      </c>
      <c r="J328">
        <f>IF($X328="","",INDEX('Per Line'!$W$2:$W$3001,$X328)&amp;"")</f>
        <v/>
      </c>
      <c r="K328">
        <f>IF($X328="","",INDEX('Per Line'!$AD$2:$AD$3001,$X328))</f>
        <v/>
      </c>
      <c r="L328">
        <f>IF($X328="","",IF(AND(ISNUMBER(K328),K328&gt;0),V328&gt;K328,FALSE))</f>
        <v/>
      </c>
      <c r="M328" s="7">
        <f>IF($X328="","",SUMIFS('Per Line'!$V$2:$V$3001,'Per Line'!$D$2:$D$3001,$B328,'Per Line'!$AN$2:$AN$3001,1))</f>
        <v/>
      </c>
      <c r="N328">
        <f>IF($X328="","",Settings!$C$7)</f>
        <v/>
      </c>
      <c r="O328" s="7">
        <f>IF($X328="","",SUMIFS('Per Line'!$V$2:$V$3001,'Per Line'!$D$2:$D$3001,$B328,'Per Line'!$AM$2:$AM$3001,0,'Per Line'!$AN$2:$AN$3001,0))</f>
        <v/>
      </c>
      <c r="P328" s="7">
        <f>IF($X328="","",O328*N328)</f>
        <v/>
      </c>
      <c r="Q328">
        <f>IF($X328="","",Settings!$C$6)</f>
        <v/>
      </c>
      <c r="R328" s="7">
        <f>IF($X328="","",SUMIFS('Per Line'!$V$2:$V$3001,'Per Line'!$D$2:$D$3001,$B328,'Per Line'!$AM$2:$AM$3001,1,'Per Line'!$AN$2:$AN$3001,0))</f>
        <v/>
      </c>
      <c r="S328" s="7">
        <f>IF($X328="","",R328*Q328)</f>
        <v/>
      </c>
      <c r="T328" s="7">
        <f>IF($X328="","",S328+P328)</f>
        <v/>
      </c>
      <c r="U328" s="7">
        <f>IF($X328="","",V328-T328)</f>
        <v/>
      </c>
      <c r="V328" s="7">
        <f>IF($X328="","",O328+R328+M328)</f>
        <v/>
      </c>
      <c r="W328" s="7">
        <f>IF($X328="","",V328-T328-I328)</f>
        <v/>
      </c>
      <c r="X328" s="13">
        <f>IF(ROWS($X$2:$X328)&lt;=MAX('Per Line'!$AL$2:$AL$3001),MATCH(ROWS($X$2:$X328),'Per Line'!$AL$2:$AL$3001,0),"")</f>
        <v/>
      </c>
    </row>
    <row r="329">
      <c r="A329" s="12" t="n"/>
      <c r="B329">
        <f>IF($X329="","",INDEX('Per Line'!$D$2:$D$3001,$X329)&amp;"")</f>
        <v/>
      </c>
      <c r="C329" s="11">
        <f>IF($X329="","",INDEX('Per Line'!$F$2:$F$3001,$X329))</f>
        <v/>
      </c>
      <c r="D329">
        <f>IF($X329="","",INDEX('Per Line'!$G$2:$G$3001,$X329)&amp;"")</f>
        <v/>
      </c>
      <c r="E329">
        <f>IF($X329="","",INDEX('Per Line'!$I$2:$I$3001,$X329)&amp;"")</f>
        <v/>
      </c>
      <c r="F329">
        <f>IF($X329="","",INDEX('Per Line'!$J$2:$J$3001,$X329)&amp;"")</f>
        <v/>
      </c>
      <c r="G329">
        <f>IF($X329="","",INDEX('Per Line'!$K$2:$K$3001,$X329)&amp;"")</f>
        <v/>
      </c>
      <c r="H329">
        <f>IF($X329="","",INDEX('Per Line'!$M$2:$M$3001,$X329))</f>
        <v/>
      </c>
      <c r="I329" s="7">
        <f>IF($X329="","",H329*V329/100)</f>
        <v/>
      </c>
      <c r="J329">
        <f>IF($X329="","",INDEX('Per Line'!$W$2:$W$3001,$X329)&amp;"")</f>
        <v/>
      </c>
      <c r="K329">
        <f>IF($X329="","",INDEX('Per Line'!$AD$2:$AD$3001,$X329))</f>
        <v/>
      </c>
      <c r="L329">
        <f>IF($X329="","",IF(AND(ISNUMBER(K329),K329&gt;0),V329&gt;K329,FALSE))</f>
        <v/>
      </c>
      <c r="M329" s="7">
        <f>IF($X329="","",SUMIFS('Per Line'!$V$2:$V$3001,'Per Line'!$D$2:$D$3001,$B329,'Per Line'!$AN$2:$AN$3001,1))</f>
        <v/>
      </c>
      <c r="N329">
        <f>IF($X329="","",Settings!$C$7)</f>
        <v/>
      </c>
      <c r="O329" s="7">
        <f>IF($X329="","",SUMIFS('Per Line'!$V$2:$V$3001,'Per Line'!$D$2:$D$3001,$B329,'Per Line'!$AM$2:$AM$3001,0,'Per Line'!$AN$2:$AN$3001,0))</f>
        <v/>
      </c>
      <c r="P329" s="7">
        <f>IF($X329="","",O329*N329)</f>
        <v/>
      </c>
      <c r="Q329">
        <f>IF($X329="","",Settings!$C$6)</f>
        <v/>
      </c>
      <c r="R329" s="7">
        <f>IF($X329="","",SUMIFS('Per Line'!$V$2:$V$3001,'Per Line'!$D$2:$D$3001,$B329,'Per Line'!$AM$2:$AM$3001,1,'Per Line'!$AN$2:$AN$3001,0))</f>
        <v/>
      </c>
      <c r="S329" s="7">
        <f>IF($X329="","",R329*Q329)</f>
        <v/>
      </c>
      <c r="T329" s="7">
        <f>IF($X329="","",S329+P329)</f>
        <v/>
      </c>
      <c r="U329" s="7">
        <f>IF($X329="","",V329-T329)</f>
        <v/>
      </c>
      <c r="V329" s="7">
        <f>IF($X329="","",O329+R329+M329)</f>
        <v/>
      </c>
      <c r="W329" s="7">
        <f>IF($X329="","",V329-T329-I329)</f>
        <v/>
      </c>
      <c r="X329" s="13">
        <f>IF(ROWS($X$2:$X329)&lt;=MAX('Per Line'!$AL$2:$AL$3001),MATCH(ROWS($X$2:$X329),'Per Line'!$AL$2:$AL$3001,0),"")</f>
        <v/>
      </c>
    </row>
    <row r="330">
      <c r="A330" s="12" t="n"/>
      <c r="B330">
        <f>IF($X330="","",INDEX('Per Line'!$D$2:$D$3001,$X330)&amp;"")</f>
        <v/>
      </c>
      <c r="C330" s="11">
        <f>IF($X330="","",INDEX('Per Line'!$F$2:$F$3001,$X330))</f>
        <v/>
      </c>
      <c r="D330">
        <f>IF($X330="","",INDEX('Per Line'!$G$2:$G$3001,$X330)&amp;"")</f>
        <v/>
      </c>
      <c r="E330">
        <f>IF($X330="","",INDEX('Per Line'!$I$2:$I$3001,$X330)&amp;"")</f>
        <v/>
      </c>
      <c r="F330">
        <f>IF($X330="","",INDEX('Per Line'!$J$2:$J$3001,$X330)&amp;"")</f>
        <v/>
      </c>
      <c r="G330">
        <f>IF($X330="","",INDEX('Per Line'!$K$2:$K$3001,$X330)&amp;"")</f>
        <v/>
      </c>
      <c r="H330">
        <f>IF($X330="","",INDEX('Per Line'!$M$2:$M$3001,$X330))</f>
        <v/>
      </c>
      <c r="I330" s="7">
        <f>IF($X330="","",H330*V330/100)</f>
        <v/>
      </c>
      <c r="J330">
        <f>IF($X330="","",INDEX('Per Line'!$W$2:$W$3001,$X330)&amp;"")</f>
        <v/>
      </c>
      <c r="K330">
        <f>IF($X330="","",INDEX('Per Line'!$AD$2:$AD$3001,$X330))</f>
        <v/>
      </c>
      <c r="L330">
        <f>IF($X330="","",IF(AND(ISNUMBER(K330),K330&gt;0),V330&gt;K330,FALSE))</f>
        <v/>
      </c>
      <c r="M330" s="7">
        <f>IF($X330="","",SUMIFS('Per Line'!$V$2:$V$3001,'Per Line'!$D$2:$D$3001,$B330,'Per Line'!$AN$2:$AN$3001,1))</f>
        <v/>
      </c>
      <c r="N330">
        <f>IF($X330="","",Settings!$C$7)</f>
        <v/>
      </c>
      <c r="O330" s="7">
        <f>IF($X330="","",SUMIFS('Per Line'!$V$2:$V$3001,'Per Line'!$D$2:$D$3001,$B330,'Per Line'!$AM$2:$AM$3001,0,'Per Line'!$AN$2:$AN$3001,0))</f>
        <v/>
      </c>
      <c r="P330" s="7">
        <f>IF($X330="","",O330*N330)</f>
        <v/>
      </c>
      <c r="Q330">
        <f>IF($X330="","",Settings!$C$6)</f>
        <v/>
      </c>
      <c r="R330" s="7">
        <f>IF($X330="","",SUMIFS('Per Line'!$V$2:$V$3001,'Per Line'!$D$2:$D$3001,$B330,'Per Line'!$AM$2:$AM$3001,1,'Per Line'!$AN$2:$AN$3001,0))</f>
        <v/>
      </c>
      <c r="S330" s="7">
        <f>IF($X330="","",R330*Q330)</f>
        <v/>
      </c>
      <c r="T330" s="7">
        <f>IF($X330="","",S330+P330)</f>
        <v/>
      </c>
      <c r="U330" s="7">
        <f>IF($X330="","",V330-T330)</f>
        <v/>
      </c>
      <c r="V330" s="7">
        <f>IF($X330="","",O330+R330+M330)</f>
        <v/>
      </c>
      <c r="W330" s="7">
        <f>IF($X330="","",V330-T330-I330)</f>
        <v/>
      </c>
      <c r="X330" s="13">
        <f>IF(ROWS($X$2:$X330)&lt;=MAX('Per Line'!$AL$2:$AL$3001),MATCH(ROWS($X$2:$X330),'Per Line'!$AL$2:$AL$3001,0),"")</f>
        <v/>
      </c>
    </row>
    <row r="331">
      <c r="A331" s="12" t="n"/>
      <c r="B331">
        <f>IF($X331="","",INDEX('Per Line'!$D$2:$D$3001,$X331)&amp;"")</f>
        <v/>
      </c>
      <c r="C331" s="11">
        <f>IF($X331="","",INDEX('Per Line'!$F$2:$F$3001,$X331))</f>
        <v/>
      </c>
      <c r="D331">
        <f>IF($X331="","",INDEX('Per Line'!$G$2:$G$3001,$X331)&amp;"")</f>
        <v/>
      </c>
      <c r="E331">
        <f>IF($X331="","",INDEX('Per Line'!$I$2:$I$3001,$X331)&amp;"")</f>
        <v/>
      </c>
      <c r="F331">
        <f>IF($X331="","",INDEX('Per Line'!$J$2:$J$3001,$X331)&amp;"")</f>
        <v/>
      </c>
      <c r="G331">
        <f>IF($X331="","",INDEX('Per Line'!$K$2:$K$3001,$X331)&amp;"")</f>
        <v/>
      </c>
      <c r="H331">
        <f>IF($X331="","",INDEX('Per Line'!$M$2:$M$3001,$X331))</f>
        <v/>
      </c>
      <c r="I331" s="7">
        <f>IF($X331="","",H331*V331/100)</f>
        <v/>
      </c>
      <c r="J331">
        <f>IF($X331="","",INDEX('Per Line'!$W$2:$W$3001,$X331)&amp;"")</f>
        <v/>
      </c>
      <c r="K331">
        <f>IF($X331="","",INDEX('Per Line'!$AD$2:$AD$3001,$X331))</f>
        <v/>
      </c>
      <c r="L331">
        <f>IF($X331="","",IF(AND(ISNUMBER(K331),K331&gt;0),V331&gt;K331,FALSE))</f>
        <v/>
      </c>
      <c r="M331" s="7">
        <f>IF($X331="","",SUMIFS('Per Line'!$V$2:$V$3001,'Per Line'!$D$2:$D$3001,$B331,'Per Line'!$AN$2:$AN$3001,1))</f>
        <v/>
      </c>
      <c r="N331">
        <f>IF($X331="","",Settings!$C$7)</f>
        <v/>
      </c>
      <c r="O331" s="7">
        <f>IF($X331="","",SUMIFS('Per Line'!$V$2:$V$3001,'Per Line'!$D$2:$D$3001,$B331,'Per Line'!$AM$2:$AM$3001,0,'Per Line'!$AN$2:$AN$3001,0))</f>
        <v/>
      </c>
      <c r="P331" s="7">
        <f>IF($X331="","",O331*N331)</f>
        <v/>
      </c>
      <c r="Q331">
        <f>IF($X331="","",Settings!$C$6)</f>
        <v/>
      </c>
      <c r="R331" s="7">
        <f>IF($X331="","",SUMIFS('Per Line'!$V$2:$V$3001,'Per Line'!$D$2:$D$3001,$B331,'Per Line'!$AM$2:$AM$3001,1,'Per Line'!$AN$2:$AN$3001,0))</f>
        <v/>
      </c>
      <c r="S331" s="7">
        <f>IF($X331="","",R331*Q331)</f>
        <v/>
      </c>
      <c r="T331" s="7">
        <f>IF($X331="","",S331+P331)</f>
        <v/>
      </c>
      <c r="U331" s="7">
        <f>IF($X331="","",V331-T331)</f>
        <v/>
      </c>
      <c r="V331" s="7">
        <f>IF($X331="","",O331+R331+M331)</f>
        <v/>
      </c>
      <c r="W331" s="7">
        <f>IF($X331="","",V331-T331-I331)</f>
        <v/>
      </c>
      <c r="X331" s="13">
        <f>IF(ROWS($X$2:$X331)&lt;=MAX('Per Line'!$AL$2:$AL$3001),MATCH(ROWS($X$2:$X331),'Per Line'!$AL$2:$AL$3001,0),"")</f>
        <v/>
      </c>
    </row>
    <row r="332">
      <c r="A332" s="12" t="n"/>
      <c r="B332">
        <f>IF($X332="","",INDEX('Per Line'!$D$2:$D$3001,$X332)&amp;"")</f>
        <v/>
      </c>
      <c r="C332" s="11">
        <f>IF($X332="","",INDEX('Per Line'!$F$2:$F$3001,$X332))</f>
        <v/>
      </c>
      <c r="D332">
        <f>IF($X332="","",INDEX('Per Line'!$G$2:$G$3001,$X332)&amp;"")</f>
        <v/>
      </c>
      <c r="E332">
        <f>IF($X332="","",INDEX('Per Line'!$I$2:$I$3001,$X332)&amp;"")</f>
        <v/>
      </c>
      <c r="F332">
        <f>IF($X332="","",INDEX('Per Line'!$J$2:$J$3001,$X332)&amp;"")</f>
        <v/>
      </c>
      <c r="G332">
        <f>IF($X332="","",INDEX('Per Line'!$K$2:$K$3001,$X332)&amp;"")</f>
        <v/>
      </c>
      <c r="H332">
        <f>IF($X332="","",INDEX('Per Line'!$M$2:$M$3001,$X332))</f>
        <v/>
      </c>
      <c r="I332" s="7">
        <f>IF($X332="","",H332*V332/100)</f>
        <v/>
      </c>
      <c r="J332">
        <f>IF($X332="","",INDEX('Per Line'!$W$2:$W$3001,$X332)&amp;"")</f>
        <v/>
      </c>
      <c r="K332">
        <f>IF($X332="","",INDEX('Per Line'!$AD$2:$AD$3001,$X332))</f>
        <v/>
      </c>
      <c r="L332">
        <f>IF($X332="","",IF(AND(ISNUMBER(K332),K332&gt;0),V332&gt;K332,FALSE))</f>
        <v/>
      </c>
      <c r="M332" s="7">
        <f>IF($X332="","",SUMIFS('Per Line'!$V$2:$V$3001,'Per Line'!$D$2:$D$3001,$B332,'Per Line'!$AN$2:$AN$3001,1))</f>
        <v/>
      </c>
      <c r="N332">
        <f>IF($X332="","",Settings!$C$7)</f>
        <v/>
      </c>
      <c r="O332" s="7">
        <f>IF($X332="","",SUMIFS('Per Line'!$V$2:$V$3001,'Per Line'!$D$2:$D$3001,$B332,'Per Line'!$AM$2:$AM$3001,0,'Per Line'!$AN$2:$AN$3001,0))</f>
        <v/>
      </c>
      <c r="P332" s="7">
        <f>IF($X332="","",O332*N332)</f>
        <v/>
      </c>
      <c r="Q332">
        <f>IF($X332="","",Settings!$C$6)</f>
        <v/>
      </c>
      <c r="R332" s="7">
        <f>IF($X332="","",SUMIFS('Per Line'!$V$2:$V$3001,'Per Line'!$D$2:$D$3001,$B332,'Per Line'!$AM$2:$AM$3001,1,'Per Line'!$AN$2:$AN$3001,0))</f>
        <v/>
      </c>
      <c r="S332" s="7">
        <f>IF($X332="","",R332*Q332)</f>
        <v/>
      </c>
      <c r="T332" s="7">
        <f>IF($X332="","",S332+P332)</f>
        <v/>
      </c>
      <c r="U332" s="7">
        <f>IF($X332="","",V332-T332)</f>
        <v/>
      </c>
      <c r="V332" s="7">
        <f>IF($X332="","",O332+R332+M332)</f>
        <v/>
      </c>
      <c r="W332" s="7">
        <f>IF($X332="","",V332-T332-I332)</f>
        <v/>
      </c>
      <c r="X332" s="13">
        <f>IF(ROWS($X$2:$X332)&lt;=MAX('Per Line'!$AL$2:$AL$3001),MATCH(ROWS($X$2:$X332),'Per Line'!$AL$2:$AL$3001,0),"")</f>
        <v/>
      </c>
    </row>
    <row r="333">
      <c r="A333" s="12" t="n"/>
      <c r="B333">
        <f>IF($X333="","",INDEX('Per Line'!$D$2:$D$3001,$X333)&amp;"")</f>
        <v/>
      </c>
      <c r="C333" s="11">
        <f>IF($X333="","",INDEX('Per Line'!$F$2:$F$3001,$X333))</f>
        <v/>
      </c>
      <c r="D333">
        <f>IF($X333="","",INDEX('Per Line'!$G$2:$G$3001,$X333)&amp;"")</f>
        <v/>
      </c>
      <c r="E333">
        <f>IF($X333="","",INDEX('Per Line'!$I$2:$I$3001,$X333)&amp;"")</f>
        <v/>
      </c>
      <c r="F333">
        <f>IF($X333="","",INDEX('Per Line'!$J$2:$J$3001,$X333)&amp;"")</f>
        <v/>
      </c>
      <c r="G333">
        <f>IF($X333="","",INDEX('Per Line'!$K$2:$K$3001,$X333)&amp;"")</f>
        <v/>
      </c>
      <c r="H333">
        <f>IF($X333="","",INDEX('Per Line'!$M$2:$M$3001,$X333))</f>
        <v/>
      </c>
      <c r="I333" s="7">
        <f>IF($X333="","",H333*V333/100)</f>
        <v/>
      </c>
      <c r="J333">
        <f>IF($X333="","",INDEX('Per Line'!$W$2:$W$3001,$X333)&amp;"")</f>
        <v/>
      </c>
      <c r="K333">
        <f>IF($X333="","",INDEX('Per Line'!$AD$2:$AD$3001,$X333))</f>
        <v/>
      </c>
      <c r="L333">
        <f>IF($X333="","",IF(AND(ISNUMBER(K333),K333&gt;0),V333&gt;K333,FALSE))</f>
        <v/>
      </c>
      <c r="M333" s="7">
        <f>IF($X333="","",SUMIFS('Per Line'!$V$2:$V$3001,'Per Line'!$D$2:$D$3001,$B333,'Per Line'!$AN$2:$AN$3001,1))</f>
        <v/>
      </c>
      <c r="N333">
        <f>IF($X333="","",Settings!$C$7)</f>
        <v/>
      </c>
      <c r="O333" s="7">
        <f>IF($X333="","",SUMIFS('Per Line'!$V$2:$V$3001,'Per Line'!$D$2:$D$3001,$B333,'Per Line'!$AM$2:$AM$3001,0,'Per Line'!$AN$2:$AN$3001,0))</f>
        <v/>
      </c>
      <c r="P333" s="7">
        <f>IF($X333="","",O333*N333)</f>
        <v/>
      </c>
      <c r="Q333">
        <f>IF($X333="","",Settings!$C$6)</f>
        <v/>
      </c>
      <c r="R333" s="7">
        <f>IF($X333="","",SUMIFS('Per Line'!$V$2:$V$3001,'Per Line'!$D$2:$D$3001,$B333,'Per Line'!$AM$2:$AM$3001,1,'Per Line'!$AN$2:$AN$3001,0))</f>
        <v/>
      </c>
      <c r="S333" s="7">
        <f>IF($X333="","",R333*Q333)</f>
        <v/>
      </c>
      <c r="T333" s="7">
        <f>IF($X333="","",S333+P333)</f>
        <v/>
      </c>
      <c r="U333" s="7">
        <f>IF($X333="","",V333-T333)</f>
        <v/>
      </c>
      <c r="V333" s="7">
        <f>IF($X333="","",O333+R333+M333)</f>
        <v/>
      </c>
      <c r="W333" s="7">
        <f>IF($X333="","",V333-T333-I333)</f>
        <v/>
      </c>
      <c r="X333" s="13">
        <f>IF(ROWS($X$2:$X333)&lt;=MAX('Per Line'!$AL$2:$AL$3001),MATCH(ROWS($X$2:$X333),'Per Line'!$AL$2:$AL$3001,0),"")</f>
        <v/>
      </c>
    </row>
    <row r="334">
      <c r="A334" s="12" t="n"/>
      <c r="B334">
        <f>IF($X334="","",INDEX('Per Line'!$D$2:$D$3001,$X334)&amp;"")</f>
        <v/>
      </c>
      <c r="C334" s="11">
        <f>IF($X334="","",INDEX('Per Line'!$F$2:$F$3001,$X334))</f>
        <v/>
      </c>
      <c r="D334">
        <f>IF($X334="","",INDEX('Per Line'!$G$2:$G$3001,$X334)&amp;"")</f>
        <v/>
      </c>
      <c r="E334">
        <f>IF($X334="","",INDEX('Per Line'!$I$2:$I$3001,$X334)&amp;"")</f>
        <v/>
      </c>
      <c r="F334">
        <f>IF($X334="","",INDEX('Per Line'!$J$2:$J$3001,$X334)&amp;"")</f>
        <v/>
      </c>
      <c r="G334">
        <f>IF($X334="","",INDEX('Per Line'!$K$2:$K$3001,$X334)&amp;"")</f>
        <v/>
      </c>
      <c r="H334">
        <f>IF($X334="","",INDEX('Per Line'!$M$2:$M$3001,$X334))</f>
        <v/>
      </c>
      <c r="I334" s="7">
        <f>IF($X334="","",H334*V334/100)</f>
        <v/>
      </c>
      <c r="J334">
        <f>IF($X334="","",INDEX('Per Line'!$W$2:$W$3001,$X334)&amp;"")</f>
        <v/>
      </c>
      <c r="K334">
        <f>IF($X334="","",INDEX('Per Line'!$AD$2:$AD$3001,$X334))</f>
        <v/>
      </c>
      <c r="L334">
        <f>IF($X334="","",IF(AND(ISNUMBER(K334),K334&gt;0),V334&gt;K334,FALSE))</f>
        <v/>
      </c>
      <c r="M334" s="7">
        <f>IF($X334="","",SUMIFS('Per Line'!$V$2:$V$3001,'Per Line'!$D$2:$D$3001,$B334,'Per Line'!$AN$2:$AN$3001,1))</f>
        <v/>
      </c>
      <c r="N334">
        <f>IF($X334="","",Settings!$C$7)</f>
        <v/>
      </c>
      <c r="O334" s="7">
        <f>IF($X334="","",SUMIFS('Per Line'!$V$2:$V$3001,'Per Line'!$D$2:$D$3001,$B334,'Per Line'!$AM$2:$AM$3001,0,'Per Line'!$AN$2:$AN$3001,0))</f>
        <v/>
      </c>
      <c r="P334" s="7">
        <f>IF($X334="","",O334*N334)</f>
        <v/>
      </c>
      <c r="Q334">
        <f>IF($X334="","",Settings!$C$6)</f>
        <v/>
      </c>
      <c r="R334" s="7">
        <f>IF($X334="","",SUMIFS('Per Line'!$V$2:$V$3001,'Per Line'!$D$2:$D$3001,$B334,'Per Line'!$AM$2:$AM$3001,1,'Per Line'!$AN$2:$AN$3001,0))</f>
        <v/>
      </c>
      <c r="S334" s="7">
        <f>IF($X334="","",R334*Q334)</f>
        <v/>
      </c>
      <c r="T334" s="7">
        <f>IF($X334="","",S334+P334)</f>
        <v/>
      </c>
      <c r="U334" s="7">
        <f>IF($X334="","",V334-T334)</f>
        <v/>
      </c>
      <c r="V334" s="7">
        <f>IF($X334="","",O334+R334+M334)</f>
        <v/>
      </c>
      <c r="W334" s="7">
        <f>IF($X334="","",V334-T334-I334)</f>
        <v/>
      </c>
      <c r="X334" s="13">
        <f>IF(ROWS($X$2:$X334)&lt;=MAX('Per Line'!$AL$2:$AL$3001),MATCH(ROWS($X$2:$X334),'Per Line'!$AL$2:$AL$3001,0),"")</f>
        <v/>
      </c>
    </row>
    <row r="335">
      <c r="A335" s="12" t="n"/>
      <c r="B335">
        <f>IF($X335="","",INDEX('Per Line'!$D$2:$D$3001,$X335)&amp;"")</f>
        <v/>
      </c>
      <c r="C335" s="11">
        <f>IF($X335="","",INDEX('Per Line'!$F$2:$F$3001,$X335))</f>
        <v/>
      </c>
      <c r="D335">
        <f>IF($X335="","",INDEX('Per Line'!$G$2:$G$3001,$X335)&amp;"")</f>
        <v/>
      </c>
      <c r="E335">
        <f>IF($X335="","",INDEX('Per Line'!$I$2:$I$3001,$X335)&amp;"")</f>
        <v/>
      </c>
      <c r="F335">
        <f>IF($X335="","",INDEX('Per Line'!$J$2:$J$3001,$X335)&amp;"")</f>
        <v/>
      </c>
      <c r="G335">
        <f>IF($X335="","",INDEX('Per Line'!$K$2:$K$3001,$X335)&amp;"")</f>
        <v/>
      </c>
      <c r="H335">
        <f>IF($X335="","",INDEX('Per Line'!$M$2:$M$3001,$X335))</f>
        <v/>
      </c>
      <c r="I335" s="7">
        <f>IF($X335="","",H335*V335/100)</f>
        <v/>
      </c>
      <c r="J335">
        <f>IF($X335="","",INDEX('Per Line'!$W$2:$W$3001,$X335)&amp;"")</f>
        <v/>
      </c>
      <c r="K335">
        <f>IF($X335="","",INDEX('Per Line'!$AD$2:$AD$3001,$X335))</f>
        <v/>
      </c>
      <c r="L335">
        <f>IF($X335="","",IF(AND(ISNUMBER(K335),K335&gt;0),V335&gt;K335,FALSE))</f>
        <v/>
      </c>
      <c r="M335" s="7">
        <f>IF($X335="","",SUMIFS('Per Line'!$V$2:$V$3001,'Per Line'!$D$2:$D$3001,$B335,'Per Line'!$AN$2:$AN$3001,1))</f>
        <v/>
      </c>
      <c r="N335">
        <f>IF($X335="","",Settings!$C$7)</f>
        <v/>
      </c>
      <c r="O335" s="7">
        <f>IF($X335="","",SUMIFS('Per Line'!$V$2:$V$3001,'Per Line'!$D$2:$D$3001,$B335,'Per Line'!$AM$2:$AM$3001,0,'Per Line'!$AN$2:$AN$3001,0))</f>
        <v/>
      </c>
      <c r="P335" s="7">
        <f>IF($X335="","",O335*N335)</f>
        <v/>
      </c>
      <c r="Q335">
        <f>IF($X335="","",Settings!$C$6)</f>
        <v/>
      </c>
      <c r="R335" s="7">
        <f>IF($X335="","",SUMIFS('Per Line'!$V$2:$V$3001,'Per Line'!$D$2:$D$3001,$B335,'Per Line'!$AM$2:$AM$3001,1,'Per Line'!$AN$2:$AN$3001,0))</f>
        <v/>
      </c>
      <c r="S335" s="7">
        <f>IF($X335="","",R335*Q335)</f>
        <v/>
      </c>
      <c r="T335" s="7">
        <f>IF($X335="","",S335+P335)</f>
        <v/>
      </c>
      <c r="U335" s="7">
        <f>IF($X335="","",V335-T335)</f>
        <v/>
      </c>
      <c r="V335" s="7">
        <f>IF($X335="","",O335+R335+M335)</f>
        <v/>
      </c>
      <c r="W335" s="7">
        <f>IF($X335="","",V335-T335-I335)</f>
        <v/>
      </c>
      <c r="X335" s="13">
        <f>IF(ROWS($X$2:$X335)&lt;=MAX('Per Line'!$AL$2:$AL$3001),MATCH(ROWS($X$2:$X335),'Per Line'!$AL$2:$AL$3001,0),"")</f>
        <v/>
      </c>
    </row>
    <row r="336">
      <c r="A336" s="12" t="n"/>
      <c r="B336">
        <f>IF($X336="","",INDEX('Per Line'!$D$2:$D$3001,$X336)&amp;"")</f>
        <v/>
      </c>
      <c r="C336" s="11">
        <f>IF($X336="","",INDEX('Per Line'!$F$2:$F$3001,$X336))</f>
        <v/>
      </c>
      <c r="D336">
        <f>IF($X336="","",INDEX('Per Line'!$G$2:$G$3001,$X336)&amp;"")</f>
        <v/>
      </c>
      <c r="E336">
        <f>IF($X336="","",INDEX('Per Line'!$I$2:$I$3001,$X336)&amp;"")</f>
        <v/>
      </c>
      <c r="F336">
        <f>IF($X336="","",INDEX('Per Line'!$J$2:$J$3001,$X336)&amp;"")</f>
        <v/>
      </c>
      <c r="G336">
        <f>IF($X336="","",INDEX('Per Line'!$K$2:$K$3001,$X336)&amp;"")</f>
        <v/>
      </c>
      <c r="H336">
        <f>IF($X336="","",INDEX('Per Line'!$M$2:$M$3001,$X336))</f>
        <v/>
      </c>
      <c r="I336" s="7">
        <f>IF($X336="","",H336*V336/100)</f>
        <v/>
      </c>
      <c r="J336">
        <f>IF($X336="","",INDEX('Per Line'!$W$2:$W$3001,$X336)&amp;"")</f>
        <v/>
      </c>
      <c r="K336">
        <f>IF($X336="","",INDEX('Per Line'!$AD$2:$AD$3001,$X336))</f>
        <v/>
      </c>
      <c r="L336">
        <f>IF($X336="","",IF(AND(ISNUMBER(K336),K336&gt;0),V336&gt;K336,FALSE))</f>
        <v/>
      </c>
      <c r="M336" s="7">
        <f>IF($X336="","",SUMIFS('Per Line'!$V$2:$V$3001,'Per Line'!$D$2:$D$3001,$B336,'Per Line'!$AN$2:$AN$3001,1))</f>
        <v/>
      </c>
      <c r="N336">
        <f>IF($X336="","",Settings!$C$7)</f>
        <v/>
      </c>
      <c r="O336" s="7">
        <f>IF($X336="","",SUMIFS('Per Line'!$V$2:$V$3001,'Per Line'!$D$2:$D$3001,$B336,'Per Line'!$AM$2:$AM$3001,0,'Per Line'!$AN$2:$AN$3001,0))</f>
        <v/>
      </c>
      <c r="P336" s="7">
        <f>IF($X336="","",O336*N336)</f>
        <v/>
      </c>
      <c r="Q336">
        <f>IF($X336="","",Settings!$C$6)</f>
        <v/>
      </c>
      <c r="R336" s="7">
        <f>IF($X336="","",SUMIFS('Per Line'!$V$2:$V$3001,'Per Line'!$D$2:$D$3001,$B336,'Per Line'!$AM$2:$AM$3001,1,'Per Line'!$AN$2:$AN$3001,0))</f>
        <v/>
      </c>
      <c r="S336" s="7">
        <f>IF($X336="","",R336*Q336)</f>
        <v/>
      </c>
      <c r="T336" s="7">
        <f>IF($X336="","",S336+P336)</f>
        <v/>
      </c>
      <c r="U336" s="7">
        <f>IF($X336="","",V336-T336)</f>
        <v/>
      </c>
      <c r="V336" s="7">
        <f>IF($X336="","",O336+R336+M336)</f>
        <v/>
      </c>
      <c r="W336" s="7">
        <f>IF($X336="","",V336-T336-I336)</f>
        <v/>
      </c>
      <c r="X336" s="13">
        <f>IF(ROWS($X$2:$X336)&lt;=MAX('Per Line'!$AL$2:$AL$3001),MATCH(ROWS($X$2:$X336),'Per Line'!$AL$2:$AL$3001,0),"")</f>
        <v/>
      </c>
    </row>
    <row r="337">
      <c r="A337" s="12" t="n"/>
      <c r="B337">
        <f>IF($X337="","",INDEX('Per Line'!$D$2:$D$3001,$X337)&amp;"")</f>
        <v/>
      </c>
      <c r="C337" s="11">
        <f>IF($X337="","",INDEX('Per Line'!$F$2:$F$3001,$X337))</f>
        <v/>
      </c>
      <c r="D337">
        <f>IF($X337="","",INDEX('Per Line'!$G$2:$G$3001,$X337)&amp;"")</f>
        <v/>
      </c>
      <c r="E337">
        <f>IF($X337="","",INDEX('Per Line'!$I$2:$I$3001,$X337)&amp;"")</f>
        <v/>
      </c>
      <c r="F337">
        <f>IF($X337="","",INDEX('Per Line'!$J$2:$J$3001,$X337)&amp;"")</f>
        <v/>
      </c>
      <c r="G337">
        <f>IF($X337="","",INDEX('Per Line'!$K$2:$K$3001,$X337)&amp;"")</f>
        <v/>
      </c>
      <c r="H337">
        <f>IF($X337="","",INDEX('Per Line'!$M$2:$M$3001,$X337))</f>
        <v/>
      </c>
      <c r="I337" s="7">
        <f>IF($X337="","",H337*V337/100)</f>
        <v/>
      </c>
      <c r="J337">
        <f>IF($X337="","",INDEX('Per Line'!$W$2:$W$3001,$X337)&amp;"")</f>
        <v/>
      </c>
      <c r="K337">
        <f>IF($X337="","",INDEX('Per Line'!$AD$2:$AD$3001,$X337))</f>
        <v/>
      </c>
      <c r="L337">
        <f>IF($X337="","",IF(AND(ISNUMBER(K337),K337&gt;0),V337&gt;K337,FALSE))</f>
        <v/>
      </c>
      <c r="M337" s="7">
        <f>IF($X337="","",SUMIFS('Per Line'!$V$2:$V$3001,'Per Line'!$D$2:$D$3001,$B337,'Per Line'!$AN$2:$AN$3001,1))</f>
        <v/>
      </c>
      <c r="N337">
        <f>IF($X337="","",Settings!$C$7)</f>
        <v/>
      </c>
      <c r="O337" s="7">
        <f>IF($X337="","",SUMIFS('Per Line'!$V$2:$V$3001,'Per Line'!$D$2:$D$3001,$B337,'Per Line'!$AM$2:$AM$3001,0,'Per Line'!$AN$2:$AN$3001,0))</f>
        <v/>
      </c>
      <c r="P337" s="7">
        <f>IF($X337="","",O337*N337)</f>
        <v/>
      </c>
      <c r="Q337">
        <f>IF($X337="","",Settings!$C$6)</f>
        <v/>
      </c>
      <c r="R337" s="7">
        <f>IF($X337="","",SUMIFS('Per Line'!$V$2:$V$3001,'Per Line'!$D$2:$D$3001,$B337,'Per Line'!$AM$2:$AM$3001,1,'Per Line'!$AN$2:$AN$3001,0))</f>
        <v/>
      </c>
      <c r="S337" s="7">
        <f>IF($X337="","",R337*Q337)</f>
        <v/>
      </c>
      <c r="T337" s="7">
        <f>IF($X337="","",S337+P337)</f>
        <v/>
      </c>
      <c r="U337" s="7">
        <f>IF($X337="","",V337-T337)</f>
        <v/>
      </c>
      <c r="V337" s="7">
        <f>IF($X337="","",O337+R337+M337)</f>
        <v/>
      </c>
      <c r="W337" s="7">
        <f>IF($X337="","",V337-T337-I337)</f>
        <v/>
      </c>
      <c r="X337" s="13">
        <f>IF(ROWS($X$2:$X337)&lt;=MAX('Per Line'!$AL$2:$AL$3001),MATCH(ROWS($X$2:$X337),'Per Line'!$AL$2:$AL$3001,0),"")</f>
        <v/>
      </c>
    </row>
    <row r="338">
      <c r="A338" s="12" t="n"/>
      <c r="B338">
        <f>IF($X338="","",INDEX('Per Line'!$D$2:$D$3001,$X338)&amp;"")</f>
        <v/>
      </c>
      <c r="C338" s="11">
        <f>IF($X338="","",INDEX('Per Line'!$F$2:$F$3001,$X338))</f>
        <v/>
      </c>
      <c r="D338">
        <f>IF($X338="","",INDEX('Per Line'!$G$2:$G$3001,$X338)&amp;"")</f>
        <v/>
      </c>
      <c r="E338">
        <f>IF($X338="","",INDEX('Per Line'!$I$2:$I$3001,$X338)&amp;"")</f>
        <v/>
      </c>
      <c r="F338">
        <f>IF($X338="","",INDEX('Per Line'!$J$2:$J$3001,$X338)&amp;"")</f>
        <v/>
      </c>
      <c r="G338">
        <f>IF($X338="","",INDEX('Per Line'!$K$2:$K$3001,$X338)&amp;"")</f>
        <v/>
      </c>
      <c r="H338">
        <f>IF($X338="","",INDEX('Per Line'!$M$2:$M$3001,$X338))</f>
        <v/>
      </c>
      <c r="I338" s="7">
        <f>IF($X338="","",H338*V338/100)</f>
        <v/>
      </c>
      <c r="J338">
        <f>IF($X338="","",INDEX('Per Line'!$W$2:$W$3001,$X338)&amp;"")</f>
        <v/>
      </c>
      <c r="K338">
        <f>IF($X338="","",INDEX('Per Line'!$AD$2:$AD$3001,$X338))</f>
        <v/>
      </c>
      <c r="L338">
        <f>IF($X338="","",IF(AND(ISNUMBER(K338),K338&gt;0),V338&gt;K338,FALSE))</f>
        <v/>
      </c>
      <c r="M338" s="7">
        <f>IF($X338="","",SUMIFS('Per Line'!$V$2:$V$3001,'Per Line'!$D$2:$D$3001,$B338,'Per Line'!$AN$2:$AN$3001,1))</f>
        <v/>
      </c>
      <c r="N338">
        <f>IF($X338="","",Settings!$C$7)</f>
        <v/>
      </c>
      <c r="O338" s="7">
        <f>IF($X338="","",SUMIFS('Per Line'!$V$2:$V$3001,'Per Line'!$D$2:$D$3001,$B338,'Per Line'!$AM$2:$AM$3001,0,'Per Line'!$AN$2:$AN$3001,0))</f>
        <v/>
      </c>
      <c r="P338" s="7">
        <f>IF($X338="","",O338*N338)</f>
        <v/>
      </c>
      <c r="Q338">
        <f>IF($X338="","",Settings!$C$6)</f>
        <v/>
      </c>
      <c r="R338" s="7">
        <f>IF($X338="","",SUMIFS('Per Line'!$V$2:$V$3001,'Per Line'!$D$2:$D$3001,$B338,'Per Line'!$AM$2:$AM$3001,1,'Per Line'!$AN$2:$AN$3001,0))</f>
        <v/>
      </c>
      <c r="S338" s="7">
        <f>IF($X338="","",R338*Q338)</f>
        <v/>
      </c>
      <c r="T338" s="7">
        <f>IF($X338="","",S338+P338)</f>
        <v/>
      </c>
      <c r="U338" s="7">
        <f>IF($X338="","",V338-T338)</f>
        <v/>
      </c>
      <c r="V338" s="7">
        <f>IF($X338="","",O338+R338+M338)</f>
        <v/>
      </c>
      <c r="W338" s="7">
        <f>IF($X338="","",V338-T338-I338)</f>
        <v/>
      </c>
      <c r="X338" s="13">
        <f>IF(ROWS($X$2:$X338)&lt;=MAX('Per Line'!$AL$2:$AL$3001),MATCH(ROWS($X$2:$X338),'Per Line'!$AL$2:$AL$3001,0),"")</f>
        <v/>
      </c>
    </row>
    <row r="339">
      <c r="A339" s="12" t="n"/>
      <c r="B339">
        <f>IF($X339="","",INDEX('Per Line'!$D$2:$D$3001,$X339)&amp;"")</f>
        <v/>
      </c>
      <c r="C339" s="11">
        <f>IF($X339="","",INDEX('Per Line'!$F$2:$F$3001,$X339))</f>
        <v/>
      </c>
      <c r="D339">
        <f>IF($X339="","",INDEX('Per Line'!$G$2:$G$3001,$X339)&amp;"")</f>
        <v/>
      </c>
      <c r="E339">
        <f>IF($X339="","",INDEX('Per Line'!$I$2:$I$3001,$X339)&amp;"")</f>
        <v/>
      </c>
      <c r="F339">
        <f>IF($X339="","",INDEX('Per Line'!$J$2:$J$3001,$X339)&amp;"")</f>
        <v/>
      </c>
      <c r="G339">
        <f>IF($X339="","",INDEX('Per Line'!$K$2:$K$3001,$X339)&amp;"")</f>
        <v/>
      </c>
      <c r="H339">
        <f>IF($X339="","",INDEX('Per Line'!$M$2:$M$3001,$X339))</f>
        <v/>
      </c>
      <c r="I339" s="7">
        <f>IF($X339="","",H339*V339/100)</f>
        <v/>
      </c>
      <c r="J339">
        <f>IF($X339="","",INDEX('Per Line'!$W$2:$W$3001,$X339)&amp;"")</f>
        <v/>
      </c>
      <c r="K339">
        <f>IF($X339="","",INDEX('Per Line'!$AD$2:$AD$3001,$X339))</f>
        <v/>
      </c>
      <c r="L339">
        <f>IF($X339="","",IF(AND(ISNUMBER(K339),K339&gt;0),V339&gt;K339,FALSE))</f>
        <v/>
      </c>
      <c r="M339" s="7">
        <f>IF($X339="","",SUMIFS('Per Line'!$V$2:$V$3001,'Per Line'!$D$2:$D$3001,$B339,'Per Line'!$AN$2:$AN$3001,1))</f>
        <v/>
      </c>
      <c r="N339">
        <f>IF($X339="","",Settings!$C$7)</f>
        <v/>
      </c>
      <c r="O339" s="7">
        <f>IF($X339="","",SUMIFS('Per Line'!$V$2:$V$3001,'Per Line'!$D$2:$D$3001,$B339,'Per Line'!$AM$2:$AM$3001,0,'Per Line'!$AN$2:$AN$3001,0))</f>
        <v/>
      </c>
      <c r="P339" s="7">
        <f>IF($X339="","",O339*N339)</f>
        <v/>
      </c>
      <c r="Q339">
        <f>IF($X339="","",Settings!$C$6)</f>
        <v/>
      </c>
      <c r="R339" s="7">
        <f>IF($X339="","",SUMIFS('Per Line'!$V$2:$V$3001,'Per Line'!$D$2:$D$3001,$B339,'Per Line'!$AM$2:$AM$3001,1,'Per Line'!$AN$2:$AN$3001,0))</f>
        <v/>
      </c>
      <c r="S339" s="7">
        <f>IF($X339="","",R339*Q339)</f>
        <v/>
      </c>
      <c r="T339" s="7">
        <f>IF($X339="","",S339+P339)</f>
        <v/>
      </c>
      <c r="U339" s="7">
        <f>IF($X339="","",V339-T339)</f>
        <v/>
      </c>
      <c r="V339" s="7">
        <f>IF($X339="","",O339+R339+M339)</f>
        <v/>
      </c>
      <c r="W339" s="7">
        <f>IF($X339="","",V339-T339-I339)</f>
        <v/>
      </c>
      <c r="X339" s="13">
        <f>IF(ROWS($X$2:$X339)&lt;=MAX('Per Line'!$AL$2:$AL$3001),MATCH(ROWS($X$2:$X339),'Per Line'!$AL$2:$AL$3001,0),"")</f>
        <v/>
      </c>
    </row>
    <row r="340">
      <c r="A340" s="12" t="n"/>
      <c r="B340">
        <f>IF($X340="","",INDEX('Per Line'!$D$2:$D$3001,$X340)&amp;"")</f>
        <v/>
      </c>
      <c r="C340" s="11">
        <f>IF($X340="","",INDEX('Per Line'!$F$2:$F$3001,$X340))</f>
        <v/>
      </c>
      <c r="D340">
        <f>IF($X340="","",INDEX('Per Line'!$G$2:$G$3001,$X340)&amp;"")</f>
        <v/>
      </c>
      <c r="E340">
        <f>IF($X340="","",INDEX('Per Line'!$I$2:$I$3001,$X340)&amp;"")</f>
        <v/>
      </c>
      <c r="F340">
        <f>IF($X340="","",INDEX('Per Line'!$J$2:$J$3001,$X340)&amp;"")</f>
        <v/>
      </c>
      <c r="G340">
        <f>IF($X340="","",INDEX('Per Line'!$K$2:$K$3001,$X340)&amp;"")</f>
        <v/>
      </c>
      <c r="H340">
        <f>IF($X340="","",INDEX('Per Line'!$M$2:$M$3001,$X340))</f>
        <v/>
      </c>
      <c r="I340" s="7">
        <f>IF($X340="","",H340*V340/100)</f>
        <v/>
      </c>
      <c r="J340">
        <f>IF($X340="","",INDEX('Per Line'!$W$2:$W$3001,$X340)&amp;"")</f>
        <v/>
      </c>
      <c r="K340">
        <f>IF($X340="","",INDEX('Per Line'!$AD$2:$AD$3001,$X340))</f>
        <v/>
      </c>
      <c r="L340">
        <f>IF($X340="","",IF(AND(ISNUMBER(K340),K340&gt;0),V340&gt;K340,FALSE))</f>
        <v/>
      </c>
      <c r="M340" s="7">
        <f>IF($X340="","",SUMIFS('Per Line'!$V$2:$V$3001,'Per Line'!$D$2:$D$3001,$B340,'Per Line'!$AN$2:$AN$3001,1))</f>
        <v/>
      </c>
      <c r="N340">
        <f>IF($X340="","",Settings!$C$7)</f>
        <v/>
      </c>
      <c r="O340" s="7">
        <f>IF($X340="","",SUMIFS('Per Line'!$V$2:$V$3001,'Per Line'!$D$2:$D$3001,$B340,'Per Line'!$AM$2:$AM$3001,0,'Per Line'!$AN$2:$AN$3001,0))</f>
        <v/>
      </c>
      <c r="P340" s="7">
        <f>IF($X340="","",O340*N340)</f>
        <v/>
      </c>
      <c r="Q340">
        <f>IF($X340="","",Settings!$C$6)</f>
        <v/>
      </c>
      <c r="R340" s="7">
        <f>IF($X340="","",SUMIFS('Per Line'!$V$2:$V$3001,'Per Line'!$D$2:$D$3001,$B340,'Per Line'!$AM$2:$AM$3001,1,'Per Line'!$AN$2:$AN$3001,0))</f>
        <v/>
      </c>
      <c r="S340" s="7">
        <f>IF($X340="","",R340*Q340)</f>
        <v/>
      </c>
      <c r="T340" s="7">
        <f>IF($X340="","",S340+P340)</f>
        <v/>
      </c>
      <c r="U340" s="7">
        <f>IF($X340="","",V340-T340)</f>
        <v/>
      </c>
      <c r="V340" s="7">
        <f>IF($X340="","",O340+R340+M340)</f>
        <v/>
      </c>
      <c r="W340" s="7">
        <f>IF($X340="","",V340-T340-I340)</f>
        <v/>
      </c>
      <c r="X340" s="13">
        <f>IF(ROWS($X$2:$X340)&lt;=MAX('Per Line'!$AL$2:$AL$3001),MATCH(ROWS($X$2:$X340),'Per Line'!$AL$2:$AL$3001,0),"")</f>
        <v/>
      </c>
    </row>
    <row r="341">
      <c r="A341" s="12" t="n"/>
      <c r="B341">
        <f>IF($X341="","",INDEX('Per Line'!$D$2:$D$3001,$X341)&amp;"")</f>
        <v/>
      </c>
      <c r="C341" s="11">
        <f>IF($X341="","",INDEX('Per Line'!$F$2:$F$3001,$X341))</f>
        <v/>
      </c>
      <c r="D341">
        <f>IF($X341="","",INDEX('Per Line'!$G$2:$G$3001,$X341)&amp;"")</f>
        <v/>
      </c>
      <c r="E341">
        <f>IF($X341="","",INDEX('Per Line'!$I$2:$I$3001,$X341)&amp;"")</f>
        <v/>
      </c>
      <c r="F341">
        <f>IF($X341="","",INDEX('Per Line'!$J$2:$J$3001,$X341)&amp;"")</f>
        <v/>
      </c>
      <c r="G341">
        <f>IF($X341="","",INDEX('Per Line'!$K$2:$K$3001,$X341)&amp;"")</f>
        <v/>
      </c>
      <c r="H341">
        <f>IF($X341="","",INDEX('Per Line'!$M$2:$M$3001,$X341))</f>
        <v/>
      </c>
      <c r="I341" s="7">
        <f>IF($X341="","",H341*V341/100)</f>
        <v/>
      </c>
      <c r="J341">
        <f>IF($X341="","",INDEX('Per Line'!$W$2:$W$3001,$X341)&amp;"")</f>
        <v/>
      </c>
      <c r="K341">
        <f>IF($X341="","",INDEX('Per Line'!$AD$2:$AD$3001,$X341))</f>
        <v/>
      </c>
      <c r="L341">
        <f>IF($X341="","",IF(AND(ISNUMBER(K341),K341&gt;0),V341&gt;K341,FALSE))</f>
        <v/>
      </c>
      <c r="M341" s="7">
        <f>IF($X341="","",SUMIFS('Per Line'!$V$2:$V$3001,'Per Line'!$D$2:$D$3001,$B341,'Per Line'!$AN$2:$AN$3001,1))</f>
        <v/>
      </c>
      <c r="N341">
        <f>IF($X341="","",Settings!$C$7)</f>
        <v/>
      </c>
      <c r="O341" s="7">
        <f>IF($X341="","",SUMIFS('Per Line'!$V$2:$V$3001,'Per Line'!$D$2:$D$3001,$B341,'Per Line'!$AM$2:$AM$3001,0,'Per Line'!$AN$2:$AN$3001,0))</f>
        <v/>
      </c>
      <c r="P341" s="7">
        <f>IF($X341="","",O341*N341)</f>
        <v/>
      </c>
      <c r="Q341">
        <f>IF($X341="","",Settings!$C$6)</f>
        <v/>
      </c>
      <c r="R341" s="7">
        <f>IF($X341="","",SUMIFS('Per Line'!$V$2:$V$3001,'Per Line'!$D$2:$D$3001,$B341,'Per Line'!$AM$2:$AM$3001,1,'Per Line'!$AN$2:$AN$3001,0))</f>
        <v/>
      </c>
      <c r="S341" s="7">
        <f>IF($X341="","",R341*Q341)</f>
        <v/>
      </c>
      <c r="T341" s="7">
        <f>IF($X341="","",S341+P341)</f>
        <v/>
      </c>
      <c r="U341" s="7">
        <f>IF($X341="","",V341-T341)</f>
        <v/>
      </c>
      <c r="V341" s="7">
        <f>IF($X341="","",O341+R341+M341)</f>
        <v/>
      </c>
      <c r="W341" s="7">
        <f>IF($X341="","",V341-T341-I341)</f>
        <v/>
      </c>
      <c r="X341" s="13">
        <f>IF(ROWS($X$2:$X341)&lt;=MAX('Per Line'!$AL$2:$AL$3001),MATCH(ROWS($X$2:$X341),'Per Line'!$AL$2:$AL$3001,0),"")</f>
        <v/>
      </c>
    </row>
    <row r="342">
      <c r="A342" s="12" t="n"/>
      <c r="B342">
        <f>IF($X342="","",INDEX('Per Line'!$D$2:$D$3001,$X342)&amp;"")</f>
        <v/>
      </c>
      <c r="C342" s="11">
        <f>IF($X342="","",INDEX('Per Line'!$F$2:$F$3001,$X342))</f>
        <v/>
      </c>
      <c r="D342">
        <f>IF($X342="","",INDEX('Per Line'!$G$2:$G$3001,$X342)&amp;"")</f>
        <v/>
      </c>
      <c r="E342">
        <f>IF($X342="","",INDEX('Per Line'!$I$2:$I$3001,$X342)&amp;"")</f>
        <v/>
      </c>
      <c r="F342">
        <f>IF($X342="","",INDEX('Per Line'!$J$2:$J$3001,$X342)&amp;"")</f>
        <v/>
      </c>
      <c r="G342">
        <f>IF($X342="","",INDEX('Per Line'!$K$2:$K$3001,$X342)&amp;"")</f>
        <v/>
      </c>
      <c r="H342">
        <f>IF($X342="","",INDEX('Per Line'!$M$2:$M$3001,$X342))</f>
        <v/>
      </c>
      <c r="I342" s="7">
        <f>IF($X342="","",H342*V342/100)</f>
        <v/>
      </c>
      <c r="J342">
        <f>IF($X342="","",INDEX('Per Line'!$W$2:$W$3001,$X342)&amp;"")</f>
        <v/>
      </c>
      <c r="K342">
        <f>IF($X342="","",INDEX('Per Line'!$AD$2:$AD$3001,$X342))</f>
        <v/>
      </c>
      <c r="L342">
        <f>IF($X342="","",IF(AND(ISNUMBER(K342),K342&gt;0),V342&gt;K342,FALSE))</f>
        <v/>
      </c>
      <c r="M342" s="7">
        <f>IF($X342="","",SUMIFS('Per Line'!$V$2:$V$3001,'Per Line'!$D$2:$D$3001,$B342,'Per Line'!$AN$2:$AN$3001,1))</f>
        <v/>
      </c>
      <c r="N342">
        <f>IF($X342="","",Settings!$C$7)</f>
        <v/>
      </c>
      <c r="O342" s="7">
        <f>IF($X342="","",SUMIFS('Per Line'!$V$2:$V$3001,'Per Line'!$D$2:$D$3001,$B342,'Per Line'!$AM$2:$AM$3001,0,'Per Line'!$AN$2:$AN$3001,0))</f>
        <v/>
      </c>
      <c r="P342" s="7">
        <f>IF($X342="","",O342*N342)</f>
        <v/>
      </c>
      <c r="Q342">
        <f>IF($X342="","",Settings!$C$6)</f>
        <v/>
      </c>
      <c r="R342" s="7">
        <f>IF($X342="","",SUMIFS('Per Line'!$V$2:$V$3001,'Per Line'!$D$2:$D$3001,$B342,'Per Line'!$AM$2:$AM$3001,1,'Per Line'!$AN$2:$AN$3001,0))</f>
        <v/>
      </c>
      <c r="S342" s="7">
        <f>IF($X342="","",R342*Q342)</f>
        <v/>
      </c>
      <c r="T342" s="7">
        <f>IF($X342="","",S342+P342)</f>
        <v/>
      </c>
      <c r="U342" s="7">
        <f>IF($X342="","",V342-T342)</f>
        <v/>
      </c>
      <c r="V342" s="7">
        <f>IF($X342="","",O342+R342+M342)</f>
        <v/>
      </c>
      <c r="W342" s="7">
        <f>IF($X342="","",V342-T342-I342)</f>
        <v/>
      </c>
      <c r="X342" s="13">
        <f>IF(ROWS($X$2:$X342)&lt;=MAX('Per Line'!$AL$2:$AL$3001),MATCH(ROWS($X$2:$X342),'Per Line'!$AL$2:$AL$3001,0),"")</f>
        <v/>
      </c>
    </row>
    <row r="343">
      <c r="A343" s="12" t="n"/>
      <c r="B343">
        <f>IF($X343="","",INDEX('Per Line'!$D$2:$D$3001,$X343)&amp;"")</f>
        <v/>
      </c>
      <c r="C343" s="11">
        <f>IF($X343="","",INDEX('Per Line'!$F$2:$F$3001,$X343))</f>
        <v/>
      </c>
      <c r="D343">
        <f>IF($X343="","",INDEX('Per Line'!$G$2:$G$3001,$X343)&amp;"")</f>
        <v/>
      </c>
      <c r="E343">
        <f>IF($X343="","",INDEX('Per Line'!$I$2:$I$3001,$X343)&amp;"")</f>
        <v/>
      </c>
      <c r="F343">
        <f>IF($X343="","",INDEX('Per Line'!$J$2:$J$3001,$X343)&amp;"")</f>
        <v/>
      </c>
      <c r="G343">
        <f>IF($X343="","",INDEX('Per Line'!$K$2:$K$3001,$X343)&amp;"")</f>
        <v/>
      </c>
      <c r="H343">
        <f>IF($X343="","",INDEX('Per Line'!$M$2:$M$3001,$X343))</f>
        <v/>
      </c>
      <c r="I343" s="7">
        <f>IF($X343="","",H343*V343/100)</f>
        <v/>
      </c>
      <c r="J343">
        <f>IF($X343="","",INDEX('Per Line'!$W$2:$W$3001,$X343)&amp;"")</f>
        <v/>
      </c>
      <c r="K343">
        <f>IF($X343="","",INDEX('Per Line'!$AD$2:$AD$3001,$X343))</f>
        <v/>
      </c>
      <c r="L343">
        <f>IF($X343="","",IF(AND(ISNUMBER(K343),K343&gt;0),V343&gt;K343,FALSE))</f>
        <v/>
      </c>
      <c r="M343" s="7">
        <f>IF($X343="","",SUMIFS('Per Line'!$V$2:$V$3001,'Per Line'!$D$2:$D$3001,$B343,'Per Line'!$AN$2:$AN$3001,1))</f>
        <v/>
      </c>
      <c r="N343">
        <f>IF($X343="","",Settings!$C$7)</f>
        <v/>
      </c>
      <c r="O343" s="7">
        <f>IF($X343="","",SUMIFS('Per Line'!$V$2:$V$3001,'Per Line'!$D$2:$D$3001,$B343,'Per Line'!$AM$2:$AM$3001,0,'Per Line'!$AN$2:$AN$3001,0))</f>
        <v/>
      </c>
      <c r="P343" s="7">
        <f>IF($X343="","",O343*N343)</f>
        <v/>
      </c>
      <c r="Q343">
        <f>IF($X343="","",Settings!$C$6)</f>
        <v/>
      </c>
      <c r="R343" s="7">
        <f>IF($X343="","",SUMIFS('Per Line'!$V$2:$V$3001,'Per Line'!$D$2:$D$3001,$B343,'Per Line'!$AM$2:$AM$3001,1,'Per Line'!$AN$2:$AN$3001,0))</f>
        <v/>
      </c>
      <c r="S343" s="7">
        <f>IF($X343="","",R343*Q343)</f>
        <v/>
      </c>
      <c r="T343" s="7">
        <f>IF($X343="","",S343+P343)</f>
        <v/>
      </c>
      <c r="U343" s="7">
        <f>IF($X343="","",V343-T343)</f>
        <v/>
      </c>
      <c r="V343" s="7">
        <f>IF($X343="","",O343+R343+M343)</f>
        <v/>
      </c>
      <c r="W343" s="7">
        <f>IF($X343="","",V343-T343-I343)</f>
        <v/>
      </c>
      <c r="X343" s="13">
        <f>IF(ROWS($X$2:$X343)&lt;=MAX('Per Line'!$AL$2:$AL$3001),MATCH(ROWS($X$2:$X343),'Per Line'!$AL$2:$AL$3001,0),"")</f>
        <v/>
      </c>
    </row>
    <row r="344">
      <c r="A344" s="12" t="n"/>
      <c r="B344">
        <f>IF($X344="","",INDEX('Per Line'!$D$2:$D$3001,$X344)&amp;"")</f>
        <v/>
      </c>
      <c r="C344" s="11">
        <f>IF($X344="","",INDEX('Per Line'!$F$2:$F$3001,$X344))</f>
        <v/>
      </c>
      <c r="D344">
        <f>IF($X344="","",INDEX('Per Line'!$G$2:$G$3001,$X344)&amp;"")</f>
        <v/>
      </c>
      <c r="E344">
        <f>IF($X344="","",INDEX('Per Line'!$I$2:$I$3001,$X344)&amp;"")</f>
        <v/>
      </c>
      <c r="F344">
        <f>IF($X344="","",INDEX('Per Line'!$J$2:$J$3001,$X344)&amp;"")</f>
        <v/>
      </c>
      <c r="G344">
        <f>IF($X344="","",INDEX('Per Line'!$K$2:$K$3001,$X344)&amp;"")</f>
        <v/>
      </c>
      <c r="H344">
        <f>IF($X344="","",INDEX('Per Line'!$M$2:$M$3001,$X344))</f>
        <v/>
      </c>
      <c r="I344" s="7">
        <f>IF($X344="","",H344*V344/100)</f>
        <v/>
      </c>
      <c r="J344">
        <f>IF($X344="","",INDEX('Per Line'!$W$2:$W$3001,$X344)&amp;"")</f>
        <v/>
      </c>
      <c r="K344">
        <f>IF($X344="","",INDEX('Per Line'!$AD$2:$AD$3001,$X344))</f>
        <v/>
      </c>
      <c r="L344">
        <f>IF($X344="","",IF(AND(ISNUMBER(K344),K344&gt;0),V344&gt;K344,FALSE))</f>
        <v/>
      </c>
      <c r="M344" s="7">
        <f>IF($X344="","",SUMIFS('Per Line'!$V$2:$V$3001,'Per Line'!$D$2:$D$3001,$B344,'Per Line'!$AN$2:$AN$3001,1))</f>
        <v/>
      </c>
      <c r="N344">
        <f>IF($X344="","",Settings!$C$7)</f>
        <v/>
      </c>
      <c r="O344" s="7">
        <f>IF($X344="","",SUMIFS('Per Line'!$V$2:$V$3001,'Per Line'!$D$2:$D$3001,$B344,'Per Line'!$AM$2:$AM$3001,0,'Per Line'!$AN$2:$AN$3001,0))</f>
        <v/>
      </c>
      <c r="P344" s="7">
        <f>IF($X344="","",O344*N344)</f>
        <v/>
      </c>
      <c r="Q344">
        <f>IF($X344="","",Settings!$C$6)</f>
        <v/>
      </c>
      <c r="R344" s="7">
        <f>IF($X344="","",SUMIFS('Per Line'!$V$2:$V$3001,'Per Line'!$D$2:$D$3001,$B344,'Per Line'!$AM$2:$AM$3001,1,'Per Line'!$AN$2:$AN$3001,0))</f>
        <v/>
      </c>
      <c r="S344" s="7">
        <f>IF($X344="","",R344*Q344)</f>
        <v/>
      </c>
      <c r="T344" s="7">
        <f>IF($X344="","",S344+P344)</f>
        <v/>
      </c>
      <c r="U344" s="7">
        <f>IF($X344="","",V344-T344)</f>
        <v/>
      </c>
      <c r="V344" s="7">
        <f>IF($X344="","",O344+R344+M344)</f>
        <v/>
      </c>
      <c r="W344" s="7">
        <f>IF($X344="","",V344-T344-I344)</f>
        <v/>
      </c>
      <c r="X344" s="13">
        <f>IF(ROWS($X$2:$X344)&lt;=MAX('Per Line'!$AL$2:$AL$3001),MATCH(ROWS($X$2:$X344),'Per Line'!$AL$2:$AL$3001,0),"")</f>
        <v/>
      </c>
    </row>
    <row r="345">
      <c r="A345" s="12" t="n"/>
      <c r="B345">
        <f>IF($X345="","",INDEX('Per Line'!$D$2:$D$3001,$X345)&amp;"")</f>
        <v/>
      </c>
      <c r="C345" s="11">
        <f>IF($X345="","",INDEX('Per Line'!$F$2:$F$3001,$X345))</f>
        <v/>
      </c>
      <c r="D345">
        <f>IF($X345="","",INDEX('Per Line'!$G$2:$G$3001,$X345)&amp;"")</f>
        <v/>
      </c>
      <c r="E345">
        <f>IF($X345="","",INDEX('Per Line'!$I$2:$I$3001,$X345)&amp;"")</f>
        <v/>
      </c>
      <c r="F345">
        <f>IF($X345="","",INDEX('Per Line'!$J$2:$J$3001,$X345)&amp;"")</f>
        <v/>
      </c>
      <c r="G345">
        <f>IF($X345="","",INDEX('Per Line'!$K$2:$K$3001,$X345)&amp;"")</f>
        <v/>
      </c>
      <c r="H345">
        <f>IF($X345="","",INDEX('Per Line'!$M$2:$M$3001,$X345))</f>
        <v/>
      </c>
      <c r="I345" s="7">
        <f>IF($X345="","",H345*V345/100)</f>
        <v/>
      </c>
      <c r="J345">
        <f>IF($X345="","",INDEX('Per Line'!$W$2:$W$3001,$X345)&amp;"")</f>
        <v/>
      </c>
      <c r="K345">
        <f>IF($X345="","",INDEX('Per Line'!$AD$2:$AD$3001,$X345))</f>
        <v/>
      </c>
      <c r="L345">
        <f>IF($X345="","",IF(AND(ISNUMBER(K345),K345&gt;0),V345&gt;K345,FALSE))</f>
        <v/>
      </c>
      <c r="M345" s="7">
        <f>IF($X345="","",SUMIFS('Per Line'!$V$2:$V$3001,'Per Line'!$D$2:$D$3001,$B345,'Per Line'!$AN$2:$AN$3001,1))</f>
        <v/>
      </c>
      <c r="N345">
        <f>IF($X345="","",Settings!$C$7)</f>
        <v/>
      </c>
      <c r="O345" s="7">
        <f>IF($X345="","",SUMIFS('Per Line'!$V$2:$V$3001,'Per Line'!$D$2:$D$3001,$B345,'Per Line'!$AM$2:$AM$3001,0,'Per Line'!$AN$2:$AN$3001,0))</f>
        <v/>
      </c>
      <c r="P345" s="7">
        <f>IF($X345="","",O345*N345)</f>
        <v/>
      </c>
      <c r="Q345">
        <f>IF($X345="","",Settings!$C$6)</f>
        <v/>
      </c>
      <c r="R345" s="7">
        <f>IF($X345="","",SUMIFS('Per Line'!$V$2:$V$3001,'Per Line'!$D$2:$D$3001,$B345,'Per Line'!$AM$2:$AM$3001,1,'Per Line'!$AN$2:$AN$3001,0))</f>
        <v/>
      </c>
      <c r="S345" s="7">
        <f>IF($X345="","",R345*Q345)</f>
        <v/>
      </c>
      <c r="T345" s="7">
        <f>IF($X345="","",S345+P345)</f>
        <v/>
      </c>
      <c r="U345" s="7">
        <f>IF($X345="","",V345-T345)</f>
        <v/>
      </c>
      <c r="V345" s="7">
        <f>IF($X345="","",O345+R345+M345)</f>
        <v/>
      </c>
      <c r="W345" s="7">
        <f>IF($X345="","",V345-T345-I345)</f>
        <v/>
      </c>
      <c r="X345" s="13">
        <f>IF(ROWS($X$2:$X345)&lt;=MAX('Per Line'!$AL$2:$AL$3001),MATCH(ROWS($X$2:$X345),'Per Line'!$AL$2:$AL$3001,0),"")</f>
        <v/>
      </c>
    </row>
    <row r="346">
      <c r="A346" s="12" t="n"/>
      <c r="B346">
        <f>IF($X346="","",INDEX('Per Line'!$D$2:$D$3001,$X346)&amp;"")</f>
        <v/>
      </c>
      <c r="C346" s="11">
        <f>IF($X346="","",INDEX('Per Line'!$F$2:$F$3001,$X346))</f>
        <v/>
      </c>
      <c r="D346">
        <f>IF($X346="","",INDEX('Per Line'!$G$2:$G$3001,$X346)&amp;"")</f>
        <v/>
      </c>
      <c r="E346">
        <f>IF($X346="","",INDEX('Per Line'!$I$2:$I$3001,$X346)&amp;"")</f>
        <v/>
      </c>
      <c r="F346">
        <f>IF($X346="","",INDEX('Per Line'!$J$2:$J$3001,$X346)&amp;"")</f>
        <v/>
      </c>
      <c r="G346">
        <f>IF($X346="","",INDEX('Per Line'!$K$2:$K$3001,$X346)&amp;"")</f>
        <v/>
      </c>
      <c r="H346">
        <f>IF($X346="","",INDEX('Per Line'!$M$2:$M$3001,$X346))</f>
        <v/>
      </c>
      <c r="I346" s="7">
        <f>IF($X346="","",H346*V346/100)</f>
        <v/>
      </c>
      <c r="J346">
        <f>IF($X346="","",INDEX('Per Line'!$W$2:$W$3001,$X346)&amp;"")</f>
        <v/>
      </c>
      <c r="K346">
        <f>IF($X346="","",INDEX('Per Line'!$AD$2:$AD$3001,$X346))</f>
        <v/>
      </c>
      <c r="L346">
        <f>IF($X346="","",IF(AND(ISNUMBER(K346),K346&gt;0),V346&gt;K346,FALSE))</f>
        <v/>
      </c>
      <c r="M346" s="7">
        <f>IF($X346="","",SUMIFS('Per Line'!$V$2:$V$3001,'Per Line'!$D$2:$D$3001,$B346,'Per Line'!$AN$2:$AN$3001,1))</f>
        <v/>
      </c>
      <c r="N346">
        <f>IF($X346="","",Settings!$C$7)</f>
        <v/>
      </c>
      <c r="O346" s="7">
        <f>IF($X346="","",SUMIFS('Per Line'!$V$2:$V$3001,'Per Line'!$D$2:$D$3001,$B346,'Per Line'!$AM$2:$AM$3001,0,'Per Line'!$AN$2:$AN$3001,0))</f>
        <v/>
      </c>
      <c r="P346" s="7">
        <f>IF($X346="","",O346*N346)</f>
        <v/>
      </c>
      <c r="Q346">
        <f>IF($X346="","",Settings!$C$6)</f>
        <v/>
      </c>
      <c r="R346" s="7">
        <f>IF($X346="","",SUMIFS('Per Line'!$V$2:$V$3001,'Per Line'!$D$2:$D$3001,$B346,'Per Line'!$AM$2:$AM$3001,1,'Per Line'!$AN$2:$AN$3001,0))</f>
        <v/>
      </c>
      <c r="S346" s="7">
        <f>IF($X346="","",R346*Q346)</f>
        <v/>
      </c>
      <c r="T346" s="7">
        <f>IF($X346="","",S346+P346)</f>
        <v/>
      </c>
      <c r="U346" s="7">
        <f>IF($X346="","",V346-T346)</f>
        <v/>
      </c>
      <c r="V346" s="7">
        <f>IF($X346="","",O346+R346+M346)</f>
        <v/>
      </c>
      <c r="W346" s="7">
        <f>IF($X346="","",V346-T346-I346)</f>
        <v/>
      </c>
      <c r="X346" s="13">
        <f>IF(ROWS($X$2:$X346)&lt;=MAX('Per Line'!$AL$2:$AL$3001),MATCH(ROWS($X$2:$X346),'Per Line'!$AL$2:$AL$3001,0),"")</f>
        <v/>
      </c>
    </row>
    <row r="347">
      <c r="A347" s="12" t="n"/>
      <c r="B347">
        <f>IF($X347="","",INDEX('Per Line'!$D$2:$D$3001,$X347)&amp;"")</f>
        <v/>
      </c>
      <c r="C347" s="11">
        <f>IF($X347="","",INDEX('Per Line'!$F$2:$F$3001,$X347))</f>
        <v/>
      </c>
      <c r="D347">
        <f>IF($X347="","",INDEX('Per Line'!$G$2:$G$3001,$X347)&amp;"")</f>
        <v/>
      </c>
      <c r="E347">
        <f>IF($X347="","",INDEX('Per Line'!$I$2:$I$3001,$X347)&amp;"")</f>
        <v/>
      </c>
      <c r="F347">
        <f>IF($X347="","",INDEX('Per Line'!$J$2:$J$3001,$X347)&amp;"")</f>
        <v/>
      </c>
      <c r="G347">
        <f>IF($X347="","",INDEX('Per Line'!$K$2:$K$3001,$X347)&amp;"")</f>
        <v/>
      </c>
      <c r="H347">
        <f>IF($X347="","",INDEX('Per Line'!$M$2:$M$3001,$X347))</f>
        <v/>
      </c>
      <c r="I347" s="7">
        <f>IF($X347="","",H347*V347/100)</f>
        <v/>
      </c>
      <c r="J347">
        <f>IF($X347="","",INDEX('Per Line'!$W$2:$W$3001,$X347)&amp;"")</f>
        <v/>
      </c>
      <c r="K347">
        <f>IF($X347="","",INDEX('Per Line'!$AD$2:$AD$3001,$X347))</f>
        <v/>
      </c>
      <c r="L347">
        <f>IF($X347="","",IF(AND(ISNUMBER(K347),K347&gt;0),V347&gt;K347,FALSE))</f>
        <v/>
      </c>
      <c r="M347" s="7">
        <f>IF($X347="","",SUMIFS('Per Line'!$V$2:$V$3001,'Per Line'!$D$2:$D$3001,$B347,'Per Line'!$AN$2:$AN$3001,1))</f>
        <v/>
      </c>
      <c r="N347">
        <f>IF($X347="","",Settings!$C$7)</f>
        <v/>
      </c>
      <c r="O347" s="7">
        <f>IF($X347="","",SUMIFS('Per Line'!$V$2:$V$3001,'Per Line'!$D$2:$D$3001,$B347,'Per Line'!$AM$2:$AM$3001,0,'Per Line'!$AN$2:$AN$3001,0))</f>
        <v/>
      </c>
      <c r="P347" s="7">
        <f>IF($X347="","",O347*N347)</f>
        <v/>
      </c>
      <c r="Q347">
        <f>IF($X347="","",Settings!$C$6)</f>
        <v/>
      </c>
      <c r="R347" s="7">
        <f>IF($X347="","",SUMIFS('Per Line'!$V$2:$V$3001,'Per Line'!$D$2:$D$3001,$B347,'Per Line'!$AM$2:$AM$3001,1,'Per Line'!$AN$2:$AN$3001,0))</f>
        <v/>
      </c>
      <c r="S347" s="7">
        <f>IF($X347="","",R347*Q347)</f>
        <v/>
      </c>
      <c r="T347" s="7">
        <f>IF($X347="","",S347+P347)</f>
        <v/>
      </c>
      <c r="U347" s="7">
        <f>IF($X347="","",V347-T347)</f>
        <v/>
      </c>
      <c r="V347" s="7">
        <f>IF($X347="","",O347+R347+M347)</f>
        <v/>
      </c>
      <c r="W347" s="7">
        <f>IF($X347="","",V347-T347-I347)</f>
        <v/>
      </c>
      <c r="X347" s="13">
        <f>IF(ROWS($X$2:$X347)&lt;=MAX('Per Line'!$AL$2:$AL$3001),MATCH(ROWS($X$2:$X347),'Per Line'!$AL$2:$AL$3001,0),"")</f>
        <v/>
      </c>
    </row>
    <row r="348">
      <c r="A348" s="12" t="n"/>
      <c r="B348">
        <f>IF($X348="","",INDEX('Per Line'!$D$2:$D$3001,$X348)&amp;"")</f>
        <v/>
      </c>
      <c r="C348" s="11">
        <f>IF($X348="","",INDEX('Per Line'!$F$2:$F$3001,$X348))</f>
        <v/>
      </c>
      <c r="D348">
        <f>IF($X348="","",INDEX('Per Line'!$G$2:$G$3001,$X348)&amp;"")</f>
        <v/>
      </c>
      <c r="E348">
        <f>IF($X348="","",INDEX('Per Line'!$I$2:$I$3001,$X348)&amp;"")</f>
        <v/>
      </c>
      <c r="F348">
        <f>IF($X348="","",INDEX('Per Line'!$J$2:$J$3001,$X348)&amp;"")</f>
        <v/>
      </c>
      <c r="G348">
        <f>IF($X348="","",INDEX('Per Line'!$K$2:$K$3001,$X348)&amp;"")</f>
        <v/>
      </c>
      <c r="H348">
        <f>IF($X348="","",INDEX('Per Line'!$M$2:$M$3001,$X348))</f>
        <v/>
      </c>
      <c r="I348" s="7">
        <f>IF($X348="","",H348*V348/100)</f>
        <v/>
      </c>
      <c r="J348">
        <f>IF($X348="","",INDEX('Per Line'!$W$2:$W$3001,$X348)&amp;"")</f>
        <v/>
      </c>
      <c r="K348">
        <f>IF($X348="","",INDEX('Per Line'!$AD$2:$AD$3001,$X348))</f>
        <v/>
      </c>
      <c r="L348">
        <f>IF($X348="","",IF(AND(ISNUMBER(K348),K348&gt;0),V348&gt;K348,FALSE))</f>
        <v/>
      </c>
      <c r="M348" s="7">
        <f>IF($X348="","",SUMIFS('Per Line'!$V$2:$V$3001,'Per Line'!$D$2:$D$3001,$B348,'Per Line'!$AN$2:$AN$3001,1))</f>
        <v/>
      </c>
      <c r="N348">
        <f>IF($X348="","",Settings!$C$7)</f>
        <v/>
      </c>
      <c r="O348" s="7">
        <f>IF($X348="","",SUMIFS('Per Line'!$V$2:$V$3001,'Per Line'!$D$2:$D$3001,$B348,'Per Line'!$AM$2:$AM$3001,0,'Per Line'!$AN$2:$AN$3001,0))</f>
        <v/>
      </c>
      <c r="P348" s="7">
        <f>IF($X348="","",O348*N348)</f>
        <v/>
      </c>
      <c r="Q348">
        <f>IF($X348="","",Settings!$C$6)</f>
        <v/>
      </c>
      <c r="R348" s="7">
        <f>IF($X348="","",SUMIFS('Per Line'!$V$2:$V$3001,'Per Line'!$D$2:$D$3001,$B348,'Per Line'!$AM$2:$AM$3001,1,'Per Line'!$AN$2:$AN$3001,0))</f>
        <v/>
      </c>
      <c r="S348" s="7">
        <f>IF($X348="","",R348*Q348)</f>
        <v/>
      </c>
      <c r="T348" s="7">
        <f>IF($X348="","",S348+P348)</f>
        <v/>
      </c>
      <c r="U348" s="7">
        <f>IF($X348="","",V348-T348)</f>
        <v/>
      </c>
      <c r="V348" s="7">
        <f>IF($X348="","",O348+R348+M348)</f>
        <v/>
      </c>
      <c r="W348" s="7">
        <f>IF($X348="","",V348-T348-I348)</f>
        <v/>
      </c>
      <c r="X348" s="13">
        <f>IF(ROWS($X$2:$X348)&lt;=MAX('Per Line'!$AL$2:$AL$3001),MATCH(ROWS($X$2:$X348),'Per Line'!$AL$2:$AL$3001,0),"")</f>
        <v/>
      </c>
    </row>
    <row r="349">
      <c r="A349" s="12" t="n"/>
      <c r="B349">
        <f>IF($X349="","",INDEX('Per Line'!$D$2:$D$3001,$X349)&amp;"")</f>
        <v/>
      </c>
      <c r="C349" s="11">
        <f>IF($X349="","",INDEX('Per Line'!$F$2:$F$3001,$X349))</f>
        <v/>
      </c>
      <c r="D349">
        <f>IF($X349="","",INDEX('Per Line'!$G$2:$G$3001,$X349)&amp;"")</f>
        <v/>
      </c>
      <c r="E349">
        <f>IF($X349="","",INDEX('Per Line'!$I$2:$I$3001,$X349)&amp;"")</f>
        <v/>
      </c>
      <c r="F349">
        <f>IF($X349="","",INDEX('Per Line'!$J$2:$J$3001,$X349)&amp;"")</f>
        <v/>
      </c>
      <c r="G349">
        <f>IF($X349="","",INDEX('Per Line'!$K$2:$K$3001,$X349)&amp;"")</f>
        <v/>
      </c>
      <c r="H349">
        <f>IF($X349="","",INDEX('Per Line'!$M$2:$M$3001,$X349))</f>
        <v/>
      </c>
      <c r="I349" s="7">
        <f>IF($X349="","",H349*V349/100)</f>
        <v/>
      </c>
      <c r="J349">
        <f>IF($X349="","",INDEX('Per Line'!$W$2:$W$3001,$X349)&amp;"")</f>
        <v/>
      </c>
      <c r="K349">
        <f>IF($X349="","",INDEX('Per Line'!$AD$2:$AD$3001,$X349))</f>
        <v/>
      </c>
      <c r="L349">
        <f>IF($X349="","",IF(AND(ISNUMBER(K349),K349&gt;0),V349&gt;K349,FALSE))</f>
        <v/>
      </c>
      <c r="M349" s="7">
        <f>IF($X349="","",SUMIFS('Per Line'!$V$2:$V$3001,'Per Line'!$D$2:$D$3001,$B349,'Per Line'!$AN$2:$AN$3001,1))</f>
        <v/>
      </c>
      <c r="N349">
        <f>IF($X349="","",Settings!$C$7)</f>
        <v/>
      </c>
      <c r="O349" s="7">
        <f>IF($X349="","",SUMIFS('Per Line'!$V$2:$V$3001,'Per Line'!$D$2:$D$3001,$B349,'Per Line'!$AM$2:$AM$3001,0,'Per Line'!$AN$2:$AN$3001,0))</f>
        <v/>
      </c>
      <c r="P349" s="7">
        <f>IF($X349="","",O349*N349)</f>
        <v/>
      </c>
      <c r="Q349">
        <f>IF($X349="","",Settings!$C$6)</f>
        <v/>
      </c>
      <c r="R349" s="7">
        <f>IF($X349="","",SUMIFS('Per Line'!$V$2:$V$3001,'Per Line'!$D$2:$D$3001,$B349,'Per Line'!$AM$2:$AM$3001,1,'Per Line'!$AN$2:$AN$3001,0))</f>
        <v/>
      </c>
      <c r="S349" s="7">
        <f>IF($X349="","",R349*Q349)</f>
        <v/>
      </c>
      <c r="T349" s="7">
        <f>IF($X349="","",S349+P349)</f>
        <v/>
      </c>
      <c r="U349" s="7">
        <f>IF($X349="","",V349-T349)</f>
        <v/>
      </c>
      <c r="V349" s="7">
        <f>IF($X349="","",O349+R349+M349)</f>
        <v/>
      </c>
      <c r="W349" s="7">
        <f>IF($X349="","",V349-T349-I349)</f>
        <v/>
      </c>
      <c r="X349" s="13">
        <f>IF(ROWS($X$2:$X349)&lt;=MAX('Per Line'!$AL$2:$AL$3001),MATCH(ROWS($X$2:$X349),'Per Line'!$AL$2:$AL$3001,0),"")</f>
        <v/>
      </c>
    </row>
    <row r="350">
      <c r="A350" s="12" t="n"/>
      <c r="B350">
        <f>IF($X350="","",INDEX('Per Line'!$D$2:$D$3001,$X350)&amp;"")</f>
        <v/>
      </c>
      <c r="C350" s="11">
        <f>IF($X350="","",INDEX('Per Line'!$F$2:$F$3001,$X350))</f>
        <v/>
      </c>
      <c r="D350">
        <f>IF($X350="","",INDEX('Per Line'!$G$2:$G$3001,$X350)&amp;"")</f>
        <v/>
      </c>
      <c r="E350">
        <f>IF($X350="","",INDEX('Per Line'!$I$2:$I$3001,$X350)&amp;"")</f>
        <v/>
      </c>
      <c r="F350">
        <f>IF($X350="","",INDEX('Per Line'!$J$2:$J$3001,$X350)&amp;"")</f>
        <v/>
      </c>
      <c r="G350">
        <f>IF($X350="","",INDEX('Per Line'!$K$2:$K$3001,$X350)&amp;"")</f>
        <v/>
      </c>
      <c r="H350">
        <f>IF($X350="","",INDEX('Per Line'!$M$2:$M$3001,$X350))</f>
        <v/>
      </c>
      <c r="I350" s="7">
        <f>IF($X350="","",H350*V350/100)</f>
        <v/>
      </c>
      <c r="J350">
        <f>IF($X350="","",INDEX('Per Line'!$W$2:$W$3001,$X350)&amp;"")</f>
        <v/>
      </c>
      <c r="K350">
        <f>IF($X350="","",INDEX('Per Line'!$AD$2:$AD$3001,$X350))</f>
        <v/>
      </c>
      <c r="L350">
        <f>IF($X350="","",IF(AND(ISNUMBER(K350),K350&gt;0),V350&gt;K350,FALSE))</f>
        <v/>
      </c>
      <c r="M350" s="7">
        <f>IF($X350="","",SUMIFS('Per Line'!$V$2:$V$3001,'Per Line'!$D$2:$D$3001,$B350,'Per Line'!$AN$2:$AN$3001,1))</f>
        <v/>
      </c>
      <c r="N350">
        <f>IF($X350="","",Settings!$C$7)</f>
        <v/>
      </c>
      <c r="O350" s="7">
        <f>IF($X350="","",SUMIFS('Per Line'!$V$2:$V$3001,'Per Line'!$D$2:$D$3001,$B350,'Per Line'!$AM$2:$AM$3001,0,'Per Line'!$AN$2:$AN$3001,0))</f>
        <v/>
      </c>
      <c r="P350" s="7">
        <f>IF($X350="","",O350*N350)</f>
        <v/>
      </c>
      <c r="Q350">
        <f>IF($X350="","",Settings!$C$6)</f>
        <v/>
      </c>
      <c r="R350" s="7">
        <f>IF($X350="","",SUMIFS('Per Line'!$V$2:$V$3001,'Per Line'!$D$2:$D$3001,$B350,'Per Line'!$AM$2:$AM$3001,1,'Per Line'!$AN$2:$AN$3001,0))</f>
        <v/>
      </c>
      <c r="S350" s="7">
        <f>IF($X350="","",R350*Q350)</f>
        <v/>
      </c>
      <c r="T350" s="7">
        <f>IF($X350="","",S350+P350)</f>
        <v/>
      </c>
      <c r="U350" s="7">
        <f>IF($X350="","",V350-T350)</f>
        <v/>
      </c>
      <c r="V350" s="7">
        <f>IF($X350="","",O350+R350+M350)</f>
        <v/>
      </c>
      <c r="W350" s="7">
        <f>IF($X350="","",V350-T350-I350)</f>
        <v/>
      </c>
      <c r="X350" s="13">
        <f>IF(ROWS($X$2:$X350)&lt;=MAX('Per Line'!$AL$2:$AL$3001),MATCH(ROWS($X$2:$X350),'Per Line'!$AL$2:$AL$3001,0),"")</f>
        <v/>
      </c>
    </row>
    <row r="351">
      <c r="A351" s="12" t="n"/>
      <c r="B351">
        <f>IF($X351="","",INDEX('Per Line'!$D$2:$D$3001,$X351)&amp;"")</f>
        <v/>
      </c>
      <c r="C351" s="11">
        <f>IF($X351="","",INDEX('Per Line'!$F$2:$F$3001,$X351))</f>
        <v/>
      </c>
      <c r="D351">
        <f>IF($X351="","",INDEX('Per Line'!$G$2:$G$3001,$X351)&amp;"")</f>
        <v/>
      </c>
      <c r="E351">
        <f>IF($X351="","",INDEX('Per Line'!$I$2:$I$3001,$X351)&amp;"")</f>
        <v/>
      </c>
      <c r="F351">
        <f>IF($X351="","",INDEX('Per Line'!$J$2:$J$3001,$X351)&amp;"")</f>
        <v/>
      </c>
      <c r="G351">
        <f>IF($X351="","",INDEX('Per Line'!$K$2:$K$3001,$X351)&amp;"")</f>
        <v/>
      </c>
      <c r="H351">
        <f>IF($X351="","",INDEX('Per Line'!$M$2:$M$3001,$X351))</f>
        <v/>
      </c>
      <c r="I351" s="7">
        <f>IF($X351="","",H351*V351/100)</f>
        <v/>
      </c>
      <c r="J351">
        <f>IF($X351="","",INDEX('Per Line'!$W$2:$W$3001,$X351)&amp;"")</f>
        <v/>
      </c>
      <c r="K351">
        <f>IF($X351="","",INDEX('Per Line'!$AD$2:$AD$3001,$X351))</f>
        <v/>
      </c>
      <c r="L351">
        <f>IF($X351="","",IF(AND(ISNUMBER(K351),K351&gt;0),V351&gt;K351,FALSE))</f>
        <v/>
      </c>
      <c r="M351" s="7">
        <f>IF($X351="","",SUMIFS('Per Line'!$V$2:$V$3001,'Per Line'!$D$2:$D$3001,$B351,'Per Line'!$AN$2:$AN$3001,1))</f>
        <v/>
      </c>
      <c r="N351">
        <f>IF($X351="","",Settings!$C$7)</f>
        <v/>
      </c>
      <c r="O351" s="7">
        <f>IF($X351="","",SUMIFS('Per Line'!$V$2:$V$3001,'Per Line'!$D$2:$D$3001,$B351,'Per Line'!$AM$2:$AM$3001,0,'Per Line'!$AN$2:$AN$3001,0))</f>
        <v/>
      </c>
      <c r="P351" s="7">
        <f>IF($X351="","",O351*N351)</f>
        <v/>
      </c>
      <c r="Q351">
        <f>IF($X351="","",Settings!$C$6)</f>
        <v/>
      </c>
      <c r="R351" s="7">
        <f>IF($X351="","",SUMIFS('Per Line'!$V$2:$V$3001,'Per Line'!$D$2:$D$3001,$B351,'Per Line'!$AM$2:$AM$3001,1,'Per Line'!$AN$2:$AN$3001,0))</f>
        <v/>
      </c>
      <c r="S351" s="7">
        <f>IF($X351="","",R351*Q351)</f>
        <v/>
      </c>
      <c r="T351" s="7">
        <f>IF($X351="","",S351+P351)</f>
        <v/>
      </c>
      <c r="U351" s="7">
        <f>IF($X351="","",V351-T351)</f>
        <v/>
      </c>
      <c r="V351" s="7">
        <f>IF($X351="","",O351+R351+M351)</f>
        <v/>
      </c>
      <c r="W351" s="7">
        <f>IF($X351="","",V351-T351-I351)</f>
        <v/>
      </c>
      <c r="X351" s="13">
        <f>IF(ROWS($X$2:$X351)&lt;=MAX('Per Line'!$AL$2:$AL$3001),MATCH(ROWS($X$2:$X351),'Per Line'!$AL$2:$AL$3001,0),"")</f>
        <v/>
      </c>
    </row>
    <row r="352">
      <c r="A352" s="12" t="n"/>
      <c r="B352">
        <f>IF($X352="","",INDEX('Per Line'!$D$2:$D$3001,$X352)&amp;"")</f>
        <v/>
      </c>
      <c r="C352" s="11">
        <f>IF($X352="","",INDEX('Per Line'!$F$2:$F$3001,$X352))</f>
        <v/>
      </c>
      <c r="D352">
        <f>IF($X352="","",INDEX('Per Line'!$G$2:$G$3001,$X352)&amp;"")</f>
        <v/>
      </c>
      <c r="E352">
        <f>IF($X352="","",INDEX('Per Line'!$I$2:$I$3001,$X352)&amp;"")</f>
        <v/>
      </c>
      <c r="F352">
        <f>IF($X352="","",INDEX('Per Line'!$J$2:$J$3001,$X352)&amp;"")</f>
        <v/>
      </c>
      <c r="G352">
        <f>IF($X352="","",INDEX('Per Line'!$K$2:$K$3001,$X352)&amp;"")</f>
        <v/>
      </c>
      <c r="H352">
        <f>IF($X352="","",INDEX('Per Line'!$M$2:$M$3001,$X352))</f>
        <v/>
      </c>
      <c r="I352" s="7">
        <f>IF($X352="","",H352*V352/100)</f>
        <v/>
      </c>
      <c r="J352">
        <f>IF($X352="","",INDEX('Per Line'!$W$2:$W$3001,$X352)&amp;"")</f>
        <v/>
      </c>
      <c r="K352">
        <f>IF($X352="","",INDEX('Per Line'!$AD$2:$AD$3001,$X352))</f>
        <v/>
      </c>
      <c r="L352">
        <f>IF($X352="","",IF(AND(ISNUMBER(K352),K352&gt;0),V352&gt;K352,FALSE))</f>
        <v/>
      </c>
      <c r="M352" s="7">
        <f>IF($X352="","",SUMIFS('Per Line'!$V$2:$V$3001,'Per Line'!$D$2:$D$3001,$B352,'Per Line'!$AN$2:$AN$3001,1))</f>
        <v/>
      </c>
      <c r="N352">
        <f>IF($X352="","",Settings!$C$7)</f>
        <v/>
      </c>
      <c r="O352" s="7">
        <f>IF($X352="","",SUMIFS('Per Line'!$V$2:$V$3001,'Per Line'!$D$2:$D$3001,$B352,'Per Line'!$AM$2:$AM$3001,0,'Per Line'!$AN$2:$AN$3001,0))</f>
        <v/>
      </c>
      <c r="P352" s="7">
        <f>IF($X352="","",O352*N352)</f>
        <v/>
      </c>
      <c r="Q352">
        <f>IF($X352="","",Settings!$C$6)</f>
        <v/>
      </c>
      <c r="R352" s="7">
        <f>IF($X352="","",SUMIFS('Per Line'!$V$2:$V$3001,'Per Line'!$D$2:$D$3001,$B352,'Per Line'!$AM$2:$AM$3001,1,'Per Line'!$AN$2:$AN$3001,0))</f>
        <v/>
      </c>
      <c r="S352" s="7">
        <f>IF($X352="","",R352*Q352)</f>
        <v/>
      </c>
      <c r="T352" s="7">
        <f>IF($X352="","",S352+P352)</f>
        <v/>
      </c>
      <c r="U352" s="7">
        <f>IF($X352="","",V352-T352)</f>
        <v/>
      </c>
      <c r="V352" s="7">
        <f>IF($X352="","",O352+R352+M352)</f>
        <v/>
      </c>
      <c r="W352" s="7">
        <f>IF($X352="","",V352-T352-I352)</f>
        <v/>
      </c>
      <c r="X352" s="13">
        <f>IF(ROWS($X$2:$X352)&lt;=MAX('Per Line'!$AL$2:$AL$3001),MATCH(ROWS($X$2:$X352),'Per Line'!$AL$2:$AL$3001,0),"")</f>
        <v/>
      </c>
    </row>
    <row r="353">
      <c r="A353" s="12" t="n"/>
      <c r="B353">
        <f>IF($X353="","",INDEX('Per Line'!$D$2:$D$3001,$X353)&amp;"")</f>
        <v/>
      </c>
      <c r="C353" s="11">
        <f>IF($X353="","",INDEX('Per Line'!$F$2:$F$3001,$X353))</f>
        <v/>
      </c>
      <c r="D353">
        <f>IF($X353="","",INDEX('Per Line'!$G$2:$G$3001,$X353)&amp;"")</f>
        <v/>
      </c>
      <c r="E353">
        <f>IF($X353="","",INDEX('Per Line'!$I$2:$I$3001,$X353)&amp;"")</f>
        <v/>
      </c>
      <c r="F353">
        <f>IF($X353="","",INDEX('Per Line'!$J$2:$J$3001,$X353)&amp;"")</f>
        <v/>
      </c>
      <c r="G353">
        <f>IF($X353="","",INDEX('Per Line'!$K$2:$K$3001,$X353)&amp;"")</f>
        <v/>
      </c>
      <c r="H353">
        <f>IF($X353="","",INDEX('Per Line'!$M$2:$M$3001,$X353))</f>
        <v/>
      </c>
      <c r="I353" s="7">
        <f>IF($X353="","",H353*V353/100)</f>
        <v/>
      </c>
      <c r="J353">
        <f>IF($X353="","",INDEX('Per Line'!$W$2:$W$3001,$X353)&amp;"")</f>
        <v/>
      </c>
      <c r="K353">
        <f>IF($X353="","",INDEX('Per Line'!$AD$2:$AD$3001,$X353))</f>
        <v/>
      </c>
      <c r="L353">
        <f>IF($X353="","",IF(AND(ISNUMBER(K353),K353&gt;0),V353&gt;K353,FALSE))</f>
        <v/>
      </c>
      <c r="M353" s="7">
        <f>IF($X353="","",SUMIFS('Per Line'!$V$2:$V$3001,'Per Line'!$D$2:$D$3001,$B353,'Per Line'!$AN$2:$AN$3001,1))</f>
        <v/>
      </c>
      <c r="N353">
        <f>IF($X353="","",Settings!$C$7)</f>
        <v/>
      </c>
      <c r="O353" s="7">
        <f>IF($X353="","",SUMIFS('Per Line'!$V$2:$V$3001,'Per Line'!$D$2:$D$3001,$B353,'Per Line'!$AM$2:$AM$3001,0,'Per Line'!$AN$2:$AN$3001,0))</f>
        <v/>
      </c>
      <c r="P353" s="7">
        <f>IF($X353="","",O353*N353)</f>
        <v/>
      </c>
      <c r="Q353">
        <f>IF($X353="","",Settings!$C$6)</f>
        <v/>
      </c>
      <c r="R353" s="7">
        <f>IF($X353="","",SUMIFS('Per Line'!$V$2:$V$3001,'Per Line'!$D$2:$D$3001,$B353,'Per Line'!$AM$2:$AM$3001,1,'Per Line'!$AN$2:$AN$3001,0))</f>
        <v/>
      </c>
      <c r="S353" s="7">
        <f>IF($X353="","",R353*Q353)</f>
        <v/>
      </c>
      <c r="T353" s="7">
        <f>IF($X353="","",S353+P353)</f>
        <v/>
      </c>
      <c r="U353" s="7">
        <f>IF($X353="","",V353-T353)</f>
        <v/>
      </c>
      <c r="V353" s="7">
        <f>IF($X353="","",O353+R353+M353)</f>
        <v/>
      </c>
      <c r="W353" s="7">
        <f>IF($X353="","",V353-T353-I353)</f>
        <v/>
      </c>
      <c r="X353" s="13">
        <f>IF(ROWS($X$2:$X353)&lt;=MAX('Per Line'!$AL$2:$AL$3001),MATCH(ROWS($X$2:$X353),'Per Line'!$AL$2:$AL$3001,0),"")</f>
        <v/>
      </c>
    </row>
    <row r="354">
      <c r="A354" s="12" t="n"/>
      <c r="B354">
        <f>IF($X354="","",INDEX('Per Line'!$D$2:$D$3001,$X354)&amp;"")</f>
        <v/>
      </c>
      <c r="C354" s="11">
        <f>IF($X354="","",INDEX('Per Line'!$F$2:$F$3001,$X354))</f>
        <v/>
      </c>
      <c r="D354">
        <f>IF($X354="","",INDEX('Per Line'!$G$2:$G$3001,$X354)&amp;"")</f>
        <v/>
      </c>
      <c r="E354">
        <f>IF($X354="","",INDEX('Per Line'!$I$2:$I$3001,$X354)&amp;"")</f>
        <v/>
      </c>
      <c r="F354">
        <f>IF($X354="","",INDEX('Per Line'!$J$2:$J$3001,$X354)&amp;"")</f>
        <v/>
      </c>
      <c r="G354">
        <f>IF($X354="","",INDEX('Per Line'!$K$2:$K$3001,$X354)&amp;"")</f>
        <v/>
      </c>
      <c r="H354">
        <f>IF($X354="","",INDEX('Per Line'!$M$2:$M$3001,$X354))</f>
        <v/>
      </c>
      <c r="I354" s="7">
        <f>IF($X354="","",H354*V354/100)</f>
        <v/>
      </c>
      <c r="J354">
        <f>IF($X354="","",INDEX('Per Line'!$W$2:$W$3001,$X354)&amp;"")</f>
        <v/>
      </c>
      <c r="K354">
        <f>IF($X354="","",INDEX('Per Line'!$AD$2:$AD$3001,$X354))</f>
        <v/>
      </c>
      <c r="L354">
        <f>IF($X354="","",IF(AND(ISNUMBER(K354),K354&gt;0),V354&gt;K354,FALSE))</f>
        <v/>
      </c>
      <c r="M354" s="7">
        <f>IF($X354="","",SUMIFS('Per Line'!$V$2:$V$3001,'Per Line'!$D$2:$D$3001,$B354,'Per Line'!$AN$2:$AN$3001,1))</f>
        <v/>
      </c>
      <c r="N354">
        <f>IF($X354="","",Settings!$C$7)</f>
        <v/>
      </c>
      <c r="O354" s="7">
        <f>IF($X354="","",SUMIFS('Per Line'!$V$2:$V$3001,'Per Line'!$D$2:$D$3001,$B354,'Per Line'!$AM$2:$AM$3001,0,'Per Line'!$AN$2:$AN$3001,0))</f>
        <v/>
      </c>
      <c r="P354" s="7">
        <f>IF($X354="","",O354*N354)</f>
        <v/>
      </c>
      <c r="Q354">
        <f>IF($X354="","",Settings!$C$6)</f>
        <v/>
      </c>
      <c r="R354" s="7">
        <f>IF($X354="","",SUMIFS('Per Line'!$V$2:$V$3001,'Per Line'!$D$2:$D$3001,$B354,'Per Line'!$AM$2:$AM$3001,1,'Per Line'!$AN$2:$AN$3001,0))</f>
        <v/>
      </c>
      <c r="S354" s="7">
        <f>IF($X354="","",R354*Q354)</f>
        <v/>
      </c>
      <c r="T354" s="7">
        <f>IF($X354="","",S354+P354)</f>
        <v/>
      </c>
      <c r="U354" s="7">
        <f>IF($X354="","",V354-T354)</f>
        <v/>
      </c>
      <c r="V354" s="7">
        <f>IF($X354="","",O354+R354+M354)</f>
        <v/>
      </c>
      <c r="W354" s="7">
        <f>IF($X354="","",V354-T354-I354)</f>
        <v/>
      </c>
      <c r="X354" s="13">
        <f>IF(ROWS($X$2:$X354)&lt;=MAX('Per Line'!$AL$2:$AL$3001),MATCH(ROWS($X$2:$X354),'Per Line'!$AL$2:$AL$3001,0),"")</f>
        <v/>
      </c>
    </row>
    <row r="355">
      <c r="A355" s="12" t="n"/>
      <c r="B355">
        <f>IF($X355="","",INDEX('Per Line'!$D$2:$D$3001,$X355)&amp;"")</f>
        <v/>
      </c>
      <c r="C355" s="11">
        <f>IF($X355="","",INDEX('Per Line'!$F$2:$F$3001,$X355))</f>
        <v/>
      </c>
      <c r="D355">
        <f>IF($X355="","",INDEX('Per Line'!$G$2:$G$3001,$X355)&amp;"")</f>
        <v/>
      </c>
      <c r="E355">
        <f>IF($X355="","",INDEX('Per Line'!$I$2:$I$3001,$X355)&amp;"")</f>
        <v/>
      </c>
      <c r="F355">
        <f>IF($X355="","",INDEX('Per Line'!$J$2:$J$3001,$X355)&amp;"")</f>
        <v/>
      </c>
      <c r="G355">
        <f>IF($X355="","",INDEX('Per Line'!$K$2:$K$3001,$X355)&amp;"")</f>
        <v/>
      </c>
      <c r="H355">
        <f>IF($X355="","",INDEX('Per Line'!$M$2:$M$3001,$X355))</f>
        <v/>
      </c>
      <c r="I355" s="7">
        <f>IF($X355="","",H355*V355/100)</f>
        <v/>
      </c>
      <c r="J355">
        <f>IF($X355="","",INDEX('Per Line'!$W$2:$W$3001,$X355)&amp;"")</f>
        <v/>
      </c>
      <c r="K355">
        <f>IF($X355="","",INDEX('Per Line'!$AD$2:$AD$3001,$X355))</f>
        <v/>
      </c>
      <c r="L355">
        <f>IF($X355="","",IF(AND(ISNUMBER(K355),K355&gt;0),V355&gt;K355,FALSE))</f>
        <v/>
      </c>
      <c r="M355" s="7">
        <f>IF($X355="","",SUMIFS('Per Line'!$V$2:$V$3001,'Per Line'!$D$2:$D$3001,$B355,'Per Line'!$AN$2:$AN$3001,1))</f>
        <v/>
      </c>
      <c r="N355">
        <f>IF($X355="","",Settings!$C$7)</f>
        <v/>
      </c>
      <c r="O355" s="7">
        <f>IF($X355="","",SUMIFS('Per Line'!$V$2:$V$3001,'Per Line'!$D$2:$D$3001,$B355,'Per Line'!$AM$2:$AM$3001,0,'Per Line'!$AN$2:$AN$3001,0))</f>
        <v/>
      </c>
      <c r="P355" s="7">
        <f>IF($X355="","",O355*N355)</f>
        <v/>
      </c>
      <c r="Q355">
        <f>IF($X355="","",Settings!$C$6)</f>
        <v/>
      </c>
      <c r="R355" s="7">
        <f>IF($X355="","",SUMIFS('Per Line'!$V$2:$V$3001,'Per Line'!$D$2:$D$3001,$B355,'Per Line'!$AM$2:$AM$3001,1,'Per Line'!$AN$2:$AN$3001,0))</f>
        <v/>
      </c>
      <c r="S355" s="7">
        <f>IF($X355="","",R355*Q355)</f>
        <v/>
      </c>
      <c r="T355" s="7">
        <f>IF($X355="","",S355+P355)</f>
        <v/>
      </c>
      <c r="U355" s="7">
        <f>IF($X355="","",V355-T355)</f>
        <v/>
      </c>
      <c r="V355" s="7">
        <f>IF($X355="","",O355+R355+M355)</f>
        <v/>
      </c>
      <c r="W355" s="7">
        <f>IF($X355="","",V355-T355-I355)</f>
        <v/>
      </c>
      <c r="X355" s="13">
        <f>IF(ROWS($X$2:$X355)&lt;=MAX('Per Line'!$AL$2:$AL$3001),MATCH(ROWS($X$2:$X355),'Per Line'!$AL$2:$AL$3001,0),"")</f>
        <v/>
      </c>
    </row>
    <row r="356">
      <c r="A356" s="12" t="n"/>
      <c r="B356">
        <f>IF($X356="","",INDEX('Per Line'!$D$2:$D$3001,$X356)&amp;"")</f>
        <v/>
      </c>
      <c r="C356" s="11">
        <f>IF($X356="","",INDEX('Per Line'!$F$2:$F$3001,$X356))</f>
        <v/>
      </c>
      <c r="D356">
        <f>IF($X356="","",INDEX('Per Line'!$G$2:$G$3001,$X356)&amp;"")</f>
        <v/>
      </c>
      <c r="E356">
        <f>IF($X356="","",INDEX('Per Line'!$I$2:$I$3001,$X356)&amp;"")</f>
        <v/>
      </c>
      <c r="F356">
        <f>IF($X356="","",INDEX('Per Line'!$J$2:$J$3001,$X356)&amp;"")</f>
        <v/>
      </c>
      <c r="G356">
        <f>IF($X356="","",INDEX('Per Line'!$K$2:$K$3001,$X356)&amp;"")</f>
        <v/>
      </c>
      <c r="H356">
        <f>IF($X356="","",INDEX('Per Line'!$M$2:$M$3001,$X356))</f>
        <v/>
      </c>
      <c r="I356" s="7">
        <f>IF($X356="","",H356*V356/100)</f>
        <v/>
      </c>
      <c r="J356">
        <f>IF($X356="","",INDEX('Per Line'!$W$2:$W$3001,$X356)&amp;"")</f>
        <v/>
      </c>
      <c r="K356">
        <f>IF($X356="","",INDEX('Per Line'!$AD$2:$AD$3001,$X356))</f>
        <v/>
      </c>
      <c r="L356">
        <f>IF($X356="","",IF(AND(ISNUMBER(K356),K356&gt;0),V356&gt;K356,FALSE))</f>
        <v/>
      </c>
      <c r="M356" s="7">
        <f>IF($X356="","",SUMIFS('Per Line'!$V$2:$V$3001,'Per Line'!$D$2:$D$3001,$B356,'Per Line'!$AN$2:$AN$3001,1))</f>
        <v/>
      </c>
      <c r="N356">
        <f>IF($X356="","",Settings!$C$7)</f>
        <v/>
      </c>
      <c r="O356" s="7">
        <f>IF($X356="","",SUMIFS('Per Line'!$V$2:$V$3001,'Per Line'!$D$2:$D$3001,$B356,'Per Line'!$AM$2:$AM$3001,0,'Per Line'!$AN$2:$AN$3001,0))</f>
        <v/>
      </c>
      <c r="P356" s="7">
        <f>IF($X356="","",O356*N356)</f>
        <v/>
      </c>
      <c r="Q356">
        <f>IF($X356="","",Settings!$C$6)</f>
        <v/>
      </c>
      <c r="R356" s="7">
        <f>IF($X356="","",SUMIFS('Per Line'!$V$2:$V$3001,'Per Line'!$D$2:$D$3001,$B356,'Per Line'!$AM$2:$AM$3001,1,'Per Line'!$AN$2:$AN$3001,0))</f>
        <v/>
      </c>
      <c r="S356" s="7">
        <f>IF($X356="","",R356*Q356)</f>
        <v/>
      </c>
      <c r="T356" s="7">
        <f>IF($X356="","",S356+P356)</f>
        <v/>
      </c>
      <c r="U356" s="7">
        <f>IF($X356="","",V356-T356)</f>
        <v/>
      </c>
      <c r="V356" s="7">
        <f>IF($X356="","",O356+R356+M356)</f>
        <v/>
      </c>
      <c r="W356" s="7">
        <f>IF($X356="","",V356-T356-I356)</f>
        <v/>
      </c>
      <c r="X356" s="13">
        <f>IF(ROWS($X$2:$X356)&lt;=MAX('Per Line'!$AL$2:$AL$3001),MATCH(ROWS($X$2:$X356),'Per Line'!$AL$2:$AL$3001,0),"")</f>
        <v/>
      </c>
    </row>
    <row r="357">
      <c r="A357" s="12" t="n"/>
      <c r="B357">
        <f>IF($X357="","",INDEX('Per Line'!$D$2:$D$3001,$X357)&amp;"")</f>
        <v/>
      </c>
      <c r="C357" s="11">
        <f>IF($X357="","",INDEX('Per Line'!$F$2:$F$3001,$X357))</f>
        <v/>
      </c>
      <c r="D357">
        <f>IF($X357="","",INDEX('Per Line'!$G$2:$G$3001,$X357)&amp;"")</f>
        <v/>
      </c>
      <c r="E357">
        <f>IF($X357="","",INDEX('Per Line'!$I$2:$I$3001,$X357)&amp;"")</f>
        <v/>
      </c>
      <c r="F357">
        <f>IF($X357="","",INDEX('Per Line'!$J$2:$J$3001,$X357)&amp;"")</f>
        <v/>
      </c>
      <c r="G357">
        <f>IF($X357="","",INDEX('Per Line'!$K$2:$K$3001,$X357)&amp;"")</f>
        <v/>
      </c>
      <c r="H357">
        <f>IF($X357="","",INDEX('Per Line'!$M$2:$M$3001,$X357))</f>
        <v/>
      </c>
      <c r="I357" s="7">
        <f>IF($X357="","",H357*V357/100)</f>
        <v/>
      </c>
      <c r="J357">
        <f>IF($X357="","",INDEX('Per Line'!$W$2:$W$3001,$X357)&amp;"")</f>
        <v/>
      </c>
      <c r="K357">
        <f>IF($X357="","",INDEX('Per Line'!$AD$2:$AD$3001,$X357))</f>
        <v/>
      </c>
      <c r="L357">
        <f>IF($X357="","",IF(AND(ISNUMBER(K357),K357&gt;0),V357&gt;K357,FALSE))</f>
        <v/>
      </c>
      <c r="M357" s="7">
        <f>IF($X357="","",SUMIFS('Per Line'!$V$2:$V$3001,'Per Line'!$D$2:$D$3001,$B357,'Per Line'!$AN$2:$AN$3001,1))</f>
        <v/>
      </c>
      <c r="N357">
        <f>IF($X357="","",Settings!$C$7)</f>
        <v/>
      </c>
      <c r="O357" s="7">
        <f>IF($X357="","",SUMIFS('Per Line'!$V$2:$V$3001,'Per Line'!$D$2:$D$3001,$B357,'Per Line'!$AM$2:$AM$3001,0,'Per Line'!$AN$2:$AN$3001,0))</f>
        <v/>
      </c>
      <c r="P357" s="7">
        <f>IF($X357="","",O357*N357)</f>
        <v/>
      </c>
      <c r="Q357">
        <f>IF($X357="","",Settings!$C$6)</f>
        <v/>
      </c>
      <c r="R357" s="7">
        <f>IF($X357="","",SUMIFS('Per Line'!$V$2:$V$3001,'Per Line'!$D$2:$D$3001,$B357,'Per Line'!$AM$2:$AM$3001,1,'Per Line'!$AN$2:$AN$3001,0))</f>
        <v/>
      </c>
      <c r="S357" s="7">
        <f>IF($X357="","",R357*Q357)</f>
        <v/>
      </c>
      <c r="T357" s="7">
        <f>IF($X357="","",S357+P357)</f>
        <v/>
      </c>
      <c r="U357" s="7">
        <f>IF($X357="","",V357-T357)</f>
        <v/>
      </c>
      <c r="V357" s="7">
        <f>IF($X357="","",O357+R357+M357)</f>
        <v/>
      </c>
      <c r="W357" s="7">
        <f>IF($X357="","",V357-T357-I357)</f>
        <v/>
      </c>
      <c r="X357" s="13">
        <f>IF(ROWS($X$2:$X357)&lt;=MAX('Per Line'!$AL$2:$AL$3001),MATCH(ROWS($X$2:$X357),'Per Line'!$AL$2:$AL$3001,0),"")</f>
        <v/>
      </c>
    </row>
    <row r="358">
      <c r="A358" s="12" t="n"/>
      <c r="B358">
        <f>IF($X358="","",INDEX('Per Line'!$D$2:$D$3001,$X358)&amp;"")</f>
        <v/>
      </c>
      <c r="C358" s="11">
        <f>IF($X358="","",INDEX('Per Line'!$F$2:$F$3001,$X358))</f>
        <v/>
      </c>
      <c r="D358">
        <f>IF($X358="","",INDEX('Per Line'!$G$2:$G$3001,$X358)&amp;"")</f>
        <v/>
      </c>
      <c r="E358">
        <f>IF($X358="","",INDEX('Per Line'!$I$2:$I$3001,$X358)&amp;"")</f>
        <v/>
      </c>
      <c r="F358">
        <f>IF($X358="","",INDEX('Per Line'!$J$2:$J$3001,$X358)&amp;"")</f>
        <v/>
      </c>
      <c r="G358">
        <f>IF($X358="","",INDEX('Per Line'!$K$2:$K$3001,$X358)&amp;"")</f>
        <v/>
      </c>
      <c r="H358">
        <f>IF($X358="","",INDEX('Per Line'!$M$2:$M$3001,$X358))</f>
        <v/>
      </c>
      <c r="I358" s="7">
        <f>IF($X358="","",H358*V358/100)</f>
        <v/>
      </c>
      <c r="J358">
        <f>IF($X358="","",INDEX('Per Line'!$W$2:$W$3001,$X358)&amp;"")</f>
        <v/>
      </c>
      <c r="K358">
        <f>IF($X358="","",INDEX('Per Line'!$AD$2:$AD$3001,$X358))</f>
        <v/>
      </c>
      <c r="L358">
        <f>IF($X358="","",IF(AND(ISNUMBER(K358),K358&gt;0),V358&gt;K358,FALSE))</f>
        <v/>
      </c>
      <c r="M358" s="7">
        <f>IF($X358="","",SUMIFS('Per Line'!$V$2:$V$3001,'Per Line'!$D$2:$D$3001,$B358,'Per Line'!$AN$2:$AN$3001,1))</f>
        <v/>
      </c>
      <c r="N358">
        <f>IF($X358="","",Settings!$C$7)</f>
        <v/>
      </c>
      <c r="O358" s="7">
        <f>IF($X358="","",SUMIFS('Per Line'!$V$2:$V$3001,'Per Line'!$D$2:$D$3001,$B358,'Per Line'!$AM$2:$AM$3001,0,'Per Line'!$AN$2:$AN$3001,0))</f>
        <v/>
      </c>
      <c r="P358" s="7">
        <f>IF($X358="","",O358*N358)</f>
        <v/>
      </c>
      <c r="Q358">
        <f>IF($X358="","",Settings!$C$6)</f>
        <v/>
      </c>
      <c r="R358" s="7">
        <f>IF($X358="","",SUMIFS('Per Line'!$V$2:$V$3001,'Per Line'!$D$2:$D$3001,$B358,'Per Line'!$AM$2:$AM$3001,1,'Per Line'!$AN$2:$AN$3001,0))</f>
        <v/>
      </c>
      <c r="S358" s="7">
        <f>IF($X358="","",R358*Q358)</f>
        <v/>
      </c>
      <c r="T358" s="7">
        <f>IF($X358="","",S358+P358)</f>
        <v/>
      </c>
      <c r="U358" s="7">
        <f>IF($X358="","",V358-T358)</f>
        <v/>
      </c>
      <c r="V358" s="7">
        <f>IF($X358="","",O358+R358+M358)</f>
        <v/>
      </c>
      <c r="W358" s="7">
        <f>IF($X358="","",V358-T358-I358)</f>
        <v/>
      </c>
      <c r="X358" s="13">
        <f>IF(ROWS($X$2:$X358)&lt;=MAX('Per Line'!$AL$2:$AL$3001),MATCH(ROWS($X$2:$X358),'Per Line'!$AL$2:$AL$3001,0),"")</f>
        <v/>
      </c>
    </row>
    <row r="359">
      <c r="A359" s="12" t="n"/>
      <c r="B359">
        <f>IF($X359="","",INDEX('Per Line'!$D$2:$D$3001,$X359)&amp;"")</f>
        <v/>
      </c>
      <c r="C359" s="11">
        <f>IF($X359="","",INDEX('Per Line'!$F$2:$F$3001,$X359))</f>
        <v/>
      </c>
      <c r="D359">
        <f>IF($X359="","",INDEX('Per Line'!$G$2:$G$3001,$X359)&amp;"")</f>
        <v/>
      </c>
      <c r="E359">
        <f>IF($X359="","",INDEX('Per Line'!$I$2:$I$3001,$X359)&amp;"")</f>
        <v/>
      </c>
      <c r="F359">
        <f>IF($X359="","",INDEX('Per Line'!$J$2:$J$3001,$X359)&amp;"")</f>
        <v/>
      </c>
      <c r="G359">
        <f>IF($X359="","",INDEX('Per Line'!$K$2:$K$3001,$X359)&amp;"")</f>
        <v/>
      </c>
      <c r="H359">
        <f>IF($X359="","",INDEX('Per Line'!$M$2:$M$3001,$X359))</f>
        <v/>
      </c>
      <c r="I359" s="7">
        <f>IF($X359="","",H359*V359/100)</f>
        <v/>
      </c>
      <c r="J359">
        <f>IF($X359="","",INDEX('Per Line'!$W$2:$W$3001,$X359)&amp;"")</f>
        <v/>
      </c>
      <c r="K359">
        <f>IF($X359="","",INDEX('Per Line'!$AD$2:$AD$3001,$X359))</f>
        <v/>
      </c>
      <c r="L359">
        <f>IF($X359="","",IF(AND(ISNUMBER(K359),K359&gt;0),V359&gt;K359,FALSE))</f>
        <v/>
      </c>
      <c r="M359" s="7">
        <f>IF($X359="","",SUMIFS('Per Line'!$V$2:$V$3001,'Per Line'!$D$2:$D$3001,$B359,'Per Line'!$AN$2:$AN$3001,1))</f>
        <v/>
      </c>
      <c r="N359">
        <f>IF($X359="","",Settings!$C$7)</f>
        <v/>
      </c>
      <c r="O359" s="7">
        <f>IF($X359="","",SUMIFS('Per Line'!$V$2:$V$3001,'Per Line'!$D$2:$D$3001,$B359,'Per Line'!$AM$2:$AM$3001,0,'Per Line'!$AN$2:$AN$3001,0))</f>
        <v/>
      </c>
      <c r="P359" s="7">
        <f>IF($X359="","",O359*N359)</f>
        <v/>
      </c>
      <c r="Q359">
        <f>IF($X359="","",Settings!$C$6)</f>
        <v/>
      </c>
      <c r="R359" s="7">
        <f>IF($X359="","",SUMIFS('Per Line'!$V$2:$V$3001,'Per Line'!$D$2:$D$3001,$B359,'Per Line'!$AM$2:$AM$3001,1,'Per Line'!$AN$2:$AN$3001,0))</f>
        <v/>
      </c>
      <c r="S359" s="7">
        <f>IF($X359="","",R359*Q359)</f>
        <v/>
      </c>
      <c r="T359" s="7">
        <f>IF($X359="","",S359+P359)</f>
        <v/>
      </c>
      <c r="U359" s="7">
        <f>IF($X359="","",V359-T359)</f>
        <v/>
      </c>
      <c r="V359" s="7">
        <f>IF($X359="","",O359+R359+M359)</f>
        <v/>
      </c>
      <c r="W359" s="7">
        <f>IF($X359="","",V359-T359-I359)</f>
        <v/>
      </c>
      <c r="X359" s="13">
        <f>IF(ROWS($X$2:$X359)&lt;=MAX('Per Line'!$AL$2:$AL$3001),MATCH(ROWS($X$2:$X359),'Per Line'!$AL$2:$AL$3001,0),"")</f>
        <v/>
      </c>
    </row>
    <row r="360">
      <c r="A360" s="12" t="n"/>
      <c r="B360">
        <f>IF($X360="","",INDEX('Per Line'!$D$2:$D$3001,$X360)&amp;"")</f>
        <v/>
      </c>
      <c r="C360" s="11">
        <f>IF($X360="","",INDEX('Per Line'!$F$2:$F$3001,$X360))</f>
        <v/>
      </c>
      <c r="D360">
        <f>IF($X360="","",INDEX('Per Line'!$G$2:$G$3001,$X360)&amp;"")</f>
        <v/>
      </c>
      <c r="E360">
        <f>IF($X360="","",INDEX('Per Line'!$I$2:$I$3001,$X360)&amp;"")</f>
        <v/>
      </c>
      <c r="F360">
        <f>IF($X360="","",INDEX('Per Line'!$J$2:$J$3001,$X360)&amp;"")</f>
        <v/>
      </c>
      <c r="G360">
        <f>IF($X360="","",INDEX('Per Line'!$K$2:$K$3001,$X360)&amp;"")</f>
        <v/>
      </c>
      <c r="H360">
        <f>IF($X360="","",INDEX('Per Line'!$M$2:$M$3001,$X360))</f>
        <v/>
      </c>
      <c r="I360" s="7">
        <f>IF($X360="","",H360*V360/100)</f>
        <v/>
      </c>
      <c r="J360">
        <f>IF($X360="","",INDEX('Per Line'!$W$2:$W$3001,$X360)&amp;"")</f>
        <v/>
      </c>
      <c r="K360">
        <f>IF($X360="","",INDEX('Per Line'!$AD$2:$AD$3001,$X360))</f>
        <v/>
      </c>
      <c r="L360">
        <f>IF($X360="","",IF(AND(ISNUMBER(K360),K360&gt;0),V360&gt;K360,FALSE))</f>
        <v/>
      </c>
      <c r="M360" s="7">
        <f>IF($X360="","",SUMIFS('Per Line'!$V$2:$V$3001,'Per Line'!$D$2:$D$3001,$B360,'Per Line'!$AN$2:$AN$3001,1))</f>
        <v/>
      </c>
      <c r="N360">
        <f>IF($X360="","",Settings!$C$7)</f>
        <v/>
      </c>
      <c r="O360" s="7">
        <f>IF($X360="","",SUMIFS('Per Line'!$V$2:$V$3001,'Per Line'!$D$2:$D$3001,$B360,'Per Line'!$AM$2:$AM$3001,0,'Per Line'!$AN$2:$AN$3001,0))</f>
        <v/>
      </c>
      <c r="P360" s="7">
        <f>IF($X360="","",O360*N360)</f>
        <v/>
      </c>
      <c r="Q360">
        <f>IF($X360="","",Settings!$C$6)</f>
        <v/>
      </c>
      <c r="R360" s="7">
        <f>IF($X360="","",SUMIFS('Per Line'!$V$2:$V$3001,'Per Line'!$D$2:$D$3001,$B360,'Per Line'!$AM$2:$AM$3001,1,'Per Line'!$AN$2:$AN$3001,0))</f>
        <v/>
      </c>
      <c r="S360" s="7">
        <f>IF($X360="","",R360*Q360)</f>
        <v/>
      </c>
      <c r="T360" s="7">
        <f>IF($X360="","",S360+P360)</f>
        <v/>
      </c>
      <c r="U360" s="7">
        <f>IF($X360="","",V360-T360)</f>
        <v/>
      </c>
      <c r="V360" s="7">
        <f>IF($X360="","",O360+R360+M360)</f>
        <v/>
      </c>
      <c r="W360" s="7">
        <f>IF($X360="","",V360-T360-I360)</f>
        <v/>
      </c>
      <c r="X360" s="13">
        <f>IF(ROWS($X$2:$X360)&lt;=MAX('Per Line'!$AL$2:$AL$3001),MATCH(ROWS($X$2:$X360),'Per Line'!$AL$2:$AL$3001,0),"")</f>
        <v/>
      </c>
    </row>
    <row r="361">
      <c r="A361" s="12" t="n"/>
      <c r="B361">
        <f>IF($X361="","",INDEX('Per Line'!$D$2:$D$3001,$X361)&amp;"")</f>
        <v/>
      </c>
      <c r="C361" s="11">
        <f>IF($X361="","",INDEX('Per Line'!$F$2:$F$3001,$X361))</f>
        <v/>
      </c>
      <c r="D361">
        <f>IF($X361="","",INDEX('Per Line'!$G$2:$G$3001,$X361)&amp;"")</f>
        <v/>
      </c>
      <c r="E361">
        <f>IF($X361="","",INDEX('Per Line'!$I$2:$I$3001,$X361)&amp;"")</f>
        <v/>
      </c>
      <c r="F361">
        <f>IF($X361="","",INDEX('Per Line'!$J$2:$J$3001,$X361)&amp;"")</f>
        <v/>
      </c>
      <c r="G361">
        <f>IF($X361="","",INDEX('Per Line'!$K$2:$K$3001,$X361)&amp;"")</f>
        <v/>
      </c>
      <c r="H361">
        <f>IF($X361="","",INDEX('Per Line'!$M$2:$M$3001,$X361))</f>
        <v/>
      </c>
      <c r="I361" s="7">
        <f>IF($X361="","",H361*V361/100)</f>
        <v/>
      </c>
      <c r="J361">
        <f>IF($X361="","",INDEX('Per Line'!$W$2:$W$3001,$X361)&amp;"")</f>
        <v/>
      </c>
      <c r="K361">
        <f>IF($X361="","",INDEX('Per Line'!$AD$2:$AD$3001,$X361))</f>
        <v/>
      </c>
      <c r="L361">
        <f>IF($X361="","",IF(AND(ISNUMBER(K361),K361&gt;0),V361&gt;K361,FALSE))</f>
        <v/>
      </c>
      <c r="M361" s="7">
        <f>IF($X361="","",SUMIFS('Per Line'!$V$2:$V$3001,'Per Line'!$D$2:$D$3001,$B361,'Per Line'!$AN$2:$AN$3001,1))</f>
        <v/>
      </c>
      <c r="N361">
        <f>IF($X361="","",Settings!$C$7)</f>
        <v/>
      </c>
      <c r="O361" s="7">
        <f>IF($X361="","",SUMIFS('Per Line'!$V$2:$V$3001,'Per Line'!$D$2:$D$3001,$B361,'Per Line'!$AM$2:$AM$3001,0,'Per Line'!$AN$2:$AN$3001,0))</f>
        <v/>
      </c>
      <c r="P361" s="7">
        <f>IF($X361="","",O361*N361)</f>
        <v/>
      </c>
      <c r="Q361">
        <f>IF($X361="","",Settings!$C$6)</f>
        <v/>
      </c>
      <c r="R361" s="7">
        <f>IF($X361="","",SUMIFS('Per Line'!$V$2:$V$3001,'Per Line'!$D$2:$D$3001,$B361,'Per Line'!$AM$2:$AM$3001,1,'Per Line'!$AN$2:$AN$3001,0))</f>
        <v/>
      </c>
      <c r="S361" s="7">
        <f>IF($X361="","",R361*Q361)</f>
        <v/>
      </c>
      <c r="T361" s="7">
        <f>IF($X361="","",S361+P361)</f>
        <v/>
      </c>
      <c r="U361" s="7">
        <f>IF($X361="","",V361-T361)</f>
        <v/>
      </c>
      <c r="V361" s="7">
        <f>IF($X361="","",O361+R361+M361)</f>
        <v/>
      </c>
      <c r="W361" s="7">
        <f>IF($X361="","",V361-T361-I361)</f>
        <v/>
      </c>
      <c r="X361" s="13">
        <f>IF(ROWS($X$2:$X361)&lt;=MAX('Per Line'!$AL$2:$AL$3001),MATCH(ROWS($X$2:$X361),'Per Line'!$AL$2:$AL$3001,0),"")</f>
        <v/>
      </c>
    </row>
    <row r="362">
      <c r="A362" s="12" t="n"/>
      <c r="B362">
        <f>IF($X362="","",INDEX('Per Line'!$D$2:$D$3001,$X362)&amp;"")</f>
        <v/>
      </c>
      <c r="C362" s="11">
        <f>IF($X362="","",INDEX('Per Line'!$F$2:$F$3001,$X362))</f>
        <v/>
      </c>
      <c r="D362">
        <f>IF($X362="","",INDEX('Per Line'!$G$2:$G$3001,$X362)&amp;"")</f>
        <v/>
      </c>
      <c r="E362">
        <f>IF($X362="","",INDEX('Per Line'!$I$2:$I$3001,$X362)&amp;"")</f>
        <v/>
      </c>
      <c r="F362">
        <f>IF($X362="","",INDEX('Per Line'!$J$2:$J$3001,$X362)&amp;"")</f>
        <v/>
      </c>
      <c r="G362">
        <f>IF($X362="","",INDEX('Per Line'!$K$2:$K$3001,$X362)&amp;"")</f>
        <v/>
      </c>
      <c r="H362">
        <f>IF($X362="","",INDEX('Per Line'!$M$2:$M$3001,$X362))</f>
        <v/>
      </c>
      <c r="I362" s="7">
        <f>IF($X362="","",H362*V362/100)</f>
        <v/>
      </c>
      <c r="J362">
        <f>IF($X362="","",INDEX('Per Line'!$W$2:$W$3001,$X362)&amp;"")</f>
        <v/>
      </c>
      <c r="K362">
        <f>IF($X362="","",INDEX('Per Line'!$AD$2:$AD$3001,$X362))</f>
        <v/>
      </c>
      <c r="L362">
        <f>IF($X362="","",IF(AND(ISNUMBER(K362),K362&gt;0),V362&gt;K362,FALSE))</f>
        <v/>
      </c>
      <c r="M362" s="7">
        <f>IF($X362="","",SUMIFS('Per Line'!$V$2:$V$3001,'Per Line'!$D$2:$D$3001,$B362,'Per Line'!$AN$2:$AN$3001,1))</f>
        <v/>
      </c>
      <c r="N362">
        <f>IF($X362="","",Settings!$C$7)</f>
        <v/>
      </c>
      <c r="O362" s="7">
        <f>IF($X362="","",SUMIFS('Per Line'!$V$2:$V$3001,'Per Line'!$D$2:$D$3001,$B362,'Per Line'!$AM$2:$AM$3001,0,'Per Line'!$AN$2:$AN$3001,0))</f>
        <v/>
      </c>
      <c r="P362" s="7">
        <f>IF($X362="","",O362*N362)</f>
        <v/>
      </c>
      <c r="Q362">
        <f>IF($X362="","",Settings!$C$6)</f>
        <v/>
      </c>
      <c r="R362" s="7">
        <f>IF($X362="","",SUMIFS('Per Line'!$V$2:$V$3001,'Per Line'!$D$2:$D$3001,$B362,'Per Line'!$AM$2:$AM$3001,1,'Per Line'!$AN$2:$AN$3001,0))</f>
        <v/>
      </c>
      <c r="S362" s="7">
        <f>IF($X362="","",R362*Q362)</f>
        <v/>
      </c>
      <c r="T362" s="7">
        <f>IF($X362="","",S362+P362)</f>
        <v/>
      </c>
      <c r="U362" s="7">
        <f>IF($X362="","",V362-T362)</f>
        <v/>
      </c>
      <c r="V362" s="7">
        <f>IF($X362="","",O362+R362+M362)</f>
        <v/>
      </c>
      <c r="W362" s="7">
        <f>IF($X362="","",V362-T362-I362)</f>
        <v/>
      </c>
      <c r="X362" s="13">
        <f>IF(ROWS($X$2:$X362)&lt;=MAX('Per Line'!$AL$2:$AL$3001),MATCH(ROWS($X$2:$X362),'Per Line'!$AL$2:$AL$3001,0),"")</f>
        <v/>
      </c>
    </row>
    <row r="363">
      <c r="A363" s="12" t="n"/>
      <c r="B363">
        <f>IF($X363="","",INDEX('Per Line'!$D$2:$D$3001,$X363)&amp;"")</f>
        <v/>
      </c>
      <c r="C363" s="11">
        <f>IF($X363="","",INDEX('Per Line'!$F$2:$F$3001,$X363))</f>
        <v/>
      </c>
      <c r="D363">
        <f>IF($X363="","",INDEX('Per Line'!$G$2:$G$3001,$X363)&amp;"")</f>
        <v/>
      </c>
      <c r="E363">
        <f>IF($X363="","",INDEX('Per Line'!$I$2:$I$3001,$X363)&amp;"")</f>
        <v/>
      </c>
      <c r="F363">
        <f>IF($X363="","",INDEX('Per Line'!$J$2:$J$3001,$X363)&amp;"")</f>
        <v/>
      </c>
      <c r="G363">
        <f>IF($X363="","",INDEX('Per Line'!$K$2:$K$3001,$X363)&amp;"")</f>
        <v/>
      </c>
      <c r="H363">
        <f>IF($X363="","",INDEX('Per Line'!$M$2:$M$3001,$X363))</f>
        <v/>
      </c>
      <c r="I363" s="7">
        <f>IF($X363="","",H363*V363/100)</f>
        <v/>
      </c>
      <c r="J363">
        <f>IF($X363="","",INDEX('Per Line'!$W$2:$W$3001,$X363)&amp;"")</f>
        <v/>
      </c>
      <c r="K363">
        <f>IF($X363="","",INDEX('Per Line'!$AD$2:$AD$3001,$X363))</f>
        <v/>
      </c>
      <c r="L363">
        <f>IF($X363="","",IF(AND(ISNUMBER(K363),K363&gt;0),V363&gt;K363,FALSE))</f>
        <v/>
      </c>
      <c r="M363" s="7">
        <f>IF($X363="","",SUMIFS('Per Line'!$V$2:$V$3001,'Per Line'!$D$2:$D$3001,$B363,'Per Line'!$AN$2:$AN$3001,1))</f>
        <v/>
      </c>
      <c r="N363">
        <f>IF($X363="","",Settings!$C$7)</f>
        <v/>
      </c>
      <c r="O363" s="7">
        <f>IF($X363="","",SUMIFS('Per Line'!$V$2:$V$3001,'Per Line'!$D$2:$D$3001,$B363,'Per Line'!$AM$2:$AM$3001,0,'Per Line'!$AN$2:$AN$3001,0))</f>
        <v/>
      </c>
      <c r="P363" s="7">
        <f>IF($X363="","",O363*N363)</f>
        <v/>
      </c>
      <c r="Q363">
        <f>IF($X363="","",Settings!$C$6)</f>
        <v/>
      </c>
      <c r="R363" s="7">
        <f>IF($X363="","",SUMIFS('Per Line'!$V$2:$V$3001,'Per Line'!$D$2:$D$3001,$B363,'Per Line'!$AM$2:$AM$3001,1,'Per Line'!$AN$2:$AN$3001,0))</f>
        <v/>
      </c>
      <c r="S363" s="7">
        <f>IF($X363="","",R363*Q363)</f>
        <v/>
      </c>
      <c r="T363" s="7">
        <f>IF($X363="","",S363+P363)</f>
        <v/>
      </c>
      <c r="U363" s="7">
        <f>IF($X363="","",V363-T363)</f>
        <v/>
      </c>
      <c r="V363" s="7">
        <f>IF($X363="","",O363+R363+M363)</f>
        <v/>
      </c>
      <c r="W363" s="7">
        <f>IF($X363="","",V363-T363-I363)</f>
        <v/>
      </c>
      <c r="X363" s="13">
        <f>IF(ROWS($X$2:$X363)&lt;=MAX('Per Line'!$AL$2:$AL$3001),MATCH(ROWS($X$2:$X363),'Per Line'!$AL$2:$AL$3001,0),"")</f>
        <v/>
      </c>
    </row>
    <row r="364">
      <c r="A364" s="12" t="n"/>
      <c r="B364">
        <f>IF($X364="","",INDEX('Per Line'!$D$2:$D$3001,$X364)&amp;"")</f>
        <v/>
      </c>
      <c r="C364" s="11">
        <f>IF($X364="","",INDEX('Per Line'!$F$2:$F$3001,$X364))</f>
        <v/>
      </c>
      <c r="D364">
        <f>IF($X364="","",INDEX('Per Line'!$G$2:$G$3001,$X364)&amp;"")</f>
        <v/>
      </c>
      <c r="E364">
        <f>IF($X364="","",INDEX('Per Line'!$I$2:$I$3001,$X364)&amp;"")</f>
        <v/>
      </c>
      <c r="F364">
        <f>IF($X364="","",INDEX('Per Line'!$J$2:$J$3001,$X364)&amp;"")</f>
        <v/>
      </c>
      <c r="G364">
        <f>IF($X364="","",INDEX('Per Line'!$K$2:$K$3001,$X364)&amp;"")</f>
        <v/>
      </c>
      <c r="H364">
        <f>IF($X364="","",INDEX('Per Line'!$M$2:$M$3001,$X364))</f>
        <v/>
      </c>
      <c r="I364" s="7">
        <f>IF($X364="","",H364*V364/100)</f>
        <v/>
      </c>
      <c r="J364">
        <f>IF($X364="","",INDEX('Per Line'!$W$2:$W$3001,$X364)&amp;"")</f>
        <v/>
      </c>
      <c r="K364">
        <f>IF($X364="","",INDEX('Per Line'!$AD$2:$AD$3001,$X364))</f>
        <v/>
      </c>
      <c r="L364">
        <f>IF($X364="","",IF(AND(ISNUMBER(K364),K364&gt;0),V364&gt;K364,FALSE))</f>
        <v/>
      </c>
      <c r="M364" s="7">
        <f>IF($X364="","",SUMIFS('Per Line'!$V$2:$V$3001,'Per Line'!$D$2:$D$3001,$B364,'Per Line'!$AN$2:$AN$3001,1))</f>
        <v/>
      </c>
      <c r="N364">
        <f>IF($X364="","",Settings!$C$7)</f>
        <v/>
      </c>
      <c r="O364" s="7">
        <f>IF($X364="","",SUMIFS('Per Line'!$V$2:$V$3001,'Per Line'!$D$2:$D$3001,$B364,'Per Line'!$AM$2:$AM$3001,0,'Per Line'!$AN$2:$AN$3001,0))</f>
        <v/>
      </c>
      <c r="P364" s="7">
        <f>IF($X364="","",O364*N364)</f>
        <v/>
      </c>
      <c r="Q364">
        <f>IF($X364="","",Settings!$C$6)</f>
        <v/>
      </c>
      <c r="R364" s="7">
        <f>IF($X364="","",SUMIFS('Per Line'!$V$2:$V$3001,'Per Line'!$D$2:$D$3001,$B364,'Per Line'!$AM$2:$AM$3001,1,'Per Line'!$AN$2:$AN$3001,0))</f>
        <v/>
      </c>
      <c r="S364" s="7">
        <f>IF($X364="","",R364*Q364)</f>
        <v/>
      </c>
      <c r="T364" s="7">
        <f>IF($X364="","",S364+P364)</f>
        <v/>
      </c>
      <c r="U364" s="7">
        <f>IF($X364="","",V364-T364)</f>
        <v/>
      </c>
      <c r="V364" s="7">
        <f>IF($X364="","",O364+R364+M364)</f>
        <v/>
      </c>
      <c r="W364" s="7">
        <f>IF($X364="","",V364-T364-I364)</f>
        <v/>
      </c>
      <c r="X364" s="13">
        <f>IF(ROWS($X$2:$X364)&lt;=MAX('Per Line'!$AL$2:$AL$3001),MATCH(ROWS($X$2:$X364),'Per Line'!$AL$2:$AL$3001,0),"")</f>
        <v/>
      </c>
    </row>
    <row r="365">
      <c r="A365" s="12" t="n"/>
      <c r="B365">
        <f>IF($X365="","",INDEX('Per Line'!$D$2:$D$3001,$X365)&amp;"")</f>
        <v/>
      </c>
      <c r="C365" s="11">
        <f>IF($X365="","",INDEX('Per Line'!$F$2:$F$3001,$X365))</f>
        <v/>
      </c>
      <c r="D365">
        <f>IF($X365="","",INDEX('Per Line'!$G$2:$G$3001,$X365)&amp;"")</f>
        <v/>
      </c>
      <c r="E365">
        <f>IF($X365="","",INDEX('Per Line'!$I$2:$I$3001,$X365)&amp;"")</f>
        <v/>
      </c>
      <c r="F365">
        <f>IF($X365="","",INDEX('Per Line'!$J$2:$J$3001,$X365)&amp;"")</f>
        <v/>
      </c>
      <c r="G365">
        <f>IF($X365="","",INDEX('Per Line'!$K$2:$K$3001,$X365)&amp;"")</f>
        <v/>
      </c>
      <c r="H365">
        <f>IF($X365="","",INDEX('Per Line'!$M$2:$M$3001,$X365))</f>
        <v/>
      </c>
      <c r="I365" s="7">
        <f>IF($X365="","",H365*V365/100)</f>
        <v/>
      </c>
      <c r="J365">
        <f>IF($X365="","",INDEX('Per Line'!$W$2:$W$3001,$X365)&amp;"")</f>
        <v/>
      </c>
      <c r="K365">
        <f>IF($X365="","",INDEX('Per Line'!$AD$2:$AD$3001,$X365))</f>
        <v/>
      </c>
      <c r="L365">
        <f>IF($X365="","",IF(AND(ISNUMBER(K365),K365&gt;0),V365&gt;K365,FALSE))</f>
        <v/>
      </c>
      <c r="M365" s="7">
        <f>IF($X365="","",SUMIFS('Per Line'!$V$2:$V$3001,'Per Line'!$D$2:$D$3001,$B365,'Per Line'!$AN$2:$AN$3001,1))</f>
        <v/>
      </c>
      <c r="N365">
        <f>IF($X365="","",Settings!$C$7)</f>
        <v/>
      </c>
      <c r="O365" s="7">
        <f>IF($X365="","",SUMIFS('Per Line'!$V$2:$V$3001,'Per Line'!$D$2:$D$3001,$B365,'Per Line'!$AM$2:$AM$3001,0,'Per Line'!$AN$2:$AN$3001,0))</f>
        <v/>
      </c>
      <c r="P365" s="7">
        <f>IF($X365="","",O365*N365)</f>
        <v/>
      </c>
      <c r="Q365">
        <f>IF($X365="","",Settings!$C$6)</f>
        <v/>
      </c>
      <c r="R365" s="7">
        <f>IF($X365="","",SUMIFS('Per Line'!$V$2:$V$3001,'Per Line'!$D$2:$D$3001,$B365,'Per Line'!$AM$2:$AM$3001,1,'Per Line'!$AN$2:$AN$3001,0))</f>
        <v/>
      </c>
      <c r="S365" s="7">
        <f>IF($X365="","",R365*Q365)</f>
        <v/>
      </c>
      <c r="T365" s="7">
        <f>IF($X365="","",S365+P365)</f>
        <v/>
      </c>
      <c r="U365" s="7">
        <f>IF($X365="","",V365-T365)</f>
        <v/>
      </c>
      <c r="V365" s="7">
        <f>IF($X365="","",O365+R365+M365)</f>
        <v/>
      </c>
      <c r="W365" s="7">
        <f>IF($X365="","",V365-T365-I365)</f>
        <v/>
      </c>
      <c r="X365" s="13">
        <f>IF(ROWS($X$2:$X365)&lt;=MAX('Per Line'!$AL$2:$AL$3001),MATCH(ROWS($X$2:$X365),'Per Line'!$AL$2:$AL$3001,0),"")</f>
        <v/>
      </c>
    </row>
    <row r="366">
      <c r="A366" s="12" t="n"/>
      <c r="B366">
        <f>IF($X366="","",INDEX('Per Line'!$D$2:$D$3001,$X366)&amp;"")</f>
        <v/>
      </c>
      <c r="C366" s="11">
        <f>IF($X366="","",INDEX('Per Line'!$F$2:$F$3001,$X366))</f>
        <v/>
      </c>
      <c r="D366">
        <f>IF($X366="","",INDEX('Per Line'!$G$2:$G$3001,$X366)&amp;"")</f>
        <v/>
      </c>
      <c r="E366">
        <f>IF($X366="","",INDEX('Per Line'!$I$2:$I$3001,$X366)&amp;"")</f>
        <v/>
      </c>
      <c r="F366">
        <f>IF($X366="","",INDEX('Per Line'!$J$2:$J$3001,$X366)&amp;"")</f>
        <v/>
      </c>
      <c r="G366">
        <f>IF($X366="","",INDEX('Per Line'!$K$2:$K$3001,$X366)&amp;"")</f>
        <v/>
      </c>
      <c r="H366">
        <f>IF($X366="","",INDEX('Per Line'!$M$2:$M$3001,$X366))</f>
        <v/>
      </c>
      <c r="I366" s="7">
        <f>IF($X366="","",H366*V366/100)</f>
        <v/>
      </c>
      <c r="J366">
        <f>IF($X366="","",INDEX('Per Line'!$W$2:$W$3001,$X366)&amp;"")</f>
        <v/>
      </c>
      <c r="K366">
        <f>IF($X366="","",INDEX('Per Line'!$AD$2:$AD$3001,$X366))</f>
        <v/>
      </c>
      <c r="L366">
        <f>IF($X366="","",IF(AND(ISNUMBER(K366),K366&gt;0),V366&gt;K366,FALSE))</f>
        <v/>
      </c>
      <c r="M366" s="7">
        <f>IF($X366="","",SUMIFS('Per Line'!$V$2:$V$3001,'Per Line'!$D$2:$D$3001,$B366,'Per Line'!$AN$2:$AN$3001,1))</f>
        <v/>
      </c>
      <c r="N366">
        <f>IF($X366="","",Settings!$C$7)</f>
        <v/>
      </c>
      <c r="O366" s="7">
        <f>IF($X366="","",SUMIFS('Per Line'!$V$2:$V$3001,'Per Line'!$D$2:$D$3001,$B366,'Per Line'!$AM$2:$AM$3001,0,'Per Line'!$AN$2:$AN$3001,0))</f>
        <v/>
      </c>
      <c r="P366" s="7">
        <f>IF($X366="","",O366*N366)</f>
        <v/>
      </c>
      <c r="Q366">
        <f>IF($X366="","",Settings!$C$6)</f>
        <v/>
      </c>
      <c r="R366" s="7">
        <f>IF($X366="","",SUMIFS('Per Line'!$V$2:$V$3001,'Per Line'!$D$2:$D$3001,$B366,'Per Line'!$AM$2:$AM$3001,1,'Per Line'!$AN$2:$AN$3001,0))</f>
        <v/>
      </c>
      <c r="S366" s="7">
        <f>IF($X366="","",R366*Q366)</f>
        <v/>
      </c>
      <c r="T366" s="7">
        <f>IF($X366="","",S366+P366)</f>
        <v/>
      </c>
      <c r="U366" s="7">
        <f>IF($X366="","",V366-T366)</f>
        <v/>
      </c>
      <c r="V366" s="7">
        <f>IF($X366="","",O366+R366+M366)</f>
        <v/>
      </c>
      <c r="W366" s="7">
        <f>IF($X366="","",V366-T366-I366)</f>
        <v/>
      </c>
      <c r="X366" s="13">
        <f>IF(ROWS($X$2:$X366)&lt;=MAX('Per Line'!$AL$2:$AL$3001),MATCH(ROWS($X$2:$X366),'Per Line'!$AL$2:$AL$3001,0),"")</f>
        <v/>
      </c>
    </row>
    <row r="367">
      <c r="A367" s="12" t="n"/>
      <c r="B367">
        <f>IF($X367="","",INDEX('Per Line'!$D$2:$D$3001,$X367)&amp;"")</f>
        <v/>
      </c>
      <c r="C367" s="11">
        <f>IF($X367="","",INDEX('Per Line'!$F$2:$F$3001,$X367))</f>
        <v/>
      </c>
      <c r="D367">
        <f>IF($X367="","",INDEX('Per Line'!$G$2:$G$3001,$X367)&amp;"")</f>
        <v/>
      </c>
      <c r="E367">
        <f>IF($X367="","",INDEX('Per Line'!$I$2:$I$3001,$X367)&amp;"")</f>
        <v/>
      </c>
      <c r="F367">
        <f>IF($X367="","",INDEX('Per Line'!$J$2:$J$3001,$X367)&amp;"")</f>
        <v/>
      </c>
      <c r="G367">
        <f>IF($X367="","",INDEX('Per Line'!$K$2:$K$3001,$X367)&amp;"")</f>
        <v/>
      </c>
      <c r="H367">
        <f>IF($X367="","",INDEX('Per Line'!$M$2:$M$3001,$X367))</f>
        <v/>
      </c>
      <c r="I367" s="7">
        <f>IF($X367="","",H367*V367/100)</f>
        <v/>
      </c>
      <c r="J367">
        <f>IF($X367="","",INDEX('Per Line'!$W$2:$W$3001,$X367)&amp;"")</f>
        <v/>
      </c>
      <c r="K367">
        <f>IF($X367="","",INDEX('Per Line'!$AD$2:$AD$3001,$X367))</f>
        <v/>
      </c>
      <c r="L367">
        <f>IF($X367="","",IF(AND(ISNUMBER(K367),K367&gt;0),V367&gt;K367,FALSE))</f>
        <v/>
      </c>
      <c r="M367" s="7">
        <f>IF($X367="","",SUMIFS('Per Line'!$V$2:$V$3001,'Per Line'!$D$2:$D$3001,$B367,'Per Line'!$AN$2:$AN$3001,1))</f>
        <v/>
      </c>
      <c r="N367">
        <f>IF($X367="","",Settings!$C$7)</f>
        <v/>
      </c>
      <c r="O367" s="7">
        <f>IF($X367="","",SUMIFS('Per Line'!$V$2:$V$3001,'Per Line'!$D$2:$D$3001,$B367,'Per Line'!$AM$2:$AM$3001,0,'Per Line'!$AN$2:$AN$3001,0))</f>
        <v/>
      </c>
      <c r="P367" s="7">
        <f>IF($X367="","",O367*N367)</f>
        <v/>
      </c>
      <c r="Q367">
        <f>IF($X367="","",Settings!$C$6)</f>
        <v/>
      </c>
      <c r="R367" s="7">
        <f>IF($X367="","",SUMIFS('Per Line'!$V$2:$V$3001,'Per Line'!$D$2:$D$3001,$B367,'Per Line'!$AM$2:$AM$3001,1,'Per Line'!$AN$2:$AN$3001,0))</f>
        <v/>
      </c>
      <c r="S367" s="7">
        <f>IF($X367="","",R367*Q367)</f>
        <v/>
      </c>
      <c r="T367" s="7">
        <f>IF($X367="","",S367+P367)</f>
        <v/>
      </c>
      <c r="U367" s="7">
        <f>IF($X367="","",V367-T367)</f>
        <v/>
      </c>
      <c r="V367" s="7">
        <f>IF($X367="","",O367+R367+M367)</f>
        <v/>
      </c>
      <c r="W367" s="7">
        <f>IF($X367="","",V367-T367-I367)</f>
        <v/>
      </c>
      <c r="X367" s="13">
        <f>IF(ROWS($X$2:$X367)&lt;=MAX('Per Line'!$AL$2:$AL$3001),MATCH(ROWS($X$2:$X367),'Per Line'!$AL$2:$AL$3001,0),"")</f>
        <v/>
      </c>
    </row>
    <row r="368">
      <c r="A368" s="12" t="n"/>
      <c r="B368">
        <f>IF($X368="","",INDEX('Per Line'!$D$2:$D$3001,$X368)&amp;"")</f>
        <v/>
      </c>
      <c r="C368" s="11">
        <f>IF($X368="","",INDEX('Per Line'!$F$2:$F$3001,$X368))</f>
        <v/>
      </c>
      <c r="D368">
        <f>IF($X368="","",INDEX('Per Line'!$G$2:$G$3001,$X368)&amp;"")</f>
        <v/>
      </c>
      <c r="E368">
        <f>IF($X368="","",INDEX('Per Line'!$I$2:$I$3001,$X368)&amp;"")</f>
        <v/>
      </c>
      <c r="F368">
        <f>IF($X368="","",INDEX('Per Line'!$J$2:$J$3001,$X368)&amp;"")</f>
        <v/>
      </c>
      <c r="G368">
        <f>IF($X368="","",INDEX('Per Line'!$K$2:$K$3001,$X368)&amp;"")</f>
        <v/>
      </c>
      <c r="H368">
        <f>IF($X368="","",INDEX('Per Line'!$M$2:$M$3001,$X368))</f>
        <v/>
      </c>
      <c r="I368" s="7">
        <f>IF($X368="","",H368*V368/100)</f>
        <v/>
      </c>
      <c r="J368">
        <f>IF($X368="","",INDEX('Per Line'!$W$2:$W$3001,$X368)&amp;"")</f>
        <v/>
      </c>
      <c r="K368">
        <f>IF($X368="","",INDEX('Per Line'!$AD$2:$AD$3001,$X368))</f>
        <v/>
      </c>
      <c r="L368">
        <f>IF($X368="","",IF(AND(ISNUMBER(K368),K368&gt;0),V368&gt;K368,FALSE))</f>
        <v/>
      </c>
      <c r="M368" s="7">
        <f>IF($X368="","",SUMIFS('Per Line'!$V$2:$V$3001,'Per Line'!$D$2:$D$3001,$B368,'Per Line'!$AN$2:$AN$3001,1))</f>
        <v/>
      </c>
      <c r="N368">
        <f>IF($X368="","",Settings!$C$7)</f>
        <v/>
      </c>
      <c r="O368" s="7">
        <f>IF($X368="","",SUMIFS('Per Line'!$V$2:$V$3001,'Per Line'!$D$2:$D$3001,$B368,'Per Line'!$AM$2:$AM$3001,0,'Per Line'!$AN$2:$AN$3001,0))</f>
        <v/>
      </c>
      <c r="P368" s="7">
        <f>IF($X368="","",O368*N368)</f>
        <v/>
      </c>
      <c r="Q368">
        <f>IF($X368="","",Settings!$C$6)</f>
        <v/>
      </c>
      <c r="R368" s="7">
        <f>IF($X368="","",SUMIFS('Per Line'!$V$2:$V$3001,'Per Line'!$D$2:$D$3001,$B368,'Per Line'!$AM$2:$AM$3001,1,'Per Line'!$AN$2:$AN$3001,0))</f>
        <v/>
      </c>
      <c r="S368" s="7">
        <f>IF($X368="","",R368*Q368)</f>
        <v/>
      </c>
      <c r="T368" s="7">
        <f>IF($X368="","",S368+P368)</f>
        <v/>
      </c>
      <c r="U368" s="7">
        <f>IF($X368="","",V368-T368)</f>
        <v/>
      </c>
      <c r="V368" s="7">
        <f>IF($X368="","",O368+R368+M368)</f>
        <v/>
      </c>
      <c r="W368" s="7">
        <f>IF($X368="","",V368-T368-I368)</f>
        <v/>
      </c>
      <c r="X368" s="13">
        <f>IF(ROWS($X$2:$X368)&lt;=MAX('Per Line'!$AL$2:$AL$3001),MATCH(ROWS($X$2:$X368),'Per Line'!$AL$2:$AL$3001,0),"")</f>
        <v/>
      </c>
    </row>
    <row r="369">
      <c r="A369" s="12" t="n"/>
      <c r="B369">
        <f>IF($X369="","",INDEX('Per Line'!$D$2:$D$3001,$X369)&amp;"")</f>
        <v/>
      </c>
      <c r="C369" s="11">
        <f>IF($X369="","",INDEX('Per Line'!$F$2:$F$3001,$X369))</f>
        <v/>
      </c>
      <c r="D369">
        <f>IF($X369="","",INDEX('Per Line'!$G$2:$G$3001,$X369)&amp;"")</f>
        <v/>
      </c>
      <c r="E369">
        <f>IF($X369="","",INDEX('Per Line'!$I$2:$I$3001,$X369)&amp;"")</f>
        <v/>
      </c>
      <c r="F369">
        <f>IF($X369="","",INDEX('Per Line'!$J$2:$J$3001,$X369)&amp;"")</f>
        <v/>
      </c>
      <c r="G369">
        <f>IF($X369="","",INDEX('Per Line'!$K$2:$K$3001,$X369)&amp;"")</f>
        <v/>
      </c>
      <c r="H369">
        <f>IF($X369="","",INDEX('Per Line'!$M$2:$M$3001,$X369))</f>
        <v/>
      </c>
      <c r="I369" s="7">
        <f>IF($X369="","",H369*V369/100)</f>
        <v/>
      </c>
      <c r="J369">
        <f>IF($X369="","",INDEX('Per Line'!$W$2:$W$3001,$X369)&amp;"")</f>
        <v/>
      </c>
      <c r="K369">
        <f>IF($X369="","",INDEX('Per Line'!$AD$2:$AD$3001,$X369))</f>
        <v/>
      </c>
      <c r="L369">
        <f>IF($X369="","",IF(AND(ISNUMBER(K369),K369&gt;0),V369&gt;K369,FALSE))</f>
        <v/>
      </c>
      <c r="M369" s="7">
        <f>IF($X369="","",SUMIFS('Per Line'!$V$2:$V$3001,'Per Line'!$D$2:$D$3001,$B369,'Per Line'!$AN$2:$AN$3001,1))</f>
        <v/>
      </c>
      <c r="N369">
        <f>IF($X369="","",Settings!$C$7)</f>
        <v/>
      </c>
      <c r="O369" s="7">
        <f>IF($X369="","",SUMIFS('Per Line'!$V$2:$V$3001,'Per Line'!$D$2:$D$3001,$B369,'Per Line'!$AM$2:$AM$3001,0,'Per Line'!$AN$2:$AN$3001,0))</f>
        <v/>
      </c>
      <c r="P369" s="7">
        <f>IF($X369="","",O369*N369)</f>
        <v/>
      </c>
      <c r="Q369">
        <f>IF($X369="","",Settings!$C$6)</f>
        <v/>
      </c>
      <c r="R369" s="7">
        <f>IF($X369="","",SUMIFS('Per Line'!$V$2:$V$3001,'Per Line'!$D$2:$D$3001,$B369,'Per Line'!$AM$2:$AM$3001,1,'Per Line'!$AN$2:$AN$3001,0))</f>
        <v/>
      </c>
      <c r="S369" s="7">
        <f>IF($X369="","",R369*Q369)</f>
        <v/>
      </c>
      <c r="T369" s="7">
        <f>IF($X369="","",S369+P369)</f>
        <v/>
      </c>
      <c r="U369" s="7">
        <f>IF($X369="","",V369-T369)</f>
        <v/>
      </c>
      <c r="V369" s="7">
        <f>IF($X369="","",O369+R369+M369)</f>
        <v/>
      </c>
      <c r="W369" s="7">
        <f>IF($X369="","",V369-T369-I369)</f>
        <v/>
      </c>
      <c r="X369" s="13">
        <f>IF(ROWS($X$2:$X369)&lt;=MAX('Per Line'!$AL$2:$AL$3001),MATCH(ROWS($X$2:$X369),'Per Line'!$AL$2:$AL$3001,0),"")</f>
        <v/>
      </c>
    </row>
    <row r="370">
      <c r="A370" s="12" t="n"/>
      <c r="B370">
        <f>IF($X370="","",INDEX('Per Line'!$D$2:$D$3001,$X370)&amp;"")</f>
        <v/>
      </c>
      <c r="C370" s="11">
        <f>IF($X370="","",INDEX('Per Line'!$F$2:$F$3001,$X370))</f>
        <v/>
      </c>
      <c r="D370">
        <f>IF($X370="","",INDEX('Per Line'!$G$2:$G$3001,$X370)&amp;"")</f>
        <v/>
      </c>
      <c r="E370">
        <f>IF($X370="","",INDEX('Per Line'!$I$2:$I$3001,$X370)&amp;"")</f>
        <v/>
      </c>
      <c r="F370">
        <f>IF($X370="","",INDEX('Per Line'!$J$2:$J$3001,$X370)&amp;"")</f>
        <v/>
      </c>
      <c r="G370">
        <f>IF($X370="","",INDEX('Per Line'!$K$2:$K$3001,$X370)&amp;"")</f>
        <v/>
      </c>
      <c r="H370">
        <f>IF($X370="","",INDEX('Per Line'!$M$2:$M$3001,$X370))</f>
        <v/>
      </c>
      <c r="I370" s="7">
        <f>IF($X370="","",H370*V370/100)</f>
        <v/>
      </c>
      <c r="J370">
        <f>IF($X370="","",INDEX('Per Line'!$W$2:$W$3001,$X370)&amp;"")</f>
        <v/>
      </c>
      <c r="K370">
        <f>IF($X370="","",INDEX('Per Line'!$AD$2:$AD$3001,$X370))</f>
        <v/>
      </c>
      <c r="L370">
        <f>IF($X370="","",IF(AND(ISNUMBER(K370),K370&gt;0),V370&gt;K370,FALSE))</f>
        <v/>
      </c>
      <c r="M370" s="7">
        <f>IF($X370="","",SUMIFS('Per Line'!$V$2:$V$3001,'Per Line'!$D$2:$D$3001,$B370,'Per Line'!$AN$2:$AN$3001,1))</f>
        <v/>
      </c>
      <c r="N370">
        <f>IF($X370="","",Settings!$C$7)</f>
        <v/>
      </c>
      <c r="O370" s="7">
        <f>IF($X370="","",SUMIFS('Per Line'!$V$2:$V$3001,'Per Line'!$D$2:$D$3001,$B370,'Per Line'!$AM$2:$AM$3001,0,'Per Line'!$AN$2:$AN$3001,0))</f>
        <v/>
      </c>
      <c r="P370" s="7">
        <f>IF($X370="","",O370*N370)</f>
        <v/>
      </c>
      <c r="Q370">
        <f>IF($X370="","",Settings!$C$6)</f>
        <v/>
      </c>
      <c r="R370" s="7">
        <f>IF($X370="","",SUMIFS('Per Line'!$V$2:$V$3001,'Per Line'!$D$2:$D$3001,$B370,'Per Line'!$AM$2:$AM$3001,1,'Per Line'!$AN$2:$AN$3001,0))</f>
        <v/>
      </c>
      <c r="S370" s="7">
        <f>IF($X370="","",R370*Q370)</f>
        <v/>
      </c>
      <c r="T370" s="7">
        <f>IF($X370="","",S370+P370)</f>
        <v/>
      </c>
      <c r="U370" s="7">
        <f>IF($X370="","",V370-T370)</f>
        <v/>
      </c>
      <c r="V370" s="7">
        <f>IF($X370="","",O370+R370+M370)</f>
        <v/>
      </c>
      <c r="W370" s="7">
        <f>IF($X370="","",V370-T370-I370)</f>
        <v/>
      </c>
      <c r="X370" s="13">
        <f>IF(ROWS($X$2:$X370)&lt;=MAX('Per Line'!$AL$2:$AL$3001),MATCH(ROWS($X$2:$X370),'Per Line'!$AL$2:$AL$3001,0),"")</f>
        <v/>
      </c>
    </row>
    <row r="371">
      <c r="A371" s="12" t="n"/>
      <c r="B371">
        <f>IF($X371="","",INDEX('Per Line'!$D$2:$D$3001,$X371)&amp;"")</f>
        <v/>
      </c>
      <c r="C371" s="11">
        <f>IF($X371="","",INDEX('Per Line'!$F$2:$F$3001,$X371))</f>
        <v/>
      </c>
      <c r="D371">
        <f>IF($X371="","",INDEX('Per Line'!$G$2:$G$3001,$X371)&amp;"")</f>
        <v/>
      </c>
      <c r="E371">
        <f>IF($X371="","",INDEX('Per Line'!$I$2:$I$3001,$X371)&amp;"")</f>
        <v/>
      </c>
      <c r="F371">
        <f>IF($X371="","",INDEX('Per Line'!$J$2:$J$3001,$X371)&amp;"")</f>
        <v/>
      </c>
      <c r="G371">
        <f>IF($X371="","",INDEX('Per Line'!$K$2:$K$3001,$X371)&amp;"")</f>
        <v/>
      </c>
      <c r="H371">
        <f>IF($X371="","",INDEX('Per Line'!$M$2:$M$3001,$X371))</f>
        <v/>
      </c>
      <c r="I371" s="7">
        <f>IF($X371="","",H371*V371/100)</f>
        <v/>
      </c>
      <c r="J371">
        <f>IF($X371="","",INDEX('Per Line'!$W$2:$W$3001,$X371)&amp;"")</f>
        <v/>
      </c>
      <c r="K371">
        <f>IF($X371="","",INDEX('Per Line'!$AD$2:$AD$3001,$X371))</f>
        <v/>
      </c>
      <c r="L371">
        <f>IF($X371="","",IF(AND(ISNUMBER(K371),K371&gt;0),V371&gt;K371,FALSE))</f>
        <v/>
      </c>
      <c r="M371" s="7">
        <f>IF($X371="","",SUMIFS('Per Line'!$V$2:$V$3001,'Per Line'!$D$2:$D$3001,$B371,'Per Line'!$AN$2:$AN$3001,1))</f>
        <v/>
      </c>
      <c r="N371">
        <f>IF($X371="","",Settings!$C$7)</f>
        <v/>
      </c>
      <c r="O371" s="7">
        <f>IF($X371="","",SUMIFS('Per Line'!$V$2:$V$3001,'Per Line'!$D$2:$D$3001,$B371,'Per Line'!$AM$2:$AM$3001,0,'Per Line'!$AN$2:$AN$3001,0))</f>
        <v/>
      </c>
      <c r="P371" s="7">
        <f>IF($X371="","",O371*N371)</f>
        <v/>
      </c>
      <c r="Q371">
        <f>IF($X371="","",Settings!$C$6)</f>
        <v/>
      </c>
      <c r="R371" s="7">
        <f>IF($X371="","",SUMIFS('Per Line'!$V$2:$V$3001,'Per Line'!$D$2:$D$3001,$B371,'Per Line'!$AM$2:$AM$3001,1,'Per Line'!$AN$2:$AN$3001,0))</f>
        <v/>
      </c>
      <c r="S371" s="7">
        <f>IF($X371="","",R371*Q371)</f>
        <v/>
      </c>
      <c r="T371" s="7">
        <f>IF($X371="","",S371+P371)</f>
        <v/>
      </c>
      <c r="U371" s="7">
        <f>IF($X371="","",V371-T371)</f>
        <v/>
      </c>
      <c r="V371" s="7">
        <f>IF($X371="","",O371+R371+M371)</f>
        <v/>
      </c>
      <c r="W371" s="7">
        <f>IF($X371="","",V371-T371-I371)</f>
        <v/>
      </c>
      <c r="X371" s="13">
        <f>IF(ROWS($X$2:$X371)&lt;=MAX('Per Line'!$AL$2:$AL$3001),MATCH(ROWS($X$2:$X371),'Per Line'!$AL$2:$AL$3001,0),"")</f>
        <v/>
      </c>
    </row>
    <row r="372">
      <c r="A372" s="12" t="n"/>
      <c r="B372">
        <f>IF($X372="","",INDEX('Per Line'!$D$2:$D$3001,$X372)&amp;"")</f>
        <v/>
      </c>
      <c r="C372" s="11">
        <f>IF($X372="","",INDEX('Per Line'!$F$2:$F$3001,$X372))</f>
        <v/>
      </c>
      <c r="D372">
        <f>IF($X372="","",INDEX('Per Line'!$G$2:$G$3001,$X372)&amp;"")</f>
        <v/>
      </c>
      <c r="E372">
        <f>IF($X372="","",INDEX('Per Line'!$I$2:$I$3001,$X372)&amp;"")</f>
        <v/>
      </c>
      <c r="F372">
        <f>IF($X372="","",INDEX('Per Line'!$J$2:$J$3001,$X372)&amp;"")</f>
        <v/>
      </c>
      <c r="G372">
        <f>IF($X372="","",INDEX('Per Line'!$K$2:$K$3001,$X372)&amp;"")</f>
        <v/>
      </c>
      <c r="H372">
        <f>IF($X372="","",INDEX('Per Line'!$M$2:$M$3001,$X372))</f>
        <v/>
      </c>
      <c r="I372" s="7">
        <f>IF($X372="","",H372*V372/100)</f>
        <v/>
      </c>
      <c r="J372">
        <f>IF($X372="","",INDEX('Per Line'!$W$2:$W$3001,$X372)&amp;"")</f>
        <v/>
      </c>
      <c r="K372">
        <f>IF($X372="","",INDEX('Per Line'!$AD$2:$AD$3001,$X372))</f>
        <v/>
      </c>
      <c r="L372">
        <f>IF($X372="","",IF(AND(ISNUMBER(K372),K372&gt;0),V372&gt;K372,FALSE))</f>
        <v/>
      </c>
      <c r="M372" s="7">
        <f>IF($X372="","",SUMIFS('Per Line'!$V$2:$V$3001,'Per Line'!$D$2:$D$3001,$B372,'Per Line'!$AN$2:$AN$3001,1))</f>
        <v/>
      </c>
      <c r="N372">
        <f>IF($X372="","",Settings!$C$7)</f>
        <v/>
      </c>
      <c r="O372" s="7">
        <f>IF($X372="","",SUMIFS('Per Line'!$V$2:$V$3001,'Per Line'!$D$2:$D$3001,$B372,'Per Line'!$AM$2:$AM$3001,0,'Per Line'!$AN$2:$AN$3001,0))</f>
        <v/>
      </c>
      <c r="P372" s="7">
        <f>IF($X372="","",O372*N372)</f>
        <v/>
      </c>
      <c r="Q372">
        <f>IF($X372="","",Settings!$C$6)</f>
        <v/>
      </c>
      <c r="R372" s="7">
        <f>IF($X372="","",SUMIFS('Per Line'!$V$2:$V$3001,'Per Line'!$D$2:$D$3001,$B372,'Per Line'!$AM$2:$AM$3001,1,'Per Line'!$AN$2:$AN$3001,0))</f>
        <v/>
      </c>
      <c r="S372" s="7">
        <f>IF($X372="","",R372*Q372)</f>
        <v/>
      </c>
      <c r="T372" s="7">
        <f>IF($X372="","",S372+P372)</f>
        <v/>
      </c>
      <c r="U372" s="7">
        <f>IF($X372="","",V372-T372)</f>
        <v/>
      </c>
      <c r="V372" s="7">
        <f>IF($X372="","",O372+R372+M372)</f>
        <v/>
      </c>
      <c r="W372" s="7">
        <f>IF($X372="","",V372-T372-I372)</f>
        <v/>
      </c>
      <c r="X372" s="13">
        <f>IF(ROWS($X$2:$X372)&lt;=MAX('Per Line'!$AL$2:$AL$3001),MATCH(ROWS($X$2:$X372),'Per Line'!$AL$2:$AL$3001,0),"")</f>
        <v/>
      </c>
    </row>
    <row r="373">
      <c r="A373" s="12" t="n"/>
      <c r="B373">
        <f>IF($X373="","",INDEX('Per Line'!$D$2:$D$3001,$X373)&amp;"")</f>
        <v/>
      </c>
      <c r="C373" s="11">
        <f>IF($X373="","",INDEX('Per Line'!$F$2:$F$3001,$X373))</f>
        <v/>
      </c>
      <c r="D373">
        <f>IF($X373="","",INDEX('Per Line'!$G$2:$G$3001,$X373)&amp;"")</f>
        <v/>
      </c>
      <c r="E373">
        <f>IF($X373="","",INDEX('Per Line'!$I$2:$I$3001,$X373)&amp;"")</f>
        <v/>
      </c>
      <c r="F373">
        <f>IF($X373="","",INDEX('Per Line'!$J$2:$J$3001,$X373)&amp;"")</f>
        <v/>
      </c>
      <c r="G373">
        <f>IF($X373="","",INDEX('Per Line'!$K$2:$K$3001,$X373)&amp;"")</f>
        <v/>
      </c>
      <c r="H373">
        <f>IF($X373="","",INDEX('Per Line'!$M$2:$M$3001,$X373))</f>
        <v/>
      </c>
      <c r="I373" s="7">
        <f>IF($X373="","",H373*V373/100)</f>
        <v/>
      </c>
      <c r="J373">
        <f>IF($X373="","",INDEX('Per Line'!$W$2:$W$3001,$X373)&amp;"")</f>
        <v/>
      </c>
      <c r="K373">
        <f>IF($X373="","",INDEX('Per Line'!$AD$2:$AD$3001,$X373))</f>
        <v/>
      </c>
      <c r="L373">
        <f>IF($X373="","",IF(AND(ISNUMBER(K373),K373&gt;0),V373&gt;K373,FALSE))</f>
        <v/>
      </c>
      <c r="M373" s="7">
        <f>IF($X373="","",SUMIFS('Per Line'!$V$2:$V$3001,'Per Line'!$D$2:$D$3001,$B373,'Per Line'!$AN$2:$AN$3001,1))</f>
        <v/>
      </c>
      <c r="N373">
        <f>IF($X373="","",Settings!$C$7)</f>
        <v/>
      </c>
      <c r="O373" s="7">
        <f>IF($X373="","",SUMIFS('Per Line'!$V$2:$V$3001,'Per Line'!$D$2:$D$3001,$B373,'Per Line'!$AM$2:$AM$3001,0,'Per Line'!$AN$2:$AN$3001,0))</f>
        <v/>
      </c>
      <c r="P373" s="7">
        <f>IF($X373="","",O373*N373)</f>
        <v/>
      </c>
      <c r="Q373">
        <f>IF($X373="","",Settings!$C$6)</f>
        <v/>
      </c>
      <c r="R373" s="7">
        <f>IF($X373="","",SUMIFS('Per Line'!$V$2:$V$3001,'Per Line'!$D$2:$D$3001,$B373,'Per Line'!$AM$2:$AM$3001,1,'Per Line'!$AN$2:$AN$3001,0))</f>
        <v/>
      </c>
      <c r="S373" s="7">
        <f>IF($X373="","",R373*Q373)</f>
        <v/>
      </c>
      <c r="T373" s="7">
        <f>IF($X373="","",S373+P373)</f>
        <v/>
      </c>
      <c r="U373" s="7">
        <f>IF($X373="","",V373-T373)</f>
        <v/>
      </c>
      <c r="V373" s="7">
        <f>IF($X373="","",O373+R373+M373)</f>
        <v/>
      </c>
      <c r="W373" s="7">
        <f>IF($X373="","",V373-T373-I373)</f>
        <v/>
      </c>
      <c r="X373" s="13">
        <f>IF(ROWS($X$2:$X373)&lt;=MAX('Per Line'!$AL$2:$AL$3001),MATCH(ROWS($X$2:$X373),'Per Line'!$AL$2:$AL$3001,0),"")</f>
        <v/>
      </c>
    </row>
    <row r="374">
      <c r="A374" s="12" t="n"/>
      <c r="B374">
        <f>IF($X374="","",INDEX('Per Line'!$D$2:$D$3001,$X374)&amp;"")</f>
        <v/>
      </c>
      <c r="C374" s="11">
        <f>IF($X374="","",INDEX('Per Line'!$F$2:$F$3001,$X374))</f>
        <v/>
      </c>
      <c r="D374">
        <f>IF($X374="","",INDEX('Per Line'!$G$2:$G$3001,$X374)&amp;"")</f>
        <v/>
      </c>
      <c r="E374">
        <f>IF($X374="","",INDEX('Per Line'!$I$2:$I$3001,$X374)&amp;"")</f>
        <v/>
      </c>
      <c r="F374">
        <f>IF($X374="","",INDEX('Per Line'!$J$2:$J$3001,$X374)&amp;"")</f>
        <v/>
      </c>
      <c r="G374">
        <f>IF($X374="","",INDEX('Per Line'!$K$2:$K$3001,$X374)&amp;"")</f>
        <v/>
      </c>
      <c r="H374">
        <f>IF($X374="","",INDEX('Per Line'!$M$2:$M$3001,$X374))</f>
        <v/>
      </c>
      <c r="I374" s="7">
        <f>IF($X374="","",H374*V374/100)</f>
        <v/>
      </c>
      <c r="J374">
        <f>IF($X374="","",INDEX('Per Line'!$W$2:$W$3001,$X374)&amp;"")</f>
        <v/>
      </c>
      <c r="K374">
        <f>IF($X374="","",INDEX('Per Line'!$AD$2:$AD$3001,$X374))</f>
        <v/>
      </c>
      <c r="L374">
        <f>IF($X374="","",IF(AND(ISNUMBER(K374),K374&gt;0),V374&gt;K374,FALSE))</f>
        <v/>
      </c>
      <c r="M374" s="7">
        <f>IF($X374="","",SUMIFS('Per Line'!$V$2:$V$3001,'Per Line'!$D$2:$D$3001,$B374,'Per Line'!$AN$2:$AN$3001,1))</f>
        <v/>
      </c>
      <c r="N374">
        <f>IF($X374="","",Settings!$C$7)</f>
        <v/>
      </c>
      <c r="O374" s="7">
        <f>IF($X374="","",SUMIFS('Per Line'!$V$2:$V$3001,'Per Line'!$D$2:$D$3001,$B374,'Per Line'!$AM$2:$AM$3001,0,'Per Line'!$AN$2:$AN$3001,0))</f>
        <v/>
      </c>
      <c r="P374" s="7">
        <f>IF($X374="","",O374*N374)</f>
        <v/>
      </c>
      <c r="Q374">
        <f>IF($X374="","",Settings!$C$6)</f>
        <v/>
      </c>
      <c r="R374" s="7">
        <f>IF($X374="","",SUMIFS('Per Line'!$V$2:$V$3001,'Per Line'!$D$2:$D$3001,$B374,'Per Line'!$AM$2:$AM$3001,1,'Per Line'!$AN$2:$AN$3001,0))</f>
        <v/>
      </c>
      <c r="S374" s="7">
        <f>IF($X374="","",R374*Q374)</f>
        <v/>
      </c>
      <c r="T374" s="7">
        <f>IF($X374="","",S374+P374)</f>
        <v/>
      </c>
      <c r="U374" s="7">
        <f>IF($X374="","",V374-T374)</f>
        <v/>
      </c>
      <c r="V374" s="7">
        <f>IF($X374="","",O374+R374+M374)</f>
        <v/>
      </c>
      <c r="W374" s="7">
        <f>IF($X374="","",V374-T374-I374)</f>
        <v/>
      </c>
      <c r="X374" s="13">
        <f>IF(ROWS($X$2:$X374)&lt;=MAX('Per Line'!$AL$2:$AL$3001),MATCH(ROWS($X$2:$X374),'Per Line'!$AL$2:$AL$3001,0),"")</f>
        <v/>
      </c>
    </row>
    <row r="375">
      <c r="A375" s="12" t="n"/>
      <c r="B375">
        <f>IF($X375="","",INDEX('Per Line'!$D$2:$D$3001,$X375)&amp;"")</f>
        <v/>
      </c>
      <c r="C375" s="11">
        <f>IF($X375="","",INDEX('Per Line'!$F$2:$F$3001,$X375))</f>
        <v/>
      </c>
      <c r="D375">
        <f>IF($X375="","",INDEX('Per Line'!$G$2:$G$3001,$X375)&amp;"")</f>
        <v/>
      </c>
      <c r="E375">
        <f>IF($X375="","",INDEX('Per Line'!$I$2:$I$3001,$X375)&amp;"")</f>
        <v/>
      </c>
      <c r="F375">
        <f>IF($X375="","",INDEX('Per Line'!$J$2:$J$3001,$X375)&amp;"")</f>
        <v/>
      </c>
      <c r="G375">
        <f>IF($X375="","",INDEX('Per Line'!$K$2:$K$3001,$X375)&amp;"")</f>
        <v/>
      </c>
      <c r="H375">
        <f>IF($X375="","",INDEX('Per Line'!$M$2:$M$3001,$X375))</f>
        <v/>
      </c>
      <c r="I375" s="7">
        <f>IF($X375="","",H375*V375/100)</f>
        <v/>
      </c>
      <c r="J375">
        <f>IF($X375="","",INDEX('Per Line'!$W$2:$W$3001,$X375)&amp;"")</f>
        <v/>
      </c>
      <c r="K375">
        <f>IF($X375="","",INDEX('Per Line'!$AD$2:$AD$3001,$X375))</f>
        <v/>
      </c>
      <c r="L375">
        <f>IF($X375="","",IF(AND(ISNUMBER(K375),K375&gt;0),V375&gt;K375,FALSE))</f>
        <v/>
      </c>
      <c r="M375" s="7">
        <f>IF($X375="","",SUMIFS('Per Line'!$V$2:$V$3001,'Per Line'!$D$2:$D$3001,$B375,'Per Line'!$AN$2:$AN$3001,1))</f>
        <v/>
      </c>
      <c r="N375">
        <f>IF($X375="","",Settings!$C$7)</f>
        <v/>
      </c>
      <c r="O375" s="7">
        <f>IF($X375="","",SUMIFS('Per Line'!$V$2:$V$3001,'Per Line'!$D$2:$D$3001,$B375,'Per Line'!$AM$2:$AM$3001,0,'Per Line'!$AN$2:$AN$3001,0))</f>
        <v/>
      </c>
      <c r="P375" s="7">
        <f>IF($X375="","",O375*N375)</f>
        <v/>
      </c>
      <c r="Q375">
        <f>IF($X375="","",Settings!$C$6)</f>
        <v/>
      </c>
      <c r="R375" s="7">
        <f>IF($X375="","",SUMIFS('Per Line'!$V$2:$V$3001,'Per Line'!$D$2:$D$3001,$B375,'Per Line'!$AM$2:$AM$3001,1,'Per Line'!$AN$2:$AN$3001,0))</f>
        <v/>
      </c>
      <c r="S375" s="7">
        <f>IF($X375="","",R375*Q375)</f>
        <v/>
      </c>
      <c r="T375" s="7">
        <f>IF($X375="","",S375+P375)</f>
        <v/>
      </c>
      <c r="U375" s="7">
        <f>IF($X375="","",V375-T375)</f>
        <v/>
      </c>
      <c r="V375" s="7">
        <f>IF($X375="","",O375+R375+M375)</f>
        <v/>
      </c>
      <c r="W375" s="7">
        <f>IF($X375="","",V375-T375-I375)</f>
        <v/>
      </c>
      <c r="X375" s="13">
        <f>IF(ROWS($X$2:$X375)&lt;=MAX('Per Line'!$AL$2:$AL$3001),MATCH(ROWS($X$2:$X375),'Per Line'!$AL$2:$AL$3001,0),"")</f>
        <v/>
      </c>
    </row>
    <row r="376">
      <c r="A376" s="12" t="n"/>
      <c r="B376">
        <f>IF($X376="","",INDEX('Per Line'!$D$2:$D$3001,$X376)&amp;"")</f>
        <v/>
      </c>
      <c r="C376" s="11">
        <f>IF($X376="","",INDEX('Per Line'!$F$2:$F$3001,$X376))</f>
        <v/>
      </c>
      <c r="D376">
        <f>IF($X376="","",INDEX('Per Line'!$G$2:$G$3001,$X376)&amp;"")</f>
        <v/>
      </c>
      <c r="E376">
        <f>IF($X376="","",INDEX('Per Line'!$I$2:$I$3001,$X376)&amp;"")</f>
        <v/>
      </c>
      <c r="F376">
        <f>IF($X376="","",INDEX('Per Line'!$J$2:$J$3001,$X376)&amp;"")</f>
        <v/>
      </c>
      <c r="G376">
        <f>IF($X376="","",INDEX('Per Line'!$K$2:$K$3001,$X376)&amp;"")</f>
        <v/>
      </c>
      <c r="H376">
        <f>IF($X376="","",INDEX('Per Line'!$M$2:$M$3001,$X376))</f>
        <v/>
      </c>
      <c r="I376" s="7">
        <f>IF($X376="","",H376*V376/100)</f>
        <v/>
      </c>
      <c r="J376">
        <f>IF($X376="","",INDEX('Per Line'!$W$2:$W$3001,$X376)&amp;"")</f>
        <v/>
      </c>
      <c r="K376">
        <f>IF($X376="","",INDEX('Per Line'!$AD$2:$AD$3001,$X376))</f>
        <v/>
      </c>
      <c r="L376">
        <f>IF($X376="","",IF(AND(ISNUMBER(K376),K376&gt;0),V376&gt;K376,FALSE))</f>
        <v/>
      </c>
      <c r="M376" s="7">
        <f>IF($X376="","",SUMIFS('Per Line'!$V$2:$V$3001,'Per Line'!$D$2:$D$3001,$B376,'Per Line'!$AN$2:$AN$3001,1))</f>
        <v/>
      </c>
      <c r="N376">
        <f>IF($X376="","",Settings!$C$7)</f>
        <v/>
      </c>
      <c r="O376" s="7">
        <f>IF($X376="","",SUMIFS('Per Line'!$V$2:$V$3001,'Per Line'!$D$2:$D$3001,$B376,'Per Line'!$AM$2:$AM$3001,0,'Per Line'!$AN$2:$AN$3001,0))</f>
        <v/>
      </c>
      <c r="P376" s="7">
        <f>IF($X376="","",O376*N376)</f>
        <v/>
      </c>
      <c r="Q376">
        <f>IF($X376="","",Settings!$C$6)</f>
        <v/>
      </c>
      <c r="R376" s="7">
        <f>IF($X376="","",SUMIFS('Per Line'!$V$2:$V$3001,'Per Line'!$D$2:$D$3001,$B376,'Per Line'!$AM$2:$AM$3001,1,'Per Line'!$AN$2:$AN$3001,0))</f>
        <v/>
      </c>
      <c r="S376" s="7">
        <f>IF($X376="","",R376*Q376)</f>
        <v/>
      </c>
      <c r="T376" s="7">
        <f>IF($X376="","",S376+P376)</f>
        <v/>
      </c>
      <c r="U376" s="7">
        <f>IF($X376="","",V376-T376)</f>
        <v/>
      </c>
      <c r="V376" s="7">
        <f>IF($X376="","",O376+R376+M376)</f>
        <v/>
      </c>
      <c r="W376" s="7">
        <f>IF($X376="","",V376-T376-I376)</f>
        <v/>
      </c>
      <c r="X376" s="13">
        <f>IF(ROWS($X$2:$X376)&lt;=MAX('Per Line'!$AL$2:$AL$3001),MATCH(ROWS($X$2:$X376),'Per Line'!$AL$2:$AL$3001,0),"")</f>
        <v/>
      </c>
    </row>
    <row r="377">
      <c r="A377" s="12" t="n"/>
      <c r="B377">
        <f>IF($X377="","",INDEX('Per Line'!$D$2:$D$3001,$X377)&amp;"")</f>
        <v/>
      </c>
      <c r="C377" s="11">
        <f>IF($X377="","",INDEX('Per Line'!$F$2:$F$3001,$X377))</f>
        <v/>
      </c>
      <c r="D377">
        <f>IF($X377="","",INDEX('Per Line'!$G$2:$G$3001,$X377)&amp;"")</f>
        <v/>
      </c>
      <c r="E377">
        <f>IF($X377="","",INDEX('Per Line'!$I$2:$I$3001,$X377)&amp;"")</f>
        <v/>
      </c>
      <c r="F377">
        <f>IF($X377="","",INDEX('Per Line'!$J$2:$J$3001,$X377)&amp;"")</f>
        <v/>
      </c>
      <c r="G377">
        <f>IF($X377="","",INDEX('Per Line'!$K$2:$K$3001,$X377)&amp;"")</f>
        <v/>
      </c>
      <c r="H377">
        <f>IF($X377="","",INDEX('Per Line'!$M$2:$M$3001,$X377))</f>
        <v/>
      </c>
      <c r="I377" s="7">
        <f>IF($X377="","",H377*V377/100)</f>
        <v/>
      </c>
      <c r="J377">
        <f>IF($X377="","",INDEX('Per Line'!$W$2:$W$3001,$X377)&amp;"")</f>
        <v/>
      </c>
      <c r="K377">
        <f>IF($X377="","",INDEX('Per Line'!$AD$2:$AD$3001,$X377))</f>
        <v/>
      </c>
      <c r="L377">
        <f>IF($X377="","",IF(AND(ISNUMBER(K377),K377&gt;0),V377&gt;K377,FALSE))</f>
        <v/>
      </c>
      <c r="M377" s="7">
        <f>IF($X377="","",SUMIFS('Per Line'!$V$2:$V$3001,'Per Line'!$D$2:$D$3001,$B377,'Per Line'!$AN$2:$AN$3001,1))</f>
        <v/>
      </c>
      <c r="N377">
        <f>IF($X377="","",Settings!$C$7)</f>
        <v/>
      </c>
      <c r="O377" s="7">
        <f>IF($X377="","",SUMIFS('Per Line'!$V$2:$V$3001,'Per Line'!$D$2:$D$3001,$B377,'Per Line'!$AM$2:$AM$3001,0,'Per Line'!$AN$2:$AN$3001,0))</f>
        <v/>
      </c>
      <c r="P377" s="7">
        <f>IF($X377="","",O377*N377)</f>
        <v/>
      </c>
      <c r="Q377">
        <f>IF($X377="","",Settings!$C$6)</f>
        <v/>
      </c>
      <c r="R377" s="7">
        <f>IF($X377="","",SUMIFS('Per Line'!$V$2:$V$3001,'Per Line'!$D$2:$D$3001,$B377,'Per Line'!$AM$2:$AM$3001,1,'Per Line'!$AN$2:$AN$3001,0))</f>
        <v/>
      </c>
      <c r="S377" s="7">
        <f>IF($X377="","",R377*Q377)</f>
        <v/>
      </c>
      <c r="T377" s="7">
        <f>IF($X377="","",S377+P377)</f>
        <v/>
      </c>
      <c r="U377" s="7">
        <f>IF($X377="","",V377-T377)</f>
        <v/>
      </c>
      <c r="V377" s="7">
        <f>IF($X377="","",O377+R377+M377)</f>
        <v/>
      </c>
      <c r="W377" s="7">
        <f>IF($X377="","",V377-T377-I377)</f>
        <v/>
      </c>
      <c r="X377" s="13">
        <f>IF(ROWS($X$2:$X377)&lt;=MAX('Per Line'!$AL$2:$AL$3001),MATCH(ROWS($X$2:$X377),'Per Line'!$AL$2:$AL$3001,0),"")</f>
        <v/>
      </c>
    </row>
    <row r="378">
      <c r="A378" s="12" t="n"/>
      <c r="B378">
        <f>IF($X378="","",INDEX('Per Line'!$D$2:$D$3001,$X378)&amp;"")</f>
        <v/>
      </c>
      <c r="C378" s="11">
        <f>IF($X378="","",INDEX('Per Line'!$F$2:$F$3001,$X378))</f>
        <v/>
      </c>
      <c r="D378">
        <f>IF($X378="","",INDEX('Per Line'!$G$2:$G$3001,$X378)&amp;"")</f>
        <v/>
      </c>
      <c r="E378">
        <f>IF($X378="","",INDEX('Per Line'!$I$2:$I$3001,$X378)&amp;"")</f>
        <v/>
      </c>
      <c r="F378">
        <f>IF($X378="","",INDEX('Per Line'!$J$2:$J$3001,$X378)&amp;"")</f>
        <v/>
      </c>
      <c r="G378">
        <f>IF($X378="","",INDEX('Per Line'!$K$2:$K$3001,$X378)&amp;"")</f>
        <v/>
      </c>
      <c r="H378">
        <f>IF($X378="","",INDEX('Per Line'!$M$2:$M$3001,$X378))</f>
        <v/>
      </c>
      <c r="I378" s="7">
        <f>IF($X378="","",H378*V378/100)</f>
        <v/>
      </c>
      <c r="J378">
        <f>IF($X378="","",INDEX('Per Line'!$W$2:$W$3001,$X378)&amp;"")</f>
        <v/>
      </c>
      <c r="K378">
        <f>IF($X378="","",INDEX('Per Line'!$AD$2:$AD$3001,$X378))</f>
        <v/>
      </c>
      <c r="L378">
        <f>IF($X378="","",IF(AND(ISNUMBER(K378),K378&gt;0),V378&gt;K378,FALSE))</f>
        <v/>
      </c>
      <c r="M378" s="7">
        <f>IF($X378="","",SUMIFS('Per Line'!$V$2:$V$3001,'Per Line'!$D$2:$D$3001,$B378,'Per Line'!$AN$2:$AN$3001,1))</f>
        <v/>
      </c>
      <c r="N378">
        <f>IF($X378="","",Settings!$C$7)</f>
        <v/>
      </c>
      <c r="O378" s="7">
        <f>IF($X378="","",SUMIFS('Per Line'!$V$2:$V$3001,'Per Line'!$D$2:$D$3001,$B378,'Per Line'!$AM$2:$AM$3001,0,'Per Line'!$AN$2:$AN$3001,0))</f>
        <v/>
      </c>
      <c r="P378" s="7">
        <f>IF($X378="","",O378*N378)</f>
        <v/>
      </c>
      <c r="Q378">
        <f>IF($X378="","",Settings!$C$6)</f>
        <v/>
      </c>
      <c r="R378" s="7">
        <f>IF($X378="","",SUMIFS('Per Line'!$V$2:$V$3001,'Per Line'!$D$2:$D$3001,$B378,'Per Line'!$AM$2:$AM$3001,1,'Per Line'!$AN$2:$AN$3001,0))</f>
        <v/>
      </c>
      <c r="S378" s="7">
        <f>IF($X378="","",R378*Q378)</f>
        <v/>
      </c>
      <c r="T378" s="7">
        <f>IF($X378="","",S378+P378)</f>
        <v/>
      </c>
      <c r="U378" s="7">
        <f>IF($X378="","",V378-T378)</f>
        <v/>
      </c>
      <c r="V378" s="7">
        <f>IF($X378="","",O378+R378+M378)</f>
        <v/>
      </c>
      <c r="W378" s="7">
        <f>IF($X378="","",V378-T378-I378)</f>
        <v/>
      </c>
      <c r="X378" s="13">
        <f>IF(ROWS($X$2:$X378)&lt;=MAX('Per Line'!$AL$2:$AL$3001),MATCH(ROWS($X$2:$X378),'Per Line'!$AL$2:$AL$3001,0),"")</f>
        <v/>
      </c>
    </row>
    <row r="379">
      <c r="A379" s="12" t="n"/>
      <c r="B379">
        <f>IF($X379="","",INDEX('Per Line'!$D$2:$D$3001,$X379)&amp;"")</f>
        <v/>
      </c>
      <c r="C379" s="11">
        <f>IF($X379="","",INDEX('Per Line'!$F$2:$F$3001,$X379))</f>
        <v/>
      </c>
      <c r="D379">
        <f>IF($X379="","",INDEX('Per Line'!$G$2:$G$3001,$X379)&amp;"")</f>
        <v/>
      </c>
      <c r="E379">
        <f>IF($X379="","",INDEX('Per Line'!$I$2:$I$3001,$X379)&amp;"")</f>
        <v/>
      </c>
      <c r="F379">
        <f>IF($X379="","",INDEX('Per Line'!$J$2:$J$3001,$X379)&amp;"")</f>
        <v/>
      </c>
      <c r="G379">
        <f>IF($X379="","",INDEX('Per Line'!$K$2:$K$3001,$X379)&amp;"")</f>
        <v/>
      </c>
      <c r="H379">
        <f>IF($X379="","",INDEX('Per Line'!$M$2:$M$3001,$X379))</f>
        <v/>
      </c>
      <c r="I379" s="7">
        <f>IF($X379="","",H379*V379/100)</f>
        <v/>
      </c>
      <c r="J379">
        <f>IF($X379="","",INDEX('Per Line'!$W$2:$W$3001,$X379)&amp;"")</f>
        <v/>
      </c>
      <c r="K379">
        <f>IF($X379="","",INDEX('Per Line'!$AD$2:$AD$3001,$X379))</f>
        <v/>
      </c>
      <c r="L379">
        <f>IF($X379="","",IF(AND(ISNUMBER(K379),K379&gt;0),V379&gt;K379,FALSE))</f>
        <v/>
      </c>
      <c r="M379" s="7">
        <f>IF($X379="","",SUMIFS('Per Line'!$V$2:$V$3001,'Per Line'!$D$2:$D$3001,$B379,'Per Line'!$AN$2:$AN$3001,1))</f>
        <v/>
      </c>
      <c r="N379">
        <f>IF($X379="","",Settings!$C$7)</f>
        <v/>
      </c>
      <c r="O379" s="7">
        <f>IF($X379="","",SUMIFS('Per Line'!$V$2:$V$3001,'Per Line'!$D$2:$D$3001,$B379,'Per Line'!$AM$2:$AM$3001,0,'Per Line'!$AN$2:$AN$3001,0))</f>
        <v/>
      </c>
      <c r="P379" s="7">
        <f>IF($X379="","",O379*N379)</f>
        <v/>
      </c>
      <c r="Q379">
        <f>IF($X379="","",Settings!$C$6)</f>
        <v/>
      </c>
      <c r="R379" s="7">
        <f>IF($X379="","",SUMIFS('Per Line'!$V$2:$V$3001,'Per Line'!$D$2:$D$3001,$B379,'Per Line'!$AM$2:$AM$3001,1,'Per Line'!$AN$2:$AN$3001,0))</f>
        <v/>
      </c>
      <c r="S379" s="7">
        <f>IF($X379="","",R379*Q379)</f>
        <v/>
      </c>
      <c r="T379" s="7">
        <f>IF($X379="","",S379+P379)</f>
        <v/>
      </c>
      <c r="U379" s="7">
        <f>IF($X379="","",V379-T379)</f>
        <v/>
      </c>
      <c r="V379" s="7">
        <f>IF($X379="","",O379+R379+M379)</f>
        <v/>
      </c>
      <c r="W379" s="7">
        <f>IF($X379="","",V379-T379-I379)</f>
        <v/>
      </c>
      <c r="X379" s="13">
        <f>IF(ROWS($X$2:$X379)&lt;=MAX('Per Line'!$AL$2:$AL$3001),MATCH(ROWS($X$2:$X379),'Per Line'!$AL$2:$AL$3001,0),"")</f>
        <v/>
      </c>
    </row>
    <row r="380">
      <c r="A380" s="12" t="n"/>
      <c r="B380">
        <f>IF($X380="","",INDEX('Per Line'!$D$2:$D$3001,$X380)&amp;"")</f>
        <v/>
      </c>
      <c r="C380" s="11">
        <f>IF($X380="","",INDEX('Per Line'!$F$2:$F$3001,$X380))</f>
        <v/>
      </c>
      <c r="D380">
        <f>IF($X380="","",INDEX('Per Line'!$G$2:$G$3001,$X380)&amp;"")</f>
        <v/>
      </c>
      <c r="E380">
        <f>IF($X380="","",INDEX('Per Line'!$I$2:$I$3001,$X380)&amp;"")</f>
        <v/>
      </c>
      <c r="F380">
        <f>IF($X380="","",INDEX('Per Line'!$J$2:$J$3001,$X380)&amp;"")</f>
        <v/>
      </c>
      <c r="G380">
        <f>IF($X380="","",INDEX('Per Line'!$K$2:$K$3001,$X380)&amp;"")</f>
        <v/>
      </c>
      <c r="H380">
        <f>IF($X380="","",INDEX('Per Line'!$M$2:$M$3001,$X380))</f>
        <v/>
      </c>
      <c r="I380" s="7">
        <f>IF($X380="","",H380*V380/100)</f>
        <v/>
      </c>
      <c r="J380">
        <f>IF($X380="","",INDEX('Per Line'!$W$2:$W$3001,$X380)&amp;"")</f>
        <v/>
      </c>
      <c r="K380">
        <f>IF($X380="","",INDEX('Per Line'!$AD$2:$AD$3001,$X380))</f>
        <v/>
      </c>
      <c r="L380">
        <f>IF($X380="","",IF(AND(ISNUMBER(K380),K380&gt;0),V380&gt;K380,FALSE))</f>
        <v/>
      </c>
      <c r="M380" s="7">
        <f>IF($X380="","",SUMIFS('Per Line'!$V$2:$V$3001,'Per Line'!$D$2:$D$3001,$B380,'Per Line'!$AN$2:$AN$3001,1))</f>
        <v/>
      </c>
      <c r="N380">
        <f>IF($X380="","",Settings!$C$7)</f>
        <v/>
      </c>
      <c r="O380" s="7">
        <f>IF($X380="","",SUMIFS('Per Line'!$V$2:$V$3001,'Per Line'!$D$2:$D$3001,$B380,'Per Line'!$AM$2:$AM$3001,0,'Per Line'!$AN$2:$AN$3001,0))</f>
        <v/>
      </c>
      <c r="P380" s="7">
        <f>IF($X380="","",O380*N380)</f>
        <v/>
      </c>
      <c r="Q380">
        <f>IF($X380="","",Settings!$C$6)</f>
        <v/>
      </c>
      <c r="R380" s="7">
        <f>IF($X380="","",SUMIFS('Per Line'!$V$2:$V$3001,'Per Line'!$D$2:$D$3001,$B380,'Per Line'!$AM$2:$AM$3001,1,'Per Line'!$AN$2:$AN$3001,0))</f>
        <v/>
      </c>
      <c r="S380" s="7">
        <f>IF($X380="","",R380*Q380)</f>
        <v/>
      </c>
      <c r="T380" s="7">
        <f>IF($X380="","",S380+P380)</f>
        <v/>
      </c>
      <c r="U380" s="7">
        <f>IF($X380="","",V380-T380)</f>
        <v/>
      </c>
      <c r="V380" s="7">
        <f>IF($X380="","",O380+R380+M380)</f>
        <v/>
      </c>
      <c r="W380" s="7">
        <f>IF($X380="","",V380-T380-I380)</f>
        <v/>
      </c>
      <c r="X380" s="13">
        <f>IF(ROWS($X$2:$X380)&lt;=MAX('Per Line'!$AL$2:$AL$3001),MATCH(ROWS($X$2:$X380),'Per Line'!$AL$2:$AL$3001,0),"")</f>
        <v/>
      </c>
    </row>
    <row r="381">
      <c r="A381" s="12" t="n"/>
      <c r="B381">
        <f>IF($X381="","",INDEX('Per Line'!$D$2:$D$3001,$X381)&amp;"")</f>
        <v/>
      </c>
      <c r="C381" s="11">
        <f>IF($X381="","",INDEX('Per Line'!$F$2:$F$3001,$X381))</f>
        <v/>
      </c>
      <c r="D381">
        <f>IF($X381="","",INDEX('Per Line'!$G$2:$G$3001,$X381)&amp;"")</f>
        <v/>
      </c>
      <c r="E381">
        <f>IF($X381="","",INDEX('Per Line'!$I$2:$I$3001,$X381)&amp;"")</f>
        <v/>
      </c>
      <c r="F381">
        <f>IF($X381="","",INDEX('Per Line'!$J$2:$J$3001,$X381)&amp;"")</f>
        <v/>
      </c>
      <c r="G381">
        <f>IF($X381="","",INDEX('Per Line'!$K$2:$K$3001,$X381)&amp;"")</f>
        <v/>
      </c>
      <c r="H381">
        <f>IF($X381="","",INDEX('Per Line'!$M$2:$M$3001,$X381))</f>
        <v/>
      </c>
      <c r="I381" s="7">
        <f>IF($X381="","",H381*V381/100)</f>
        <v/>
      </c>
      <c r="J381">
        <f>IF($X381="","",INDEX('Per Line'!$W$2:$W$3001,$X381)&amp;"")</f>
        <v/>
      </c>
      <c r="K381">
        <f>IF($X381="","",INDEX('Per Line'!$AD$2:$AD$3001,$X381))</f>
        <v/>
      </c>
      <c r="L381">
        <f>IF($X381="","",IF(AND(ISNUMBER(K381),K381&gt;0),V381&gt;K381,FALSE))</f>
        <v/>
      </c>
      <c r="M381" s="7">
        <f>IF($X381="","",SUMIFS('Per Line'!$V$2:$V$3001,'Per Line'!$D$2:$D$3001,$B381,'Per Line'!$AN$2:$AN$3001,1))</f>
        <v/>
      </c>
      <c r="N381">
        <f>IF($X381="","",Settings!$C$7)</f>
        <v/>
      </c>
      <c r="O381" s="7">
        <f>IF($X381="","",SUMIFS('Per Line'!$V$2:$V$3001,'Per Line'!$D$2:$D$3001,$B381,'Per Line'!$AM$2:$AM$3001,0,'Per Line'!$AN$2:$AN$3001,0))</f>
        <v/>
      </c>
      <c r="P381" s="7">
        <f>IF($X381="","",O381*N381)</f>
        <v/>
      </c>
      <c r="Q381">
        <f>IF($X381="","",Settings!$C$6)</f>
        <v/>
      </c>
      <c r="R381" s="7">
        <f>IF($X381="","",SUMIFS('Per Line'!$V$2:$V$3001,'Per Line'!$D$2:$D$3001,$B381,'Per Line'!$AM$2:$AM$3001,1,'Per Line'!$AN$2:$AN$3001,0))</f>
        <v/>
      </c>
      <c r="S381" s="7">
        <f>IF($X381="","",R381*Q381)</f>
        <v/>
      </c>
      <c r="T381" s="7">
        <f>IF($X381="","",S381+P381)</f>
        <v/>
      </c>
      <c r="U381" s="7">
        <f>IF($X381="","",V381-T381)</f>
        <v/>
      </c>
      <c r="V381" s="7">
        <f>IF($X381="","",O381+R381+M381)</f>
        <v/>
      </c>
      <c r="W381" s="7">
        <f>IF($X381="","",V381-T381-I381)</f>
        <v/>
      </c>
      <c r="X381" s="13">
        <f>IF(ROWS($X$2:$X381)&lt;=MAX('Per Line'!$AL$2:$AL$3001),MATCH(ROWS($X$2:$X381),'Per Line'!$AL$2:$AL$3001,0),"")</f>
        <v/>
      </c>
    </row>
    <row r="382">
      <c r="A382" s="12" t="n"/>
      <c r="B382">
        <f>IF($X382="","",INDEX('Per Line'!$D$2:$D$3001,$X382)&amp;"")</f>
        <v/>
      </c>
      <c r="C382" s="11">
        <f>IF($X382="","",INDEX('Per Line'!$F$2:$F$3001,$X382))</f>
        <v/>
      </c>
      <c r="D382">
        <f>IF($X382="","",INDEX('Per Line'!$G$2:$G$3001,$X382)&amp;"")</f>
        <v/>
      </c>
      <c r="E382">
        <f>IF($X382="","",INDEX('Per Line'!$I$2:$I$3001,$X382)&amp;"")</f>
        <v/>
      </c>
      <c r="F382">
        <f>IF($X382="","",INDEX('Per Line'!$J$2:$J$3001,$X382)&amp;"")</f>
        <v/>
      </c>
      <c r="G382">
        <f>IF($X382="","",INDEX('Per Line'!$K$2:$K$3001,$X382)&amp;"")</f>
        <v/>
      </c>
      <c r="H382">
        <f>IF($X382="","",INDEX('Per Line'!$M$2:$M$3001,$X382))</f>
        <v/>
      </c>
      <c r="I382" s="7">
        <f>IF($X382="","",H382*V382/100)</f>
        <v/>
      </c>
      <c r="J382">
        <f>IF($X382="","",INDEX('Per Line'!$W$2:$W$3001,$X382)&amp;"")</f>
        <v/>
      </c>
      <c r="K382">
        <f>IF($X382="","",INDEX('Per Line'!$AD$2:$AD$3001,$X382))</f>
        <v/>
      </c>
      <c r="L382">
        <f>IF($X382="","",IF(AND(ISNUMBER(K382),K382&gt;0),V382&gt;K382,FALSE))</f>
        <v/>
      </c>
      <c r="M382" s="7">
        <f>IF($X382="","",SUMIFS('Per Line'!$V$2:$V$3001,'Per Line'!$D$2:$D$3001,$B382,'Per Line'!$AN$2:$AN$3001,1))</f>
        <v/>
      </c>
      <c r="N382">
        <f>IF($X382="","",Settings!$C$7)</f>
        <v/>
      </c>
      <c r="O382" s="7">
        <f>IF($X382="","",SUMIFS('Per Line'!$V$2:$V$3001,'Per Line'!$D$2:$D$3001,$B382,'Per Line'!$AM$2:$AM$3001,0,'Per Line'!$AN$2:$AN$3001,0))</f>
        <v/>
      </c>
      <c r="P382" s="7">
        <f>IF($X382="","",O382*N382)</f>
        <v/>
      </c>
      <c r="Q382">
        <f>IF($X382="","",Settings!$C$6)</f>
        <v/>
      </c>
      <c r="R382" s="7">
        <f>IF($X382="","",SUMIFS('Per Line'!$V$2:$V$3001,'Per Line'!$D$2:$D$3001,$B382,'Per Line'!$AM$2:$AM$3001,1,'Per Line'!$AN$2:$AN$3001,0))</f>
        <v/>
      </c>
      <c r="S382" s="7">
        <f>IF($X382="","",R382*Q382)</f>
        <v/>
      </c>
      <c r="T382" s="7">
        <f>IF($X382="","",S382+P382)</f>
        <v/>
      </c>
      <c r="U382" s="7">
        <f>IF($X382="","",V382-T382)</f>
        <v/>
      </c>
      <c r="V382" s="7">
        <f>IF($X382="","",O382+R382+M382)</f>
        <v/>
      </c>
      <c r="W382" s="7">
        <f>IF($X382="","",V382-T382-I382)</f>
        <v/>
      </c>
      <c r="X382" s="13">
        <f>IF(ROWS($X$2:$X382)&lt;=MAX('Per Line'!$AL$2:$AL$3001),MATCH(ROWS($X$2:$X382),'Per Line'!$AL$2:$AL$3001,0),"")</f>
        <v/>
      </c>
    </row>
    <row r="383">
      <c r="A383" s="12" t="n"/>
      <c r="B383">
        <f>IF($X383="","",INDEX('Per Line'!$D$2:$D$3001,$X383)&amp;"")</f>
        <v/>
      </c>
      <c r="C383" s="11">
        <f>IF($X383="","",INDEX('Per Line'!$F$2:$F$3001,$X383))</f>
        <v/>
      </c>
      <c r="D383">
        <f>IF($X383="","",INDEX('Per Line'!$G$2:$G$3001,$X383)&amp;"")</f>
        <v/>
      </c>
      <c r="E383">
        <f>IF($X383="","",INDEX('Per Line'!$I$2:$I$3001,$X383)&amp;"")</f>
        <v/>
      </c>
      <c r="F383">
        <f>IF($X383="","",INDEX('Per Line'!$J$2:$J$3001,$X383)&amp;"")</f>
        <v/>
      </c>
      <c r="G383">
        <f>IF($X383="","",INDEX('Per Line'!$K$2:$K$3001,$X383)&amp;"")</f>
        <v/>
      </c>
      <c r="H383">
        <f>IF($X383="","",INDEX('Per Line'!$M$2:$M$3001,$X383))</f>
        <v/>
      </c>
      <c r="I383" s="7">
        <f>IF($X383="","",H383*V383/100)</f>
        <v/>
      </c>
      <c r="J383">
        <f>IF($X383="","",INDEX('Per Line'!$W$2:$W$3001,$X383)&amp;"")</f>
        <v/>
      </c>
      <c r="K383">
        <f>IF($X383="","",INDEX('Per Line'!$AD$2:$AD$3001,$X383))</f>
        <v/>
      </c>
      <c r="L383">
        <f>IF($X383="","",IF(AND(ISNUMBER(K383),K383&gt;0),V383&gt;K383,FALSE))</f>
        <v/>
      </c>
      <c r="M383" s="7">
        <f>IF($X383="","",SUMIFS('Per Line'!$V$2:$V$3001,'Per Line'!$D$2:$D$3001,$B383,'Per Line'!$AN$2:$AN$3001,1))</f>
        <v/>
      </c>
      <c r="N383">
        <f>IF($X383="","",Settings!$C$7)</f>
        <v/>
      </c>
      <c r="O383" s="7">
        <f>IF($X383="","",SUMIFS('Per Line'!$V$2:$V$3001,'Per Line'!$D$2:$D$3001,$B383,'Per Line'!$AM$2:$AM$3001,0,'Per Line'!$AN$2:$AN$3001,0))</f>
        <v/>
      </c>
      <c r="P383" s="7">
        <f>IF($X383="","",O383*N383)</f>
        <v/>
      </c>
      <c r="Q383">
        <f>IF($X383="","",Settings!$C$6)</f>
        <v/>
      </c>
      <c r="R383" s="7">
        <f>IF($X383="","",SUMIFS('Per Line'!$V$2:$V$3001,'Per Line'!$D$2:$D$3001,$B383,'Per Line'!$AM$2:$AM$3001,1,'Per Line'!$AN$2:$AN$3001,0))</f>
        <v/>
      </c>
      <c r="S383" s="7">
        <f>IF($X383="","",R383*Q383)</f>
        <v/>
      </c>
      <c r="T383" s="7">
        <f>IF($X383="","",S383+P383)</f>
        <v/>
      </c>
      <c r="U383" s="7">
        <f>IF($X383="","",V383-T383)</f>
        <v/>
      </c>
      <c r="V383" s="7">
        <f>IF($X383="","",O383+R383+M383)</f>
        <v/>
      </c>
      <c r="W383" s="7">
        <f>IF($X383="","",V383-T383-I383)</f>
        <v/>
      </c>
      <c r="X383" s="13">
        <f>IF(ROWS($X$2:$X383)&lt;=MAX('Per Line'!$AL$2:$AL$3001),MATCH(ROWS($X$2:$X383),'Per Line'!$AL$2:$AL$3001,0),"")</f>
        <v/>
      </c>
    </row>
    <row r="384">
      <c r="A384" s="12" t="n"/>
      <c r="B384">
        <f>IF($X384="","",INDEX('Per Line'!$D$2:$D$3001,$X384)&amp;"")</f>
        <v/>
      </c>
      <c r="C384" s="11">
        <f>IF($X384="","",INDEX('Per Line'!$F$2:$F$3001,$X384))</f>
        <v/>
      </c>
      <c r="D384">
        <f>IF($X384="","",INDEX('Per Line'!$G$2:$G$3001,$X384)&amp;"")</f>
        <v/>
      </c>
      <c r="E384">
        <f>IF($X384="","",INDEX('Per Line'!$I$2:$I$3001,$X384)&amp;"")</f>
        <v/>
      </c>
      <c r="F384">
        <f>IF($X384="","",INDEX('Per Line'!$J$2:$J$3001,$X384)&amp;"")</f>
        <v/>
      </c>
      <c r="G384">
        <f>IF($X384="","",INDEX('Per Line'!$K$2:$K$3001,$X384)&amp;"")</f>
        <v/>
      </c>
      <c r="H384">
        <f>IF($X384="","",INDEX('Per Line'!$M$2:$M$3001,$X384))</f>
        <v/>
      </c>
      <c r="I384" s="7">
        <f>IF($X384="","",H384*V384/100)</f>
        <v/>
      </c>
      <c r="J384">
        <f>IF($X384="","",INDEX('Per Line'!$W$2:$W$3001,$X384)&amp;"")</f>
        <v/>
      </c>
      <c r="K384">
        <f>IF($X384="","",INDEX('Per Line'!$AD$2:$AD$3001,$X384))</f>
        <v/>
      </c>
      <c r="L384">
        <f>IF($X384="","",IF(AND(ISNUMBER(K384),K384&gt;0),V384&gt;K384,FALSE))</f>
        <v/>
      </c>
      <c r="M384" s="7">
        <f>IF($X384="","",SUMIFS('Per Line'!$V$2:$V$3001,'Per Line'!$D$2:$D$3001,$B384,'Per Line'!$AN$2:$AN$3001,1))</f>
        <v/>
      </c>
      <c r="N384">
        <f>IF($X384="","",Settings!$C$7)</f>
        <v/>
      </c>
      <c r="O384" s="7">
        <f>IF($X384="","",SUMIFS('Per Line'!$V$2:$V$3001,'Per Line'!$D$2:$D$3001,$B384,'Per Line'!$AM$2:$AM$3001,0,'Per Line'!$AN$2:$AN$3001,0))</f>
        <v/>
      </c>
      <c r="P384" s="7">
        <f>IF($X384="","",O384*N384)</f>
        <v/>
      </c>
      <c r="Q384">
        <f>IF($X384="","",Settings!$C$6)</f>
        <v/>
      </c>
      <c r="R384" s="7">
        <f>IF($X384="","",SUMIFS('Per Line'!$V$2:$V$3001,'Per Line'!$D$2:$D$3001,$B384,'Per Line'!$AM$2:$AM$3001,1,'Per Line'!$AN$2:$AN$3001,0))</f>
        <v/>
      </c>
      <c r="S384" s="7">
        <f>IF($X384="","",R384*Q384)</f>
        <v/>
      </c>
      <c r="T384" s="7">
        <f>IF($X384="","",S384+P384)</f>
        <v/>
      </c>
      <c r="U384" s="7">
        <f>IF($X384="","",V384-T384)</f>
        <v/>
      </c>
      <c r="V384" s="7">
        <f>IF($X384="","",O384+R384+M384)</f>
        <v/>
      </c>
      <c r="W384" s="7">
        <f>IF($X384="","",V384-T384-I384)</f>
        <v/>
      </c>
      <c r="X384" s="13">
        <f>IF(ROWS($X$2:$X384)&lt;=MAX('Per Line'!$AL$2:$AL$3001),MATCH(ROWS($X$2:$X384),'Per Line'!$AL$2:$AL$3001,0),"")</f>
        <v/>
      </c>
    </row>
    <row r="385">
      <c r="A385" s="12" t="n"/>
      <c r="B385">
        <f>IF($X385="","",INDEX('Per Line'!$D$2:$D$3001,$X385)&amp;"")</f>
        <v/>
      </c>
      <c r="C385" s="11">
        <f>IF($X385="","",INDEX('Per Line'!$F$2:$F$3001,$X385))</f>
        <v/>
      </c>
      <c r="D385">
        <f>IF($X385="","",INDEX('Per Line'!$G$2:$G$3001,$X385)&amp;"")</f>
        <v/>
      </c>
      <c r="E385">
        <f>IF($X385="","",INDEX('Per Line'!$I$2:$I$3001,$X385)&amp;"")</f>
        <v/>
      </c>
      <c r="F385">
        <f>IF($X385="","",INDEX('Per Line'!$J$2:$J$3001,$X385)&amp;"")</f>
        <v/>
      </c>
      <c r="G385">
        <f>IF($X385="","",INDEX('Per Line'!$K$2:$K$3001,$X385)&amp;"")</f>
        <v/>
      </c>
      <c r="H385">
        <f>IF($X385="","",INDEX('Per Line'!$M$2:$M$3001,$X385))</f>
        <v/>
      </c>
      <c r="I385" s="7">
        <f>IF($X385="","",H385*V385/100)</f>
        <v/>
      </c>
      <c r="J385">
        <f>IF($X385="","",INDEX('Per Line'!$W$2:$W$3001,$X385)&amp;"")</f>
        <v/>
      </c>
      <c r="K385">
        <f>IF($X385="","",INDEX('Per Line'!$AD$2:$AD$3001,$X385))</f>
        <v/>
      </c>
      <c r="L385">
        <f>IF($X385="","",IF(AND(ISNUMBER(K385),K385&gt;0),V385&gt;K385,FALSE))</f>
        <v/>
      </c>
      <c r="M385" s="7">
        <f>IF($X385="","",SUMIFS('Per Line'!$V$2:$V$3001,'Per Line'!$D$2:$D$3001,$B385,'Per Line'!$AN$2:$AN$3001,1))</f>
        <v/>
      </c>
      <c r="N385">
        <f>IF($X385="","",Settings!$C$7)</f>
        <v/>
      </c>
      <c r="O385" s="7">
        <f>IF($X385="","",SUMIFS('Per Line'!$V$2:$V$3001,'Per Line'!$D$2:$D$3001,$B385,'Per Line'!$AM$2:$AM$3001,0,'Per Line'!$AN$2:$AN$3001,0))</f>
        <v/>
      </c>
      <c r="P385" s="7">
        <f>IF($X385="","",O385*N385)</f>
        <v/>
      </c>
      <c r="Q385">
        <f>IF($X385="","",Settings!$C$6)</f>
        <v/>
      </c>
      <c r="R385" s="7">
        <f>IF($X385="","",SUMIFS('Per Line'!$V$2:$V$3001,'Per Line'!$D$2:$D$3001,$B385,'Per Line'!$AM$2:$AM$3001,1,'Per Line'!$AN$2:$AN$3001,0))</f>
        <v/>
      </c>
      <c r="S385" s="7">
        <f>IF($X385="","",R385*Q385)</f>
        <v/>
      </c>
      <c r="T385" s="7">
        <f>IF($X385="","",S385+P385)</f>
        <v/>
      </c>
      <c r="U385" s="7">
        <f>IF($X385="","",V385-T385)</f>
        <v/>
      </c>
      <c r="V385" s="7">
        <f>IF($X385="","",O385+R385+M385)</f>
        <v/>
      </c>
      <c r="W385" s="7">
        <f>IF($X385="","",V385-T385-I385)</f>
        <v/>
      </c>
      <c r="X385" s="13">
        <f>IF(ROWS($X$2:$X385)&lt;=MAX('Per Line'!$AL$2:$AL$3001),MATCH(ROWS($X$2:$X385),'Per Line'!$AL$2:$AL$3001,0),"")</f>
        <v/>
      </c>
    </row>
    <row r="386">
      <c r="A386" s="12" t="n"/>
      <c r="B386">
        <f>IF($X386="","",INDEX('Per Line'!$D$2:$D$3001,$X386)&amp;"")</f>
        <v/>
      </c>
      <c r="C386" s="11">
        <f>IF($X386="","",INDEX('Per Line'!$F$2:$F$3001,$X386))</f>
        <v/>
      </c>
      <c r="D386">
        <f>IF($X386="","",INDEX('Per Line'!$G$2:$G$3001,$X386)&amp;"")</f>
        <v/>
      </c>
      <c r="E386">
        <f>IF($X386="","",INDEX('Per Line'!$I$2:$I$3001,$X386)&amp;"")</f>
        <v/>
      </c>
      <c r="F386">
        <f>IF($X386="","",INDEX('Per Line'!$J$2:$J$3001,$X386)&amp;"")</f>
        <v/>
      </c>
      <c r="G386">
        <f>IF($X386="","",INDEX('Per Line'!$K$2:$K$3001,$X386)&amp;"")</f>
        <v/>
      </c>
      <c r="H386">
        <f>IF($X386="","",INDEX('Per Line'!$M$2:$M$3001,$X386))</f>
        <v/>
      </c>
      <c r="I386" s="7">
        <f>IF($X386="","",H386*V386/100)</f>
        <v/>
      </c>
      <c r="J386">
        <f>IF($X386="","",INDEX('Per Line'!$W$2:$W$3001,$X386)&amp;"")</f>
        <v/>
      </c>
      <c r="K386">
        <f>IF($X386="","",INDEX('Per Line'!$AD$2:$AD$3001,$X386))</f>
        <v/>
      </c>
      <c r="L386">
        <f>IF($X386="","",IF(AND(ISNUMBER(K386),K386&gt;0),V386&gt;K386,FALSE))</f>
        <v/>
      </c>
      <c r="M386" s="7">
        <f>IF($X386="","",SUMIFS('Per Line'!$V$2:$V$3001,'Per Line'!$D$2:$D$3001,$B386,'Per Line'!$AN$2:$AN$3001,1))</f>
        <v/>
      </c>
      <c r="N386">
        <f>IF($X386="","",Settings!$C$7)</f>
        <v/>
      </c>
      <c r="O386" s="7">
        <f>IF($X386="","",SUMIFS('Per Line'!$V$2:$V$3001,'Per Line'!$D$2:$D$3001,$B386,'Per Line'!$AM$2:$AM$3001,0,'Per Line'!$AN$2:$AN$3001,0))</f>
        <v/>
      </c>
      <c r="P386" s="7">
        <f>IF($X386="","",O386*N386)</f>
        <v/>
      </c>
      <c r="Q386">
        <f>IF($X386="","",Settings!$C$6)</f>
        <v/>
      </c>
      <c r="R386" s="7">
        <f>IF($X386="","",SUMIFS('Per Line'!$V$2:$V$3001,'Per Line'!$D$2:$D$3001,$B386,'Per Line'!$AM$2:$AM$3001,1,'Per Line'!$AN$2:$AN$3001,0))</f>
        <v/>
      </c>
      <c r="S386" s="7">
        <f>IF($X386="","",R386*Q386)</f>
        <v/>
      </c>
      <c r="T386" s="7">
        <f>IF($X386="","",S386+P386)</f>
        <v/>
      </c>
      <c r="U386" s="7">
        <f>IF($X386="","",V386-T386)</f>
        <v/>
      </c>
      <c r="V386" s="7">
        <f>IF($X386="","",O386+R386+M386)</f>
        <v/>
      </c>
      <c r="W386" s="7">
        <f>IF($X386="","",V386-T386-I386)</f>
        <v/>
      </c>
      <c r="X386" s="13">
        <f>IF(ROWS($X$2:$X386)&lt;=MAX('Per Line'!$AL$2:$AL$3001),MATCH(ROWS($X$2:$X386),'Per Line'!$AL$2:$AL$3001,0),"")</f>
        <v/>
      </c>
    </row>
    <row r="387">
      <c r="A387" s="12" t="n"/>
      <c r="B387">
        <f>IF($X387="","",INDEX('Per Line'!$D$2:$D$3001,$X387)&amp;"")</f>
        <v/>
      </c>
      <c r="C387" s="11">
        <f>IF($X387="","",INDEX('Per Line'!$F$2:$F$3001,$X387))</f>
        <v/>
      </c>
      <c r="D387">
        <f>IF($X387="","",INDEX('Per Line'!$G$2:$G$3001,$X387)&amp;"")</f>
        <v/>
      </c>
      <c r="E387">
        <f>IF($X387="","",INDEX('Per Line'!$I$2:$I$3001,$X387)&amp;"")</f>
        <v/>
      </c>
      <c r="F387">
        <f>IF($X387="","",INDEX('Per Line'!$J$2:$J$3001,$X387)&amp;"")</f>
        <v/>
      </c>
      <c r="G387">
        <f>IF($X387="","",INDEX('Per Line'!$K$2:$K$3001,$X387)&amp;"")</f>
        <v/>
      </c>
      <c r="H387">
        <f>IF($X387="","",INDEX('Per Line'!$M$2:$M$3001,$X387))</f>
        <v/>
      </c>
      <c r="I387" s="7">
        <f>IF($X387="","",H387*V387/100)</f>
        <v/>
      </c>
      <c r="J387">
        <f>IF($X387="","",INDEX('Per Line'!$W$2:$W$3001,$X387)&amp;"")</f>
        <v/>
      </c>
      <c r="K387">
        <f>IF($X387="","",INDEX('Per Line'!$AD$2:$AD$3001,$X387))</f>
        <v/>
      </c>
      <c r="L387">
        <f>IF($X387="","",IF(AND(ISNUMBER(K387),K387&gt;0),V387&gt;K387,FALSE))</f>
        <v/>
      </c>
      <c r="M387" s="7">
        <f>IF($X387="","",SUMIFS('Per Line'!$V$2:$V$3001,'Per Line'!$D$2:$D$3001,$B387,'Per Line'!$AN$2:$AN$3001,1))</f>
        <v/>
      </c>
      <c r="N387">
        <f>IF($X387="","",Settings!$C$7)</f>
        <v/>
      </c>
      <c r="O387" s="7">
        <f>IF($X387="","",SUMIFS('Per Line'!$V$2:$V$3001,'Per Line'!$D$2:$D$3001,$B387,'Per Line'!$AM$2:$AM$3001,0,'Per Line'!$AN$2:$AN$3001,0))</f>
        <v/>
      </c>
      <c r="P387" s="7">
        <f>IF($X387="","",O387*N387)</f>
        <v/>
      </c>
      <c r="Q387">
        <f>IF($X387="","",Settings!$C$6)</f>
        <v/>
      </c>
      <c r="R387" s="7">
        <f>IF($X387="","",SUMIFS('Per Line'!$V$2:$V$3001,'Per Line'!$D$2:$D$3001,$B387,'Per Line'!$AM$2:$AM$3001,1,'Per Line'!$AN$2:$AN$3001,0))</f>
        <v/>
      </c>
      <c r="S387" s="7">
        <f>IF($X387="","",R387*Q387)</f>
        <v/>
      </c>
      <c r="T387" s="7">
        <f>IF($X387="","",S387+P387)</f>
        <v/>
      </c>
      <c r="U387" s="7">
        <f>IF($X387="","",V387-T387)</f>
        <v/>
      </c>
      <c r="V387" s="7">
        <f>IF($X387="","",O387+R387+M387)</f>
        <v/>
      </c>
      <c r="W387" s="7">
        <f>IF($X387="","",V387-T387-I387)</f>
        <v/>
      </c>
      <c r="X387" s="13">
        <f>IF(ROWS($X$2:$X387)&lt;=MAX('Per Line'!$AL$2:$AL$3001),MATCH(ROWS($X$2:$X387),'Per Line'!$AL$2:$AL$3001,0),"")</f>
        <v/>
      </c>
    </row>
    <row r="388">
      <c r="A388" s="12" t="n"/>
      <c r="B388">
        <f>IF($X388="","",INDEX('Per Line'!$D$2:$D$3001,$X388)&amp;"")</f>
        <v/>
      </c>
      <c r="C388" s="11">
        <f>IF($X388="","",INDEX('Per Line'!$F$2:$F$3001,$X388))</f>
        <v/>
      </c>
      <c r="D388">
        <f>IF($X388="","",INDEX('Per Line'!$G$2:$G$3001,$X388)&amp;"")</f>
        <v/>
      </c>
      <c r="E388">
        <f>IF($X388="","",INDEX('Per Line'!$I$2:$I$3001,$X388)&amp;"")</f>
        <v/>
      </c>
      <c r="F388">
        <f>IF($X388="","",INDEX('Per Line'!$J$2:$J$3001,$X388)&amp;"")</f>
        <v/>
      </c>
      <c r="G388">
        <f>IF($X388="","",INDEX('Per Line'!$K$2:$K$3001,$X388)&amp;"")</f>
        <v/>
      </c>
      <c r="H388">
        <f>IF($X388="","",INDEX('Per Line'!$M$2:$M$3001,$X388))</f>
        <v/>
      </c>
      <c r="I388" s="7">
        <f>IF($X388="","",H388*V388/100)</f>
        <v/>
      </c>
      <c r="J388">
        <f>IF($X388="","",INDEX('Per Line'!$W$2:$W$3001,$X388)&amp;"")</f>
        <v/>
      </c>
      <c r="K388">
        <f>IF($X388="","",INDEX('Per Line'!$AD$2:$AD$3001,$X388))</f>
        <v/>
      </c>
      <c r="L388">
        <f>IF($X388="","",IF(AND(ISNUMBER(K388),K388&gt;0),V388&gt;K388,FALSE))</f>
        <v/>
      </c>
      <c r="M388" s="7">
        <f>IF($X388="","",SUMIFS('Per Line'!$V$2:$V$3001,'Per Line'!$D$2:$D$3001,$B388,'Per Line'!$AN$2:$AN$3001,1))</f>
        <v/>
      </c>
      <c r="N388">
        <f>IF($X388="","",Settings!$C$7)</f>
        <v/>
      </c>
      <c r="O388" s="7">
        <f>IF($X388="","",SUMIFS('Per Line'!$V$2:$V$3001,'Per Line'!$D$2:$D$3001,$B388,'Per Line'!$AM$2:$AM$3001,0,'Per Line'!$AN$2:$AN$3001,0))</f>
        <v/>
      </c>
      <c r="P388" s="7">
        <f>IF($X388="","",O388*N388)</f>
        <v/>
      </c>
      <c r="Q388">
        <f>IF($X388="","",Settings!$C$6)</f>
        <v/>
      </c>
      <c r="R388" s="7">
        <f>IF($X388="","",SUMIFS('Per Line'!$V$2:$V$3001,'Per Line'!$D$2:$D$3001,$B388,'Per Line'!$AM$2:$AM$3001,1,'Per Line'!$AN$2:$AN$3001,0))</f>
        <v/>
      </c>
      <c r="S388" s="7">
        <f>IF($X388="","",R388*Q388)</f>
        <v/>
      </c>
      <c r="T388" s="7">
        <f>IF($X388="","",S388+P388)</f>
        <v/>
      </c>
      <c r="U388" s="7">
        <f>IF($X388="","",V388-T388)</f>
        <v/>
      </c>
      <c r="V388" s="7">
        <f>IF($X388="","",O388+R388+M388)</f>
        <v/>
      </c>
      <c r="W388" s="7">
        <f>IF($X388="","",V388-T388-I388)</f>
        <v/>
      </c>
      <c r="X388" s="13">
        <f>IF(ROWS($X$2:$X388)&lt;=MAX('Per Line'!$AL$2:$AL$3001),MATCH(ROWS($X$2:$X388),'Per Line'!$AL$2:$AL$3001,0),"")</f>
        <v/>
      </c>
    </row>
    <row r="389">
      <c r="A389" s="12" t="n"/>
      <c r="B389">
        <f>IF($X389="","",INDEX('Per Line'!$D$2:$D$3001,$X389)&amp;"")</f>
        <v/>
      </c>
      <c r="C389" s="11">
        <f>IF($X389="","",INDEX('Per Line'!$F$2:$F$3001,$X389))</f>
        <v/>
      </c>
      <c r="D389">
        <f>IF($X389="","",INDEX('Per Line'!$G$2:$G$3001,$X389)&amp;"")</f>
        <v/>
      </c>
      <c r="E389">
        <f>IF($X389="","",INDEX('Per Line'!$I$2:$I$3001,$X389)&amp;"")</f>
        <v/>
      </c>
      <c r="F389">
        <f>IF($X389="","",INDEX('Per Line'!$J$2:$J$3001,$X389)&amp;"")</f>
        <v/>
      </c>
      <c r="G389">
        <f>IF($X389="","",INDEX('Per Line'!$K$2:$K$3001,$X389)&amp;"")</f>
        <v/>
      </c>
      <c r="H389">
        <f>IF($X389="","",INDEX('Per Line'!$M$2:$M$3001,$X389))</f>
        <v/>
      </c>
      <c r="I389" s="7">
        <f>IF($X389="","",H389*V389/100)</f>
        <v/>
      </c>
      <c r="J389">
        <f>IF($X389="","",INDEX('Per Line'!$W$2:$W$3001,$X389)&amp;"")</f>
        <v/>
      </c>
      <c r="K389">
        <f>IF($X389="","",INDEX('Per Line'!$AD$2:$AD$3001,$X389))</f>
        <v/>
      </c>
      <c r="L389">
        <f>IF($X389="","",IF(AND(ISNUMBER(K389),K389&gt;0),V389&gt;K389,FALSE))</f>
        <v/>
      </c>
      <c r="M389" s="7">
        <f>IF($X389="","",SUMIFS('Per Line'!$V$2:$V$3001,'Per Line'!$D$2:$D$3001,$B389,'Per Line'!$AN$2:$AN$3001,1))</f>
        <v/>
      </c>
      <c r="N389">
        <f>IF($X389="","",Settings!$C$7)</f>
        <v/>
      </c>
      <c r="O389" s="7">
        <f>IF($X389="","",SUMIFS('Per Line'!$V$2:$V$3001,'Per Line'!$D$2:$D$3001,$B389,'Per Line'!$AM$2:$AM$3001,0,'Per Line'!$AN$2:$AN$3001,0))</f>
        <v/>
      </c>
      <c r="P389" s="7">
        <f>IF($X389="","",O389*N389)</f>
        <v/>
      </c>
      <c r="Q389">
        <f>IF($X389="","",Settings!$C$6)</f>
        <v/>
      </c>
      <c r="R389" s="7">
        <f>IF($X389="","",SUMIFS('Per Line'!$V$2:$V$3001,'Per Line'!$D$2:$D$3001,$B389,'Per Line'!$AM$2:$AM$3001,1,'Per Line'!$AN$2:$AN$3001,0))</f>
        <v/>
      </c>
      <c r="S389" s="7">
        <f>IF($X389="","",R389*Q389)</f>
        <v/>
      </c>
      <c r="T389" s="7">
        <f>IF($X389="","",S389+P389)</f>
        <v/>
      </c>
      <c r="U389" s="7">
        <f>IF($X389="","",V389-T389)</f>
        <v/>
      </c>
      <c r="V389" s="7">
        <f>IF($X389="","",O389+R389+M389)</f>
        <v/>
      </c>
      <c r="W389" s="7">
        <f>IF($X389="","",V389-T389-I389)</f>
        <v/>
      </c>
      <c r="X389" s="13">
        <f>IF(ROWS($X$2:$X389)&lt;=MAX('Per Line'!$AL$2:$AL$3001),MATCH(ROWS($X$2:$X389),'Per Line'!$AL$2:$AL$3001,0),"")</f>
        <v/>
      </c>
    </row>
    <row r="390">
      <c r="A390" s="12" t="n"/>
      <c r="B390">
        <f>IF($X390="","",INDEX('Per Line'!$D$2:$D$3001,$X390)&amp;"")</f>
        <v/>
      </c>
      <c r="C390" s="11">
        <f>IF($X390="","",INDEX('Per Line'!$F$2:$F$3001,$X390))</f>
        <v/>
      </c>
      <c r="D390">
        <f>IF($X390="","",INDEX('Per Line'!$G$2:$G$3001,$X390)&amp;"")</f>
        <v/>
      </c>
      <c r="E390">
        <f>IF($X390="","",INDEX('Per Line'!$I$2:$I$3001,$X390)&amp;"")</f>
        <v/>
      </c>
      <c r="F390">
        <f>IF($X390="","",INDEX('Per Line'!$J$2:$J$3001,$X390)&amp;"")</f>
        <v/>
      </c>
      <c r="G390">
        <f>IF($X390="","",INDEX('Per Line'!$K$2:$K$3001,$X390)&amp;"")</f>
        <v/>
      </c>
      <c r="H390">
        <f>IF($X390="","",INDEX('Per Line'!$M$2:$M$3001,$X390))</f>
        <v/>
      </c>
      <c r="I390" s="7">
        <f>IF($X390="","",H390*V390/100)</f>
        <v/>
      </c>
      <c r="J390">
        <f>IF($X390="","",INDEX('Per Line'!$W$2:$W$3001,$X390)&amp;"")</f>
        <v/>
      </c>
      <c r="K390">
        <f>IF($X390="","",INDEX('Per Line'!$AD$2:$AD$3001,$X390))</f>
        <v/>
      </c>
      <c r="L390">
        <f>IF($X390="","",IF(AND(ISNUMBER(K390),K390&gt;0),V390&gt;K390,FALSE))</f>
        <v/>
      </c>
      <c r="M390" s="7">
        <f>IF($X390="","",SUMIFS('Per Line'!$V$2:$V$3001,'Per Line'!$D$2:$D$3001,$B390,'Per Line'!$AN$2:$AN$3001,1))</f>
        <v/>
      </c>
      <c r="N390">
        <f>IF($X390="","",Settings!$C$7)</f>
        <v/>
      </c>
      <c r="O390" s="7">
        <f>IF($X390="","",SUMIFS('Per Line'!$V$2:$V$3001,'Per Line'!$D$2:$D$3001,$B390,'Per Line'!$AM$2:$AM$3001,0,'Per Line'!$AN$2:$AN$3001,0))</f>
        <v/>
      </c>
      <c r="P390" s="7">
        <f>IF($X390="","",O390*N390)</f>
        <v/>
      </c>
      <c r="Q390">
        <f>IF($X390="","",Settings!$C$6)</f>
        <v/>
      </c>
      <c r="R390" s="7">
        <f>IF($X390="","",SUMIFS('Per Line'!$V$2:$V$3001,'Per Line'!$D$2:$D$3001,$B390,'Per Line'!$AM$2:$AM$3001,1,'Per Line'!$AN$2:$AN$3001,0))</f>
        <v/>
      </c>
      <c r="S390" s="7">
        <f>IF($X390="","",R390*Q390)</f>
        <v/>
      </c>
      <c r="T390" s="7">
        <f>IF($X390="","",S390+P390)</f>
        <v/>
      </c>
      <c r="U390" s="7">
        <f>IF($X390="","",V390-T390)</f>
        <v/>
      </c>
      <c r="V390" s="7">
        <f>IF($X390="","",O390+R390+M390)</f>
        <v/>
      </c>
      <c r="W390" s="7">
        <f>IF($X390="","",V390-T390-I390)</f>
        <v/>
      </c>
      <c r="X390" s="13">
        <f>IF(ROWS($X$2:$X390)&lt;=MAX('Per Line'!$AL$2:$AL$3001),MATCH(ROWS($X$2:$X390),'Per Line'!$AL$2:$AL$3001,0),"")</f>
        <v/>
      </c>
    </row>
    <row r="391">
      <c r="A391" s="12" t="n"/>
      <c r="B391">
        <f>IF($X391="","",INDEX('Per Line'!$D$2:$D$3001,$X391)&amp;"")</f>
        <v/>
      </c>
      <c r="C391" s="11">
        <f>IF($X391="","",INDEX('Per Line'!$F$2:$F$3001,$X391))</f>
        <v/>
      </c>
      <c r="D391">
        <f>IF($X391="","",INDEX('Per Line'!$G$2:$G$3001,$X391)&amp;"")</f>
        <v/>
      </c>
      <c r="E391">
        <f>IF($X391="","",INDEX('Per Line'!$I$2:$I$3001,$X391)&amp;"")</f>
        <v/>
      </c>
      <c r="F391">
        <f>IF($X391="","",INDEX('Per Line'!$J$2:$J$3001,$X391)&amp;"")</f>
        <v/>
      </c>
      <c r="G391">
        <f>IF($X391="","",INDEX('Per Line'!$K$2:$K$3001,$X391)&amp;"")</f>
        <v/>
      </c>
      <c r="H391">
        <f>IF($X391="","",INDEX('Per Line'!$M$2:$M$3001,$X391))</f>
        <v/>
      </c>
      <c r="I391" s="7">
        <f>IF($X391="","",H391*V391/100)</f>
        <v/>
      </c>
      <c r="J391">
        <f>IF($X391="","",INDEX('Per Line'!$W$2:$W$3001,$X391)&amp;"")</f>
        <v/>
      </c>
      <c r="K391">
        <f>IF($X391="","",INDEX('Per Line'!$AD$2:$AD$3001,$X391))</f>
        <v/>
      </c>
      <c r="L391">
        <f>IF($X391="","",IF(AND(ISNUMBER(K391),K391&gt;0),V391&gt;K391,FALSE))</f>
        <v/>
      </c>
      <c r="M391" s="7">
        <f>IF($X391="","",SUMIFS('Per Line'!$V$2:$V$3001,'Per Line'!$D$2:$D$3001,$B391,'Per Line'!$AN$2:$AN$3001,1))</f>
        <v/>
      </c>
      <c r="N391">
        <f>IF($X391="","",Settings!$C$7)</f>
        <v/>
      </c>
      <c r="O391" s="7">
        <f>IF($X391="","",SUMIFS('Per Line'!$V$2:$V$3001,'Per Line'!$D$2:$D$3001,$B391,'Per Line'!$AM$2:$AM$3001,0,'Per Line'!$AN$2:$AN$3001,0))</f>
        <v/>
      </c>
      <c r="P391" s="7">
        <f>IF($X391="","",O391*N391)</f>
        <v/>
      </c>
      <c r="Q391">
        <f>IF($X391="","",Settings!$C$6)</f>
        <v/>
      </c>
      <c r="R391" s="7">
        <f>IF($X391="","",SUMIFS('Per Line'!$V$2:$V$3001,'Per Line'!$D$2:$D$3001,$B391,'Per Line'!$AM$2:$AM$3001,1,'Per Line'!$AN$2:$AN$3001,0))</f>
        <v/>
      </c>
      <c r="S391" s="7">
        <f>IF($X391="","",R391*Q391)</f>
        <v/>
      </c>
      <c r="T391" s="7">
        <f>IF($X391="","",S391+P391)</f>
        <v/>
      </c>
      <c r="U391" s="7">
        <f>IF($X391="","",V391-T391)</f>
        <v/>
      </c>
      <c r="V391" s="7">
        <f>IF($X391="","",O391+R391+M391)</f>
        <v/>
      </c>
      <c r="W391" s="7">
        <f>IF($X391="","",V391-T391-I391)</f>
        <v/>
      </c>
      <c r="X391" s="13">
        <f>IF(ROWS($X$2:$X391)&lt;=MAX('Per Line'!$AL$2:$AL$3001),MATCH(ROWS($X$2:$X391),'Per Line'!$AL$2:$AL$3001,0),"")</f>
        <v/>
      </c>
    </row>
    <row r="392">
      <c r="A392" s="12" t="n"/>
      <c r="B392">
        <f>IF($X392="","",INDEX('Per Line'!$D$2:$D$3001,$X392)&amp;"")</f>
        <v/>
      </c>
      <c r="C392" s="11">
        <f>IF($X392="","",INDEX('Per Line'!$F$2:$F$3001,$X392))</f>
        <v/>
      </c>
      <c r="D392">
        <f>IF($X392="","",INDEX('Per Line'!$G$2:$G$3001,$X392)&amp;"")</f>
        <v/>
      </c>
      <c r="E392">
        <f>IF($X392="","",INDEX('Per Line'!$I$2:$I$3001,$X392)&amp;"")</f>
        <v/>
      </c>
      <c r="F392">
        <f>IF($X392="","",INDEX('Per Line'!$J$2:$J$3001,$X392)&amp;"")</f>
        <v/>
      </c>
      <c r="G392">
        <f>IF($X392="","",INDEX('Per Line'!$K$2:$K$3001,$X392)&amp;"")</f>
        <v/>
      </c>
      <c r="H392">
        <f>IF($X392="","",INDEX('Per Line'!$M$2:$M$3001,$X392))</f>
        <v/>
      </c>
      <c r="I392" s="7">
        <f>IF($X392="","",H392*V392/100)</f>
        <v/>
      </c>
      <c r="J392">
        <f>IF($X392="","",INDEX('Per Line'!$W$2:$W$3001,$X392)&amp;"")</f>
        <v/>
      </c>
      <c r="K392">
        <f>IF($X392="","",INDEX('Per Line'!$AD$2:$AD$3001,$X392))</f>
        <v/>
      </c>
      <c r="L392">
        <f>IF($X392="","",IF(AND(ISNUMBER(K392),K392&gt;0),V392&gt;K392,FALSE))</f>
        <v/>
      </c>
      <c r="M392" s="7">
        <f>IF($X392="","",SUMIFS('Per Line'!$V$2:$V$3001,'Per Line'!$D$2:$D$3001,$B392,'Per Line'!$AN$2:$AN$3001,1))</f>
        <v/>
      </c>
      <c r="N392">
        <f>IF($X392="","",Settings!$C$7)</f>
        <v/>
      </c>
      <c r="O392" s="7">
        <f>IF($X392="","",SUMIFS('Per Line'!$V$2:$V$3001,'Per Line'!$D$2:$D$3001,$B392,'Per Line'!$AM$2:$AM$3001,0,'Per Line'!$AN$2:$AN$3001,0))</f>
        <v/>
      </c>
      <c r="P392" s="7">
        <f>IF($X392="","",O392*N392)</f>
        <v/>
      </c>
      <c r="Q392">
        <f>IF($X392="","",Settings!$C$6)</f>
        <v/>
      </c>
      <c r="R392" s="7">
        <f>IF($X392="","",SUMIFS('Per Line'!$V$2:$V$3001,'Per Line'!$D$2:$D$3001,$B392,'Per Line'!$AM$2:$AM$3001,1,'Per Line'!$AN$2:$AN$3001,0))</f>
        <v/>
      </c>
      <c r="S392" s="7">
        <f>IF($X392="","",R392*Q392)</f>
        <v/>
      </c>
      <c r="T392" s="7">
        <f>IF($X392="","",S392+P392)</f>
        <v/>
      </c>
      <c r="U392" s="7">
        <f>IF($X392="","",V392-T392)</f>
        <v/>
      </c>
      <c r="V392" s="7">
        <f>IF($X392="","",O392+R392+M392)</f>
        <v/>
      </c>
      <c r="W392" s="7">
        <f>IF($X392="","",V392-T392-I392)</f>
        <v/>
      </c>
      <c r="X392" s="13">
        <f>IF(ROWS($X$2:$X392)&lt;=MAX('Per Line'!$AL$2:$AL$3001),MATCH(ROWS($X$2:$X392),'Per Line'!$AL$2:$AL$3001,0),"")</f>
        <v/>
      </c>
    </row>
    <row r="393">
      <c r="A393" s="12" t="n"/>
      <c r="B393">
        <f>IF($X393="","",INDEX('Per Line'!$D$2:$D$3001,$X393)&amp;"")</f>
        <v/>
      </c>
      <c r="C393" s="11">
        <f>IF($X393="","",INDEX('Per Line'!$F$2:$F$3001,$X393))</f>
        <v/>
      </c>
      <c r="D393">
        <f>IF($X393="","",INDEX('Per Line'!$G$2:$G$3001,$X393)&amp;"")</f>
        <v/>
      </c>
      <c r="E393">
        <f>IF($X393="","",INDEX('Per Line'!$I$2:$I$3001,$X393)&amp;"")</f>
        <v/>
      </c>
      <c r="F393">
        <f>IF($X393="","",INDEX('Per Line'!$J$2:$J$3001,$X393)&amp;"")</f>
        <v/>
      </c>
      <c r="G393">
        <f>IF($X393="","",INDEX('Per Line'!$K$2:$K$3001,$X393)&amp;"")</f>
        <v/>
      </c>
      <c r="H393">
        <f>IF($X393="","",INDEX('Per Line'!$M$2:$M$3001,$X393))</f>
        <v/>
      </c>
      <c r="I393" s="7">
        <f>IF($X393="","",H393*V393/100)</f>
        <v/>
      </c>
      <c r="J393">
        <f>IF($X393="","",INDEX('Per Line'!$W$2:$W$3001,$X393)&amp;"")</f>
        <v/>
      </c>
      <c r="K393">
        <f>IF($X393="","",INDEX('Per Line'!$AD$2:$AD$3001,$X393))</f>
        <v/>
      </c>
      <c r="L393">
        <f>IF($X393="","",IF(AND(ISNUMBER(K393),K393&gt;0),V393&gt;K393,FALSE))</f>
        <v/>
      </c>
      <c r="M393" s="7">
        <f>IF($X393="","",SUMIFS('Per Line'!$V$2:$V$3001,'Per Line'!$D$2:$D$3001,$B393,'Per Line'!$AN$2:$AN$3001,1))</f>
        <v/>
      </c>
      <c r="N393">
        <f>IF($X393="","",Settings!$C$7)</f>
        <v/>
      </c>
      <c r="O393" s="7">
        <f>IF($X393="","",SUMIFS('Per Line'!$V$2:$V$3001,'Per Line'!$D$2:$D$3001,$B393,'Per Line'!$AM$2:$AM$3001,0,'Per Line'!$AN$2:$AN$3001,0))</f>
        <v/>
      </c>
      <c r="P393" s="7">
        <f>IF($X393="","",O393*N393)</f>
        <v/>
      </c>
      <c r="Q393">
        <f>IF($X393="","",Settings!$C$6)</f>
        <v/>
      </c>
      <c r="R393" s="7">
        <f>IF($X393="","",SUMIFS('Per Line'!$V$2:$V$3001,'Per Line'!$D$2:$D$3001,$B393,'Per Line'!$AM$2:$AM$3001,1,'Per Line'!$AN$2:$AN$3001,0))</f>
        <v/>
      </c>
      <c r="S393" s="7">
        <f>IF($X393="","",R393*Q393)</f>
        <v/>
      </c>
      <c r="T393" s="7">
        <f>IF($X393="","",S393+P393)</f>
        <v/>
      </c>
      <c r="U393" s="7">
        <f>IF($X393="","",V393-T393)</f>
        <v/>
      </c>
      <c r="V393" s="7">
        <f>IF($X393="","",O393+R393+M393)</f>
        <v/>
      </c>
      <c r="W393" s="7">
        <f>IF($X393="","",V393-T393-I393)</f>
        <v/>
      </c>
      <c r="X393" s="13">
        <f>IF(ROWS($X$2:$X393)&lt;=MAX('Per Line'!$AL$2:$AL$3001),MATCH(ROWS($X$2:$X393),'Per Line'!$AL$2:$AL$3001,0),"")</f>
        <v/>
      </c>
    </row>
    <row r="394">
      <c r="A394" s="12" t="n"/>
      <c r="B394">
        <f>IF($X394="","",INDEX('Per Line'!$D$2:$D$3001,$X394)&amp;"")</f>
        <v/>
      </c>
      <c r="C394" s="11">
        <f>IF($X394="","",INDEX('Per Line'!$F$2:$F$3001,$X394))</f>
        <v/>
      </c>
      <c r="D394">
        <f>IF($X394="","",INDEX('Per Line'!$G$2:$G$3001,$X394)&amp;"")</f>
        <v/>
      </c>
      <c r="E394">
        <f>IF($X394="","",INDEX('Per Line'!$I$2:$I$3001,$X394)&amp;"")</f>
        <v/>
      </c>
      <c r="F394">
        <f>IF($X394="","",INDEX('Per Line'!$J$2:$J$3001,$X394)&amp;"")</f>
        <v/>
      </c>
      <c r="G394">
        <f>IF($X394="","",INDEX('Per Line'!$K$2:$K$3001,$X394)&amp;"")</f>
        <v/>
      </c>
      <c r="H394">
        <f>IF($X394="","",INDEX('Per Line'!$M$2:$M$3001,$X394))</f>
        <v/>
      </c>
      <c r="I394" s="7">
        <f>IF($X394="","",H394*V394/100)</f>
        <v/>
      </c>
      <c r="J394">
        <f>IF($X394="","",INDEX('Per Line'!$W$2:$W$3001,$X394)&amp;"")</f>
        <v/>
      </c>
      <c r="K394">
        <f>IF($X394="","",INDEX('Per Line'!$AD$2:$AD$3001,$X394))</f>
        <v/>
      </c>
      <c r="L394">
        <f>IF($X394="","",IF(AND(ISNUMBER(K394),K394&gt;0),V394&gt;K394,FALSE))</f>
        <v/>
      </c>
      <c r="M394" s="7">
        <f>IF($X394="","",SUMIFS('Per Line'!$V$2:$V$3001,'Per Line'!$D$2:$D$3001,$B394,'Per Line'!$AN$2:$AN$3001,1))</f>
        <v/>
      </c>
      <c r="N394">
        <f>IF($X394="","",Settings!$C$7)</f>
        <v/>
      </c>
      <c r="O394" s="7">
        <f>IF($X394="","",SUMIFS('Per Line'!$V$2:$V$3001,'Per Line'!$D$2:$D$3001,$B394,'Per Line'!$AM$2:$AM$3001,0,'Per Line'!$AN$2:$AN$3001,0))</f>
        <v/>
      </c>
      <c r="P394" s="7">
        <f>IF($X394="","",O394*N394)</f>
        <v/>
      </c>
      <c r="Q394">
        <f>IF($X394="","",Settings!$C$6)</f>
        <v/>
      </c>
      <c r="R394" s="7">
        <f>IF($X394="","",SUMIFS('Per Line'!$V$2:$V$3001,'Per Line'!$D$2:$D$3001,$B394,'Per Line'!$AM$2:$AM$3001,1,'Per Line'!$AN$2:$AN$3001,0))</f>
        <v/>
      </c>
      <c r="S394" s="7">
        <f>IF($X394="","",R394*Q394)</f>
        <v/>
      </c>
      <c r="T394" s="7">
        <f>IF($X394="","",S394+P394)</f>
        <v/>
      </c>
      <c r="U394" s="7">
        <f>IF($X394="","",V394-T394)</f>
        <v/>
      </c>
      <c r="V394" s="7">
        <f>IF($X394="","",O394+R394+M394)</f>
        <v/>
      </c>
      <c r="W394" s="7">
        <f>IF($X394="","",V394-T394-I394)</f>
        <v/>
      </c>
      <c r="X394" s="13">
        <f>IF(ROWS($X$2:$X394)&lt;=MAX('Per Line'!$AL$2:$AL$3001),MATCH(ROWS($X$2:$X394),'Per Line'!$AL$2:$AL$3001,0),"")</f>
        <v/>
      </c>
    </row>
    <row r="395">
      <c r="A395" s="12" t="n"/>
      <c r="B395">
        <f>IF($X395="","",INDEX('Per Line'!$D$2:$D$3001,$X395)&amp;"")</f>
        <v/>
      </c>
      <c r="C395" s="11">
        <f>IF($X395="","",INDEX('Per Line'!$F$2:$F$3001,$X395))</f>
        <v/>
      </c>
      <c r="D395">
        <f>IF($X395="","",INDEX('Per Line'!$G$2:$G$3001,$X395)&amp;"")</f>
        <v/>
      </c>
      <c r="E395">
        <f>IF($X395="","",INDEX('Per Line'!$I$2:$I$3001,$X395)&amp;"")</f>
        <v/>
      </c>
      <c r="F395">
        <f>IF($X395="","",INDEX('Per Line'!$J$2:$J$3001,$X395)&amp;"")</f>
        <v/>
      </c>
      <c r="G395">
        <f>IF($X395="","",INDEX('Per Line'!$K$2:$K$3001,$X395)&amp;"")</f>
        <v/>
      </c>
      <c r="H395">
        <f>IF($X395="","",INDEX('Per Line'!$M$2:$M$3001,$X395))</f>
        <v/>
      </c>
      <c r="I395" s="7">
        <f>IF($X395="","",H395*V395/100)</f>
        <v/>
      </c>
      <c r="J395">
        <f>IF($X395="","",INDEX('Per Line'!$W$2:$W$3001,$X395)&amp;"")</f>
        <v/>
      </c>
      <c r="K395">
        <f>IF($X395="","",INDEX('Per Line'!$AD$2:$AD$3001,$X395))</f>
        <v/>
      </c>
      <c r="L395">
        <f>IF($X395="","",IF(AND(ISNUMBER(K395),K395&gt;0),V395&gt;K395,FALSE))</f>
        <v/>
      </c>
      <c r="M395" s="7">
        <f>IF($X395="","",SUMIFS('Per Line'!$V$2:$V$3001,'Per Line'!$D$2:$D$3001,$B395,'Per Line'!$AN$2:$AN$3001,1))</f>
        <v/>
      </c>
      <c r="N395">
        <f>IF($X395="","",Settings!$C$7)</f>
        <v/>
      </c>
      <c r="O395" s="7">
        <f>IF($X395="","",SUMIFS('Per Line'!$V$2:$V$3001,'Per Line'!$D$2:$D$3001,$B395,'Per Line'!$AM$2:$AM$3001,0,'Per Line'!$AN$2:$AN$3001,0))</f>
        <v/>
      </c>
      <c r="P395" s="7">
        <f>IF($X395="","",O395*N395)</f>
        <v/>
      </c>
      <c r="Q395">
        <f>IF($X395="","",Settings!$C$6)</f>
        <v/>
      </c>
      <c r="R395" s="7">
        <f>IF($X395="","",SUMIFS('Per Line'!$V$2:$V$3001,'Per Line'!$D$2:$D$3001,$B395,'Per Line'!$AM$2:$AM$3001,1,'Per Line'!$AN$2:$AN$3001,0))</f>
        <v/>
      </c>
      <c r="S395" s="7">
        <f>IF($X395="","",R395*Q395)</f>
        <v/>
      </c>
      <c r="T395" s="7">
        <f>IF($X395="","",S395+P395)</f>
        <v/>
      </c>
      <c r="U395" s="7">
        <f>IF($X395="","",V395-T395)</f>
        <v/>
      </c>
      <c r="V395" s="7">
        <f>IF($X395="","",O395+R395+M395)</f>
        <v/>
      </c>
      <c r="W395" s="7">
        <f>IF($X395="","",V395-T395-I395)</f>
        <v/>
      </c>
      <c r="X395" s="13">
        <f>IF(ROWS($X$2:$X395)&lt;=MAX('Per Line'!$AL$2:$AL$3001),MATCH(ROWS($X$2:$X395),'Per Line'!$AL$2:$AL$3001,0),"")</f>
        <v/>
      </c>
    </row>
    <row r="396">
      <c r="A396" s="12" t="n"/>
      <c r="B396">
        <f>IF($X396="","",INDEX('Per Line'!$D$2:$D$3001,$X396)&amp;"")</f>
        <v/>
      </c>
      <c r="C396" s="11">
        <f>IF($X396="","",INDEX('Per Line'!$F$2:$F$3001,$X396))</f>
        <v/>
      </c>
      <c r="D396">
        <f>IF($X396="","",INDEX('Per Line'!$G$2:$G$3001,$X396)&amp;"")</f>
        <v/>
      </c>
      <c r="E396">
        <f>IF($X396="","",INDEX('Per Line'!$I$2:$I$3001,$X396)&amp;"")</f>
        <v/>
      </c>
      <c r="F396">
        <f>IF($X396="","",INDEX('Per Line'!$J$2:$J$3001,$X396)&amp;"")</f>
        <v/>
      </c>
      <c r="G396">
        <f>IF($X396="","",INDEX('Per Line'!$K$2:$K$3001,$X396)&amp;"")</f>
        <v/>
      </c>
      <c r="H396">
        <f>IF($X396="","",INDEX('Per Line'!$M$2:$M$3001,$X396))</f>
        <v/>
      </c>
      <c r="I396" s="7">
        <f>IF($X396="","",H396*V396/100)</f>
        <v/>
      </c>
      <c r="J396">
        <f>IF($X396="","",INDEX('Per Line'!$W$2:$W$3001,$X396)&amp;"")</f>
        <v/>
      </c>
      <c r="K396">
        <f>IF($X396="","",INDEX('Per Line'!$AD$2:$AD$3001,$X396))</f>
        <v/>
      </c>
      <c r="L396">
        <f>IF($X396="","",IF(AND(ISNUMBER(K396),K396&gt;0),V396&gt;K396,FALSE))</f>
        <v/>
      </c>
      <c r="M396" s="7">
        <f>IF($X396="","",SUMIFS('Per Line'!$V$2:$V$3001,'Per Line'!$D$2:$D$3001,$B396,'Per Line'!$AN$2:$AN$3001,1))</f>
        <v/>
      </c>
      <c r="N396">
        <f>IF($X396="","",Settings!$C$7)</f>
        <v/>
      </c>
      <c r="O396" s="7">
        <f>IF($X396="","",SUMIFS('Per Line'!$V$2:$V$3001,'Per Line'!$D$2:$D$3001,$B396,'Per Line'!$AM$2:$AM$3001,0,'Per Line'!$AN$2:$AN$3001,0))</f>
        <v/>
      </c>
      <c r="P396" s="7">
        <f>IF($X396="","",O396*N396)</f>
        <v/>
      </c>
      <c r="Q396">
        <f>IF($X396="","",Settings!$C$6)</f>
        <v/>
      </c>
      <c r="R396" s="7">
        <f>IF($X396="","",SUMIFS('Per Line'!$V$2:$V$3001,'Per Line'!$D$2:$D$3001,$B396,'Per Line'!$AM$2:$AM$3001,1,'Per Line'!$AN$2:$AN$3001,0))</f>
        <v/>
      </c>
      <c r="S396" s="7">
        <f>IF($X396="","",R396*Q396)</f>
        <v/>
      </c>
      <c r="T396" s="7">
        <f>IF($X396="","",S396+P396)</f>
        <v/>
      </c>
      <c r="U396" s="7">
        <f>IF($X396="","",V396-T396)</f>
        <v/>
      </c>
      <c r="V396" s="7">
        <f>IF($X396="","",O396+R396+M396)</f>
        <v/>
      </c>
      <c r="W396" s="7">
        <f>IF($X396="","",V396-T396-I396)</f>
        <v/>
      </c>
      <c r="X396" s="13">
        <f>IF(ROWS($X$2:$X396)&lt;=MAX('Per Line'!$AL$2:$AL$3001),MATCH(ROWS($X$2:$X396),'Per Line'!$AL$2:$AL$3001,0),"")</f>
        <v/>
      </c>
    </row>
    <row r="397">
      <c r="A397" s="12" t="n"/>
      <c r="B397">
        <f>IF($X397="","",INDEX('Per Line'!$D$2:$D$3001,$X397)&amp;"")</f>
        <v/>
      </c>
      <c r="C397" s="11">
        <f>IF($X397="","",INDEX('Per Line'!$F$2:$F$3001,$X397))</f>
        <v/>
      </c>
      <c r="D397">
        <f>IF($X397="","",INDEX('Per Line'!$G$2:$G$3001,$X397)&amp;"")</f>
        <v/>
      </c>
      <c r="E397">
        <f>IF($X397="","",INDEX('Per Line'!$I$2:$I$3001,$X397)&amp;"")</f>
        <v/>
      </c>
      <c r="F397">
        <f>IF($X397="","",INDEX('Per Line'!$J$2:$J$3001,$X397)&amp;"")</f>
        <v/>
      </c>
      <c r="G397">
        <f>IF($X397="","",INDEX('Per Line'!$K$2:$K$3001,$X397)&amp;"")</f>
        <v/>
      </c>
      <c r="H397">
        <f>IF($X397="","",INDEX('Per Line'!$M$2:$M$3001,$X397))</f>
        <v/>
      </c>
      <c r="I397" s="7">
        <f>IF($X397="","",H397*V397/100)</f>
        <v/>
      </c>
      <c r="J397">
        <f>IF($X397="","",INDEX('Per Line'!$W$2:$W$3001,$X397)&amp;"")</f>
        <v/>
      </c>
      <c r="K397">
        <f>IF($X397="","",INDEX('Per Line'!$AD$2:$AD$3001,$X397))</f>
        <v/>
      </c>
      <c r="L397">
        <f>IF($X397="","",IF(AND(ISNUMBER(K397),K397&gt;0),V397&gt;K397,FALSE))</f>
        <v/>
      </c>
      <c r="M397" s="7">
        <f>IF($X397="","",SUMIFS('Per Line'!$V$2:$V$3001,'Per Line'!$D$2:$D$3001,$B397,'Per Line'!$AN$2:$AN$3001,1))</f>
        <v/>
      </c>
      <c r="N397">
        <f>IF($X397="","",Settings!$C$7)</f>
        <v/>
      </c>
      <c r="O397" s="7">
        <f>IF($X397="","",SUMIFS('Per Line'!$V$2:$V$3001,'Per Line'!$D$2:$D$3001,$B397,'Per Line'!$AM$2:$AM$3001,0,'Per Line'!$AN$2:$AN$3001,0))</f>
        <v/>
      </c>
      <c r="P397" s="7">
        <f>IF($X397="","",O397*N397)</f>
        <v/>
      </c>
      <c r="Q397">
        <f>IF($X397="","",Settings!$C$6)</f>
        <v/>
      </c>
      <c r="R397" s="7">
        <f>IF($X397="","",SUMIFS('Per Line'!$V$2:$V$3001,'Per Line'!$D$2:$D$3001,$B397,'Per Line'!$AM$2:$AM$3001,1,'Per Line'!$AN$2:$AN$3001,0))</f>
        <v/>
      </c>
      <c r="S397" s="7">
        <f>IF($X397="","",R397*Q397)</f>
        <v/>
      </c>
      <c r="T397" s="7">
        <f>IF($X397="","",S397+P397)</f>
        <v/>
      </c>
      <c r="U397" s="7">
        <f>IF($X397="","",V397-T397)</f>
        <v/>
      </c>
      <c r="V397" s="7">
        <f>IF($X397="","",O397+R397+M397)</f>
        <v/>
      </c>
      <c r="W397" s="7">
        <f>IF($X397="","",V397-T397-I397)</f>
        <v/>
      </c>
      <c r="X397" s="13">
        <f>IF(ROWS($X$2:$X397)&lt;=MAX('Per Line'!$AL$2:$AL$3001),MATCH(ROWS($X$2:$X397),'Per Line'!$AL$2:$AL$3001,0),"")</f>
        <v/>
      </c>
    </row>
    <row r="398">
      <c r="A398" s="12" t="n"/>
      <c r="B398">
        <f>IF($X398="","",INDEX('Per Line'!$D$2:$D$3001,$X398)&amp;"")</f>
        <v/>
      </c>
      <c r="C398" s="11">
        <f>IF($X398="","",INDEX('Per Line'!$F$2:$F$3001,$X398))</f>
        <v/>
      </c>
      <c r="D398">
        <f>IF($X398="","",INDEX('Per Line'!$G$2:$G$3001,$X398)&amp;"")</f>
        <v/>
      </c>
      <c r="E398">
        <f>IF($X398="","",INDEX('Per Line'!$I$2:$I$3001,$X398)&amp;"")</f>
        <v/>
      </c>
      <c r="F398">
        <f>IF($X398="","",INDEX('Per Line'!$J$2:$J$3001,$X398)&amp;"")</f>
        <v/>
      </c>
      <c r="G398">
        <f>IF($X398="","",INDEX('Per Line'!$K$2:$K$3001,$X398)&amp;"")</f>
        <v/>
      </c>
      <c r="H398">
        <f>IF($X398="","",INDEX('Per Line'!$M$2:$M$3001,$X398))</f>
        <v/>
      </c>
      <c r="I398" s="7">
        <f>IF($X398="","",H398*V398/100)</f>
        <v/>
      </c>
      <c r="J398">
        <f>IF($X398="","",INDEX('Per Line'!$W$2:$W$3001,$X398)&amp;"")</f>
        <v/>
      </c>
      <c r="K398">
        <f>IF($X398="","",INDEX('Per Line'!$AD$2:$AD$3001,$X398))</f>
        <v/>
      </c>
      <c r="L398">
        <f>IF($X398="","",IF(AND(ISNUMBER(K398),K398&gt;0),V398&gt;K398,FALSE))</f>
        <v/>
      </c>
      <c r="M398" s="7">
        <f>IF($X398="","",SUMIFS('Per Line'!$V$2:$V$3001,'Per Line'!$D$2:$D$3001,$B398,'Per Line'!$AN$2:$AN$3001,1))</f>
        <v/>
      </c>
      <c r="N398">
        <f>IF($X398="","",Settings!$C$7)</f>
        <v/>
      </c>
      <c r="O398" s="7">
        <f>IF($X398="","",SUMIFS('Per Line'!$V$2:$V$3001,'Per Line'!$D$2:$D$3001,$B398,'Per Line'!$AM$2:$AM$3001,0,'Per Line'!$AN$2:$AN$3001,0))</f>
        <v/>
      </c>
      <c r="P398" s="7">
        <f>IF($X398="","",O398*N398)</f>
        <v/>
      </c>
      <c r="Q398">
        <f>IF($X398="","",Settings!$C$6)</f>
        <v/>
      </c>
      <c r="R398" s="7">
        <f>IF($X398="","",SUMIFS('Per Line'!$V$2:$V$3001,'Per Line'!$D$2:$D$3001,$B398,'Per Line'!$AM$2:$AM$3001,1,'Per Line'!$AN$2:$AN$3001,0))</f>
        <v/>
      </c>
      <c r="S398" s="7">
        <f>IF($X398="","",R398*Q398)</f>
        <v/>
      </c>
      <c r="T398" s="7">
        <f>IF($X398="","",S398+P398)</f>
        <v/>
      </c>
      <c r="U398" s="7">
        <f>IF($X398="","",V398-T398)</f>
        <v/>
      </c>
      <c r="V398" s="7">
        <f>IF($X398="","",O398+R398+M398)</f>
        <v/>
      </c>
      <c r="W398" s="7">
        <f>IF($X398="","",V398-T398-I398)</f>
        <v/>
      </c>
      <c r="X398" s="13">
        <f>IF(ROWS($X$2:$X398)&lt;=MAX('Per Line'!$AL$2:$AL$3001),MATCH(ROWS($X$2:$X398),'Per Line'!$AL$2:$AL$3001,0),"")</f>
        <v/>
      </c>
    </row>
    <row r="399">
      <c r="A399" s="12" t="n"/>
      <c r="B399">
        <f>IF($X399="","",INDEX('Per Line'!$D$2:$D$3001,$X399)&amp;"")</f>
        <v/>
      </c>
      <c r="C399" s="11">
        <f>IF($X399="","",INDEX('Per Line'!$F$2:$F$3001,$X399))</f>
        <v/>
      </c>
      <c r="D399">
        <f>IF($X399="","",INDEX('Per Line'!$G$2:$G$3001,$X399)&amp;"")</f>
        <v/>
      </c>
      <c r="E399">
        <f>IF($X399="","",INDEX('Per Line'!$I$2:$I$3001,$X399)&amp;"")</f>
        <v/>
      </c>
      <c r="F399">
        <f>IF($X399="","",INDEX('Per Line'!$J$2:$J$3001,$X399)&amp;"")</f>
        <v/>
      </c>
      <c r="G399">
        <f>IF($X399="","",INDEX('Per Line'!$K$2:$K$3001,$X399)&amp;"")</f>
        <v/>
      </c>
      <c r="H399">
        <f>IF($X399="","",INDEX('Per Line'!$M$2:$M$3001,$X399))</f>
        <v/>
      </c>
      <c r="I399" s="7">
        <f>IF($X399="","",H399*V399/100)</f>
        <v/>
      </c>
      <c r="J399">
        <f>IF($X399="","",INDEX('Per Line'!$W$2:$W$3001,$X399)&amp;"")</f>
        <v/>
      </c>
      <c r="K399">
        <f>IF($X399="","",INDEX('Per Line'!$AD$2:$AD$3001,$X399))</f>
        <v/>
      </c>
      <c r="L399">
        <f>IF($X399="","",IF(AND(ISNUMBER(K399),K399&gt;0),V399&gt;K399,FALSE))</f>
        <v/>
      </c>
      <c r="M399" s="7">
        <f>IF($X399="","",SUMIFS('Per Line'!$V$2:$V$3001,'Per Line'!$D$2:$D$3001,$B399,'Per Line'!$AN$2:$AN$3001,1))</f>
        <v/>
      </c>
      <c r="N399">
        <f>IF($X399="","",Settings!$C$7)</f>
        <v/>
      </c>
      <c r="O399" s="7">
        <f>IF($X399="","",SUMIFS('Per Line'!$V$2:$V$3001,'Per Line'!$D$2:$D$3001,$B399,'Per Line'!$AM$2:$AM$3001,0,'Per Line'!$AN$2:$AN$3001,0))</f>
        <v/>
      </c>
      <c r="P399" s="7">
        <f>IF($X399="","",O399*N399)</f>
        <v/>
      </c>
      <c r="Q399">
        <f>IF($X399="","",Settings!$C$6)</f>
        <v/>
      </c>
      <c r="R399" s="7">
        <f>IF($X399="","",SUMIFS('Per Line'!$V$2:$V$3001,'Per Line'!$D$2:$D$3001,$B399,'Per Line'!$AM$2:$AM$3001,1,'Per Line'!$AN$2:$AN$3001,0))</f>
        <v/>
      </c>
      <c r="S399" s="7">
        <f>IF($X399="","",R399*Q399)</f>
        <v/>
      </c>
      <c r="T399" s="7">
        <f>IF($X399="","",S399+P399)</f>
        <v/>
      </c>
      <c r="U399" s="7">
        <f>IF($X399="","",V399-T399)</f>
        <v/>
      </c>
      <c r="V399" s="7">
        <f>IF($X399="","",O399+R399+M399)</f>
        <v/>
      </c>
      <c r="W399" s="7">
        <f>IF($X399="","",V399-T399-I399)</f>
        <v/>
      </c>
      <c r="X399" s="13">
        <f>IF(ROWS($X$2:$X399)&lt;=MAX('Per Line'!$AL$2:$AL$3001),MATCH(ROWS($X$2:$X399),'Per Line'!$AL$2:$AL$3001,0),"")</f>
        <v/>
      </c>
    </row>
    <row r="400">
      <c r="A400" s="12" t="n"/>
      <c r="B400">
        <f>IF($X400="","",INDEX('Per Line'!$D$2:$D$3001,$X400)&amp;"")</f>
        <v/>
      </c>
      <c r="C400" s="11">
        <f>IF($X400="","",INDEX('Per Line'!$F$2:$F$3001,$X400))</f>
        <v/>
      </c>
      <c r="D400">
        <f>IF($X400="","",INDEX('Per Line'!$G$2:$G$3001,$X400)&amp;"")</f>
        <v/>
      </c>
      <c r="E400">
        <f>IF($X400="","",INDEX('Per Line'!$I$2:$I$3001,$X400)&amp;"")</f>
        <v/>
      </c>
      <c r="F400">
        <f>IF($X400="","",INDEX('Per Line'!$J$2:$J$3001,$X400)&amp;"")</f>
        <v/>
      </c>
      <c r="G400">
        <f>IF($X400="","",INDEX('Per Line'!$K$2:$K$3001,$X400)&amp;"")</f>
        <v/>
      </c>
      <c r="H400">
        <f>IF($X400="","",INDEX('Per Line'!$M$2:$M$3001,$X400))</f>
        <v/>
      </c>
      <c r="I400" s="7">
        <f>IF($X400="","",H400*V400/100)</f>
        <v/>
      </c>
      <c r="J400">
        <f>IF($X400="","",INDEX('Per Line'!$W$2:$W$3001,$X400)&amp;"")</f>
        <v/>
      </c>
      <c r="K400">
        <f>IF($X400="","",INDEX('Per Line'!$AD$2:$AD$3001,$X400))</f>
        <v/>
      </c>
      <c r="L400">
        <f>IF($X400="","",IF(AND(ISNUMBER(K400),K400&gt;0),V400&gt;K400,FALSE))</f>
        <v/>
      </c>
      <c r="M400" s="7">
        <f>IF($X400="","",SUMIFS('Per Line'!$V$2:$V$3001,'Per Line'!$D$2:$D$3001,$B400,'Per Line'!$AN$2:$AN$3001,1))</f>
        <v/>
      </c>
      <c r="N400">
        <f>IF($X400="","",Settings!$C$7)</f>
        <v/>
      </c>
      <c r="O400" s="7">
        <f>IF($X400="","",SUMIFS('Per Line'!$V$2:$V$3001,'Per Line'!$D$2:$D$3001,$B400,'Per Line'!$AM$2:$AM$3001,0,'Per Line'!$AN$2:$AN$3001,0))</f>
        <v/>
      </c>
      <c r="P400" s="7">
        <f>IF($X400="","",O400*N400)</f>
        <v/>
      </c>
      <c r="Q400">
        <f>IF($X400="","",Settings!$C$6)</f>
        <v/>
      </c>
      <c r="R400" s="7">
        <f>IF($X400="","",SUMIFS('Per Line'!$V$2:$V$3001,'Per Line'!$D$2:$D$3001,$B400,'Per Line'!$AM$2:$AM$3001,1,'Per Line'!$AN$2:$AN$3001,0))</f>
        <v/>
      </c>
      <c r="S400" s="7">
        <f>IF($X400="","",R400*Q400)</f>
        <v/>
      </c>
      <c r="T400" s="7">
        <f>IF($X400="","",S400+P400)</f>
        <v/>
      </c>
      <c r="U400" s="7">
        <f>IF($X400="","",V400-T400)</f>
        <v/>
      </c>
      <c r="V400" s="7">
        <f>IF($X400="","",O400+R400+M400)</f>
        <v/>
      </c>
      <c r="W400" s="7">
        <f>IF($X400="","",V400-T400-I400)</f>
        <v/>
      </c>
      <c r="X400" s="13">
        <f>IF(ROWS($X$2:$X400)&lt;=MAX('Per Line'!$AL$2:$AL$3001),MATCH(ROWS($X$2:$X400),'Per Line'!$AL$2:$AL$3001,0),"")</f>
        <v/>
      </c>
    </row>
    <row r="401">
      <c r="A401" s="12" t="n"/>
      <c r="B401">
        <f>IF($X401="","",INDEX('Per Line'!$D$2:$D$3001,$X401)&amp;"")</f>
        <v/>
      </c>
      <c r="C401" s="11">
        <f>IF($X401="","",INDEX('Per Line'!$F$2:$F$3001,$X401))</f>
        <v/>
      </c>
      <c r="D401">
        <f>IF($X401="","",INDEX('Per Line'!$G$2:$G$3001,$X401)&amp;"")</f>
        <v/>
      </c>
      <c r="E401">
        <f>IF($X401="","",INDEX('Per Line'!$I$2:$I$3001,$X401)&amp;"")</f>
        <v/>
      </c>
      <c r="F401">
        <f>IF($X401="","",INDEX('Per Line'!$J$2:$J$3001,$X401)&amp;"")</f>
        <v/>
      </c>
      <c r="G401">
        <f>IF($X401="","",INDEX('Per Line'!$K$2:$K$3001,$X401)&amp;"")</f>
        <v/>
      </c>
      <c r="H401">
        <f>IF($X401="","",INDEX('Per Line'!$M$2:$M$3001,$X401))</f>
        <v/>
      </c>
      <c r="I401" s="7">
        <f>IF($X401="","",H401*V401/100)</f>
        <v/>
      </c>
      <c r="J401">
        <f>IF($X401="","",INDEX('Per Line'!$W$2:$W$3001,$X401)&amp;"")</f>
        <v/>
      </c>
      <c r="K401">
        <f>IF($X401="","",INDEX('Per Line'!$AD$2:$AD$3001,$X401))</f>
        <v/>
      </c>
      <c r="L401">
        <f>IF($X401="","",IF(AND(ISNUMBER(K401),K401&gt;0),V401&gt;K401,FALSE))</f>
        <v/>
      </c>
      <c r="M401" s="7">
        <f>IF($X401="","",SUMIFS('Per Line'!$V$2:$V$3001,'Per Line'!$D$2:$D$3001,$B401,'Per Line'!$AN$2:$AN$3001,1))</f>
        <v/>
      </c>
      <c r="N401">
        <f>IF($X401="","",Settings!$C$7)</f>
        <v/>
      </c>
      <c r="O401" s="7">
        <f>IF($X401="","",SUMIFS('Per Line'!$V$2:$V$3001,'Per Line'!$D$2:$D$3001,$B401,'Per Line'!$AM$2:$AM$3001,0,'Per Line'!$AN$2:$AN$3001,0))</f>
        <v/>
      </c>
      <c r="P401" s="7">
        <f>IF($X401="","",O401*N401)</f>
        <v/>
      </c>
      <c r="Q401">
        <f>IF($X401="","",Settings!$C$6)</f>
        <v/>
      </c>
      <c r="R401" s="7">
        <f>IF($X401="","",SUMIFS('Per Line'!$V$2:$V$3001,'Per Line'!$D$2:$D$3001,$B401,'Per Line'!$AM$2:$AM$3001,1,'Per Line'!$AN$2:$AN$3001,0))</f>
        <v/>
      </c>
      <c r="S401" s="7">
        <f>IF($X401="","",R401*Q401)</f>
        <v/>
      </c>
      <c r="T401" s="7">
        <f>IF($X401="","",S401+P401)</f>
        <v/>
      </c>
      <c r="U401" s="7">
        <f>IF($X401="","",V401-T401)</f>
        <v/>
      </c>
      <c r="V401" s="7">
        <f>IF($X401="","",O401+R401+M401)</f>
        <v/>
      </c>
      <c r="W401" s="7">
        <f>IF($X401="","",V401-T401-I401)</f>
        <v/>
      </c>
      <c r="X401" s="13">
        <f>IF(ROWS($X$2:$X401)&lt;=MAX('Per Line'!$AL$2:$AL$3001),MATCH(ROWS($X$2:$X401),'Per Line'!$AL$2:$AL$3001,0),"")</f>
        <v/>
      </c>
    </row>
    <row r="402">
      <c r="A402" s="12" t="n"/>
      <c r="B402">
        <f>IF($X402="","",INDEX('Per Line'!$D$2:$D$3001,$X402)&amp;"")</f>
        <v/>
      </c>
      <c r="C402" s="11">
        <f>IF($X402="","",INDEX('Per Line'!$F$2:$F$3001,$X402))</f>
        <v/>
      </c>
      <c r="D402">
        <f>IF($X402="","",INDEX('Per Line'!$G$2:$G$3001,$X402)&amp;"")</f>
        <v/>
      </c>
      <c r="E402">
        <f>IF($X402="","",INDEX('Per Line'!$I$2:$I$3001,$X402)&amp;"")</f>
        <v/>
      </c>
      <c r="F402">
        <f>IF($X402="","",INDEX('Per Line'!$J$2:$J$3001,$X402)&amp;"")</f>
        <v/>
      </c>
      <c r="G402">
        <f>IF($X402="","",INDEX('Per Line'!$K$2:$K$3001,$X402)&amp;"")</f>
        <v/>
      </c>
      <c r="H402">
        <f>IF($X402="","",INDEX('Per Line'!$M$2:$M$3001,$X402))</f>
        <v/>
      </c>
      <c r="I402" s="7">
        <f>IF($X402="","",H402*V402/100)</f>
        <v/>
      </c>
      <c r="J402">
        <f>IF($X402="","",INDEX('Per Line'!$W$2:$W$3001,$X402)&amp;"")</f>
        <v/>
      </c>
      <c r="K402">
        <f>IF($X402="","",INDEX('Per Line'!$AD$2:$AD$3001,$X402))</f>
        <v/>
      </c>
      <c r="L402">
        <f>IF($X402="","",IF(AND(ISNUMBER(K402),K402&gt;0),V402&gt;K402,FALSE))</f>
        <v/>
      </c>
      <c r="M402" s="7">
        <f>IF($X402="","",SUMIFS('Per Line'!$V$2:$V$3001,'Per Line'!$D$2:$D$3001,$B402,'Per Line'!$AN$2:$AN$3001,1))</f>
        <v/>
      </c>
      <c r="N402">
        <f>IF($X402="","",Settings!$C$7)</f>
        <v/>
      </c>
      <c r="O402" s="7">
        <f>IF($X402="","",SUMIFS('Per Line'!$V$2:$V$3001,'Per Line'!$D$2:$D$3001,$B402,'Per Line'!$AM$2:$AM$3001,0,'Per Line'!$AN$2:$AN$3001,0))</f>
        <v/>
      </c>
      <c r="P402" s="7">
        <f>IF($X402="","",O402*N402)</f>
        <v/>
      </c>
      <c r="Q402">
        <f>IF($X402="","",Settings!$C$6)</f>
        <v/>
      </c>
      <c r="R402" s="7">
        <f>IF($X402="","",SUMIFS('Per Line'!$V$2:$V$3001,'Per Line'!$D$2:$D$3001,$B402,'Per Line'!$AM$2:$AM$3001,1,'Per Line'!$AN$2:$AN$3001,0))</f>
        <v/>
      </c>
      <c r="S402" s="7">
        <f>IF($X402="","",R402*Q402)</f>
        <v/>
      </c>
      <c r="T402" s="7">
        <f>IF($X402="","",S402+P402)</f>
        <v/>
      </c>
      <c r="U402" s="7">
        <f>IF($X402="","",V402-T402)</f>
        <v/>
      </c>
      <c r="V402" s="7">
        <f>IF($X402="","",O402+R402+M402)</f>
        <v/>
      </c>
      <c r="W402" s="7">
        <f>IF($X402="","",V402-T402-I402)</f>
        <v/>
      </c>
      <c r="X402" s="13">
        <f>IF(ROWS($X$2:$X402)&lt;=MAX('Per Line'!$AL$2:$AL$3001),MATCH(ROWS($X$2:$X402),'Per Line'!$AL$2:$AL$3001,0),"")</f>
        <v/>
      </c>
    </row>
    <row r="403">
      <c r="A403" s="12" t="n"/>
      <c r="B403">
        <f>IF($X403="","",INDEX('Per Line'!$D$2:$D$3001,$X403)&amp;"")</f>
        <v/>
      </c>
      <c r="C403" s="11">
        <f>IF($X403="","",INDEX('Per Line'!$F$2:$F$3001,$X403))</f>
        <v/>
      </c>
      <c r="D403">
        <f>IF($X403="","",INDEX('Per Line'!$G$2:$G$3001,$X403)&amp;"")</f>
        <v/>
      </c>
      <c r="E403">
        <f>IF($X403="","",INDEX('Per Line'!$I$2:$I$3001,$X403)&amp;"")</f>
        <v/>
      </c>
      <c r="F403">
        <f>IF($X403="","",INDEX('Per Line'!$J$2:$J$3001,$X403)&amp;"")</f>
        <v/>
      </c>
      <c r="G403">
        <f>IF($X403="","",INDEX('Per Line'!$K$2:$K$3001,$X403)&amp;"")</f>
        <v/>
      </c>
      <c r="H403">
        <f>IF($X403="","",INDEX('Per Line'!$M$2:$M$3001,$X403))</f>
        <v/>
      </c>
      <c r="I403" s="7">
        <f>IF($X403="","",H403*V403/100)</f>
        <v/>
      </c>
      <c r="J403">
        <f>IF($X403="","",INDEX('Per Line'!$W$2:$W$3001,$X403)&amp;"")</f>
        <v/>
      </c>
      <c r="K403">
        <f>IF($X403="","",INDEX('Per Line'!$AD$2:$AD$3001,$X403))</f>
        <v/>
      </c>
      <c r="L403">
        <f>IF($X403="","",IF(AND(ISNUMBER(K403),K403&gt;0),V403&gt;K403,FALSE))</f>
        <v/>
      </c>
      <c r="M403" s="7">
        <f>IF($X403="","",SUMIFS('Per Line'!$V$2:$V$3001,'Per Line'!$D$2:$D$3001,$B403,'Per Line'!$AN$2:$AN$3001,1))</f>
        <v/>
      </c>
      <c r="N403">
        <f>IF($X403="","",Settings!$C$7)</f>
        <v/>
      </c>
      <c r="O403" s="7">
        <f>IF($X403="","",SUMIFS('Per Line'!$V$2:$V$3001,'Per Line'!$D$2:$D$3001,$B403,'Per Line'!$AM$2:$AM$3001,0,'Per Line'!$AN$2:$AN$3001,0))</f>
        <v/>
      </c>
      <c r="P403" s="7">
        <f>IF($X403="","",O403*N403)</f>
        <v/>
      </c>
      <c r="Q403">
        <f>IF($X403="","",Settings!$C$6)</f>
        <v/>
      </c>
      <c r="R403" s="7">
        <f>IF($X403="","",SUMIFS('Per Line'!$V$2:$V$3001,'Per Line'!$D$2:$D$3001,$B403,'Per Line'!$AM$2:$AM$3001,1,'Per Line'!$AN$2:$AN$3001,0))</f>
        <v/>
      </c>
      <c r="S403" s="7">
        <f>IF($X403="","",R403*Q403)</f>
        <v/>
      </c>
      <c r="T403" s="7">
        <f>IF($X403="","",S403+P403)</f>
        <v/>
      </c>
      <c r="U403" s="7">
        <f>IF($X403="","",V403-T403)</f>
        <v/>
      </c>
      <c r="V403" s="7">
        <f>IF($X403="","",O403+R403+M403)</f>
        <v/>
      </c>
      <c r="W403" s="7">
        <f>IF($X403="","",V403-T403-I403)</f>
        <v/>
      </c>
      <c r="X403" s="13">
        <f>IF(ROWS($X$2:$X403)&lt;=MAX('Per Line'!$AL$2:$AL$3001),MATCH(ROWS($X$2:$X403),'Per Line'!$AL$2:$AL$3001,0),"")</f>
        <v/>
      </c>
    </row>
    <row r="404">
      <c r="A404" s="12" t="n"/>
      <c r="B404">
        <f>IF($X404="","",INDEX('Per Line'!$D$2:$D$3001,$X404)&amp;"")</f>
        <v/>
      </c>
      <c r="C404" s="11">
        <f>IF($X404="","",INDEX('Per Line'!$F$2:$F$3001,$X404))</f>
        <v/>
      </c>
      <c r="D404">
        <f>IF($X404="","",INDEX('Per Line'!$G$2:$G$3001,$X404)&amp;"")</f>
        <v/>
      </c>
      <c r="E404">
        <f>IF($X404="","",INDEX('Per Line'!$I$2:$I$3001,$X404)&amp;"")</f>
        <v/>
      </c>
      <c r="F404">
        <f>IF($X404="","",INDEX('Per Line'!$J$2:$J$3001,$X404)&amp;"")</f>
        <v/>
      </c>
      <c r="G404">
        <f>IF($X404="","",INDEX('Per Line'!$K$2:$K$3001,$X404)&amp;"")</f>
        <v/>
      </c>
      <c r="H404">
        <f>IF($X404="","",INDEX('Per Line'!$M$2:$M$3001,$X404))</f>
        <v/>
      </c>
      <c r="I404" s="7">
        <f>IF($X404="","",H404*V404/100)</f>
        <v/>
      </c>
      <c r="J404">
        <f>IF($X404="","",INDEX('Per Line'!$W$2:$W$3001,$X404)&amp;"")</f>
        <v/>
      </c>
      <c r="K404">
        <f>IF($X404="","",INDEX('Per Line'!$AD$2:$AD$3001,$X404))</f>
        <v/>
      </c>
      <c r="L404">
        <f>IF($X404="","",IF(AND(ISNUMBER(K404),K404&gt;0),V404&gt;K404,FALSE))</f>
        <v/>
      </c>
      <c r="M404" s="7">
        <f>IF($X404="","",SUMIFS('Per Line'!$V$2:$V$3001,'Per Line'!$D$2:$D$3001,$B404,'Per Line'!$AN$2:$AN$3001,1))</f>
        <v/>
      </c>
      <c r="N404">
        <f>IF($X404="","",Settings!$C$7)</f>
        <v/>
      </c>
      <c r="O404" s="7">
        <f>IF($X404="","",SUMIFS('Per Line'!$V$2:$V$3001,'Per Line'!$D$2:$D$3001,$B404,'Per Line'!$AM$2:$AM$3001,0,'Per Line'!$AN$2:$AN$3001,0))</f>
        <v/>
      </c>
      <c r="P404" s="7">
        <f>IF($X404="","",O404*N404)</f>
        <v/>
      </c>
      <c r="Q404">
        <f>IF($X404="","",Settings!$C$6)</f>
        <v/>
      </c>
      <c r="R404" s="7">
        <f>IF($X404="","",SUMIFS('Per Line'!$V$2:$V$3001,'Per Line'!$D$2:$D$3001,$B404,'Per Line'!$AM$2:$AM$3001,1,'Per Line'!$AN$2:$AN$3001,0))</f>
        <v/>
      </c>
      <c r="S404" s="7">
        <f>IF($X404="","",R404*Q404)</f>
        <v/>
      </c>
      <c r="T404" s="7">
        <f>IF($X404="","",S404+P404)</f>
        <v/>
      </c>
      <c r="U404" s="7">
        <f>IF($X404="","",V404-T404)</f>
        <v/>
      </c>
      <c r="V404" s="7">
        <f>IF($X404="","",O404+R404+M404)</f>
        <v/>
      </c>
      <c r="W404" s="7">
        <f>IF($X404="","",V404-T404-I404)</f>
        <v/>
      </c>
      <c r="X404" s="13">
        <f>IF(ROWS($X$2:$X404)&lt;=MAX('Per Line'!$AL$2:$AL$3001),MATCH(ROWS($X$2:$X404),'Per Line'!$AL$2:$AL$3001,0),"")</f>
        <v/>
      </c>
    </row>
    <row r="405">
      <c r="A405" s="12" t="n"/>
      <c r="B405">
        <f>IF($X405="","",INDEX('Per Line'!$D$2:$D$3001,$X405)&amp;"")</f>
        <v/>
      </c>
      <c r="C405" s="11">
        <f>IF($X405="","",INDEX('Per Line'!$F$2:$F$3001,$X405))</f>
        <v/>
      </c>
      <c r="D405">
        <f>IF($X405="","",INDEX('Per Line'!$G$2:$G$3001,$X405)&amp;"")</f>
        <v/>
      </c>
      <c r="E405">
        <f>IF($X405="","",INDEX('Per Line'!$I$2:$I$3001,$X405)&amp;"")</f>
        <v/>
      </c>
      <c r="F405">
        <f>IF($X405="","",INDEX('Per Line'!$J$2:$J$3001,$X405)&amp;"")</f>
        <v/>
      </c>
      <c r="G405">
        <f>IF($X405="","",INDEX('Per Line'!$K$2:$K$3001,$X405)&amp;"")</f>
        <v/>
      </c>
      <c r="H405">
        <f>IF($X405="","",INDEX('Per Line'!$M$2:$M$3001,$X405))</f>
        <v/>
      </c>
      <c r="I405" s="7">
        <f>IF($X405="","",H405*V405/100)</f>
        <v/>
      </c>
      <c r="J405">
        <f>IF($X405="","",INDEX('Per Line'!$W$2:$W$3001,$X405)&amp;"")</f>
        <v/>
      </c>
      <c r="K405">
        <f>IF($X405="","",INDEX('Per Line'!$AD$2:$AD$3001,$X405))</f>
        <v/>
      </c>
      <c r="L405">
        <f>IF($X405="","",IF(AND(ISNUMBER(K405),K405&gt;0),V405&gt;K405,FALSE))</f>
        <v/>
      </c>
      <c r="M405" s="7">
        <f>IF($X405="","",SUMIFS('Per Line'!$V$2:$V$3001,'Per Line'!$D$2:$D$3001,$B405,'Per Line'!$AN$2:$AN$3001,1))</f>
        <v/>
      </c>
      <c r="N405">
        <f>IF($X405="","",Settings!$C$7)</f>
        <v/>
      </c>
      <c r="O405" s="7">
        <f>IF($X405="","",SUMIFS('Per Line'!$V$2:$V$3001,'Per Line'!$D$2:$D$3001,$B405,'Per Line'!$AM$2:$AM$3001,0,'Per Line'!$AN$2:$AN$3001,0))</f>
        <v/>
      </c>
      <c r="P405" s="7">
        <f>IF($X405="","",O405*N405)</f>
        <v/>
      </c>
      <c r="Q405">
        <f>IF($X405="","",Settings!$C$6)</f>
        <v/>
      </c>
      <c r="R405" s="7">
        <f>IF($X405="","",SUMIFS('Per Line'!$V$2:$V$3001,'Per Line'!$D$2:$D$3001,$B405,'Per Line'!$AM$2:$AM$3001,1,'Per Line'!$AN$2:$AN$3001,0))</f>
        <v/>
      </c>
      <c r="S405" s="7">
        <f>IF($X405="","",R405*Q405)</f>
        <v/>
      </c>
      <c r="T405" s="7">
        <f>IF($X405="","",S405+P405)</f>
        <v/>
      </c>
      <c r="U405" s="7">
        <f>IF($X405="","",V405-T405)</f>
        <v/>
      </c>
      <c r="V405" s="7">
        <f>IF($X405="","",O405+R405+M405)</f>
        <v/>
      </c>
      <c r="W405" s="7">
        <f>IF($X405="","",V405-T405-I405)</f>
        <v/>
      </c>
      <c r="X405" s="13">
        <f>IF(ROWS($X$2:$X405)&lt;=MAX('Per Line'!$AL$2:$AL$3001),MATCH(ROWS($X$2:$X405),'Per Line'!$AL$2:$AL$3001,0),"")</f>
        <v/>
      </c>
    </row>
    <row r="406">
      <c r="A406" s="12" t="n"/>
      <c r="B406">
        <f>IF($X406="","",INDEX('Per Line'!$D$2:$D$3001,$X406)&amp;"")</f>
        <v/>
      </c>
      <c r="C406" s="11">
        <f>IF($X406="","",INDEX('Per Line'!$F$2:$F$3001,$X406))</f>
        <v/>
      </c>
      <c r="D406">
        <f>IF($X406="","",INDEX('Per Line'!$G$2:$G$3001,$X406)&amp;"")</f>
        <v/>
      </c>
      <c r="E406">
        <f>IF($X406="","",INDEX('Per Line'!$I$2:$I$3001,$X406)&amp;"")</f>
        <v/>
      </c>
      <c r="F406">
        <f>IF($X406="","",INDEX('Per Line'!$J$2:$J$3001,$X406)&amp;"")</f>
        <v/>
      </c>
      <c r="G406">
        <f>IF($X406="","",INDEX('Per Line'!$K$2:$K$3001,$X406)&amp;"")</f>
        <v/>
      </c>
      <c r="H406">
        <f>IF($X406="","",INDEX('Per Line'!$M$2:$M$3001,$X406))</f>
        <v/>
      </c>
      <c r="I406" s="7">
        <f>IF($X406="","",H406*V406/100)</f>
        <v/>
      </c>
      <c r="J406">
        <f>IF($X406="","",INDEX('Per Line'!$W$2:$W$3001,$X406)&amp;"")</f>
        <v/>
      </c>
      <c r="K406">
        <f>IF($X406="","",INDEX('Per Line'!$AD$2:$AD$3001,$X406))</f>
        <v/>
      </c>
      <c r="L406">
        <f>IF($X406="","",IF(AND(ISNUMBER(K406),K406&gt;0),V406&gt;K406,FALSE))</f>
        <v/>
      </c>
      <c r="M406" s="7">
        <f>IF($X406="","",SUMIFS('Per Line'!$V$2:$V$3001,'Per Line'!$D$2:$D$3001,$B406,'Per Line'!$AN$2:$AN$3001,1))</f>
        <v/>
      </c>
      <c r="N406">
        <f>IF($X406="","",Settings!$C$7)</f>
        <v/>
      </c>
      <c r="O406" s="7">
        <f>IF($X406="","",SUMIFS('Per Line'!$V$2:$V$3001,'Per Line'!$D$2:$D$3001,$B406,'Per Line'!$AM$2:$AM$3001,0,'Per Line'!$AN$2:$AN$3001,0))</f>
        <v/>
      </c>
      <c r="P406" s="7">
        <f>IF($X406="","",O406*N406)</f>
        <v/>
      </c>
      <c r="Q406">
        <f>IF($X406="","",Settings!$C$6)</f>
        <v/>
      </c>
      <c r="R406" s="7">
        <f>IF($X406="","",SUMIFS('Per Line'!$V$2:$V$3001,'Per Line'!$D$2:$D$3001,$B406,'Per Line'!$AM$2:$AM$3001,1,'Per Line'!$AN$2:$AN$3001,0))</f>
        <v/>
      </c>
      <c r="S406" s="7">
        <f>IF($X406="","",R406*Q406)</f>
        <v/>
      </c>
      <c r="T406" s="7">
        <f>IF($X406="","",S406+P406)</f>
        <v/>
      </c>
      <c r="U406" s="7">
        <f>IF($X406="","",V406-T406)</f>
        <v/>
      </c>
      <c r="V406" s="7">
        <f>IF($X406="","",O406+R406+M406)</f>
        <v/>
      </c>
      <c r="W406" s="7">
        <f>IF($X406="","",V406-T406-I406)</f>
        <v/>
      </c>
      <c r="X406" s="13">
        <f>IF(ROWS($X$2:$X406)&lt;=MAX('Per Line'!$AL$2:$AL$3001),MATCH(ROWS($X$2:$X406),'Per Line'!$AL$2:$AL$3001,0),"")</f>
        <v/>
      </c>
    </row>
    <row r="407">
      <c r="A407" s="12" t="n"/>
      <c r="B407">
        <f>IF($X407="","",INDEX('Per Line'!$D$2:$D$3001,$X407)&amp;"")</f>
        <v/>
      </c>
      <c r="C407" s="11">
        <f>IF($X407="","",INDEX('Per Line'!$F$2:$F$3001,$X407))</f>
        <v/>
      </c>
      <c r="D407">
        <f>IF($X407="","",INDEX('Per Line'!$G$2:$G$3001,$X407)&amp;"")</f>
        <v/>
      </c>
      <c r="E407">
        <f>IF($X407="","",INDEX('Per Line'!$I$2:$I$3001,$X407)&amp;"")</f>
        <v/>
      </c>
      <c r="F407">
        <f>IF($X407="","",INDEX('Per Line'!$J$2:$J$3001,$X407)&amp;"")</f>
        <v/>
      </c>
      <c r="G407">
        <f>IF($X407="","",INDEX('Per Line'!$K$2:$K$3001,$X407)&amp;"")</f>
        <v/>
      </c>
      <c r="H407">
        <f>IF($X407="","",INDEX('Per Line'!$M$2:$M$3001,$X407))</f>
        <v/>
      </c>
      <c r="I407" s="7">
        <f>IF($X407="","",H407*V407/100)</f>
        <v/>
      </c>
      <c r="J407">
        <f>IF($X407="","",INDEX('Per Line'!$W$2:$W$3001,$X407)&amp;"")</f>
        <v/>
      </c>
      <c r="K407">
        <f>IF($X407="","",INDEX('Per Line'!$AD$2:$AD$3001,$X407))</f>
        <v/>
      </c>
      <c r="L407">
        <f>IF($X407="","",IF(AND(ISNUMBER(K407),K407&gt;0),V407&gt;K407,FALSE))</f>
        <v/>
      </c>
      <c r="M407" s="7">
        <f>IF($X407="","",SUMIFS('Per Line'!$V$2:$V$3001,'Per Line'!$D$2:$D$3001,$B407,'Per Line'!$AN$2:$AN$3001,1))</f>
        <v/>
      </c>
      <c r="N407">
        <f>IF($X407="","",Settings!$C$7)</f>
        <v/>
      </c>
      <c r="O407" s="7">
        <f>IF($X407="","",SUMIFS('Per Line'!$V$2:$V$3001,'Per Line'!$D$2:$D$3001,$B407,'Per Line'!$AM$2:$AM$3001,0,'Per Line'!$AN$2:$AN$3001,0))</f>
        <v/>
      </c>
      <c r="P407" s="7">
        <f>IF($X407="","",O407*N407)</f>
        <v/>
      </c>
      <c r="Q407">
        <f>IF($X407="","",Settings!$C$6)</f>
        <v/>
      </c>
      <c r="R407" s="7">
        <f>IF($X407="","",SUMIFS('Per Line'!$V$2:$V$3001,'Per Line'!$D$2:$D$3001,$B407,'Per Line'!$AM$2:$AM$3001,1,'Per Line'!$AN$2:$AN$3001,0))</f>
        <v/>
      </c>
      <c r="S407" s="7">
        <f>IF($X407="","",R407*Q407)</f>
        <v/>
      </c>
      <c r="T407" s="7">
        <f>IF($X407="","",S407+P407)</f>
        <v/>
      </c>
      <c r="U407" s="7">
        <f>IF($X407="","",V407-T407)</f>
        <v/>
      </c>
      <c r="V407" s="7">
        <f>IF($X407="","",O407+R407+M407)</f>
        <v/>
      </c>
      <c r="W407" s="7">
        <f>IF($X407="","",V407-T407-I407)</f>
        <v/>
      </c>
      <c r="X407" s="13">
        <f>IF(ROWS($X$2:$X407)&lt;=MAX('Per Line'!$AL$2:$AL$3001),MATCH(ROWS($X$2:$X407),'Per Line'!$AL$2:$AL$3001,0),"")</f>
        <v/>
      </c>
    </row>
    <row r="408">
      <c r="A408" s="12" t="n"/>
      <c r="B408">
        <f>IF($X408="","",INDEX('Per Line'!$D$2:$D$3001,$X408)&amp;"")</f>
        <v/>
      </c>
      <c r="C408" s="11">
        <f>IF($X408="","",INDEX('Per Line'!$F$2:$F$3001,$X408))</f>
        <v/>
      </c>
      <c r="D408">
        <f>IF($X408="","",INDEX('Per Line'!$G$2:$G$3001,$X408)&amp;"")</f>
        <v/>
      </c>
      <c r="E408">
        <f>IF($X408="","",INDEX('Per Line'!$I$2:$I$3001,$X408)&amp;"")</f>
        <v/>
      </c>
      <c r="F408">
        <f>IF($X408="","",INDEX('Per Line'!$J$2:$J$3001,$X408)&amp;"")</f>
        <v/>
      </c>
      <c r="G408">
        <f>IF($X408="","",INDEX('Per Line'!$K$2:$K$3001,$X408)&amp;"")</f>
        <v/>
      </c>
      <c r="H408">
        <f>IF($X408="","",INDEX('Per Line'!$M$2:$M$3001,$X408))</f>
        <v/>
      </c>
      <c r="I408" s="7">
        <f>IF($X408="","",H408*V408/100)</f>
        <v/>
      </c>
      <c r="J408">
        <f>IF($X408="","",INDEX('Per Line'!$W$2:$W$3001,$X408)&amp;"")</f>
        <v/>
      </c>
      <c r="K408">
        <f>IF($X408="","",INDEX('Per Line'!$AD$2:$AD$3001,$X408))</f>
        <v/>
      </c>
      <c r="L408">
        <f>IF($X408="","",IF(AND(ISNUMBER(K408),K408&gt;0),V408&gt;K408,FALSE))</f>
        <v/>
      </c>
      <c r="M408" s="7">
        <f>IF($X408="","",SUMIFS('Per Line'!$V$2:$V$3001,'Per Line'!$D$2:$D$3001,$B408,'Per Line'!$AN$2:$AN$3001,1))</f>
        <v/>
      </c>
      <c r="N408">
        <f>IF($X408="","",Settings!$C$7)</f>
        <v/>
      </c>
      <c r="O408" s="7">
        <f>IF($X408="","",SUMIFS('Per Line'!$V$2:$V$3001,'Per Line'!$D$2:$D$3001,$B408,'Per Line'!$AM$2:$AM$3001,0,'Per Line'!$AN$2:$AN$3001,0))</f>
        <v/>
      </c>
      <c r="P408" s="7">
        <f>IF($X408="","",O408*N408)</f>
        <v/>
      </c>
      <c r="Q408">
        <f>IF($X408="","",Settings!$C$6)</f>
        <v/>
      </c>
      <c r="R408" s="7">
        <f>IF($X408="","",SUMIFS('Per Line'!$V$2:$V$3001,'Per Line'!$D$2:$D$3001,$B408,'Per Line'!$AM$2:$AM$3001,1,'Per Line'!$AN$2:$AN$3001,0))</f>
        <v/>
      </c>
      <c r="S408" s="7">
        <f>IF($X408="","",R408*Q408)</f>
        <v/>
      </c>
      <c r="T408" s="7">
        <f>IF($X408="","",S408+P408)</f>
        <v/>
      </c>
      <c r="U408" s="7">
        <f>IF($X408="","",V408-T408)</f>
        <v/>
      </c>
      <c r="V408" s="7">
        <f>IF($X408="","",O408+R408+M408)</f>
        <v/>
      </c>
      <c r="W408" s="7">
        <f>IF($X408="","",V408-T408-I408)</f>
        <v/>
      </c>
      <c r="X408" s="13">
        <f>IF(ROWS($X$2:$X408)&lt;=MAX('Per Line'!$AL$2:$AL$3001),MATCH(ROWS($X$2:$X408),'Per Line'!$AL$2:$AL$3001,0),"")</f>
        <v/>
      </c>
    </row>
    <row r="409">
      <c r="A409" s="12" t="n"/>
      <c r="B409">
        <f>IF($X409="","",INDEX('Per Line'!$D$2:$D$3001,$X409)&amp;"")</f>
        <v/>
      </c>
      <c r="C409" s="11">
        <f>IF($X409="","",INDEX('Per Line'!$F$2:$F$3001,$X409))</f>
        <v/>
      </c>
      <c r="D409">
        <f>IF($X409="","",INDEX('Per Line'!$G$2:$G$3001,$X409)&amp;"")</f>
        <v/>
      </c>
      <c r="E409">
        <f>IF($X409="","",INDEX('Per Line'!$I$2:$I$3001,$X409)&amp;"")</f>
        <v/>
      </c>
      <c r="F409">
        <f>IF($X409="","",INDEX('Per Line'!$J$2:$J$3001,$X409)&amp;"")</f>
        <v/>
      </c>
      <c r="G409">
        <f>IF($X409="","",INDEX('Per Line'!$K$2:$K$3001,$X409)&amp;"")</f>
        <v/>
      </c>
      <c r="H409">
        <f>IF($X409="","",INDEX('Per Line'!$M$2:$M$3001,$X409))</f>
        <v/>
      </c>
      <c r="I409" s="7">
        <f>IF($X409="","",H409*V409/100)</f>
        <v/>
      </c>
      <c r="J409">
        <f>IF($X409="","",INDEX('Per Line'!$W$2:$W$3001,$X409)&amp;"")</f>
        <v/>
      </c>
      <c r="K409">
        <f>IF($X409="","",INDEX('Per Line'!$AD$2:$AD$3001,$X409))</f>
        <v/>
      </c>
      <c r="L409">
        <f>IF($X409="","",IF(AND(ISNUMBER(K409),K409&gt;0),V409&gt;K409,FALSE))</f>
        <v/>
      </c>
      <c r="M409" s="7">
        <f>IF($X409="","",SUMIFS('Per Line'!$V$2:$V$3001,'Per Line'!$D$2:$D$3001,$B409,'Per Line'!$AN$2:$AN$3001,1))</f>
        <v/>
      </c>
      <c r="N409">
        <f>IF($X409="","",Settings!$C$7)</f>
        <v/>
      </c>
      <c r="O409" s="7">
        <f>IF($X409="","",SUMIFS('Per Line'!$V$2:$V$3001,'Per Line'!$D$2:$D$3001,$B409,'Per Line'!$AM$2:$AM$3001,0,'Per Line'!$AN$2:$AN$3001,0))</f>
        <v/>
      </c>
      <c r="P409" s="7">
        <f>IF($X409="","",O409*N409)</f>
        <v/>
      </c>
      <c r="Q409">
        <f>IF($X409="","",Settings!$C$6)</f>
        <v/>
      </c>
      <c r="R409" s="7">
        <f>IF($X409="","",SUMIFS('Per Line'!$V$2:$V$3001,'Per Line'!$D$2:$D$3001,$B409,'Per Line'!$AM$2:$AM$3001,1,'Per Line'!$AN$2:$AN$3001,0))</f>
        <v/>
      </c>
      <c r="S409" s="7">
        <f>IF($X409="","",R409*Q409)</f>
        <v/>
      </c>
      <c r="T409" s="7">
        <f>IF($X409="","",S409+P409)</f>
        <v/>
      </c>
      <c r="U409" s="7">
        <f>IF($X409="","",V409-T409)</f>
        <v/>
      </c>
      <c r="V409" s="7">
        <f>IF($X409="","",O409+R409+M409)</f>
        <v/>
      </c>
      <c r="W409" s="7">
        <f>IF($X409="","",V409-T409-I409)</f>
        <v/>
      </c>
      <c r="X409" s="13">
        <f>IF(ROWS($X$2:$X409)&lt;=MAX('Per Line'!$AL$2:$AL$3001),MATCH(ROWS($X$2:$X409),'Per Line'!$AL$2:$AL$3001,0),"")</f>
        <v/>
      </c>
    </row>
    <row r="410">
      <c r="A410" s="12" t="n"/>
      <c r="B410">
        <f>IF($X410="","",INDEX('Per Line'!$D$2:$D$3001,$X410)&amp;"")</f>
        <v/>
      </c>
      <c r="C410" s="11">
        <f>IF($X410="","",INDEX('Per Line'!$F$2:$F$3001,$X410))</f>
        <v/>
      </c>
      <c r="D410">
        <f>IF($X410="","",INDEX('Per Line'!$G$2:$G$3001,$X410)&amp;"")</f>
        <v/>
      </c>
      <c r="E410">
        <f>IF($X410="","",INDEX('Per Line'!$I$2:$I$3001,$X410)&amp;"")</f>
        <v/>
      </c>
      <c r="F410">
        <f>IF($X410="","",INDEX('Per Line'!$J$2:$J$3001,$X410)&amp;"")</f>
        <v/>
      </c>
      <c r="G410">
        <f>IF($X410="","",INDEX('Per Line'!$K$2:$K$3001,$X410)&amp;"")</f>
        <v/>
      </c>
      <c r="H410">
        <f>IF($X410="","",INDEX('Per Line'!$M$2:$M$3001,$X410))</f>
        <v/>
      </c>
      <c r="I410" s="7">
        <f>IF($X410="","",H410*V410/100)</f>
        <v/>
      </c>
      <c r="J410">
        <f>IF($X410="","",INDEX('Per Line'!$W$2:$W$3001,$X410)&amp;"")</f>
        <v/>
      </c>
      <c r="K410">
        <f>IF($X410="","",INDEX('Per Line'!$AD$2:$AD$3001,$X410))</f>
        <v/>
      </c>
      <c r="L410">
        <f>IF($X410="","",IF(AND(ISNUMBER(K410),K410&gt;0),V410&gt;K410,FALSE))</f>
        <v/>
      </c>
      <c r="M410" s="7">
        <f>IF($X410="","",SUMIFS('Per Line'!$V$2:$V$3001,'Per Line'!$D$2:$D$3001,$B410,'Per Line'!$AN$2:$AN$3001,1))</f>
        <v/>
      </c>
      <c r="N410">
        <f>IF($X410="","",Settings!$C$7)</f>
        <v/>
      </c>
      <c r="O410" s="7">
        <f>IF($X410="","",SUMIFS('Per Line'!$V$2:$V$3001,'Per Line'!$D$2:$D$3001,$B410,'Per Line'!$AM$2:$AM$3001,0,'Per Line'!$AN$2:$AN$3001,0))</f>
        <v/>
      </c>
      <c r="P410" s="7">
        <f>IF($X410="","",O410*N410)</f>
        <v/>
      </c>
      <c r="Q410">
        <f>IF($X410="","",Settings!$C$6)</f>
        <v/>
      </c>
      <c r="R410" s="7">
        <f>IF($X410="","",SUMIFS('Per Line'!$V$2:$V$3001,'Per Line'!$D$2:$D$3001,$B410,'Per Line'!$AM$2:$AM$3001,1,'Per Line'!$AN$2:$AN$3001,0))</f>
        <v/>
      </c>
      <c r="S410" s="7">
        <f>IF($X410="","",R410*Q410)</f>
        <v/>
      </c>
      <c r="T410" s="7">
        <f>IF($X410="","",S410+P410)</f>
        <v/>
      </c>
      <c r="U410" s="7">
        <f>IF($X410="","",V410-T410)</f>
        <v/>
      </c>
      <c r="V410" s="7">
        <f>IF($X410="","",O410+R410+M410)</f>
        <v/>
      </c>
      <c r="W410" s="7">
        <f>IF($X410="","",V410-T410-I410)</f>
        <v/>
      </c>
      <c r="X410" s="13">
        <f>IF(ROWS($X$2:$X410)&lt;=MAX('Per Line'!$AL$2:$AL$3001),MATCH(ROWS($X$2:$X410),'Per Line'!$AL$2:$AL$3001,0),"")</f>
        <v/>
      </c>
    </row>
    <row r="411">
      <c r="A411" s="12" t="n"/>
      <c r="B411">
        <f>IF($X411="","",INDEX('Per Line'!$D$2:$D$3001,$X411)&amp;"")</f>
        <v/>
      </c>
      <c r="C411" s="11">
        <f>IF($X411="","",INDEX('Per Line'!$F$2:$F$3001,$X411))</f>
        <v/>
      </c>
      <c r="D411">
        <f>IF($X411="","",INDEX('Per Line'!$G$2:$G$3001,$X411)&amp;"")</f>
        <v/>
      </c>
      <c r="E411">
        <f>IF($X411="","",INDEX('Per Line'!$I$2:$I$3001,$X411)&amp;"")</f>
        <v/>
      </c>
      <c r="F411">
        <f>IF($X411="","",INDEX('Per Line'!$J$2:$J$3001,$X411)&amp;"")</f>
        <v/>
      </c>
      <c r="G411">
        <f>IF($X411="","",INDEX('Per Line'!$K$2:$K$3001,$X411)&amp;"")</f>
        <v/>
      </c>
      <c r="H411">
        <f>IF($X411="","",INDEX('Per Line'!$M$2:$M$3001,$X411))</f>
        <v/>
      </c>
      <c r="I411" s="7">
        <f>IF($X411="","",H411*V411/100)</f>
        <v/>
      </c>
      <c r="J411">
        <f>IF($X411="","",INDEX('Per Line'!$W$2:$W$3001,$X411)&amp;"")</f>
        <v/>
      </c>
      <c r="K411">
        <f>IF($X411="","",INDEX('Per Line'!$AD$2:$AD$3001,$X411))</f>
        <v/>
      </c>
      <c r="L411">
        <f>IF($X411="","",IF(AND(ISNUMBER(K411),K411&gt;0),V411&gt;K411,FALSE))</f>
        <v/>
      </c>
      <c r="M411" s="7">
        <f>IF($X411="","",SUMIFS('Per Line'!$V$2:$V$3001,'Per Line'!$D$2:$D$3001,$B411,'Per Line'!$AN$2:$AN$3001,1))</f>
        <v/>
      </c>
      <c r="N411">
        <f>IF($X411="","",Settings!$C$7)</f>
        <v/>
      </c>
      <c r="O411" s="7">
        <f>IF($X411="","",SUMIFS('Per Line'!$V$2:$V$3001,'Per Line'!$D$2:$D$3001,$B411,'Per Line'!$AM$2:$AM$3001,0,'Per Line'!$AN$2:$AN$3001,0))</f>
        <v/>
      </c>
      <c r="P411" s="7">
        <f>IF($X411="","",O411*N411)</f>
        <v/>
      </c>
      <c r="Q411">
        <f>IF($X411="","",Settings!$C$6)</f>
        <v/>
      </c>
      <c r="R411" s="7">
        <f>IF($X411="","",SUMIFS('Per Line'!$V$2:$V$3001,'Per Line'!$D$2:$D$3001,$B411,'Per Line'!$AM$2:$AM$3001,1,'Per Line'!$AN$2:$AN$3001,0))</f>
        <v/>
      </c>
      <c r="S411" s="7">
        <f>IF($X411="","",R411*Q411)</f>
        <v/>
      </c>
      <c r="T411" s="7">
        <f>IF($X411="","",S411+P411)</f>
        <v/>
      </c>
      <c r="U411" s="7">
        <f>IF($X411="","",V411-T411)</f>
        <v/>
      </c>
      <c r="V411" s="7">
        <f>IF($X411="","",O411+R411+M411)</f>
        <v/>
      </c>
      <c r="W411" s="7">
        <f>IF($X411="","",V411-T411-I411)</f>
        <v/>
      </c>
      <c r="X411" s="13">
        <f>IF(ROWS($X$2:$X411)&lt;=MAX('Per Line'!$AL$2:$AL$3001),MATCH(ROWS($X$2:$X411),'Per Line'!$AL$2:$AL$3001,0),"")</f>
        <v/>
      </c>
    </row>
    <row r="412">
      <c r="A412" s="12" t="n"/>
      <c r="B412">
        <f>IF($X412="","",INDEX('Per Line'!$D$2:$D$3001,$X412)&amp;"")</f>
        <v/>
      </c>
      <c r="C412" s="11">
        <f>IF($X412="","",INDEX('Per Line'!$F$2:$F$3001,$X412))</f>
        <v/>
      </c>
      <c r="D412">
        <f>IF($X412="","",INDEX('Per Line'!$G$2:$G$3001,$X412)&amp;"")</f>
        <v/>
      </c>
      <c r="E412">
        <f>IF($X412="","",INDEX('Per Line'!$I$2:$I$3001,$X412)&amp;"")</f>
        <v/>
      </c>
      <c r="F412">
        <f>IF($X412="","",INDEX('Per Line'!$J$2:$J$3001,$X412)&amp;"")</f>
        <v/>
      </c>
      <c r="G412">
        <f>IF($X412="","",INDEX('Per Line'!$K$2:$K$3001,$X412)&amp;"")</f>
        <v/>
      </c>
      <c r="H412">
        <f>IF($X412="","",INDEX('Per Line'!$M$2:$M$3001,$X412))</f>
        <v/>
      </c>
      <c r="I412" s="7">
        <f>IF($X412="","",H412*V412/100)</f>
        <v/>
      </c>
      <c r="J412">
        <f>IF($X412="","",INDEX('Per Line'!$W$2:$W$3001,$X412)&amp;"")</f>
        <v/>
      </c>
      <c r="K412">
        <f>IF($X412="","",INDEX('Per Line'!$AD$2:$AD$3001,$X412))</f>
        <v/>
      </c>
      <c r="L412">
        <f>IF($X412="","",IF(AND(ISNUMBER(K412),K412&gt;0),V412&gt;K412,FALSE))</f>
        <v/>
      </c>
      <c r="M412" s="7">
        <f>IF($X412="","",SUMIFS('Per Line'!$V$2:$V$3001,'Per Line'!$D$2:$D$3001,$B412,'Per Line'!$AN$2:$AN$3001,1))</f>
        <v/>
      </c>
      <c r="N412">
        <f>IF($X412="","",Settings!$C$7)</f>
        <v/>
      </c>
      <c r="O412" s="7">
        <f>IF($X412="","",SUMIFS('Per Line'!$V$2:$V$3001,'Per Line'!$D$2:$D$3001,$B412,'Per Line'!$AM$2:$AM$3001,0,'Per Line'!$AN$2:$AN$3001,0))</f>
        <v/>
      </c>
      <c r="P412" s="7">
        <f>IF($X412="","",O412*N412)</f>
        <v/>
      </c>
      <c r="Q412">
        <f>IF($X412="","",Settings!$C$6)</f>
        <v/>
      </c>
      <c r="R412" s="7">
        <f>IF($X412="","",SUMIFS('Per Line'!$V$2:$V$3001,'Per Line'!$D$2:$D$3001,$B412,'Per Line'!$AM$2:$AM$3001,1,'Per Line'!$AN$2:$AN$3001,0))</f>
        <v/>
      </c>
      <c r="S412" s="7">
        <f>IF($X412="","",R412*Q412)</f>
        <v/>
      </c>
      <c r="T412" s="7">
        <f>IF($X412="","",S412+P412)</f>
        <v/>
      </c>
      <c r="U412" s="7">
        <f>IF($X412="","",V412-T412)</f>
        <v/>
      </c>
      <c r="V412" s="7">
        <f>IF($X412="","",O412+R412+M412)</f>
        <v/>
      </c>
      <c r="W412" s="7">
        <f>IF($X412="","",V412-T412-I412)</f>
        <v/>
      </c>
      <c r="X412" s="13">
        <f>IF(ROWS($X$2:$X412)&lt;=MAX('Per Line'!$AL$2:$AL$3001),MATCH(ROWS($X$2:$X412),'Per Line'!$AL$2:$AL$3001,0),"")</f>
        <v/>
      </c>
    </row>
    <row r="413">
      <c r="A413" s="12" t="n"/>
      <c r="B413">
        <f>IF($X413="","",INDEX('Per Line'!$D$2:$D$3001,$X413)&amp;"")</f>
        <v/>
      </c>
      <c r="C413" s="11">
        <f>IF($X413="","",INDEX('Per Line'!$F$2:$F$3001,$X413))</f>
        <v/>
      </c>
      <c r="D413">
        <f>IF($X413="","",INDEX('Per Line'!$G$2:$G$3001,$X413)&amp;"")</f>
        <v/>
      </c>
      <c r="E413">
        <f>IF($X413="","",INDEX('Per Line'!$I$2:$I$3001,$X413)&amp;"")</f>
        <v/>
      </c>
      <c r="F413">
        <f>IF($X413="","",INDEX('Per Line'!$J$2:$J$3001,$X413)&amp;"")</f>
        <v/>
      </c>
      <c r="G413">
        <f>IF($X413="","",INDEX('Per Line'!$K$2:$K$3001,$X413)&amp;"")</f>
        <v/>
      </c>
      <c r="H413">
        <f>IF($X413="","",INDEX('Per Line'!$M$2:$M$3001,$X413))</f>
        <v/>
      </c>
      <c r="I413" s="7">
        <f>IF($X413="","",H413*V413/100)</f>
        <v/>
      </c>
      <c r="J413">
        <f>IF($X413="","",INDEX('Per Line'!$W$2:$W$3001,$X413)&amp;"")</f>
        <v/>
      </c>
      <c r="K413">
        <f>IF($X413="","",INDEX('Per Line'!$AD$2:$AD$3001,$X413))</f>
        <v/>
      </c>
      <c r="L413">
        <f>IF($X413="","",IF(AND(ISNUMBER(K413),K413&gt;0),V413&gt;K413,FALSE))</f>
        <v/>
      </c>
      <c r="M413" s="7">
        <f>IF($X413="","",SUMIFS('Per Line'!$V$2:$V$3001,'Per Line'!$D$2:$D$3001,$B413,'Per Line'!$AN$2:$AN$3001,1))</f>
        <v/>
      </c>
      <c r="N413">
        <f>IF($X413="","",Settings!$C$7)</f>
        <v/>
      </c>
      <c r="O413" s="7">
        <f>IF($X413="","",SUMIFS('Per Line'!$V$2:$V$3001,'Per Line'!$D$2:$D$3001,$B413,'Per Line'!$AM$2:$AM$3001,0,'Per Line'!$AN$2:$AN$3001,0))</f>
        <v/>
      </c>
      <c r="P413" s="7">
        <f>IF($X413="","",O413*N413)</f>
        <v/>
      </c>
      <c r="Q413">
        <f>IF($X413="","",Settings!$C$6)</f>
        <v/>
      </c>
      <c r="R413" s="7">
        <f>IF($X413="","",SUMIFS('Per Line'!$V$2:$V$3001,'Per Line'!$D$2:$D$3001,$B413,'Per Line'!$AM$2:$AM$3001,1,'Per Line'!$AN$2:$AN$3001,0))</f>
        <v/>
      </c>
      <c r="S413" s="7">
        <f>IF($X413="","",R413*Q413)</f>
        <v/>
      </c>
      <c r="T413" s="7">
        <f>IF($X413="","",S413+P413)</f>
        <v/>
      </c>
      <c r="U413" s="7">
        <f>IF($X413="","",V413-T413)</f>
        <v/>
      </c>
      <c r="V413" s="7">
        <f>IF($X413="","",O413+R413+M413)</f>
        <v/>
      </c>
      <c r="W413" s="7">
        <f>IF($X413="","",V413-T413-I413)</f>
        <v/>
      </c>
      <c r="X413" s="13">
        <f>IF(ROWS($X$2:$X413)&lt;=MAX('Per Line'!$AL$2:$AL$3001),MATCH(ROWS($X$2:$X413),'Per Line'!$AL$2:$AL$3001,0),"")</f>
        <v/>
      </c>
    </row>
    <row r="414">
      <c r="A414" s="12" t="n"/>
      <c r="B414">
        <f>IF($X414="","",INDEX('Per Line'!$D$2:$D$3001,$X414)&amp;"")</f>
        <v/>
      </c>
      <c r="C414" s="11">
        <f>IF($X414="","",INDEX('Per Line'!$F$2:$F$3001,$X414))</f>
        <v/>
      </c>
      <c r="D414">
        <f>IF($X414="","",INDEX('Per Line'!$G$2:$G$3001,$X414)&amp;"")</f>
        <v/>
      </c>
      <c r="E414">
        <f>IF($X414="","",INDEX('Per Line'!$I$2:$I$3001,$X414)&amp;"")</f>
        <v/>
      </c>
      <c r="F414">
        <f>IF($X414="","",INDEX('Per Line'!$J$2:$J$3001,$X414)&amp;"")</f>
        <v/>
      </c>
      <c r="G414">
        <f>IF($X414="","",INDEX('Per Line'!$K$2:$K$3001,$X414)&amp;"")</f>
        <v/>
      </c>
      <c r="H414">
        <f>IF($X414="","",INDEX('Per Line'!$M$2:$M$3001,$X414))</f>
        <v/>
      </c>
      <c r="I414" s="7">
        <f>IF($X414="","",H414*V414/100)</f>
        <v/>
      </c>
      <c r="J414">
        <f>IF($X414="","",INDEX('Per Line'!$W$2:$W$3001,$X414)&amp;"")</f>
        <v/>
      </c>
      <c r="K414">
        <f>IF($X414="","",INDEX('Per Line'!$AD$2:$AD$3001,$X414))</f>
        <v/>
      </c>
      <c r="L414">
        <f>IF($X414="","",IF(AND(ISNUMBER(K414),K414&gt;0),V414&gt;K414,FALSE))</f>
        <v/>
      </c>
      <c r="M414" s="7">
        <f>IF($X414="","",SUMIFS('Per Line'!$V$2:$V$3001,'Per Line'!$D$2:$D$3001,$B414,'Per Line'!$AN$2:$AN$3001,1))</f>
        <v/>
      </c>
      <c r="N414">
        <f>IF($X414="","",Settings!$C$7)</f>
        <v/>
      </c>
      <c r="O414" s="7">
        <f>IF($X414="","",SUMIFS('Per Line'!$V$2:$V$3001,'Per Line'!$D$2:$D$3001,$B414,'Per Line'!$AM$2:$AM$3001,0,'Per Line'!$AN$2:$AN$3001,0))</f>
        <v/>
      </c>
      <c r="P414" s="7">
        <f>IF($X414="","",O414*N414)</f>
        <v/>
      </c>
      <c r="Q414">
        <f>IF($X414="","",Settings!$C$6)</f>
        <v/>
      </c>
      <c r="R414" s="7">
        <f>IF($X414="","",SUMIFS('Per Line'!$V$2:$V$3001,'Per Line'!$D$2:$D$3001,$B414,'Per Line'!$AM$2:$AM$3001,1,'Per Line'!$AN$2:$AN$3001,0))</f>
        <v/>
      </c>
      <c r="S414" s="7">
        <f>IF($X414="","",R414*Q414)</f>
        <v/>
      </c>
      <c r="T414" s="7">
        <f>IF($X414="","",S414+P414)</f>
        <v/>
      </c>
      <c r="U414" s="7">
        <f>IF($X414="","",V414-T414)</f>
        <v/>
      </c>
      <c r="V414" s="7">
        <f>IF($X414="","",O414+R414+M414)</f>
        <v/>
      </c>
      <c r="W414" s="7">
        <f>IF($X414="","",V414-T414-I414)</f>
        <v/>
      </c>
      <c r="X414" s="13">
        <f>IF(ROWS($X$2:$X414)&lt;=MAX('Per Line'!$AL$2:$AL$3001),MATCH(ROWS($X$2:$X414),'Per Line'!$AL$2:$AL$3001,0),"")</f>
        <v/>
      </c>
    </row>
    <row r="415">
      <c r="A415" s="12" t="n"/>
      <c r="B415">
        <f>IF($X415="","",INDEX('Per Line'!$D$2:$D$3001,$X415)&amp;"")</f>
        <v/>
      </c>
      <c r="C415" s="11">
        <f>IF($X415="","",INDEX('Per Line'!$F$2:$F$3001,$X415))</f>
        <v/>
      </c>
      <c r="D415">
        <f>IF($X415="","",INDEX('Per Line'!$G$2:$G$3001,$X415)&amp;"")</f>
        <v/>
      </c>
      <c r="E415">
        <f>IF($X415="","",INDEX('Per Line'!$I$2:$I$3001,$X415)&amp;"")</f>
        <v/>
      </c>
      <c r="F415">
        <f>IF($X415="","",INDEX('Per Line'!$J$2:$J$3001,$X415)&amp;"")</f>
        <v/>
      </c>
      <c r="G415">
        <f>IF($X415="","",INDEX('Per Line'!$K$2:$K$3001,$X415)&amp;"")</f>
        <v/>
      </c>
      <c r="H415">
        <f>IF($X415="","",INDEX('Per Line'!$M$2:$M$3001,$X415))</f>
        <v/>
      </c>
      <c r="I415" s="7">
        <f>IF($X415="","",H415*V415/100)</f>
        <v/>
      </c>
      <c r="J415">
        <f>IF($X415="","",INDEX('Per Line'!$W$2:$W$3001,$X415)&amp;"")</f>
        <v/>
      </c>
      <c r="K415">
        <f>IF($X415="","",INDEX('Per Line'!$AD$2:$AD$3001,$X415))</f>
        <v/>
      </c>
      <c r="L415">
        <f>IF($X415="","",IF(AND(ISNUMBER(K415),K415&gt;0),V415&gt;K415,FALSE))</f>
        <v/>
      </c>
      <c r="M415" s="7">
        <f>IF($X415="","",SUMIFS('Per Line'!$V$2:$V$3001,'Per Line'!$D$2:$D$3001,$B415,'Per Line'!$AN$2:$AN$3001,1))</f>
        <v/>
      </c>
      <c r="N415">
        <f>IF($X415="","",Settings!$C$7)</f>
        <v/>
      </c>
      <c r="O415" s="7">
        <f>IF($X415="","",SUMIFS('Per Line'!$V$2:$V$3001,'Per Line'!$D$2:$D$3001,$B415,'Per Line'!$AM$2:$AM$3001,0,'Per Line'!$AN$2:$AN$3001,0))</f>
        <v/>
      </c>
      <c r="P415" s="7">
        <f>IF($X415="","",O415*N415)</f>
        <v/>
      </c>
      <c r="Q415">
        <f>IF($X415="","",Settings!$C$6)</f>
        <v/>
      </c>
      <c r="R415" s="7">
        <f>IF($X415="","",SUMIFS('Per Line'!$V$2:$V$3001,'Per Line'!$D$2:$D$3001,$B415,'Per Line'!$AM$2:$AM$3001,1,'Per Line'!$AN$2:$AN$3001,0))</f>
        <v/>
      </c>
      <c r="S415" s="7">
        <f>IF($X415="","",R415*Q415)</f>
        <v/>
      </c>
      <c r="T415" s="7">
        <f>IF($X415="","",S415+P415)</f>
        <v/>
      </c>
      <c r="U415" s="7">
        <f>IF($X415="","",V415-T415)</f>
        <v/>
      </c>
      <c r="V415" s="7">
        <f>IF($X415="","",O415+R415+M415)</f>
        <v/>
      </c>
      <c r="W415" s="7">
        <f>IF($X415="","",V415-T415-I415)</f>
        <v/>
      </c>
      <c r="X415" s="13">
        <f>IF(ROWS($X$2:$X415)&lt;=MAX('Per Line'!$AL$2:$AL$3001),MATCH(ROWS($X$2:$X415),'Per Line'!$AL$2:$AL$3001,0),"")</f>
        <v/>
      </c>
    </row>
    <row r="416">
      <c r="A416" s="12" t="n"/>
      <c r="B416">
        <f>IF($X416="","",INDEX('Per Line'!$D$2:$D$3001,$X416)&amp;"")</f>
        <v/>
      </c>
      <c r="C416" s="11">
        <f>IF($X416="","",INDEX('Per Line'!$F$2:$F$3001,$X416))</f>
        <v/>
      </c>
      <c r="D416">
        <f>IF($X416="","",INDEX('Per Line'!$G$2:$G$3001,$X416)&amp;"")</f>
        <v/>
      </c>
      <c r="E416">
        <f>IF($X416="","",INDEX('Per Line'!$I$2:$I$3001,$X416)&amp;"")</f>
        <v/>
      </c>
      <c r="F416">
        <f>IF($X416="","",INDEX('Per Line'!$J$2:$J$3001,$X416)&amp;"")</f>
        <v/>
      </c>
      <c r="G416">
        <f>IF($X416="","",INDEX('Per Line'!$K$2:$K$3001,$X416)&amp;"")</f>
        <v/>
      </c>
      <c r="H416">
        <f>IF($X416="","",INDEX('Per Line'!$M$2:$M$3001,$X416))</f>
        <v/>
      </c>
      <c r="I416" s="7">
        <f>IF($X416="","",H416*V416/100)</f>
        <v/>
      </c>
      <c r="J416">
        <f>IF($X416="","",INDEX('Per Line'!$W$2:$W$3001,$X416)&amp;"")</f>
        <v/>
      </c>
      <c r="K416">
        <f>IF($X416="","",INDEX('Per Line'!$AD$2:$AD$3001,$X416))</f>
        <v/>
      </c>
      <c r="L416">
        <f>IF($X416="","",IF(AND(ISNUMBER(K416),K416&gt;0),V416&gt;K416,FALSE))</f>
        <v/>
      </c>
      <c r="M416" s="7">
        <f>IF($X416="","",SUMIFS('Per Line'!$V$2:$V$3001,'Per Line'!$D$2:$D$3001,$B416,'Per Line'!$AN$2:$AN$3001,1))</f>
        <v/>
      </c>
      <c r="N416">
        <f>IF($X416="","",Settings!$C$7)</f>
        <v/>
      </c>
      <c r="O416" s="7">
        <f>IF($X416="","",SUMIFS('Per Line'!$V$2:$V$3001,'Per Line'!$D$2:$D$3001,$B416,'Per Line'!$AM$2:$AM$3001,0,'Per Line'!$AN$2:$AN$3001,0))</f>
        <v/>
      </c>
      <c r="P416" s="7">
        <f>IF($X416="","",O416*N416)</f>
        <v/>
      </c>
      <c r="Q416">
        <f>IF($X416="","",Settings!$C$6)</f>
        <v/>
      </c>
      <c r="R416" s="7">
        <f>IF($X416="","",SUMIFS('Per Line'!$V$2:$V$3001,'Per Line'!$D$2:$D$3001,$B416,'Per Line'!$AM$2:$AM$3001,1,'Per Line'!$AN$2:$AN$3001,0))</f>
        <v/>
      </c>
      <c r="S416" s="7">
        <f>IF($X416="","",R416*Q416)</f>
        <v/>
      </c>
      <c r="T416" s="7">
        <f>IF($X416="","",S416+P416)</f>
        <v/>
      </c>
      <c r="U416" s="7">
        <f>IF($X416="","",V416-T416)</f>
        <v/>
      </c>
      <c r="V416" s="7">
        <f>IF($X416="","",O416+R416+M416)</f>
        <v/>
      </c>
      <c r="W416" s="7">
        <f>IF($X416="","",V416-T416-I416)</f>
        <v/>
      </c>
      <c r="X416" s="13">
        <f>IF(ROWS($X$2:$X416)&lt;=MAX('Per Line'!$AL$2:$AL$3001),MATCH(ROWS($X$2:$X416),'Per Line'!$AL$2:$AL$3001,0),"")</f>
        <v/>
      </c>
    </row>
    <row r="417">
      <c r="A417" s="12" t="n"/>
      <c r="B417">
        <f>IF($X417="","",INDEX('Per Line'!$D$2:$D$3001,$X417)&amp;"")</f>
        <v/>
      </c>
      <c r="C417" s="11">
        <f>IF($X417="","",INDEX('Per Line'!$F$2:$F$3001,$X417))</f>
        <v/>
      </c>
      <c r="D417">
        <f>IF($X417="","",INDEX('Per Line'!$G$2:$G$3001,$X417)&amp;"")</f>
        <v/>
      </c>
      <c r="E417">
        <f>IF($X417="","",INDEX('Per Line'!$I$2:$I$3001,$X417)&amp;"")</f>
        <v/>
      </c>
      <c r="F417">
        <f>IF($X417="","",INDEX('Per Line'!$J$2:$J$3001,$X417)&amp;"")</f>
        <v/>
      </c>
      <c r="G417">
        <f>IF($X417="","",INDEX('Per Line'!$K$2:$K$3001,$X417)&amp;"")</f>
        <v/>
      </c>
      <c r="H417">
        <f>IF($X417="","",INDEX('Per Line'!$M$2:$M$3001,$X417))</f>
        <v/>
      </c>
      <c r="I417" s="7">
        <f>IF($X417="","",H417*V417/100)</f>
        <v/>
      </c>
      <c r="J417">
        <f>IF($X417="","",INDEX('Per Line'!$W$2:$W$3001,$X417)&amp;"")</f>
        <v/>
      </c>
      <c r="K417">
        <f>IF($X417="","",INDEX('Per Line'!$AD$2:$AD$3001,$X417))</f>
        <v/>
      </c>
      <c r="L417">
        <f>IF($X417="","",IF(AND(ISNUMBER(K417),K417&gt;0),V417&gt;K417,FALSE))</f>
        <v/>
      </c>
      <c r="M417" s="7">
        <f>IF($X417="","",SUMIFS('Per Line'!$V$2:$V$3001,'Per Line'!$D$2:$D$3001,$B417,'Per Line'!$AN$2:$AN$3001,1))</f>
        <v/>
      </c>
      <c r="N417">
        <f>IF($X417="","",Settings!$C$7)</f>
        <v/>
      </c>
      <c r="O417" s="7">
        <f>IF($X417="","",SUMIFS('Per Line'!$V$2:$V$3001,'Per Line'!$D$2:$D$3001,$B417,'Per Line'!$AM$2:$AM$3001,0,'Per Line'!$AN$2:$AN$3001,0))</f>
        <v/>
      </c>
      <c r="P417" s="7">
        <f>IF($X417="","",O417*N417)</f>
        <v/>
      </c>
      <c r="Q417">
        <f>IF($X417="","",Settings!$C$6)</f>
        <v/>
      </c>
      <c r="R417" s="7">
        <f>IF($X417="","",SUMIFS('Per Line'!$V$2:$V$3001,'Per Line'!$D$2:$D$3001,$B417,'Per Line'!$AM$2:$AM$3001,1,'Per Line'!$AN$2:$AN$3001,0))</f>
        <v/>
      </c>
      <c r="S417" s="7">
        <f>IF($X417="","",R417*Q417)</f>
        <v/>
      </c>
      <c r="T417" s="7">
        <f>IF($X417="","",S417+P417)</f>
        <v/>
      </c>
      <c r="U417" s="7">
        <f>IF($X417="","",V417-T417)</f>
        <v/>
      </c>
      <c r="V417" s="7">
        <f>IF($X417="","",O417+R417+M417)</f>
        <v/>
      </c>
      <c r="W417" s="7">
        <f>IF($X417="","",V417-T417-I417)</f>
        <v/>
      </c>
      <c r="X417" s="13">
        <f>IF(ROWS($X$2:$X417)&lt;=MAX('Per Line'!$AL$2:$AL$3001),MATCH(ROWS($X$2:$X417),'Per Line'!$AL$2:$AL$3001,0),"")</f>
        <v/>
      </c>
    </row>
    <row r="418">
      <c r="A418" s="12" t="n"/>
      <c r="B418">
        <f>IF($X418="","",INDEX('Per Line'!$D$2:$D$3001,$X418)&amp;"")</f>
        <v/>
      </c>
      <c r="C418" s="11">
        <f>IF($X418="","",INDEX('Per Line'!$F$2:$F$3001,$X418))</f>
        <v/>
      </c>
      <c r="D418">
        <f>IF($X418="","",INDEX('Per Line'!$G$2:$G$3001,$X418)&amp;"")</f>
        <v/>
      </c>
      <c r="E418">
        <f>IF($X418="","",INDEX('Per Line'!$I$2:$I$3001,$X418)&amp;"")</f>
        <v/>
      </c>
      <c r="F418">
        <f>IF($X418="","",INDEX('Per Line'!$J$2:$J$3001,$X418)&amp;"")</f>
        <v/>
      </c>
      <c r="G418">
        <f>IF($X418="","",INDEX('Per Line'!$K$2:$K$3001,$X418)&amp;"")</f>
        <v/>
      </c>
      <c r="H418">
        <f>IF($X418="","",INDEX('Per Line'!$M$2:$M$3001,$X418))</f>
        <v/>
      </c>
      <c r="I418" s="7">
        <f>IF($X418="","",H418*V418/100)</f>
        <v/>
      </c>
      <c r="J418">
        <f>IF($X418="","",INDEX('Per Line'!$W$2:$W$3001,$X418)&amp;"")</f>
        <v/>
      </c>
      <c r="K418">
        <f>IF($X418="","",INDEX('Per Line'!$AD$2:$AD$3001,$X418))</f>
        <v/>
      </c>
      <c r="L418">
        <f>IF($X418="","",IF(AND(ISNUMBER(K418),K418&gt;0),V418&gt;K418,FALSE))</f>
        <v/>
      </c>
      <c r="M418" s="7">
        <f>IF($X418="","",SUMIFS('Per Line'!$V$2:$V$3001,'Per Line'!$D$2:$D$3001,$B418,'Per Line'!$AN$2:$AN$3001,1))</f>
        <v/>
      </c>
      <c r="N418">
        <f>IF($X418="","",Settings!$C$7)</f>
        <v/>
      </c>
      <c r="O418" s="7">
        <f>IF($X418="","",SUMIFS('Per Line'!$V$2:$V$3001,'Per Line'!$D$2:$D$3001,$B418,'Per Line'!$AM$2:$AM$3001,0,'Per Line'!$AN$2:$AN$3001,0))</f>
        <v/>
      </c>
      <c r="P418" s="7">
        <f>IF($X418="","",O418*N418)</f>
        <v/>
      </c>
      <c r="Q418">
        <f>IF($X418="","",Settings!$C$6)</f>
        <v/>
      </c>
      <c r="R418" s="7">
        <f>IF($X418="","",SUMIFS('Per Line'!$V$2:$V$3001,'Per Line'!$D$2:$D$3001,$B418,'Per Line'!$AM$2:$AM$3001,1,'Per Line'!$AN$2:$AN$3001,0))</f>
        <v/>
      </c>
      <c r="S418" s="7">
        <f>IF($X418="","",R418*Q418)</f>
        <v/>
      </c>
      <c r="T418" s="7">
        <f>IF($X418="","",S418+P418)</f>
        <v/>
      </c>
      <c r="U418" s="7">
        <f>IF($X418="","",V418-T418)</f>
        <v/>
      </c>
      <c r="V418" s="7">
        <f>IF($X418="","",O418+R418+M418)</f>
        <v/>
      </c>
      <c r="W418" s="7">
        <f>IF($X418="","",V418-T418-I418)</f>
        <v/>
      </c>
      <c r="X418" s="13">
        <f>IF(ROWS($X$2:$X418)&lt;=MAX('Per Line'!$AL$2:$AL$3001),MATCH(ROWS($X$2:$X418),'Per Line'!$AL$2:$AL$3001,0),"")</f>
        <v/>
      </c>
    </row>
    <row r="419">
      <c r="A419" s="12" t="n"/>
      <c r="B419">
        <f>IF($X419="","",INDEX('Per Line'!$D$2:$D$3001,$X419)&amp;"")</f>
        <v/>
      </c>
      <c r="C419" s="11">
        <f>IF($X419="","",INDEX('Per Line'!$F$2:$F$3001,$X419))</f>
        <v/>
      </c>
      <c r="D419">
        <f>IF($X419="","",INDEX('Per Line'!$G$2:$G$3001,$X419)&amp;"")</f>
        <v/>
      </c>
      <c r="E419">
        <f>IF($X419="","",INDEX('Per Line'!$I$2:$I$3001,$X419)&amp;"")</f>
        <v/>
      </c>
      <c r="F419">
        <f>IF($X419="","",INDEX('Per Line'!$J$2:$J$3001,$X419)&amp;"")</f>
        <v/>
      </c>
      <c r="G419">
        <f>IF($X419="","",INDEX('Per Line'!$K$2:$K$3001,$X419)&amp;"")</f>
        <v/>
      </c>
      <c r="H419">
        <f>IF($X419="","",INDEX('Per Line'!$M$2:$M$3001,$X419))</f>
        <v/>
      </c>
      <c r="I419" s="7">
        <f>IF($X419="","",H419*V419/100)</f>
        <v/>
      </c>
      <c r="J419">
        <f>IF($X419="","",INDEX('Per Line'!$W$2:$W$3001,$X419)&amp;"")</f>
        <v/>
      </c>
      <c r="K419">
        <f>IF($X419="","",INDEX('Per Line'!$AD$2:$AD$3001,$X419))</f>
        <v/>
      </c>
      <c r="L419">
        <f>IF($X419="","",IF(AND(ISNUMBER(K419),K419&gt;0),V419&gt;K419,FALSE))</f>
        <v/>
      </c>
      <c r="M419" s="7">
        <f>IF($X419="","",SUMIFS('Per Line'!$V$2:$V$3001,'Per Line'!$D$2:$D$3001,$B419,'Per Line'!$AN$2:$AN$3001,1))</f>
        <v/>
      </c>
      <c r="N419">
        <f>IF($X419="","",Settings!$C$7)</f>
        <v/>
      </c>
      <c r="O419" s="7">
        <f>IF($X419="","",SUMIFS('Per Line'!$V$2:$V$3001,'Per Line'!$D$2:$D$3001,$B419,'Per Line'!$AM$2:$AM$3001,0,'Per Line'!$AN$2:$AN$3001,0))</f>
        <v/>
      </c>
      <c r="P419" s="7">
        <f>IF($X419="","",O419*N419)</f>
        <v/>
      </c>
      <c r="Q419">
        <f>IF($X419="","",Settings!$C$6)</f>
        <v/>
      </c>
      <c r="R419" s="7">
        <f>IF($X419="","",SUMIFS('Per Line'!$V$2:$V$3001,'Per Line'!$D$2:$D$3001,$B419,'Per Line'!$AM$2:$AM$3001,1,'Per Line'!$AN$2:$AN$3001,0))</f>
        <v/>
      </c>
      <c r="S419" s="7">
        <f>IF($X419="","",R419*Q419)</f>
        <v/>
      </c>
      <c r="T419" s="7">
        <f>IF($X419="","",S419+P419)</f>
        <v/>
      </c>
      <c r="U419" s="7">
        <f>IF($X419="","",V419-T419)</f>
        <v/>
      </c>
      <c r="V419" s="7">
        <f>IF($X419="","",O419+R419+M419)</f>
        <v/>
      </c>
      <c r="W419" s="7">
        <f>IF($X419="","",V419-T419-I419)</f>
        <v/>
      </c>
      <c r="X419" s="13">
        <f>IF(ROWS($X$2:$X419)&lt;=MAX('Per Line'!$AL$2:$AL$3001),MATCH(ROWS($X$2:$X419),'Per Line'!$AL$2:$AL$3001,0),"")</f>
        <v/>
      </c>
    </row>
    <row r="420">
      <c r="A420" s="12" t="n"/>
      <c r="B420">
        <f>IF($X420="","",INDEX('Per Line'!$D$2:$D$3001,$X420)&amp;"")</f>
        <v/>
      </c>
      <c r="C420" s="11">
        <f>IF($X420="","",INDEX('Per Line'!$F$2:$F$3001,$X420))</f>
        <v/>
      </c>
      <c r="D420">
        <f>IF($X420="","",INDEX('Per Line'!$G$2:$G$3001,$X420)&amp;"")</f>
        <v/>
      </c>
      <c r="E420">
        <f>IF($X420="","",INDEX('Per Line'!$I$2:$I$3001,$X420)&amp;"")</f>
        <v/>
      </c>
      <c r="F420">
        <f>IF($X420="","",INDEX('Per Line'!$J$2:$J$3001,$X420)&amp;"")</f>
        <v/>
      </c>
      <c r="G420">
        <f>IF($X420="","",INDEX('Per Line'!$K$2:$K$3001,$X420)&amp;"")</f>
        <v/>
      </c>
      <c r="H420">
        <f>IF($X420="","",INDEX('Per Line'!$M$2:$M$3001,$X420))</f>
        <v/>
      </c>
      <c r="I420" s="7">
        <f>IF($X420="","",H420*V420/100)</f>
        <v/>
      </c>
      <c r="J420">
        <f>IF($X420="","",INDEX('Per Line'!$W$2:$W$3001,$X420)&amp;"")</f>
        <v/>
      </c>
      <c r="K420">
        <f>IF($X420="","",INDEX('Per Line'!$AD$2:$AD$3001,$X420))</f>
        <v/>
      </c>
      <c r="L420">
        <f>IF($X420="","",IF(AND(ISNUMBER(K420),K420&gt;0),V420&gt;K420,FALSE))</f>
        <v/>
      </c>
      <c r="M420" s="7">
        <f>IF($X420="","",SUMIFS('Per Line'!$V$2:$V$3001,'Per Line'!$D$2:$D$3001,$B420,'Per Line'!$AN$2:$AN$3001,1))</f>
        <v/>
      </c>
      <c r="N420">
        <f>IF($X420="","",Settings!$C$7)</f>
        <v/>
      </c>
      <c r="O420" s="7">
        <f>IF($X420="","",SUMIFS('Per Line'!$V$2:$V$3001,'Per Line'!$D$2:$D$3001,$B420,'Per Line'!$AM$2:$AM$3001,0,'Per Line'!$AN$2:$AN$3001,0))</f>
        <v/>
      </c>
      <c r="P420" s="7">
        <f>IF($X420="","",O420*N420)</f>
        <v/>
      </c>
      <c r="Q420">
        <f>IF($X420="","",Settings!$C$6)</f>
        <v/>
      </c>
      <c r="R420" s="7">
        <f>IF($X420="","",SUMIFS('Per Line'!$V$2:$V$3001,'Per Line'!$D$2:$D$3001,$B420,'Per Line'!$AM$2:$AM$3001,1,'Per Line'!$AN$2:$AN$3001,0))</f>
        <v/>
      </c>
      <c r="S420" s="7">
        <f>IF($X420="","",R420*Q420)</f>
        <v/>
      </c>
      <c r="T420" s="7">
        <f>IF($X420="","",S420+P420)</f>
        <v/>
      </c>
      <c r="U420" s="7">
        <f>IF($X420="","",V420-T420)</f>
        <v/>
      </c>
      <c r="V420" s="7">
        <f>IF($X420="","",O420+R420+M420)</f>
        <v/>
      </c>
      <c r="W420" s="7">
        <f>IF($X420="","",V420-T420-I420)</f>
        <v/>
      </c>
      <c r="X420" s="13">
        <f>IF(ROWS($X$2:$X420)&lt;=MAX('Per Line'!$AL$2:$AL$3001),MATCH(ROWS($X$2:$X420),'Per Line'!$AL$2:$AL$3001,0),"")</f>
        <v/>
      </c>
    </row>
    <row r="421">
      <c r="A421" s="12" t="n"/>
      <c r="B421">
        <f>IF($X421="","",INDEX('Per Line'!$D$2:$D$3001,$X421)&amp;"")</f>
        <v/>
      </c>
      <c r="C421" s="11">
        <f>IF($X421="","",INDEX('Per Line'!$F$2:$F$3001,$X421))</f>
        <v/>
      </c>
      <c r="D421">
        <f>IF($X421="","",INDEX('Per Line'!$G$2:$G$3001,$X421)&amp;"")</f>
        <v/>
      </c>
      <c r="E421">
        <f>IF($X421="","",INDEX('Per Line'!$I$2:$I$3001,$X421)&amp;"")</f>
        <v/>
      </c>
      <c r="F421">
        <f>IF($X421="","",INDEX('Per Line'!$J$2:$J$3001,$X421)&amp;"")</f>
        <v/>
      </c>
      <c r="G421">
        <f>IF($X421="","",INDEX('Per Line'!$K$2:$K$3001,$X421)&amp;"")</f>
        <v/>
      </c>
      <c r="H421">
        <f>IF($X421="","",INDEX('Per Line'!$M$2:$M$3001,$X421))</f>
        <v/>
      </c>
      <c r="I421" s="7">
        <f>IF($X421="","",H421*V421/100)</f>
        <v/>
      </c>
      <c r="J421">
        <f>IF($X421="","",INDEX('Per Line'!$W$2:$W$3001,$X421)&amp;"")</f>
        <v/>
      </c>
      <c r="K421">
        <f>IF($X421="","",INDEX('Per Line'!$AD$2:$AD$3001,$X421))</f>
        <v/>
      </c>
      <c r="L421">
        <f>IF($X421="","",IF(AND(ISNUMBER(K421),K421&gt;0),V421&gt;K421,FALSE))</f>
        <v/>
      </c>
      <c r="M421" s="7">
        <f>IF($X421="","",SUMIFS('Per Line'!$V$2:$V$3001,'Per Line'!$D$2:$D$3001,$B421,'Per Line'!$AN$2:$AN$3001,1))</f>
        <v/>
      </c>
      <c r="N421">
        <f>IF($X421="","",Settings!$C$7)</f>
        <v/>
      </c>
      <c r="O421" s="7">
        <f>IF($X421="","",SUMIFS('Per Line'!$V$2:$V$3001,'Per Line'!$D$2:$D$3001,$B421,'Per Line'!$AM$2:$AM$3001,0,'Per Line'!$AN$2:$AN$3001,0))</f>
        <v/>
      </c>
      <c r="P421" s="7">
        <f>IF($X421="","",O421*N421)</f>
        <v/>
      </c>
      <c r="Q421">
        <f>IF($X421="","",Settings!$C$6)</f>
        <v/>
      </c>
      <c r="R421" s="7">
        <f>IF($X421="","",SUMIFS('Per Line'!$V$2:$V$3001,'Per Line'!$D$2:$D$3001,$B421,'Per Line'!$AM$2:$AM$3001,1,'Per Line'!$AN$2:$AN$3001,0))</f>
        <v/>
      </c>
      <c r="S421" s="7">
        <f>IF($X421="","",R421*Q421)</f>
        <v/>
      </c>
      <c r="T421" s="7">
        <f>IF($X421="","",S421+P421)</f>
        <v/>
      </c>
      <c r="U421" s="7">
        <f>IF($X421="","",V421-T421)</f>
        <v/>
      </c>
      <c r="V421" s="7">
        <f>IF($X421="","",O421+R421+M421)</f>
        <v/>
      </c>
      <c r="W421" s="7">
        <f>IF($X421="","",V421-T421-I421)</f>
        <v/>
      </c>
      <c r="X421" s="13">
        <f>IF(ROWS($X$2:$X421)&lt;=MAX('Per Line'!$AL$2:$AL$3001),MATCH(ROWS($X$2:$X421),'Per Line'!$AL$2:$AL$3001,0),"")</f>
        <v/>
      </c>
    </row>
    <row r="422">
      <c r="A422" s="12" t="n"/>
      <c r="B422">
        <f>IF($X422="","",INDEX('Per Line'!$D$2:$D$3001,$X422)&amp;"")</f>
        <v/>
      </c>
      <c r="C422" s="11">
        <f>IF($X422="","",INDEX('Per Line'!$F$2:$F$3001,$X422))</f>
        <v/>
      </c>
      <c r="D422">
        <f>IF($X422="","",INDEX('Per Line'!$G$2:$G$3001,$X422)&amp;"")</f>
        <v/>
      </c>
      <c r="E422">
        <f>IF($X422="","",INDEX('Per Line'!$I$2:$I$3001,$X422)&amp;"")</f>
        <v/>
      </c>
      <c r="F422">
        <f>IF($X422="","",INDEX('Per Line'!$J$2:$J$3001,$X422)&amp;"")</f>
        <v/>
      </c>
      <c r="G422">
        <f>IF($X422="","",INDEX('Per Line'!$K$2:$K$3001,$X422)&amp;"")</f>
        <v/>
      </c>
      <c r="H422">
        <f>IF($X422="","",INDEX('Per Line'!$M$2:$M$3001,$X422))</f>
        <v/>
      </c>
      <c r="I422" s="7">
        <f>IF($X422="","",H422*V422/100)</f>
        <v/>
      </c>
      <c r="J422">
        <f>IF($X422="","",INDEX('Per Line'!$W$2:$W$3001,$X422)&amp;"")</f>
        <v/>
      </c>
      <c r="K422">
        <f>IF($X422="","",INDEX('Per Line'!$AD$2:$AD$3001,$X422))</f>
        <v/>
      </c>
      <c r="L422">
        <f>IF($X422="","",IF(AND(ISNUMBER(K422),K422&gt;0),V422&gt;K422,FALSE))</f>
        <v/>
      </c>
      <c r="M422" s="7">
        <f>IF($X422="","",SUMIFS('Per Line'!$V$2:$V$3001,'Per Line'!$D$2:$D$3001,$B422,'Per Line'!$AN$2:$AN$3001,1))</f>
        <v/>
      </c>
      <c r="N422">
        <f>IF($X422="","",Settings!$C$7)</f>
        <v/>
      </c>
      <c r="O422" s="7">
        <f>IF($X422="","",SUMIFS('Per Line'!$V$2:$V$3001,'Per Line'!$D$2:$D$3001,$B422,'Per Line'!$AM$2:$AM$3001,0,'Per Line'!$AN$2:$AN$3001,0))</f>
        <v/>
      </c>
      <c r="P422" s="7">
        <f>IF($X422="","",O422*N422)</f>
        <v/>
      </c>
      <c r="Q422">
        <f>IF($X422="","",Settings!$C$6)</f>
        <v/>
      </c>
      <c r="R422" s="7">
        <f>IF($X422="","",SUMIFS('Per Line'!$V$2:$V$3001,'Per Line'!$D$2:$D$3001,$B422,'Per Line'!$AM$2:$AM$3001,1,'Per Line'!$AN$2:$AN$3001,0))</f>
        <v/>
      </c>
      <c r="S422" s="7">
        <f>IF($X422="","",R422*Q422)</f>
        <v/>
      </c>
      <c r="T422" s="7">
        <f>IF($X422="","",S422+P422)</f>
        <v/>
      </c>
      <c r="U422" s="7">
        <f>IF($X422="","",V422-T422)</f>
        <v/>
      </c>
      <c r="V422" s="7">
        <f>IF($X422="","",O422+R422+M422)</f>
        <v/>
      </c>
      <c r="W422" s="7">
        <f>IF($X422="","",V422-T422-I422)</f>
        <v/>
      </c>
      <c r="X422" s="13">
        <f>IF(ROWS($X$2:$X422)&lt;=MAX('Per Line'!$AL$2:$AL$3001),MATCH(ROWS($X$2:$X422),'Per Line'!$AL$2:$AL$3001,0),"")</f>
        <v/>
      </c>
    </row>
    <row r="423">
      <c r="A423" s="12" t="n"/>
      <c r="B423">
        <f>IF($X423="","",INDEX('Per Line'!$D$2:$D$3001,$X423)&amp;"")</f>
        <v/>
      </c>
      <c r="C423" s="11">
        <f>IF($X423="","",INDEX('Per Line'!$F$2:$F$3001,$X423))</f>
        <v/>
      </c>
      <c r="D423">
        <f>IF($X423="","",INDEX('Per Line'!$G$2:$G$3001,$X423)&amp;"")</f>
        <v/>
      </c>
      <c r="E423">
        <f>IF($X423="","",INDEX('Per Line'!$I$2:$I$3001,$X423)&amp;"")</f>
        <v/>
      </c>
      <c r="F423">
        <f>IF($X423="","",INDEX('Per Line'!$J$2:$J$3001,$X423)&amp;"")</f>
        <v/>
      </c>
      <c r="G423">
        <f>IF($X423="","",INDEX('Per Line'!$K$2:$K$3001,$X423)&amp;"")</f>
        <v/>
      </c>
      <c r="H423">
        <f>IF($X423="","",INDEX('Per Line'!$M$2:$M$3001,$X423))</f>
        <v/>
      </c>
      <c r="I423" s="7">
        <f>IF($X423="","",H423*V423/100)</f>
        <v/>
      </c>
      <c r="J423">
        <f>IF($X423="","",INDEX('Per Line'!$W$2:$W$3001,$X423)&amp;"")</f>
        <v/>
      </c>
      <c r="K423">
        <f>IF($X423="","",INDEX('Per Line'!$AD$2:$AD$3001,$X423))</f>
        <v/>
      </c>
      <c r="L423">
        <f>IF($X423="","",IF(AND(ISNUMBER(K423),K423&gt;0),V423&gt;K423,FALSE))</f>
        <v/>
      </c>
      <c r="M423" s="7">
        <f>IF($X423="","",SUMIFS('Per Line'!$V$2:$V$3001,'Per Line'!$D$2:$D$3001,$B423,'Per Line'!$AN$2:$AN$3001,1))</f>
        <v/>
      </c>
      <c r="N423">
        <f>IF($X423="","",Settings!$C$7)</f>
        <v/>
      </c>
      <c r="O423" s="7">
        <f>IF($X423="","",SUMIFS('Per Line'!$V$2:$V$3001,'Per Line'!$D$2:$D$3001,$B423,'Per Line'!$AM$2:$AM$3001,0,'Per Line'!$AN$2:$AN$3001,0))</f>
        <v/>
      </c>
      <c r="P423" s="7">
        <f>IF($X423="","",O423*N423)</f>
        <v/>
      </c>
      <c r="Q423">
        <f>IF($X423="","",Settings!$C$6)</f>
        <v/>
      </c>
      <c r="R423" s="7">
        <f>IF($X423="","",SUMIFS('Per Line'!$V$2:$V$3001,'Per Line'!$D$2:$D$3001,$B423,'Per Line'!$AM$2:$AM$3001,1,'Per Line'!$AN$2:$AN$3001,0))</f>
        <v/>
      </c>
      <c r="S423" s="7">
        <f>IF($X423="","",R423*Q423)</f>
        <v/>
      </c>
      <c r="T423" s="7">
        <f>IF($X423="","",S423+P423)</f>
        <v/>
      </c>
      <c r="U423" s="7">
        <f>IF($X423="","",V423-T423)</f>
        <v/>
      </c>
      <c r="V423" s="7">
        <f>IF($X423="","",O423+R423+M423)</f>
        <v/>
      </c>
      <c r="W423" s="7">
        <f>IF($X423="","",V423-T423-I423)</f>
        <v/>
      </c>
      <c r="X423" s="13">
        <f>IF(ROWS($X$2:$X423)&lt;=MAX('Per Line'!$AL$2:$AL$3001),MATCH(ROWS($X$2:$X423),'Per Line'!$AL$2:$AL$3001,0),"")</f>
        <v/>
      </c>
    </row>
    <row r="424">
      <c r="A424" s="12" t="n"/>
      <c r="B424">
        <f>IF($X424="","",INDEX('Per Line'!$D$2:$D$3001,$X424)&amp;"")</f>
        <v/>
      </c>
      <c r="C424" s="11">
        <f>IF($X424="","",INDEX('Per Line'!$F$2:$F$3001,$X424))</f>
        <v/>
      </c>
      <c r="D424">
        <f>IF($X424="","",INDEX('Per Line'!$G$2:$G$3001,$X424)&amp;"")</f>
        <v/>
      </c>
      <c r="E424">
        <f>IF($X424="","",INDEX('Per Line'!$I$2:$I$3001,$X424)&amp;"")</f>
        <v/>
      </c>
      <c r="F424">
        <f>IF($X424="","",INDEX('Per Line'!$J$2:$J$3001,$X424)&amp;"")</f>
        <v/>
      </c>
      <c r="G424">
        <f>IF($X424="","",INDEX('Per Line'!$K$2:$K$3001,$X424)&amp;"")</f>
        <v/>
      </c>
      <c r="H424">
        <f>IF($X424="","",INDEX('Per Line'!$M$2:$M$3001,$X424))</f>
        <v/>
      </c>
      <c r="I424" s="7">
        <f>IF($X424="","",H424*V424/100)</f>
        <v/>
      </c>
      <c r="J424">
        <f>IF($X424="","",INDEX('Per Line'!$W$2:$W$3001,$X424)&amp;"")</f>
        <v/>
      </c>
      <c r="K424">
        <f>IF($X424="","",INDEX('Per Line'!$AD$2:$AD$3001,$X424))</f>
        <v/>
      </c>
      <c r="L424">
        <f>IF($X424="","",IF(AND(ISNUMBER(K424),K424&gt;0),V424&gt;K424,FALSE))</f>
        <v/>
      </c>
      <c r="M424" s="7">
        <f>IF($X424="","",SUMIFS('Per Line'!$V$2:$V$3001,'Per Line'!$D$2:$D$3001,$B424,'Per Line'!$AN$2:$AN$3001,1))</f>
        <v/>
      </c>
      <c r="N424">
        <f>IF($X424="","",Settings!$C$7)</f>
        <v/>
      </c>
      <c r="O424" s="7">
        <f>IF($X424="","",SUMIFS('Per Line'!$V$2:$V$3001,'Per Line'!$D$2:$D$3001,$B424,'Per Line'!$AM$2:$AM$3001,0,'Per Line'!$AN$2:$AN$3001,0))</f>
        <v/>
      </c>
      <c r="P424" s="7">
        <f>IF($X424="","",O424*N424)</f>
        <v/>
      </c>
      <c r="Q424">
        <f>IF($X424="","",Settings!$C$6)</f>
        <v/>
      </c>
      <c r="R424" s="7">
        <f>IF($X424="","",SUMIFS('Per Line'!$V$2:$V$3001,'Per Line'!$D$2:$D$3001,$B424,'Per Line'!$AM$2:$AM$3001,1,'Per Line'!$AN$2:$AN$3001,0))</f>
        <v/>
      </c>
      <c r="S424" s="7">
        <f>IF($X424="","",R424*Q424)</f>
        <v/>
      </c>
      <c r="T424" s="7">
        <f>IF($X424="","",S424+P424)</f>
        <v/>
      </c>
      <c r="U424" s="7">
        <f>IF($X424="","",V424-T424)</f>
        <v/>
      </c>
      <c r="V424" s="7">
        <f>IF($X424="","",O424+R424+M424)</f>
        <v/>
      </c>
      <c r="W424" s="7">
        <f>IF($X424="","",V424-T424-I424)</f>
        <v/>
      </c>
      <c r="X424" s="13">
        <f>IF(ROWS($X$2:$X424)&lt;=MAX('Per Line'!$AL$2:$AL$3001),MATCH(ROWS($X$2:$X424),'Per Line'!$AL$2:$AL$3001,0),"")</f>
        <v/>
      </c>
    </row>
    <row r="425">
      <c r="A425" s="12" t="n"/>
      <c r="B425">
        <f>IF($X425="","",INDEX('Per Line'!$D$2:$D$3001,$X425)&amp;"")</f>
        <v/>
      </c>
      <c r="C425" s="11">
        <f>IF($X425="","",INDEX('Per Line'!$F$2:$F$3001,$X425))</f>
        <v/>
      </c>
      <c r="D425">
        <f>IF($X425="","",INDEX('Per Line'!$G$2:$G$3001,$X425)&amp;"")</f>
        <v/>
      </c>
      <c r="E425">
        <f>IF($X425="","",INDEX('Per Line'!$I$2:$I$3001,$X425)&amp;"")</f>
        <v/>
      </c>
      <c r="F425">
        <f>IF($X425="","",INDEX('Per Line'!$J$2:$J$3001,$X425)&amp;"")</f>
        <v/>
      </c>
      <c r="G425">
        <f>IF($X425="","",INDEX('Per Line'!$K$2:$K$3001,$X425)&amp;"")</f>
        <v/>
      </c>
      <c r="H425">
        <f>IF($X425="","",INDEX('Per Line'!$M$2:$M$3001,$X425))</f>
        <v/>
      </c>
      <c r="I425" s="7">
        <f>IF($X425="","",H425*V425/100)</f>
        <v/>
      </c>
      <c r="J425">
        <f>IF($X425="","",INDEX('Per Line'!$W$2:$W$3001,$X425)&amp;"")</f>
        <v/>
      </c>
      <c r="K425">
        <f>IF($X425="","",INDEX('Per Line'!$AD$2:$AD$3001,$X425))</f>
        <v/>
      </c>
      <c r="L425">
        <f>IF($X425="","",IF(AND(ISNUMBER(K425),K425&gt;0),V425&gt;K425,FALSE))</f>
        <v/>
      </c>
      <c r="M425" s="7">
        <f>IF($X425="","",SUMIFS('Per Line'!$V$2:$V$3001,'Per Line'!$D$2:$D$3001,$B425,'Per Line'!$AN$2:$AN$3001,1))</f>
        <v/>
      </c>
      <c r="N425">
        <f>IF($X425="","",Settings!$C$7)</f>
        <v/>
      </c>
      <c r="O425" s="7">
        <f>IF($X425="","",SUMIFS('Per Line'!$V$2:$V$3001,'Per Line'!$D$2:$D$3001,$B425,'Per Line'!$AM$2:$AM$3001,0,'Per Line'!$AN$2:$AN$3001,0))</f>
        <v/>
      </c>
      <c r="P425" s="7">
        <f>IF($X425="","",O425*N425)</f>
        <v/>
      </c>
      <c r="Q425">
        <f>IF($X425="","",Settings!$C$6)</f>
        <v/>
      </c>
      <c r="R425" s="7">
        <f>IF($X425="","",SUMIFS('Per Line'!$V$2:$V$3001,'Per Line'!$D$2:$D$3001,$B425,'Per Line'!$AM$2:$AM$3001,1,'Per Line'!$AN$2:$AN$3001,0))</f>
        <v/>
      </c>
      <c r="S425" s="7">
        <f>IF($X425="","",R425*Q425)</f>
        <v/>
      </c>
      <c r="T425" s="7">
        <f>IF($X425="","",S425+P425)</f>
        <v/>
      </c>
      <c r="U425" s="7">
        <f>IF($X425="","",V425-T425)</f>
        <v/>
      </c>
      <c r="V425" s="7">
        <f>IF($X425="","",O425+R425+M425)</f>
        <v/>
      </c>
      <c r="W425" s="7">
        <f>IF($X425="","",V425-T425-I425)</f>
        <v/>
      </c>
      <c r="X425" s="13">
        <f>IF(ROWS($X$2:$X425)&lt;=MAX('Per Line'!$AL$2:$AL$3001),MATCH(ROWS($X$2:$X425),'Per Line'!$AL$2:$AL$3001,0),"")</f>
        <v/>
      </c>
    </row>
    <row r="426">
      <c r="A426" s="12" t="n"/>
      <c r="B426">
        <f>IF($X426="","",INDEX('Per Line'!$D$2:$D$3001,$X426)&amp;"")</f>
        <v/>
      </c>
      <c r="C426" s="11">
        <f>IF($X426="","",INDEX('Per Line'!$F$2:$F$3001,$X426))</f>
        <v/>
      </c>
      <c r="D426">
        <f>IF($X426="","",INDEX('Per Line'!$G$2:$G$3001,$X426)&amp;"")</f>
        <v/>
      </c>
      <c r="E426">
        <f>IF($X426="","",INDEX('Per Line'!$I$2:$I$3001,$X426)&amp;"")</f>
        <v/>
      </c>
      <c r="F426">
        <f>IF($X426="","",INDEX('Per Line'!$J$2:$J$3001,$X426)&amp;"")</f>
        <v/>
      </c>
      <c r="G426">
        <f>IF($X426="","",INDEX('Per Line'!$K$2:$K$3001,$X426)&amp;"")</f>
        <v/>
      </c>
      <c r="H426">
        <f>IF($X426="","",INDEX('Per Line'!$M$2:$M$3001,$X426))</f>
        <v/>
      </c>
      <c r="I426" s="7">
        <f>IF($X426="","",H426*V426/100)</f>
        <v/>
      </c>
      <c r="J426">
        <f>IF($X426="","",INDEX('Per Line'!$W$2:$W$3001,$X426)&amp;"")</f>
        <v/>
      </c>
      <c r="K426">
        <f>IF($X426="","",INDEX('Per Line'!$AD$2:$AD$3001,$X426))</f>
        <v/>
      </c>
      <c r="L426">
        <f>IF($X426="","",IF(AND(ISNUMBER(K426),K426&gt;0),V426&gt;K426,FALSE))</f>
        <v/>
      </c>
      <c r="M426" s="7">
        <f>IF($X426="","",SUMIFS('Per Line'!$V$2:$V$3001,'Per Line'!$D$2:$D$3001,$B426,'Per Line'!$AN$2:$AN$3001,1))</f>
        <v/>
      </c>
      <c r="N426">
        <f>IF($X426="","",Settings!$C$7)</f>
        <v/>
      </c>
      <c r="O426" s="7">
        <f>IF($X426="","",SUMIFS('Per Line'!$V$2:$V$3001,'Per Line'!$D$2:$D$3001,$B426,'Per Line'!$AM$2:$AM$3001,0,'Per Line'!$AN$2:$AN$3001,0))</f>
        <v/>
      </c>
      <c r="P426" s="7">
        <f>IF($X426="","",O426*N426)</f>
        <v/>
      </c>
      <c r="Q426">
        <f>IF($X426="","",Settings!$C$6)</f>
        <v/>
      </c>
      <c r="R426" s="7">
        <f>IF($X426="","",SUMIFS('Per Line'!$V$2:$V$3001,'Per Line'!$D$2:$D$3001,$B426,'Per Line'!$AM$2:$AM$3001,1,'Per Line'!$AN$2:$AN$3001,0))</f>
        <v/>
      </c>
      <c r="S426" s="7">
        <f>IF($X426="","",R426*Q426)</f>
        <v/>
      </c>
      <c r="T426" s="7">
        <f>IF($X426="","",S426+P426)</f>
        <v/>
      </c>
      <c r="U426" s="7">
        <f>IF($X426="","",V426-T426)</f>
        <v/>
      </c>
      <c r="V426" s="7">
        <f>IF($X426="","",O426+R426+M426)</f>
        <v/>
      </c>
      <c r="W426" s="7">
        <f>IF($X426="","",V426-T426-I426)</f>
        <v/>
      </c>
      <c r="X426" s="13">
        <f>IF(ROWS($X$2:$X426)&lt;=MAX('Per Line'!$AL$2:$AL$3001),MATCH(ROWS($X$2:$X426),'Per Line'!$AL$2:$AL$3001,0),"")</f>
        <v/>
      </c>
    </row>
    <row r="427">
      <c r="A427" s="12" t="n"/>
      <c r="B427">
        <f>IF($X427="","",INDEX('Per Line'!$D$2:$D$3001,$X427)&amp;"")</f>
        <v/>
      </c>
      <c r="C427" s="11">
        <f>IF($X427="","",INDEX('Per Line'!$F$2:$F$3001,$X427))</f>
        <v/>
      </c>
      <c r="D427">
        <f>IF($X427="","",INDEX('Per Line'!$G$2:$G$3001,$X427)&amp;"")</f>
        <v/>
      </c>
      <c r="E427">
        <f>IF($X427="","",INDEX('Per Line'!$I$2:$I$3001,$X427)&amp;"")</f>
        <v/>
      </c>
      <c r="F427">
        <f>IF($X427="","",INDEX('Per Line'!$J$2:$J$3001,$X427)&amp;"")</f>
        <v/>
      </c>
      <c r="G427">
        <f>IF($X427="","",INDEX('Per Line'!$K$2:$K$3001,$X427)&amp;"")</f>
        <v/>
      </c>
      <c r="H427">
        <f>IF($X427="","",INDEX('Per Line'!$M$2:$M$3001,$X427))</f>
        <v/>
      </c>
      <c r="I427" s="7">
        <f>IF($X427="","",H427*V427/100)</f>
        <v/>
      </c>
      <c r="J427">
        <f>IF($X427="","",INDEX('Per Line'!$W$2:$W$3001,$X427)&amp;"")</f>
        <v/>
      </c>
      <c r="K427">
        <f>IF($X427="","",INDEX('Per Line'!$AD$2:$AD$3001,$X427))</f>
        <v/>
      </c>
      <c r="L427">
        <f>IF($X427="","",IF(AND(ISNUMBER(K427),K427&gt;0),V427&gt;K427,FALSE))</f>
        <v/>
      </c>
      <c r="M427" s="7">
        <f>IF($X427="","",SUMIFS('Per Line'!$V$2:$V$3001,'Per Line'!$D$2:$D$3001,$B427,'Per Line'!$AN$2:$AN$3001,1))</f>
        <v/>
      </c>
      <c r="N427">
        <f>IF($X427="","",Settings!$C$7)</f>
        <v/>
      </c>
      <c r="O427" s="7">
        <f>IF($X427="","",SUMIFS('Per Line'!$V$2:$V$3001,'Per Line'!$D$2:$D$3001,$B427,'Per Line'!$AM$2:$AM$3001,0,'Per Line'!$AN$2:$AN$3001,0))</f>
        <v/>
      </c>
      <c r="P427" s="7">
        <f>IF($X427="","",O427*N427)</f>
        <v/>
      </c>
      <c r="Q427">
        <f>IF($X427="","",Settings!$C$6)</f>
        <v/>
      </c>
      <c r="R427" s="7">
        <f>IF($X427="","",SUMIFS('Per Line'!$V$2:$V$3001,'Per Line'!$D$2:$D$3001,$B427,'Per Line'!$AM$2:$AM$3001,1,'Per Line'!$AN$2:$AN$3001,0))</f>
        <v/>
      </c>
      <c r="S427" s="7">
        <f>IF($X427="","",R427*Q427)</f>
        <v/>
      </c>
      <c r="T427" s="7">
        <f>IF($X427="","",S427+P427)</f>
        <v/>
      </c>
      <c r="U427" s="7">
        <f>IF($X427="","",V427-T427)</f>
        <v/>
      </c>
      <c r="V427" s="7">
        <f>IF($X427="","",O427+R427+M427)</f>
        <v/>
      </c>
      <c r="W427" s="7">
        <f>IF($X427="","",V427-T427-I427)</f>
        <v/>
      </c>
      <c r="X427" s="13">
        <f>IF(ROWS($X$2:$X427)&lt;=MAX('Per Line'!$AL$2:$AL$3001),MATCH(ROWS($X$2:$X427),'Per Line'!$AL$2:$AL$3001,0),"")</f>
        <v/>
      </c>
    </row>
    <row r="428">
      <c r="A428" s="12" t="n"/>
      <c r="B428">
        <f>IF($X428="","",INDEX('Per Line'!$D$2:$D$3001,$X428)&amp;"")</f>
        <v/>
      </c>
      <c r="C428" s="11">
        <f>IF($X428="","",INDEX('Per Line'!$F$2:$F$3001,$X428))</f>
        <v/>
      </c>
      <c r="D428">
        <f>IF($X428="","",INDEX('Per Line'!$G$2:$G$3001,$X428)&amp;"")</f>
        <v/>
      </c>
      <c r="E428">
        <f>IF($X428="","",INDEX('Per Line'!$I$2:$I$3001,$X428)&amp;"")</f>
        <v/>
      </c>
      <c r="F428">
        <f>IF($X428="","",INDEX('Per Line'!$J$2:$J$3001,$X428)&amp;"")</f>
        <v/>
      </c>
      <c r="G428">
        <f>IF($X428="","",INDEX('Per Line'!$K$2:$K$3001,$X428)&amp;"")</f>
        <v/>
      </c>
      <c r="H428">
        <f>IF($X428="","",INDEX('Per Line'!$M$2:$M$3001,$X428))</f>
        <v/>
      </c>
      <c r="I428" s="7">
        <f>IF($X428="","",H428*V428/100)</f>
        <v/>
      </c>
      <c r="J428">
        <f>IF($X428="","",INDEX('Per Line'!$W$2:$W$3001,$X428)&amp;"")</f>
        <v/>
      </c>
      <c r="K428">
        <f>IF($X428="","",INDEX('Per Line'!$AD$2:$AD$3001,$X428))</f>
        <v/>
      </c>
      <c r="L428">
        <f>IF($X428="","",IF(AND(ISNUMBER(K428),K428&gt;0),V428&gt;K428,FALSE))</f>
        <v/>
      </c>
      <c r="M428" s="7">
        <f>IF($X428="","",SUMIFS('Per Line'!$V$2:$V$3001,'Per Line'!$D$2:$D$3001,$B428,'Per Line'!$AN$2:$AN$3001,1))</f>
        <v/>
      </c>
      <c r="N428">
        <f>IF($X428="","",Settings!$C$7)</f>
        <v/>
      </c>
      <c r="O428" s="7">
        <f>IF($X428="","",SUMIFS('Per Line'!$V$2:$V$3001,'Per Line'!$D$2:$D$3001,$B428,'Per Line'!$AM$2:$AM$3001,0,'Per Line'!$AN$2:$AN$3001,0))</f>
        <v/>
      </c>
      <c r="P428" s="7">
        <f>IF($X428="","",O428*N428)</f>
        <v/>
      </c>
      <c r="Q428">
        <f>IF($X428="","",Settings!$C$6)</f>
        <v/>
      </c>
      <c r="R428" s="7">
        <f>IF($X428="","",SUMIFS('Per Line'!$V$2:$V$3001,'Per Line'!$D$2:$D$3001,$B428,'Per Line'!$AM$2:$AM$3001,1,'Per Line'!$AN$2:$AN$3001,0))</f>
        <v/>
      </c>
      <c r="S428" s="7">
        <f>IF($X428="","",R428*Q428)</f>
        <v/>
      </c>
      <c r="T428" s="7">
        <f>IF($X428="","",S428+P428)</f>
        <v/>
      </c>
      <c r="U428" s="7">
        <f>IF($X428="","",V428-T428)</f>
        <v/>
      </c>
      <c r="V428" s="7">
        <f>IF($X428="","",O428+R428+M428)</f>
        <v/>
      </c>
      <c r="W428" s="7">
        <f>IF($X428="","",V428-T428-I428)</f>
        <v/>
      </c>
      <c r="X428" s="13">
        <f>IF(ROWS($X$2:$X428)&lt;=MAX('Per Line'!$AL$2:$AL$3001),MATCH(ROWS($X$2:$X428),'Per Line'!$AL$2:$AL$3001,0),"")</f>
        <v/>
      </c>
    </row>
    <row r="429">
      <c r="A429" s="12" t="n"/>
      <c r="B429">
        <f>IF($X429="","",INDEX('Per Line'!$D$2:$D$3001,$X429)&amp;"")</f>
        <v/>
      </c>
      <c r="C429" s="11">
        <f>IF($X429="","",INDEX('Per Line'!$F$2:$F$3001,$X429))</f>
        <v/>
      </c>
      <c r="D429">
        <f>IF($X429="","",INDEX('Per Line'!$G$2:$G$3001,$X429)&amp;"")</f>
        <v/>
      </c>
      <c r="E429">
        <f>IF($X429="","",INDEX('Per Line'!$I$2:$I$3001,$X429)&amp;"")</f>
        <v/>
      </c>
      <c r="F429">
        <f>IF($X429="","",INDEX('Per Line'!$J$2:$J$3001,$X429)&amp;"")</f>
        <v/>
      </c>
      <c r="G429">
        <f>IF($X429="","",INDEX('Per Line'!$K$2:$K$3001,$X429)&amp;"")</f>
        <v/>
      </c>
      <c r="H429">
        <f>IF($X429="","",INDEX('Per Line'!$M$2:$M$3001,$X429))</f>
        <v/>
      </c>
      <c r="I429" s="7">
        <f>IF($X429="","",H429*V429/100)</f>
        <v/>
      </c>
      <c r="J429">
        <f>IF($X429="","",INDEX('Per Line'!$W$2:$W$3001,$X429)&amp;"")</f>
        <v/>
      </c>
      <c r="K429">
        <f>IF($X429="","",INDEX('Per Line'!$AD$2:$AD$3001,$X429))</f>
        <v/>
      </c>
      <c r="L429">
        <f>IF($X429="","",IF(AND(ISNUMBER(K429),K429&gt;0),V429&gt;K429,FALSE))</f>
        <v/>
      </c>
      <c r="M429" s="7">
        <f>IF($X429="","",SUMIFS('Per Line'!$V$2:$V$3001,'Per Line'!$D$2:$D$3001,$B429,'Per Line'!$AN$2:$AN$3001,1))</f>
        <v/>
      </c>
      <c r="N429">
        <f>IF($X429="","",Settings!$C$7)</f>
        <v/>
      </c>
      <c r="O429" s="7">
        <f>IF($X429="","",SUMIFS('Per Line'!$V$2:$V$3001,'Per Line'!$D$2:$D$3001,$B429,'Per Line'!$AM$2:$AM$3001,0,'Per Line'!$AN$2:$AN$3001,0))</f>
        <v/>
      </c>
      <c r="P429" s="7">
        <f>IF($X429="","",O429*N429)</f>
        <v/>
      </c>
      <c r="Q429">
        <f>IF($X429="","",Settings!$C$6)</f>
        <v/>
      </c>
      <c r="R429" s="7">
        <f>IF($X429="","",SUMIFS('Per Line'!$V$2:$V$3001,'Per Line'!$D$2:$D$3001,$B429,'Per Line'!$AM$2:$AM$3001,1,'Per Line'!$AN$2:$AN$3001,0))</f>
        <v/>
      </c>
      <c r="S429" s="7">
        <f>IF($X429="","",R429*Q429)</f>
        <v/>
      </c>
      <c r="T429" s="7">
        <f>IF($X429="","",S429+P429)</f>
        <v/>
      </c>
      <c r="U429" s="7">
        <f>IF($X429="","",V429-T429)</f>
        <v/>
      </c>
      <c r="V429" s="7">
        <f>IF($X429="","",O429+R429+M429)</f>
        <v/>
      </c>
      <c r="W429" s="7">
        <f>IF($X429="","",V429-T429-I429)</f>
        <v/>
      </c>
      <c r="X429" s="13">
        <f>IF(ROWS($X$2:$X429)&lt;=MAX('Per Line'!$AL$2:$AL$3001),MATCH(ROWS($X$2:$X429),'Per Line'!$AL$2:$AL$3001,0),"")</f>
        <v/>
      </c>
    </row>
    <row r="430">
      <c r="A430" s="12" t="n"/>
      <c r="B430">
        <f>IF($X430="","",INDEX('Per Line'!$D$2:$D$3001,$X430)&amp;"")</f>
        <v/>
      </c>
      <c r="C430" s="11">
        <f>IF($X430="","",INDEX('Per Line'!$F$2:$F$3001,$X430))</f>
        <v/>
      </c>
      <c r="D430">
        <f>IF($X430="","",INDEX('Per Line'!$G$2:$G$3001,$X430)&amp;"")</f>
        <v/>
      </c>
      <c r="E430">
        <f>IF($X430="","",INDEX('Per Line'!$I$2:$I$3001,$X430)&amp;"")</f>
        <v/>
      </c>
      <c r="F430">
        <f>IF($X430="","",INDEX('Per Line'!$J$2:$J$3001,$X430)&amp;"")</f>
        <v/>
      </c>
      <c r="G430">
        <f>IF($X430="","",INDEX('Per Line'!$K$2:$K$3001,$X430)&amp;"")</f>
        <v/>
      </c>
      <c r="H430">
        <f>IF($X430="","",INDEX('Per Line'!$M$2:$M$3001,$X430))</f>
        <v/>
      </c>
      <c r="I430" s="7">
        <f>IF($X430="","",H430*V430/100)</f>
        <v/>
      </c>
      <c r="J430">
        <f>IF($X430="","",INDEX('Per Line'!$W$2:$W$3001,$X430)&amp;"")</f>
        <v/>
      </c>
      <c r="K430">
        <f>IF($X430="","",INDEX('Per Line'!$AD$2:$AD$3001,$X430))</f>
        <v/>
      </c>
      <c r="L430">
        <f>IF($X430="","",IF(AND(ISNUMBER(K430),K430&gt;0),V430&gt;K430,FALSE))</f>
        <v/>
      </c>
      <c r="M430" s="7">
        <f>IF($X430="","",SUMIFS('Per Line'!$V$2:$V$3001,'Per Line'!$D$2:$D$3001,$B430,'Per Line'!$AN$2:$AN$3001,1))</f>
        <v/>
      </c>
      <c r="N430">
        <f>IF($X430="","",Settings!$C$7)</f>
        <v/>
      </c>
      <c r="O430" s="7">
        <f>IF($X430="","",SUMIFS('Per Line'!$V$2:$V$3001,'Per Line'!$D$2:$D$3001,$B430,'Per Line'!$AM$2:$AM$3001,0,'Per Line'!$AN$2:$AN$3001,0))</f>
        <v/>
      </c>
      <c r="P430" s="7">
        <f>IF($X430="","",O430*N430)</f>
        <v/>
      </c>
      <c r="Q430">
        <f>IF($X430="","",Settings!$C$6)</f>
        <v/>
      </c>
      <c r="R430" s="7">
        <f>IF($X430="","",SUMIFS('Per Line'!$V$2:$V$3001,'Per Line'!$D$2:$D$3001,$B430,'Per Line'!$AM$2:$AM$3001,1,'Per Line'!$AN$2:$AN$3001,0))</f>
        <v/>
      </c>
      <c r="S430" s="7">
        <f>IF($X430="","",R430*Q430)</f>
        <v/>
      </c>
      <c r="T430" s="7">
        <f>IF($X430="","",S430+P430)</f>
        <v/>
      </c>
      <c r="U430" s="7">
        <f>IF($X430="","",V430-T430)</f>
        <v/>
      </c>
      <c r="V430" s="7">
        <f>IF($X430="","",O430+R430+M430)</f>
        <v/>
      </c>
      <c r="W430" s="7">
        <f>IF($X430="","",V430-T430-I430)</f>
        <v/>
      </c>
      <c r="X430" s="13">
        <f>IF(ROWS($X$2:$X430)&lt;=MAX('Per Line'!$AL$2:$AL$3001),MATCH(ROWS($X$2:$X430),'Per Line'!$AL$2:$AL$3001,0),"")</f>
        <v/>
      </c>
    </row>
    <row r="431">
      <c r="A431" s="12" t="n"/>
      <c r="B431">
        <f>IF($X431="","",INDEX('Per Line'!$D$2:$D$3001,$X431)&amp;"")</f>
        <v/>
      </c>
      <c r="C431" s="11">
        <f>IF($X431="","",INDEX('Per Line'!$F$2:$F$3001,$X431))</f>
        <v/>
      </c>
      <c r="D431">
        <f>IF($X431="","",INDEX('Per Line'!$G$2:$G$3001,$X431)&amp;"")</f>
        <v/>
      </c>
      <c r="E431">
        <f>IF($X431="","",INDEX('Per Line'!$I$2:$I$3001,$X431)&amp;"")</f>
        <v/>
      </c>
      <c r="F431">
        <f>IF($X431="","",INDEX('Per Line'!$J$2:$J$3001,$X431)&amp;"")</f>
        <v/>
      </c>
      <c r="G431">
        <f>IF($X431="","",INDEX('Per Line'!$K$2:$K$3001,$X431)&amp;"")</f>
        <v/>
      </c>
      <c r="H431">
        <f>IF($X431="","",INDEX('Per Line'!$M$2:$M$3001,$X431))</f>
        <v/>
      </c>
      <c r="I431" s="7">
        <f>IF($X431="","",H431*V431/100)</f>
        <v/>
      </c>
      <c r="J431">
        <f>IF($X431="","",INDEX('Per Line'!$W$2:$W$3001,$X431)&amp;"")</f>
        <v/>
      </c>
      <c r="K431">
        <f>IF($X431="","",INDEX('Per Line'!$AD$2:$AD$3001,$X431))</f>
        <v/>
      </c>
      <c r="L431">
        <f>IF($X431="","",IF(AND(ISNUMBER(K431),K431&gt;0),V431&gt;K431,FALSE))</f>
        <v/>
      </c>
      <c r="M431" s="7">
        <f>IF($X431="","",SUMIFS('Per Line'!$V$2:$V$3001,'Per Line'!$D$2:$D$3001,$B431,'Per Line'!$AN$2:$AN$3001,1))</f>
        <v/>
      </c>
      <c r="N431">
        <f>IF($X431="","",Settings!$C$7)</f>
        <v/>
      </c>
      <c r="O431" s="7">
        <f>IF($X431="","",SUMIFS('Per Line'!$V$2:$V$3001,'Per Line'!$D$2:$D$3001,$B431,'Per Line'!$AM$2:$AM$3001,0,'Per Line'!$AN$2:$AN$3001,0))</f>
        <v/>
      </c>
      <c r="P431" s="7">
        <f>IF($X431="","",O431*N431)</f>
        <v/>
      </c>
      <c r="Q431">
        <f>IF($X431="","",Settings!$C$6)</f>
        <v/>
      </c>
      <c r="R431" s="7">
        <f>IF($X431="","",SUMIFS('Per Line'!$V$2:$V$3001,'Per Line'!$D$2:$D$3001,$B431,'Per Line'!$AM$2:$AM$3001,1,'Per Line'!$AN$2:$AN$3001,0))</f>
        <v/>
      </c>
      <c r="S431" s="7">
        <f>IF($X431="","",R431*Q431)</f>
        <v/>
      </c>
      <c r="T431" s="7">
        <f>IF($X431="","",S431+P431)</f>
        <v/>
      </c>
      <c r="U431" s="7">
        <f>IF($X431="","",V431-T431)</f>
        <v/>
      </c>
      <c r="V431" s="7">
        <f>IF($X431="","",O431+R431+M431)</f>
        <v/>
      </c>
      <c r="W431" s="7">
        <f>IF($X431="","",V431-T431-I431)</f>
        <v/>
      </c>
      <c r="X431" s="13">
        <f>IF(ROWS($X$2:$X431)&lt;=MAX('Per Line'!$AL$2:$AL$3001),MATCH(ROWS($X$2:$X431),'Per Line'!$AL$2:$AL$3001,0),"")</f>
        <v/>
      </c>
    </row>
    <row r="432">
      <c r="A432" s="12" t="n"/>
      <c r="B432">
        <f>IF($X432="","",INDEX('Per Line'!$D$2:$D$3001,$X432)&amp;"")</f>
        <v/>
      </c>
      <c r="C432" s="11">
        <f>IF($X432="","",INDEX('Per Line'!$F$2:$F$3001,$X432))</f>
        <v/>
      </c>
      <c r="D432">
        <f>IF($X432="","",INDEX('Per Line'!$G$2:$G$3001,$X432)&amp;"")</f>
        <v/>
      </c>
      <c r="E432">
        <f>IF($X432="","",INDEX('Per Line'!$I$2:$I$3001,$X432)&amp;"")</f>
        <v/>
      </c>
      <c r="F432">
        <f>IF($X432="","",INDEX('Per Line'!$J$2:$J$3001,$X432)&amp;"")</f>
        <v/>
      </c>
      <c r="G432">
        <f>IF($X432="","",INDEX('Per Line'!$K$2:$K$3001,$X432)&amp;"")</f>
        <v/>
      </c>
      <c r="H432">
        <f>IF($X432="","",INDEX('Per Line'!$M$2:$M$3001,$X432))</f>
        <v/>
      </c>
      <c r="I432" s="7">
        <f>IF($X432="","",H432*V432/100)</f>
        <v/>
      </c>
      <c r="J432">
        <f>IF($X432="","",INDEX('Per Line'!$W$2:$W$3001,$X432)&amp;"")</f>
        <v/>
      </c>
      <c r="K432">
        <f>IF($X432="","",INDEX('Per Line'!$AD$2:$AD$3001,$X432))</f>
        <v/>
      </c>
      <c r="L432">
        <f>IF($X432="","",IF(AND(ISNUMBER(K432),K432&gt;0),V432&gt;K432,FALSE))</f>
        <v/>
      </c>
      <c r="M432" s="7">
        <f>IF($X432="","",SUMIFS('Per Line'!$V$2:$V$3001,'Per Line'!$D$2:$D$3001,$B432,'Per Line'!$AN$2:$AN$3001,1))</f>
        <v/>
      </c>
      <c r="N432">
        <f>IF($X432="","",Settings!$C$7)</f>
        <v/>
      </c>
      <c r="O432" s="7">
        <f>IF($X432="","",SUMIFS('Per Line'!$V$2:$V$3001,'Per Line'!$D$2:$D$3001,$B432,'Per Line'!$AM$2:$AM$3001,0,'Per Line'!$AN$2:$AN$3001,0))</f>
        <v/>
      </c>
      <c r="P432" s="7">
        <f>IF($X432="","",O432*N432)</f>
        <v/>
      </c>
      <c r="Q432">
        <f>IF($X432="","",Settings!$C$6)</f>
        <v/>
      </c>
      <c r="R432" s="7">
        <f>IF($X432="","",SUMIFS('Per Line'!$V$2:$V$3001,'Per Line'!$D$2:$D$3001,$B432,'Per Line'!$AM$2:$AM$3001,1,'Per Line'!$AN$2:$AN$3001,0))</f>
        <v/>
      </c>
      <c r="S432" s="7">
        <f>IF($X432="","",R432*Q432)</f>
        <v/>
      </c>
      <c r="T432" s="7">
        <f>IF($X432="","",S432+P432)</f>
        <v/>
      </c>
      <c r="U432" s="7">
        <f>IF($X432="","",V432-T432)</f>
        <v/>
      </c>
      <c r="V432" s="7">
        <f>IF($X432="","",O432+R432+M432)</f>
        <v/>
      </c>
      <c r="W432" s="7">
        <f>IF($X432="","",V432-T432-I432)</f>
        <v/>
      </c>
      <c r="X432" s="13">
        <f>IF(ROWS($X$2:$X432)&lt;=MAX('Per Line'!$AL$2:$AL$3001),MATCH(ROWS($X$2:$X432),'Per Line'!$AL$2:$AL$3001,0),"")</f>
        <v/>
      </c>
    </row>
    <row r="433">
      <c r="A433" s="12" t="n"/>
      <c r="B433">
        <f>IF($X433="","",INDEX('Per Line'!$D$2:$D$3001,$X433)&amp;"")</f>
        <v/>
      </c>
      <c r="C433" s="11">
        <f>IF($X433="","",INDEX('Per Line'!$F$2:$F$3001,$X433))</f>
        <v/>
      </c>
      <c r="D433">
        <f>IF($X433="","",INDEX('Per Line'!$G$2:$G$3001,$X433)&amp;"")</f>
        <v/>
      </c>
      <c r="E433">
        <f>IF($X433="","",INDEX('Per Line'!$I$2:$I$3001,$X433)&amp;"")</f>
        <v/>
      </c>
      <c r="F433">
        <f>IF($X433="","",INDEX('Per Line'!$J$2:$J$3001,$X433)&amp;"")</f>
        <v/>
      </c>
      <c r="G433">
        <f>IF($X433="","",INDEX('Per Line'!$K$2:$K$3001,$X433)&amp;"")</f>
        <v/>
      </c>
      <c r="H433">
        <f>IF($X433="","",INDEX('Per Line'!$M$2:$M$3001,$X433))</f>
        <v/>
      </c>
      <c r="I433" s="7">
        <f>IF($X433="","",H433*V433/100)</f>
        <v/>
      </c>
      <c r="J433">
        <f>IF($X433="","",INDEX('Per Line'!$W$2:$W$3001,$X433)&amp;"")</f>
        <v/>
      </c>
      <c r="K433">
        <f>IF($X433="","",INDEX('Per Line'!$AD$2:$AD$3001,$X433))</f>
        <v/>
      </c>
      <c r="L433">
        <f>IF($X433="","",IF(AND(ISNUMBER(K433),K433&gt;0),V433&gt;K433,FALSE))</f>
        <v/>
      </c>
      <c r="M433" s="7">
        <f>IF($X433="","",SUMIFS('Per Line'!$V$2:$V$3001,'Per Line'!$D$2:$D$3001,$B433,'Per Line'!$AN$2:$AN$3001,1))</f>
        <v/>
      </c>
      <c r="N433">
        <f>IF($X433="","",Settings!$C$7)</f>
        <v/>
      </c>
      <c r="O433" s="7">
        <f>IF($X433="","",SUMIFS('Per Line'!$V$2:$V$3001,'Per Line'!$D$2:$D$3001,$B433,'Per Line'!$AM$2:$AM$3001,0,'Per Line'!$AN$2:$AN$3001,0))</f>
        <v/>
      </c>
      <c r="P433" s="7">
        <f>IF($X433="","",O433*N433)</f>
        <v/>
      </c>
      <c r="Q433">
        <f>IF($X433="","",Settings!$C$6)</f>
        <v/>
      </c>
      <c r="R433" s="7">
        <f>IF($X433="","",SUMIFS('Per Line'!$V$2:$V$3001,'Per Line'!$D$2:$D$3001,$B433,'Per Line'!$AM$2:$AM$3001,1,'Per Line'!$AN$2:$AN$3001,0))</f>
        <v/>
      </c>
      <c r="S433" s="7">
        <f>IF($X433="","",R433*Q433)</f>
        <v/>
      </c>
      <c r="T433" s="7">
        <f>IF($X433="","",S433+P433)</f>
        <v/>
      </c>
      <c r="U433" s="7">
        <f>IF($X433="","",V433-T433)</f>
        <v/>
      </c>
      <c r="V433" s="7">
        <f>IF($X433="","",O433+R433+M433)</f>
        <v/>
      </c>
      <c r="W433" s="7">
        <f>IF($X433="","",V433-T433-I433)</f>
        <v/>
      </c>
      <c r="X433" s="13">
        <f>IF(ROWS($X$2:$X433)&lt;=MAX('Per Line'!$AL$2:$AL$3001),MATCH(ROWS($X$2:$X433),'Per Line'!$AL$2:$AL$3001,0),"")</f>
        <v/>
      </c>
    </row>
    <row r="434">
      <c r="A434" s="12" t="n"/>
      <c r="B434">
        <f>IF($X434="","",INDEX('Per Line'!$D$2:$D$3001,$X434)&amp;"")</f>
        <v/>
      </c>
      <c r="C434" s="11">
        <f>IF($X434="","",INDEX('Per Line'!$F$2:$F$3001,$X434))</f>
        <v/>
      </c>
      <c r="D434">
        <f>IF($X434="","",INDEX('Per Line'!$G$2:$G$3001,$X434)&amp;"")</f>
        <v/>
      </c>
      <c r="E434">
        <f>IF($X434="","",INDEX('Per Line'!$I$2:$I$3001,$X434)&amp;"")</f>
        <v/>
      </c>
      <c r="F434">
        <f>IF($X434="","",INDEX('Per Line'!$J$2:$J$3001,$X434)&amp;"")</f>
        <v/>
      </c>
      <c r="G434">
        <f>IF($X434="","",INDEX('Per Line'!$K$2:$K$3001,$X434)&amp;"")</f>
        <v/>
      </c>
      <c r="H434">
        <f>IF($X434="","",INDEX('Per Line'!$M$2:$M$3001,$X434))</f>
        <v/>
      </c>
      <c r="I434" s="7">
        <f>IF($X434="","",H434*V434/100)</f>
        <v/>
      </c>
      <c r="J434">
        <f>IF($X434="","",INDEX('Per Line'!$W$2:$W$3001,$X434)&amp;"")</f>
        <v/>
      </c>
      <c r="K434">
        <f>IF($X434="","",INDEX('Per Line'!$AD$2:$AD$3001,$X434))</f>
        <v/>
      </c>
      <c r="L434">
        <f>IF($X434="","",IF(AND(ISNUMBER(K434),K434&gt;0),V434&gt;K434,FALSE))</f>
        <v/>
      </c>
      <c r="M434" s="7">
        <f>IF($X434="","",SUMIFS('Per Line'!$V$2:$V$3001,'Per Line'!$D$2:$D$3001,$B434,'Per Line'!$AN$2:$AN$3001,1))</f>
        <v/>
      </c>
      <c r="N434">
        <f>IF($X434="","",Settings!$C$7)</f>
        <v/>
      </c>
      <c r="O434" s="7">
        <f>IF($X434="","",SUMIFS('Per Line'!$V$2:$V$3001,'Per Line'!$D$2:$D$3001,$B434,'Per Line'!$AM$2:$AM$3001,0,'Per Line'!$AN$2:$AN$3001,0))</f>
        <v/>
      </c>
      <c r="P434" s="7">
        <f>IF($X434="","",O434*N434)</f>
        <v/>
      </c>
      <c r="Q434">
        <f>IF($X434="","",Settings!$C$6)</f>
        <v/>
      </c>
      <c r="R434" s="7">
        <f>IF($X434="","",SUMIFS('Per Line'!$V$2:$V$3001,'Per Line'!$D$2:$D$3001,$B434,'Per Line'!$AM$2:$AM$3001,1,'Per Line'!$AN$2:$AN$3001,0))</f>
        <v/>
      </c>
      <c r="S434" s="7">
        <f>IF($X434="","",R434*Q434)</f>
        <v/>
      </c>
      <c r="T434" s="7">
        <f>IF($X434="","",S434+P434)</f>
        <v/>
      </c>
      <c r="U434" s="7">
        <f>IF($X434="","",V434-T434)</f>
        <v/>
      </c>
      <c r="V434" s="7">
        <f>IF($X434="","",O434+R434+M434)</f>
        <v/>
      </c>
      <c r="W434" s="7">
        <f>IF($X434="","",V434-T434-I434)</f>
        <v/>
      </c>
      <c r="X434" s="13">
        <f>IF(ROWS($X$2:$X434)&lt;=MAX('Per Line'!$AL$2:$AL$3001),MATCH(ROWS($X$2:$X434),'Per Line'!$AL$2:$AL$3001,0),"")</f>
        <v/>
      </c>
    </row>
    <row r="435">
      <c r="A435" s="12" t="n"/>
      <c r="B435">
        <f>IF($X435="","",INDEX('Per Line'!$D$2:$D$3001,$X435)&amp;"")</f>
        <v/>
      </c>
      <c r="C435" s="11">
        <f>IF($X435="","",INDEX('Per Line'!$F$2:$F$3001,$X435))</f>
        <v/>
      </c>
      <c r="D435">
        <f>IF($X435="","",INDEX('Per Line'!$G$2:$G$3001,$X435)&amp;"")</f>
        <v/>
      </c>
      <c r="E435">
        <f>IF($X435="","",INDEX('Per Line'!$I$2:$I$3001,$X435)&amp;"")</f>
        <v/>
      </c>
      <c r="F435">
        <f>IF($X435="","",INDEX('Per Line'!$J$2:$J$3001,$X435)&amp;"")</f>
        <v/>
      </c>
      <c r="G435">
        <f>IF($X435="","",INDEX('Per Line'!$K$2:$K$3001,$X435)&amp;"")</f>
        <v/>
      </c>
      <c r="H435">
        <f>IF($X435="","",INDEX('Per Line'!$M$2:$M$3001,$X435))</f>
        <v/>
      </c>
      <c r="I435" s="7">
        <f>IF($X435="","",H435*V435/100)</f>
        <v/>
      </c>
      <c r="J435">
        <f>IF($X435="","",INDEX('Per Line'!$W$2:$W$3001,$X435)&amp;"")</f>
        <v/>
      </c>
      <c r="K435">
        <f>IF($X435="","",INDEX('Per Line'!$AD$2:$AD$3001,$X435))</f>
        <v/>
      </c>
      <c r="L435">
        <f>IF($X435="","",IF(AND(ISNUMBER(K435),K435&gt;0),V435&gt;K435,FALSE))</f>
        <v/>
      </c>
      <c r="M435" s="7">
        <f>IF($X435="","",SUMIFS('Per Line'!$V$2:$V$3001,'Per Line'!$D$2:$D$3001,$B435,'Per Line'!$AN$2:$AN$3001,1))</f>
        <v/>
      </c>
      <c r="N435">
        <f>IF($X435="","",Settings!$C$7)</f>
        <v/>
      </c>
      <c r="O435" s="7">
        <f>IF($X435="","",SUMIFS('Per Line'!$V$2:$V$3001,'Per Line'!$D$2:$D$3001,$B435,'Per Line'!$AM$2:$AM$3001,0,'Per Line'!$AN$2:$AN$3001,0))</f>
        <v/>
      </c>
      <c r="P435" s="7">
        <f>IF($X435="","",O435*N435)</f>
        <v/>
      </c>
      <c r="Q435">
        <f>IF($X435="","",Settings!$C$6)</f>
        <v/>
      </c>
      <c r="R435" s="7">
        <f>IF($X435="","",SUMIFS('Per Line'!$V$2:$V$3001,'Per Line'!$D$2:$D$3001,$B435,'Per Line'!$AM$2:$AM$3001,1,'Per Line'!$AN$2:$AN$3001,0))</f>
        <v/>
      </c>
      <c r="S435" s="7">
        <f>IF($X435="","",R435*Q435)</f>
        <v/>
      </c>
      <c r="T435" s="7">
        <f>IF($X435="","",S435+P435)</f>
        <v/>
      </c>
      <c r="U435" s="7">
        <f>IF($X435="","",V435-T435)</f>
        <v/>
      </c>
      <c r="V435" s="7">
        <f>IF($X435="","",O435+R435+M435)</f>
        <v/>
      </c>
      <c r="W435" s="7">
        <f>IF($X435="","",V435-T435-I435)</f>
        <v/>
      </c>
      <c r="X435" s="13">
        <f>IF(ROWS($X$2:$X435)&lt;=MAX('Per Line'!$AL$2:$AL$3001),MATCH(ROWS($X$2:$X435),'Per Line'!$AL$2:$AL$3001,0),"")</f>
        <v/>
      </c>
    </row>
    <row r="436">
      <c r="A436" s="12" t="n"/>
      <c r="B436">
        <f>IF($X436="","",INDEX('Per Line'!$D$2:$D$3001,$X436)&amp;"")</f>
        <v/>
      </c>
      <c r="C436" s="11">
        <f>IF($X436="","",INDEX('Per Line'!$F$2:$F$3001,$X436))</f>
        <v/>
      </c>
      <c r="D436">
        <f>IF($X436="","",INDEX('Per Line'!$G$2:$G$3001,$X436)&amp;"")</f>
        <v/>
      </c>
      <c r="E436">
        <f>IF($X436="","",INDEX('Per Line'!$I$2:$I$3001,$X436)&amp;"")</f>
        <v/>
      </c>
      <c r="F436">
        <f>IF($X436="","",INDEX('Per Line'!$J$2:$J$3001,$X436)&amp;"")</f>
        <v/>
      </c>
      <c r="G436">
        <f>IF($X436="","",INDEX('Per Line'!$K$2:$K$3001,$X436)&amp;"")</f>
        <v/>
      </c>
      <c r="H436">
        <f>IF($X436="","",INDEX('Per Line'!$M$2:$M$3001,$X436))</f>
        <v/>
      </c>
      <c r="I436" s="7">
        <f>IF($X436="","",H436*V436/100)</f>
        <v/>
      </c>
      <c r="J436">
        <f>IF($X436="","",INDEX('Per Line'!$W$2:$W$3001,$X436)&amp;"")</f>
        <v/>
      </c>
      <c r="K436">
        <f>IF($X436="","",INDEX('Per Line'!$AD$2:$AD$3001,$X436))</f>
        <v/>
      </c>
      <c r="L436">
        <f>IF($X436="","",IF(AND(ISNUMBER(K436),K436&gt;0),V436&gt;K436,FALSE))</f>
        <v/>
      </c>
      <c r="M436" s="7">
        <f>IF($X436="","",SUMIFS('Per Line'!$V$2:$V$3001,'Per Line'!$D$2:$D$3001,$B436,'Per Line'!$AN$2:$AN$3001,1))</f>
        <v/>
      </c>
      <c r="N436">
        <f>IF($X436="","",Settings!$C$7)</f>
        <v/>
      </c>
      <c r="O436" s="7">
        <f>IF($X436="","",SUMIFS('Per Line'!$V$2:$V$3001,'Per Line'!$D$2:$D$3001,$B436,'Per Line'!$AM$2:$AM$3001,0,'Per Line'!$AN$2:$AN$3001,0))</f>
        <v/>
      </c>
      <c r="P436" s="7">
        <f>IF($X436="","",O436*N436)</f>
        <v/>
      </c>
      <c r="Q436">
        <f>IF($X436="","",Settings!$C$6)</f>
        <v/>
      </c>
      <c r="R436" s="7">
        <f>IF($X436="","",SUMIFS('Per Line'!$V$2:$V$3001,'Per Line'!$D$2:$D$3001,$B436,'Per Line'!$AM$2:$AM$3001,1,'Per Line'!$AN$2:$AN$3001,0))</f>
        <v/>
      </c>
      <c r="S436" s="7">
        <f>IF($X436="","",R436*Q436)</f>
        <v/>
      </c>
      <c r="T436" s="7">
        <f>IF($X436="","",S436+P436)</f>
        <v/>
      </c>
      <c r="U436" s="7">
        <f>IF($X436="","",V436-T436)</f>
        <v/>
      </c>
      <c r="V436" s="7">
        <f>IF($X436="","",O436+R436+M436)</f>
        <v/>
      </c>
      <c r="W436" s="7">
        <f>IF($X436="","",V436-T436-I436)</f>
        <v/>
      </c>
      <c r="X436" s="13">
        <f>IF(ROWS($X$2:$X436)&lt;=MAX('Per Line'!$AL$2:$AL$3001),MATCH(ROWS($X$2:$X436),'Per Line'!$AL$2:$AL$3001,0),"")</f>
        <v/>
      </c>
    </row>
    <row r="437">
      <c r="A437" s="12" t="n"/>
      <c r="B437">
        <f>IF($X437="","",INDEX('Per Line'!$D$2:$D$3001,$X437)&amp;"")</f>
        <v/>
      </c>
      <c r="C437" s="11">
        <f>IF($X437="","",INDEX('Per Line'!$F$2:$F$3001,$X437))</f>
        <v/>
      </c>
      <c r="D437">
        <f>IF($X437="","",INDEX('Per Line'!$G$2:$G$3001,$X437)&amp;"")</f>
        <v/>
      </c>
      <c r="E437">
        <f>IF($X437="","",INDEX('Per Line'!$I$2:$I$3001,$X437)&amp;"")</f>
        <v/>
      </c>
      <c r="F437">
        <f>IF($X437="","",INDEX('Per Line'!$J$2:$J$3001,$X437)&amp;"")</f>
        <v/>
      </c>
      <c r="G437">
        <f>IF($X437="","",INDEX('Per Line'!$K$2:$K$3001,$X437)&amp;"")</f>
        <v/>
      </c>
      <c r="H437">
        <f>IF($X437="","",INDEX('Per Line'!$M$2:$M$3001,$X437))</f>
        <v/>
      </c>
      <c r="I437" s="7">
        <f>IF($X437="","",H437*V437/100)</f>
        <v/>
      </c>
      <c r="J437">
        <f>IF($X437="","",INDEX('Per Line'!$W$2:$W$3001,$X437)&amp;"")</f>
        <v/>
      </c>
      <c r="K437">
        <f>IF($X437="","",INDEX('Per Line'!$AD$2:$AD$3001,$X437))</f>
        <v/>
      </c>
      <c r="L437">
        <f>IF($X437="","",IF(AND(ISNUMBER(K437),K437&gt;0),V437&gt;K437,FALSE))</f>
        <v/>
      </c>
      <c r="M437" s="7">
        <f>IF($X437="","",SUMIFS('Per Line'!$V$2:$V$3001,'Per Line'!$D$2:$D$3001,$B437,'Per Line'!$AN$2:$AN$3001,1))</f>
        <v/>
      </c>
      <c r="N437">
        <f>IF($X437="","",Settings!$C$7)</f>
        <v/>
      </c>
      <c r="O437" s="7">
        <f>IF($X437="","",SUMIFS('Per Line'!$V$2:$V$3001,'Per Line'!$D$2:$D$3001,$B437,'Per Line'!$AM$2:$AM$3001,0,'Per Line'!$AN$2:$AN$3001,0))</f>
        <v/>
      </c>
      <c r="P437" s="7">
        <f>IF($X437="","",O437*N437)</f>
        <v/>
      </c>
      <c r="Q437">
        <f>IF($X437="","",Settings!$C$6)</f>
        <v/>
      </c>
      <c r="R437" s="7">
        <f>IF($X437="","",SUMIFS('Per Line'!$V$2:$V$3001,'Per Line'!$D$2:$D$3001,$B437,'Per Line'!$AM$2:$AM$3001,1,'Per Line'!$AN$2:$AN$3001,0))</f>
        <v/>
      </c>
      <c r="S437" s="7">
        <f>IF($X437="","",R437*Q437)</f>
        <v/>
      </c>
      <c r="T437" s="7">
        <f>IF($X437="","",S437+P437)</f>
        <v/>
      </c>
      <c r="U437" s="7">
        <f>IF($X437="","",V437-T437)</f>
        <v/>
      </c>
      <c r="V437" s="7">
        <f>IF($X437="","",O437+R437+M437)</f>
        <v/>
      </c>
      <c r="W437" s="7">
        <f>IF($X437="","",V437-T437-I437)</f>
        <v/>
      </c>
      <c r="X437" s="13">
        <f>IF(ROWS($X$2:$X437)&lt;=MAX('Per Line'!$AL$2:$AL$3001),MATCH(ROWS($X$2:$X437),'Per Line'!$AL$2:$AL$3001,0),"")</f>
        <v/>
      </c>
    </row>
    <row r="438">
      <c r="A438" s="12" t="n"/>
      <c r="B438">
        <f>IF($X438="","",INDEX('Per Line'!$D$2:$D$3001,$X438)&amp;"")</f>
        <v/>
      </c>
      <c r="C438" s="11">
        <f>IF($X438="","",INDEX('Per Line'!$F$2:$F$3001,$X438))</f>
        <v/>
      </c>
      <c r="D438">
        <f>IF($X438="","",INDEX('Per Line'!$G$2:$G$3001,$X438)&amp;"")</f>
        <v/>
      </c>
      <c r="E438">
        <f>IF($X438="","",INDEX('Per Line'!$I$2:$I$3001,$X438)&amp;"")</f>
        <v/>
      </c>
      <c r="F438">
        <f>IF($X438="","",INDEX('Per Line'!$J$2:$J$3001,$X438)&amp;"")</f>
        <v/>
      </c>
      <c r="G438">
        <f>IF($X438="","",INDEX('Per Line'!$K$2:$K$3001,$X438)&amp;"")</f>
        <v/>
      </c>
      <c r="H438">
        <f>IF($X438="","",INDEX('Per Line'!$M$2:$M$3001,$X438))</f>
        <v/>
      </c>
      <c r="I438" s="7">
        <f>IF($X438="","",H438*V438/100)</f>
        <v/>
      </c>
      <c r="J438">
        <f>IF($X438="","",INDEX('Per Line'!$W$2:$W$3001,$X438)&amp;"")</f>
        <v/>
      </c>
      <c r="K438">
        <f>IF($X438="","",INDEX('Per Line'!$AD$2:$AD$3001,$X438))</f>
        <v/>
      </c>
      <c r="L438">
        <f>IF($X438="","",IF(AND(ISNUMBER(K438),K438&gt;0),V438&gt;K438,FALSE))</f>
        <v/>
      </c>
      <c r="M438" s="7">
        <f>IF($X438="","",SUMIFS('Per Line'!$V$2:$V$3001,'Per Line'!$D$2:$D$3001,$B438,'Per Line'!$AN$2:$AN$3001,1))</f>
        <v/>
      </c>
      <c r="N438">
        <f>IF($X438="","",Settings!$C$7)</f>
        <v/>
      </c>
      <c r="O438" s="7">
        <f>IF($X438="","",SUMIFS('Per Line'!$V$2:$V$3001,'Per Line'!$D$2:$D$3001,$B438,'Per Line'!$AM$2:$AM$3001,0,'Per Line'!$AN$2:$AN$3001,0))</f>
        <v/>
      </c>
      <c r="P438" s="7">
        <f>IF($X438="","",O438*N438)</f>
        <v/>
      </c>
      <c r="Q438">
        <f>IF($X438="","",Settings!$C$6)</f>
        <v/>
      </c>
      <c r="R438" s="7">
        <f>IF($X438="","",SUMIFS('Per Line'!$V$2:$V$3001,'Per Line'!$D$2:$D$3001,$B438,'Per Line'!$AM$2:$AM$3001,1,'Per Line'!$AN$2:$AN$3001,0))</f>
        <v/>
      </c>
      <c r="S438" s="7">
        <f>IF($X438="","",R438*Q438)</f>
        <v/>
      </c>
      <c r="T438" s="7">
        <f>IF($X438="","",S438+P438)</f>
        <v/>
      </c>
      <c r="U438" s="7">
        <f>IF($X438="","",V438-T438)</f>
        <v/>
      </c>
      <c r="V438" s="7">
        <f>IF($X438="","",O438+R438+M438)</f>
        <v/>
      </c>
      <c r="W438" s="7">
        <f>IF($X438="","",V438-T438-I438)</f>
        <v/>
      </c>
      <c r="X438" s="13">
        <f>IF(ROWS($X$2:$X438)&lt;=MAX('Per Line'!$AL$2:$AL$3001),MATCH(ROWS($X$2:$X438),'Per Line'!$AL$2:$AL$3001,0),"")</f>
        <v/>
      </c>
    </row>
    <row r="439">
      <c r="A439" s="12" t="n"/>
      <c r="B439">
        <f>IF($X439="","",INDEX('Per Line'!$D$2:$D$3001,$X439)&amp;"")</f>
        <v/>
      </c>
      <c r="C439" s="11">
        <f>IF($X439="","",INDEX('Per Line'!$F$2:$F$3001,$X439))</f>
        <v/>
      </c>
      <c r="D439">
        <f>IF($X439="","",INDEX('Per Line'!$G$2:$G$3001,$X439)&amp;"")</f>
        <v/>
      </c>
      <c r="E439">
        <f>IF($X439="","",INDEX('Per Line'!$I$2:$I$3001,$X439)&amp;"")</f>
        <v/>
      </c>
      <c r="F439">
        <f>IF($X439="","",INDEX('Per Line'!$J$2:$J$3001,$X439)&amp;"")</f>
        <v/>
      </c>
      <c r="G439">
        <f>IF($X439="","",INDEX('Per Line'!$K$2:$K$3001,$X439)&amp;"")</f>
        <v/>
      </c>
      <c r="H439">
        <f>IF($X439="","",INDEX('Per Line'!$M$2:$M$3001,$X439))</f>
        <v/>
      </c>
      <c r="I439" s="7">
        <f>IF($X439="","",H439*V439/100)</f>
        <v/>
      </c>
      <c r="J439">
        <f>IF($X439="","",INDEX('Per Line'!$W$2:$W$3001,$X439)&amp;"")</f>
        <v/>
      </c>
      <c r="K439">
        <f>IF($X439="","",INDEX('Per Line'!$AD$2:$AD$3001,$X439))</f>
        <v/>
      </c>
      <c r="L439">
        <f>IF($X439="","",IF(AND(ISNUMBER(K439),K439&gt;0),V439&gt;K439,FALSE))</f>
        <v/>
      </c>
      <c r="M439" s="7">
        <f>IF($X439="","",SUMIFS('Per Line'!$V$2:$V$3001,'Per Line'!$D$2:$D$3001,$B439,'Per Line'!$AN$2:$AN$3001,1))</f>
        <v/>
      </c>
      <c r="N439">
        <f>IF($X439="","",Settings!$C$7)</f>
        <v/>
      </c>
      <c r="O439" s="7">
        <f>IF($X439="","",SUMIFS('Per Line'!$V$2:$V$3001,'Per Line'!$D$2:$D$3001,$B439,'Per Line'!$AM$2:$AM$3001,0,'Per Line'!$AN$2:$AN$3001,0))</f>
        <v/>
      </c>
      <c r="P439" s="7">
        <f>IF($X439="","",O439*N439)</f>
        <v/>
      </c>
      <c r="Q439">
        <f>IF($X439="","",Settings!$C$6)</f>
        <v/>
      </c>
      <c r="R439" s="7">
        <f>IF($X439="","",SUMIFS('Per Line'!$V$2:$V$3001,'Per Line'!$D$2:$D$3001,$B439,'Per Line'!$AM$2:$AM$3001,1,'Per Line'!$AN$2:$AN$3001,0))</f>
        <v/>
      </c>
      <c r="S439" s="7">
        <f>IF($X439="","",R439*Q439)</f>
        <v/>
      </c>
      <c r="T439" s="7">
        <f>IF($X439="","",S439+P439)</f>
        <v/>
      </c>
      <c r="U439" s="7">
        <f>IF($X439="","",V439-T439)</f>
        <v/>
      </c>
      <c r="V439" s="7">
        <f>IF($X439="","",O439+R439+M439)</f>
        <v/>
      </c>
      <c r="W439" s="7">
        <f>IF($X439="","",V439-T439-I439)</f>
        <v/>
      </c>
      <c r="X439" s="13">
        <f>IF(ROWS($X$2:$X439)&lt;=MAX('Per Line'!$AL$2:$AL$3001),MATCH(ROWS($X$2:$X439),'Per Line'!$AL$2:$AL$3001,0),"")</f>
        <v/>
      </c>
    </row>
    <row r="440">
      <c r="A440" s="12" t="n"/>
      <c r="B440">
        <f>IF($X440="","",INDEX('Per Line'!$D$2:$D$3001,$X440)&amp;"")</f>
        <v/>
      </c>
      <c r="C440" s="11">
        <f>IF($X440="","",INDEX('Per Line'!$F$2:$F$3001,$X440))</f>
        <v/>
      </c>
      <c r="D440">
        <f>IF($X440="","",INDEX('Per Line'!$G$2:$G$3001,$X440)&amp;"")</f>
        <v/>
      </c>
      <c r="E440">
        <f>IF($X440="","",INDEX('Per Line'!$I$2:$I$3001,$X440)&amp;"")</f>
        <v/>
      </c>
      <c r="F440">
        <f>IF($X440="","",INDEX('Per Line'!$J$2:$J$3001,$X440)&amp;"")</f>
        <v/>
      </c>
      <c r="G440">
        <f>IF($X440="","",INDEX('Per Line'!$K$2:$K$3001,$X440)&amp;"")</f>
        <v/>
      </c>
      <c r="H440">
        <f>IF($X440="","",INDEX('Per Line'!$M$2:$M$3001,$X440))</f>
        <v/>
      </c>
      <c r="I440" s="7">
        <f>IF($X440="","",H440*V440/100)</f>
        <v/>
      </c>
      <c r="J440">
        <f>IF($X440="","",INDEX('Per Line'!$W$2:$W$3001,$X440)&amp;"")</f>
        <v/>
      </c>
      <c r="K440">
        <f>IF($X440="","",INDEX('Per Line'!$AD$2:$AD$3001,$X440))</f>
        <v/>
      </c>
      <c r="L440">
        <f>IF($X440="","",IF(AND(ISNUMBER(K440),K440&gt;0),V440&gt;K440,FALSE))</f>
        <v/>
      </c>
      <c r="M440" s="7">
        <f>IF($X440="","",SUMIFS('Per Line'!$V$2:$V$3001,'Per Line'!$D$2:$D$3001,$B440,'Per Line'!$AN$2:$AN$3001,1))</f>
        <v/>
      </c>
      <c r="N440">
        <f>IF($X440="","",Settings!$C$7)</f>
        <v/>
      </c>
      <c r="O440" s="7">
        <f>IF($X440="","",SUMIFS('Per Line'!$V$2:$V$3001,'Per Line'!$D$2:$D$3001,$B440,'Per Line'!$AM$2:$AM$3001,0,'Per Line'!$AN$2:$AN$3001,0))</f>
        <v/>
      </c>
      <c r="P440" s="7">
        <f>IF($X440="","",O440*N440)</f>
        <v/>
      </c>
      <c r="Q440">
        <f>IF($X440="","",Settings!$C$6)</f>
        <v/>
      </c>
      <c r="R440" s="7">
        <f>IF($X440="","",SUMIFS('Per Line'!$V$2:$V$3001,'Per Line'!$D$2:$D$3001,$B440,'Per Line'!$AM$2:$AM$3001,1,'Per Line'!$AN$2:$AN$3001,0))</f>
        <v/>
      </c>
      <c r="S440" s="7">
        <f>IF($X440="","",R440*Q440)</f>
        <v/>
      </c>
      <c r="T440" s="7">
        <f>IF($X440="","",S440+P440)</f>
        <v/>
      </c>
      <c r="U440" s="7">
        <f>IF($X440="","",V440-T440)</f>
        <v/>
      </c>
      <c r="V440" s="7">
        <f>IF($X440="","",O440+R440+M440)</f>
        <v/>
      </c>
      <c r="W440" s="7">
        <f>IF($X440="","",V440-T440-I440)</f>
        <v/>
      </c>
      <c r="X440" s="13">
        <f>IF(ROWS($X$2:$X440)&lt;=MAX('Per Line'!$AL$2:$AL$3001),MATCH(ROWS($X$2:$X440),'Per Line'!$AL$2:$AL$3001,0),"")</f>
        <v/>
      </c>
    </row>
    <row r="441">
      <c r="A441" s="12" t="n"/>
      <c r="B441">
        <f>IF($X441="","",INDEX('Per Line'!$D$2:$D$3001,$X441)&amp;"")</f>
        <v/>
      </c>
      <c r="C441" s="11">
        <f>IF($X441="","",INDEX('Per Line'!$F$2:$F$3001,$X441))</f>
        <v/>
      </c>
      <c r="D441">
        <f>IF($X441="","",INDEX('Per Line'!$G$2:$G$3001,$X441)&amp;"")</f>
        <v/>
      </c>
      <c r="E441">
        <f>IF($X441="","",INDEX('Per Line'!$I$2:$I$3001,$X441)&amp;"")</f>
        <v/>
      </c>
      <c r="F441">
        <f>IF($X441="","",INDEX('Per Line'!$J$2:$J$3001,$X441)&amp;"")</f>
        <v/>
      </c>
      <c r="G441">
        <f>IF($X441="","",INDEX('Per Line'!$K$2:$K$3001,$X441)&amp;"")</f>
        <v/>
      </c>
      <c r="H441">
        <f>IF($X441="","",INDEX('Per Line'!$M$2:$M$3001,$X441))</f>
        <v/>
      </c>
      <c r="I441" s="7">
        <f>IF($X441="","",H441*V441/100)</f>
        <v/>
      </c>
      <c r="J441">
        <f>IF($X441="","",INDEX('Per Line'!$W$2:$W$3001,$X441)&amp;"")</f>
        <v/>
      </c>
      <c r="K441">
        <f>IF($X441="","",INDEX('Per Line'!$AD$2:$AD$3001,$X441))</f>
        <v/>
      </c>
      <c r="L441">
        <f>IF($X441="","",IF(AND(ISNUMBER(K441),K441&gt;0),V441&gt;K441,FALSE))</f>
        <v/>
      </c>
      <c r="M441" s="7">
        <f>IF($X441="","",SUMIFS('Per Line'!$V$2:$V$3001,'Per Line'!$D$2:$D$3001,$B441,'Per Line'!$AN$2:$AN$3001,1))</f>
        <v/>
      </c>
      <c r="N441">
        <f>IF($X441="","",Settings!$C$7)</f>
        <v/>
      </c>
      <c r="O441" s="7">
        <f>IF($X441="","",SUMIFS('Per Line'!$V$2:$V$3001,'Per Line'!$D$2:$D$3001,$B441,'Per Line'!$AM$2:$AM$3001,0,'Per Line'!$AN$2:$AN$3001,0))</f>
        <v/>
      </c>
      <c r="P441" s="7">
        <f>IF($X441="","",O441*N441)</f>
        <v/>
      </c>
      <c r="Q441">
        <f>IF($X441="","",Settings!$C$6)</f>
        <v/>
      </c>
      <c r="R441" s="7">
        <f>IF($X441="","",SUMIFS('Per Line'!$V$2:$V$3001,'Per Line'!$D$2:$D$3001,$B441,'Per Line'!$AM$2:$AM$3001,1,'Per Line'!$AN$2:$AN$3001,0))</f>
        <v/>
      </c>
      <c r="S441" s="7">
        <f>IF($X441="","",R441*Q441)</f>
        <v/>
      </c>
      <c r="T441" s="7">
        <f>IF($X441="","",S441+P441)</f>
        <v/>
      </c>
      <c r="U441" s="7">
        <f>IF($X441="","",V441-T441)</f>
        <v/>
      </c>
      <c r="V441" s="7">
        <f>IF($X441="","",O441+R441+M441)</f>
        <v/>
      </c>
      <c r="W441" s="7">
        <f>IF($X441="","",V441-T441-I441)</f>
        <v/>
      </c>
      <c r="X441" s="13">
        <f>IF(ROWS($X$2:$X441)&lt;=MAX('Per Line'!$AL$2:$AL$3001),MATCH(ROWS($X$2:$X441),'Per Line'!$AL$2:$AL$3001,0),"")</f>
        <v/>
      </c>
    </row>
    <row r="442">
      <c r="A442" s="12" t="n"/>
      <c r="B442">
        <f>IF($X442="","",INDEX('Per Line'!$D$2:$D$3001,$X442)&amp;"")</f>
        <v/>
      </c>
      <c r="C442" s="11">
        <f>IF($X442="","",INDEX('Per Line'!$F$2:$F$3001,$X442))</f>
        <v/>
      </c>
      <c r="D442">
        <f>IF($X442="","",INDEX('Per Line'!$G$2:$G$3001,$X442)&amp;"")</f>
        <v/>
      </c>
      <c r="E442">
        <f>IF($X442="","",INDEX('Per Line'!$I$2:$I$3001,$X442)&amp;"")</f>
        <v/>
      </c>
      <c r="F442">
        <f>IF($X442="","",INDEX('Per Line'!$J$2:$J$3001,$X442)&amp;"")</f>
        <v/>
      </c>
      <c r="G442">
        <f>IF($X442="","",INDEX('Per Line'!$K$2:$K$3001,$X442)&amp;"")</f>
        <v/>
      </c>
      <c r="H442">
        <f>IF($X442="","",INDEX('Per Line'!$M$2:$M$3001,$X442))</f>
        <v/>
      </c>
      <c r="I442" s="7">
        <f>IF($X442="","",H442*V442/100)</f>
        <v/>
      </c>
      <c r="J442">
        <f>IF($X442="","",INDEX('Per Line'!$W$2:$W$3001,$X442)&amp;"")</f>
        <v/>
      </c>
      <c r="K442">
        <f>IF($X442="","",INDEX('Per Line'!$AD$2:$AD$3001,$X442))</f>
        <v/>
      </c>
      <c r="L442">
        <f>IF($X442="","",IF(AND(ISNUMBER(K442),K442&gt;0),V442&gt;K442,FALSE))</f>
        <v/>
      </c>
      <c r="M442" s="7">
        <f>IF($X442="","",SUMIFS('Per Line'!$V$2:$V$3001,'Per Line'!$D$2:$D$3001,$B442,'Per Line'!$AN$2:$AN$3001,1))</f>
        <v/>
      </c>
      <c r="N442">
        <f>IF($X442="","",Settings!$C$7)</f>
        <v/>
      </c>
      <c r="O442" s="7">
        <f>IF($X442="","",SUMIFS('Per Line'!$V$2:$V$3001,'Per Line'!$D$2:$D$3001,$B442,'Per Line'!$AM$2:$AM$3001,0,'Per Line'!$AN$2:$AN$3001,0))</f>
        <v/>
      </c>
      <c r="P442" s="7">
        <f>IF($X442="","",O442*N442)</f>
        <v/>
      </c>
      <c r="Q442">
        <f>IF($X442="","",Settings!$C$6)</f>
        <v/>
      </c>
      <c r="R442" s="7">
        <f>IF($X442="","",SUMIFS('Per Line'!$V$2:$V$3001,'Per Line'!$D$2:$D$3001,$B442,'Per Line'!$AM$2:$AM$3001,1,'Per Line'!$AN$2:$AN$3001,0))</f>
        <v/>
      </c>
      <c r="S442" s="7">
        <f>IF($X442="","",R442*Q442)</f>
        <v/>
      </c>
      <c r="T442" s="7">
        <f>IF($X442="","",S442+P442)</f>
        <v/>
      </c>
      <c r="U442" s="7">
        <f>IF($X442="","",V442-T442)</f>
        <v/>
      </c>
      <c r="V442" s="7">
        <f>IF($X442="","",O442+R442+M442)</f>
        <v/>
      </c>
      <c r="W442" s="7">
        <f>IF($X442="","",V442-T442-I442)</f>
        <v/>
      </c>
      <c r="X442" s="13">
        <f>IF(ROWS($X$2:$X442)&lt;=MAX('Per Line'!$AL$2:$AL$3001),MATCH(ROWS($X$2:$X442),'Per Line'!$AL$2:$AL$3001,0),"")</f>
        <v/>
      </c>
    </row>
    <row r="443">
      <c r="A443" s="12" t="n"/>
      <c r="B443">
        <f>IF($X443="","",INDEX('Per Line'!$D$2:$D$3001,$X443)&amp;"")</f>
        <v/>
      </c>
      <c r="C443" s="11">
        <f>IF($X443="","",INDEX('Per Line'!$F$2:$F$3001,$X443))</f>
        <v/>
      </c>
      <c r="D443">
        <f>IF($X443="","",INDEX('Per Line'!$G$2:$G$3001,$X443)&amp;"")</f>
        <v/>
      </c>
      <c r="E443">
        <f>IF($X443="","",INDEX('Per Line'!$I$2:$I$3001,$X443)&amp;"")</f>
        <v/>
      </c>
      <c r="F443">
        <f>IF($X443="","",INDEX('Per Line'!$J$2:$J$3001,$X443)&amp;"")</f>
        <v/>
      </c>
      <c r="G443">
        <f>IF($X443="","",INDEX('Per Line'!$K$2:$K$3001,$X443)&amp;"")</f>
        <v/>
      </c>
      <c r="H443">
        <f>IF($X443="","",INDEX('Per Line'!$M$2:$M$3001,$X443))</f>
        <v/>
      </c>
      <c r="I443" s="7">
        <f>IF($X443="","",H443*V443/100)</f>
        <v/>
      </c>
      <c r="J443">
        <f>IF($X443="","",INDEX('Per Line'!$W$2:$W$3001,$X443)&amp;"")</f>
        <v/>
      </c>
      <c r="K443">
        <f>IF($X443="","",INDEX('Per Line'!$AD$2:$AD$3001,$X443))</f>
        <v/>
      </c>
      <c r="L443">
        <f>IF($X443="","",IF(AND(ISNUMBER(K443),K443&gt;0),V443&gt;K443,FALSE))</f>
        <v/>
      </c>
      <c r="M443" s="7">
        <f>IF($X443="","",SUMIFS('Per Line'!$V$2:$V$3001,'Per Line'!$D$2:$D$3001,$B443,'Per Line'!$AN$2:$AN$3001,1))</f>
        <v/>
      </c>
      <c r="N443">
        <f>IF($X443="","",Settings!$C$7)</f>
        <v/>
      </c>
      <c r="O443" s="7">
        <f>IF($X443="","",SUMIFS('Per Line'!$V$2:$V$3001,'Per Line'!$D$2:$D$3001,$B443,'Per Line'!$AM$2:$AM$3001,0,'Per Line'!$AN$2:$AN$3001,0))</f>
        <v/>
      </c>
      <c r="P443" s="7">
        <f>IF($X443="","",O443*N443)</f>
        <v/>
      </c>
      <c r="Q443">
        <f>IF($X443="","",Settings!$C$6)</f>
        <v/>
      </c>
      <c r="R443" s="7">
        <f>IF($X443="","",SUMIFS('Per Line'!$V$2:$V$3001,'Per Line'!$D$2:$D$3001,$B443,'Per Line'!$AM$2:$AM$3001,1,'Per Line'!$AN$2:$AN$3001,0))</f>
        <v/>
      </c>
      <c r="S443" s="7">
        <f>IF($X443="","",R443*Q443)</f>
        <v/>
      </c>
      <c r="T443" s="7">
        <f>IF($X443="","",S443+P443)</f>
        <v/>
      </c>
      <c r="U443" s="7">
        <f>IF($X443="","",V443-T443)</f>
        <v/>
      </c>
      <c r="V443" s="7">
        <f>IF($X443="","",O443+R443+M443)</f>
        <v/>
      </c>
      <c r="W443" s="7">
        <f>IF($X443="","",V443-T443-I443)</f>
        <v/>
      </c>
      <c r="X443" s="13">
        <f>IF(ROWS($X$2:$X443)&lt;=MAX('Per Line'!$AL$2:$AL$3001),MATCH(ROWS($X$2:$X443),'Per Line'!$AL$2:$AL$3001,0),"")</f>
        <v/>
      </c>
    </row>
    <row r="444">
      <c r="A444" s="12" t="n"/>
      <c r="B444">
        <f>IF($X444="","",INDEX('Per Line'!$D$2:$D$3001,$X444)&amp;"")</f>
        <v/>
      </c>
      <c r="C444" s="11">
        <f>IF($X444="","",INDEX('Per Line'!$F$2:$F$3001,$X444))</f>
        <v/>
      </c>
      <c r="D444">
        <f>IF($X444="","",INDEX('Per Line'!$G$2:$G$3001,$X444)&amp;"")</f>
        <v/>
      </c>
      <c r="E444">
        <f>IF($X444="","",INDEX('Per Line'!$I$2:$I$3001,$X444)&amp;"")</f>
        <v/>
      </c>
      <c r="F444">
        <f>IF($X444="","",INDEX('Per Line'!$J$2:$J$3001,$X444)&amp;"")</f>
        <v/>
      </c>
      <c r="G444">
        <f>IF($X444="","",INDEX('Per Line'!$K$2:$K$3001,$X444)&amp;"")</f>
        <v/>
      </c>
      <c r="H444">
        <f>IF($X444="","",INDEX('Per Line'!$M$2:$M$3001,$X444))</f>
        <v/>
      </c>
      <c r="I444" s="7">
        <f>IF($X444="","",H444*V444/100)</f>
        <v/>
      </c>
      <c r="J444">
        <f>IF($X444="","",INDEX('Per Line'!$W$2:$W$3001,$X444)&amp;"")</f>
        <v/>
      </c>
      <c r="K444">
        <f>IF($X444="","",INDEX('Per Line'!$AD$2:$AD$3001,$X444))</f>
        <v/>
      </c>
      <c r="L444">
        <f>IF($X444="","",IF(AND(ISNUMBER(K444),K444&gt;0),V444&gt;K444,FALSE))</f>
        <v/>
      </c>
      <c r="M444" s="7">
        <f>IF($X444="","",SUMIFS('Per Line'!$V$2:$V$3001,'Per Line'!$D$2:$D$3001,$B444,'Per Line'!$AN$2:$AN$3001,1))</f>
        <v/>
      </c>
      <c r="N444">
        <f>IF($X444="","",Settings!$C$7)</f>
        <v/>
      </c>
      <c r="O444" s="7">
        <f>IF($X444="","",SUMIFS('Per Line'!$V$2:$V$3001,'Per Line'!$D$2:$D$3001,$B444,'Per Line'!$AM$2:$AM$3001,0,'Per Line'!$AN$2:$AN$3001,0))</f>
        <v/>
      </c>
      <c r="P444" s="7">
        <f>IF($X444="","",O444*N444)</f>
        <v/>
      </c>
      <c r="Q444">
        <f>IF($X444="","",Settings!$C$6)</f>
        <v/>
      </c>
      <c r="R444" s="7">
        <f>IF($X444="","",SUMIFS('Per Line'!$V$2:$V$3001,'Per Line'!$D$2:$D$3001,$B444,'Per Line'!$AM$2:$AM$3001,1,'Per Line'!$AN$2:$AN$3001,0))</f>
        <v/>
      </c>
      <c r="S444" s="7">
        <f>IF($X444="","",R444*Q444)</f>
        <v/>
      </c>
      <c r="T444" s="7">
        <f>IF($X444="","",S444+P444)</f>
        <v/>
      </c>
      <c r="U444" s="7">
        <f>IF($X444="","",V444-T444)</f>
        <v/>
      </c>
      <c r="V444" s="7">
        <f>IF($X444="","",O444+R444+M444)</f>
        <v/>
      </c>
      <c r="W444" s="7">
        <f>IF($X444="","",V444-T444-I444)</f>
        <v/>
      </c>
      <c r="X444" s="13">
        <f>IF(ROWS($X$2:$X444)&lt;=MAX('Per Line'!$AL$2:$AL$3001),MATCH(ROWS($X$2:$X444),'Per Line'!$AL$2:$AL$3001,0),"")</f>
        <v/>
      </c>
    </row>
    <row r="445">
      <c r="A445" s="12" t="n"/>
      <c r="B445">
        <f>IF($X445="","",INDEX('Per Line'!$D$2:$D$3001,$X445)&amp;"")</f>
        <v/>
      </c>
      <c r="C445" s="11">
        <f>IF($X445="","",INDEX('Per Line'!$F$2:$F$3001,$X445))</f>
        <v/>
      </c>
      <c r="D445">
        <f>IF($X445="","",INDEX('Per Line'!$G$2:$G$3001,$X445)&amp;"")</f>
        <v/>
      </c>
      <c r="E445">
        <f>IF($X445="","",INDEX('Per Line'!$I$2:$I$3001,$X445)&amp;"")</f>
        <v/>
      </c>
      <c r="F445">
        <f>IF($X445="","",INDEX('Per Line'!$J$2:$J$3001,$X445)&amp;"")</f>
        <v/>
      </c>
      <c r="G445">
        <f>IF($X445="","",INDEX('Per Line'!$K$2:$K$3001,$X445)&amp;"")</f>
        <v/>
      </c>
      <c r="H445">
        <f>IF($X445="","",INDEX('Per Line'!$M$2:$M$3001,$X445))</f>
        <v/>
      </c>
      <c r="I445" s="7">
        <f>IF($X445="","",H445*V445/100)</f>
        <v/>
      </c>
      <c r="J445">
        <f>IF($X445="","",INDEX('Per Line'!$W$2:$W$3001,$X445)&amp;"")</f>
        <v/>
      </c>
      <c r="K445">
        <f>IF($X445="","",INDEX('Per Line'!$AD$2:$AD$3001,$X445))</f>
        <v/>
      </c>
      <c r="L445">
        <f>IF($X445="","",IF(AND(ISNUMBER(K445),K445&gt;0),V445&gt;K445,FALSE))</f>
        <v/>
      </c>
      <c r="M445" s="7">
        <f>IF($X445="","",SUMIFS('Per Line'!$V$2:$V$3001,'Per Line'!$D$2:$D$3001,$B445,'Per Line'!$AN$2:$AN$3001,1))</f>
        <v/>
      </c>
      <c r="N445">
        <f>IF($X445="","",Settings!$C$7)</f>
        <v/>
      </c>
      <c r="O445" s="7">
        <f>IF($X445="","",SUMIFS('Per Line'!$V$2:$V$3001,'Per Line'!$D$2:$D$3001,$B445,'Per Line'!$AM$2:$AM$3001,0,'Per Line'!$AN$2:$AN$3001,0))</f>
        <v/>
      </c>
      <c r="P445" s="7">
        <f>IF($X445="","",O445*N445)</f>
        <v/>
      </c>
      <c r="Q445">
        <f>IF($X445="","",Settings!$C$6)</f>
        <v/>
      </c>
      <c r="R445" s="7">
        <f>IF($X445="","",SUMIFS('Per Line'!$V$2:$V$3001,'Per Line'!$D$2:$D$3001,$B445,'Per Line'!$AM$2:$AM$3001,1,'Per Line'!$AN$2:$AN$3001,0))</f>
        <v/>
      </c>
      <c r="S445" s="7">
        <f>IF($X445="","",R445*Q445)</f>
        <v/>
      </c>
      <c r="T445" s="7">
        <f>IF($X445="","",S445+P445)</f>
        <v/>
      </c>
      <c r="U445" s="7">
        <f>IF($X445="","",V445-T445)</f>
        <v/>
      </c>
      <c r="V445" s="7">
        <f>IF($X445="","",O445+R445+M445)</f>
        <v/>
      </c>
      <c r="W445" s="7">
        <f>IF($X445="","",V445-T445-I445)</f>
        <v/>
      </c>
      <c r="X445" s="13">
        <f>IF(ROWS($X$2:$X445)&lt;=MAX('Per Line'!$AL$2:$AL$3001),MATCH(ROWS($X$2:$X445),'Per Line'!$AL$2:$AL$3001,0),"")</f>
        <v/>
      </c>
    </row>
    <row r="446">
      <c r="A446" s="12" t="n"/>
      <c r="B446">
        <f>IF($X446="","",INDEX('Per Line'!$D$2:$D$3001,$X446)&amp;"")</f>
        <v/>
      </c>
      <c r="C446" s="11">
        <f>IF($X446="","",INDEX('Per Line'!$F$2:$F$3001,$X446))</f>
        <v/>
      </c>
      <c r="D446">
        <f>IF($X446="","",INDEX('Per Line'!$G$2:$G$3001,$X446)&amp;"")</f>
        <v/>
      </c>
      <c r="E446">
        <f>IF($X446="","",INDEX('Per Line'!$I$2:$I$3001,$X446)&amp;"")</f>
        <v/>
      </c>
      <c r="F446">
        <f>IF($X446="","",INDEX('Per Line'!$J$2:$J$3001,$X446)&amp;"")</f>
        <v/>
      </c>
      <c r="G446">
        <f>IF($X446="","",INDEX('Per Line'!$K$2:$K$3001,$X446)&amp;"")</f>
        <v/>
      </c>
      <c r="H446">
        <f>IF($X446="","",INDEX('Per Line'!$M$2:$M$3001,$X446))</f>
        <v/>
      </c>
      <c r="I446" s="7">
        <f>IF($X446="","",H446*V446/100)</f>
        <v/>
      </c>
      <c r="J446">
        <f>IF($X446="","",INDEX('Per Line'!$W$2:$W$3001,$X446)&amp;"")</f>
        <v/>
      </c>
      <c r="K446">
        <f>IF($X446="","",INDEX('Per Line'!$AD$2:$AD$3001,$X446))</f>
        <v/>
      </c>
      <c r="L446">
        <f>IF($X446="","",IF(AND(ISNUMBER(K446),K446&gt;0),V446&gt;K446,FALSE))</f>
        <v/>
      </c>
      <c r="M446" s="7">
        <f>IF($X446="","",SUMIFS('Per Line'!$V$2:$V$3001,'Per Line'!$D$2:$D$3001,$B446,'Per Line'!$AN$2:$AN$3001,1))</f>
        <v/>
      </c>
      <c r="N446">
        <f>IF($X446="","",Settings!$C$7)</f>
        <v/>
      </c>
      <c r="O446" s="7">
        <f>IF($X446="","",SUMIFS('Per Line'!$V$2:$V$3001,'Per Line'!$D$2:$D$3001,$B446,'Per Line'!$AM$2:$AM$3001,0,'Per Line'!$AN$2:$AN$3001,0))</f>
        <v/>
      </c>
      <c r="P446" s="7">
        <f>IF($X446="","",O446*N446)</f>
        <v/>
      </c>
      <c r="Q446">
        <f>IF($X446="","",Settings!$C$6)</f>
        <v/>
      </c>
      <c r="R446" s="7">
        <f>IF($X446="","",SUMIFS('Per Line'!$V$2:$V$3001,'Per Line'!$D$2:$D$3001,$B446,'Per Line'!$AM$2:$AM$3001,1,'Per Line'!$AN$2:$AN$3001,0))</f>
        <v/>
      </c>
      <c r="S446" s="7">
        <f>IF($X446="","",R446*Q446)</f>
        <v/>
      </c>
      <c r="T446" s="7">
        <f>IF($X446="","",S446+P446)</f>
        <v/>
      </c>
      <c r="U446" s="7">
        <f>IF($X446="","",V446-T446)</f>
        <v/>
      </c>
      <c r="V446" s="7">
        <f>IF($X446="","",O446+R446+M446)</f>
        <v/>
      </c>
      <c r="W446" s="7">
        <f>IF($X446="","",V446-T446-I446)</f>
        <v/>
      </c>
      <c r="X446" s="13">
        <f>IF(ROWS($X$2:$X446)&lt;=MAX('Per Line'!$AL$2:$AL$3001),MATCH(ROWS($X$2:$X446),'Per Line'!$AL$2:$AL$3001,0),"")</f>
        <v/>
      </c>
    </row>
    <row r="447">
      <c r="A447" s="12" t="n"/>
      <c r="B447">
        <f>IF($X447="","",INDEX('Per Line'!$D$2:$D$3001,$X447)&amp;"")</f>
        <v/>
      </c>
      <c r="C447" s="11">
        <f>IF($X447="","",INDEX('Per Line'!$F$2:$F$3001,$X447))</f>
        <v/>
      </c>
      <c r="D447">
        <f>IF($X447="","",INDEX('Per Line'!$G$2:$G$3001,$X447)&amp;"")</f>
        <v/>
      </c>
      <c r="E447">
        <f>IF($X447="","",INDEX('Per Line'!$I$2:$I$3001,$X447)&amp;"")</f>
        <v/>
      </c>
      <c r="F447">
        <f>IF($X447="","",INDEX('Per Line'!$J$2:$J$3001,$X447)&amp;"")</f>
        <v/>
      </c>
      <c r="G447">
        <f>IF($X447="","",INDEX('Per Line'!$K$2:$K$3001,$X447)&amp;"")</f>
        <v/>
      </c>
      <c r="H447">
        <f>IF($X447="","",INDEX('Per Line'!$M$2:$M$3001,$X447))</f>
        <v/>
      </c>
      <c r="I447" s="7">
        <f>IF($X447="","",H447*V447/100)</f>
        <v/>
      </c>
      <c r="J447">
        <f>IF($X447="","",INDEX('Per Line'!$W$2:$W$3001,$X447)&amp;"")</f>
        <v/>
      </c>
      <c r="K447">
        <f>IF($X447="","",INDEX('Per Line'!$AD$2:$AD$3001,$X447))</f>
        <v/>
      </c>
      <c r="L447">
        <f>IF($X447="","",IF(AND(ISNUMBER(K447),K447&gt;0),V447&gt;K447,FALSE))</f>
        <v/>
      </c>
      <c r="M447" s="7">
        <f>IF($X447="","",SUMIFS('Per Line'!$V$2:$V$3001,'Per Line'!$D$2:$D$3001,$B447,'Per Line'!$AN$2:$AN$3001,1))</f>
        <v/>
      </c>
      <c r="N447">
        <f>IF($X447="","",Settings!$C$7)</f>
        <v/>
      </c>
      <c r="O447" s="7">
        <f>IF($X447="","",SUMIFS('Per Line'!$V$2:$V$3001,'Per Line'!$D$2:$D$3001,$B447,'Per Line'!$AM$2:$AM$3001,0,'Per Line'!$AN$2:$AN$3001,0))</f>
        <v/>
      </c>
      <c r="P447" s="7">
        <f>IF($X447="","",O447*N447)</f>
        <v/>
      </c>
      <c r="Q447">
        <f>IF($X447="","",Settings!$C$6)</f>
        <v/>
      </c>
      <c r="R447" s="7">
        <f>IF($X447="","",SUMIFS('Per Line'!$V$2:$V$3001,'Per Line'!$D$2:$D$3001,$B447,'Per Line'!$AM$2:$AM$3001,1,'Per Line'!$AN$2:$AN$3001,0))</f>
        <v/>
      </c>
      <c r="S447" s="7">
        <f>IF($X447="","",R447*Q447)</f>
        <v/>
      </c>
      <c r="T447" s="7">
        <f>IF($X447="","",S447+P447)</f>
        <v/>
      </c>
      <c r="U447" s="7">
        <f>IF($X447="","",V447-T447)</f>
        <v/>
      </c>
      <c r="V447" s="7">
        <f>IF($X447="","",O447+R447+M447)</f>
        <v/>
      </c>
      <c r="W447" s="7">
        <f>IF($X447="","",V447-T447-I447)</f>
        <v/>
      </c>
      <c r="X447" s="13">
        <f>IF(ROWS($X$2:$X447)&lt;=MAX('Per Line'!$AL$2:$AL$3001),MATCH(ROWS($X$2:$X447),'Per Line'!$AL$2:$AL$3001,0),"")</f>
        <v/>
      </c>
    </row>
    <row r="448">
      <c r="A448" s="12" t="n"/>
      <c r="B448">
        <f>IF($X448="","",INDEX('Per Line'!$D$2:$D$3001,$X448)&amp;"")</f>
        <v/>
      </c>
      <c r="C448" s="11">
        <f>IF($X448="","",INDEX('Per Line'!$F$2:$F$3001,$X448))</f>
        <v/>
      </c>
      <c r="D448">
        <f>IF($X448="","",INDEX('Per Line'!$G$2:$G$3001,$X448)&amp;"")</f>
        <v/>
      </c>
      <c r="E448">
        <f>IF($X448="","",INDEX('Per Line'!$I$2:$I$3001,$X448)&amp;"")</f>
        <v/>
      </c>
      <c r="F448">
        <f>IF($X448="","",INDEX('Per Line'!$J$2:$J$3001,$X448)&amp;"")</f>
        <v/>
      </c>
      <c r="G448">
        <f>IF($X448="","",INDEX('Per Line'!$K$2:$K$3001,$X448)&amp;"")</f>
        <v/>
      </c>
      <c r="H448">
        <f>IF($X448="","",INDEX('Per Line'!$M$2:$M$3001,$X448))</f>
        <v/>
      </c>
      <c r="I448" s="7">
        <f>IF($X448="","",H448*V448/100)</f>
        <v/>
      </c>
      <c r="J448">
        <f>IF($X448="","",INDEX('Per Line'!$W$2:$W$3001,$X448)&amp;"")</f>
        <v/>
      </c>
      <c r="K448">
        <f>IF($X448="","",INDEX('Per Line'!$AD$2:$AD$3001,$X448))</f>
        <v/>
      </c>
      <c r="L448">
        <f>IF($X448="","",IF(AND(ISNUMBER(K448),K448&gt;0),V448&gt;K448,FALSE))</f>
        <v/>
      </c>
      <c r="M448" s="7">
        <f>IF($X448="","",SUMIFS('Per Line'!$V$2:$V$3001,'Per Line'!$D$2:$D$3001,$B448,'Per Line'!$AN$2:$AN$3001,1))</f>
        <v/>
      </c>
      <c r="N448">
        <f>IF($X448="","",Settings!$C$7)</f>
        <v/>
      </c>
      <c r="O448" s="7">
        <f>IF($X448="","",SUMIFS('Per Line'!$V$2:$V$3001,'Per Line'!$D$2:$D$3001,$B448,'Per Line'!$AM$2:$AM$3001,0,'Per Line'!$AN$2:$AN$3001,0))</f>
        <v/>
      </c>
      <c r="P448" s="7">
        <f>IF($X448="","",O448*N448)</f>
        <v/>
      </c>
      <c r="Q448">
        <f>IF($X448="","",Settings!$C$6)</f>
        <v/>
      </c>
      <c r="R448" s="7">
        <f>IF($X448="","",SUMIFS('Per Line'!$V$2:$V$3001,'Per Line'!$D$2:$D$3001,$B448,'Per Line'!$AM$2:$AM$3001,1,'Per Line'!$AN$2:$AN$3001,0))</f>
        <v/>
      </c>
      <c r="S448" s="7">
        <f>IF($X448="","",R448*Q448)</f>
        <v/>
      </c>
      <c r="T448" s="7">
        <f>IF($X448="","",S448+P448)</f>
        <v/>
      </c>
      <c r="U448" s="7">
        <f>IF($X448="","",V448-T448)</f>
        <v/>
      </c>
      <c r="V448" s="7">
        <f>IF($X448="","",O448+R448+M448)</f>
        <v/>
      </c>
      <c r="W448" s="7">
        <f>IF($X448="","",V448-T448-I448)</f>
        <v/>
      </c>
      <c r="X448" s="13">
        <f>IF(ROWS($X$2:$X448)&lt;=MAX('Per Line'!$AL$2:$AL$3001),MATCH(ROWS($X$2:$X448),'Per Line'!$AL$2:$AL$3001,0),"")</f>
        <v/>
      </c>
    </row>
    <row r="449">
      <c r="A449" s="12" t="n"/>
      <c r="B449">
        <f>IF($X449="","",INDEX('Per Line'!$D$2:$D$3001,$X449)&amp;"")</f>
        <v/>
      </c>
      <c r="C449" s="11">
        <f>IF($X449="","",INDEX('Per Line'!$F$2:$F$3001,$X449))</f>
        <v/>
      </c>
      <c r="D449">
        <f>IF($X449="","",INDEX('Per Line'!$G$2:$G$3001,$X449)&amp;"")</f>
        <v/>
      </c>
      <c r="E449">
        <f>IF($X449="","",INDEX('Per Line'!$I$2:$I$3001,$X449)&amp;"")</f>
        <v/>
      </c>
      <c r="F449">
        <f>IF($X449="","",INDEX('Per Line'!$J$2:$J$3001,$X449)&amp;"")</f>
        <v/>
      </c>
      <c r="G449">
        <f>IF($X449="","",INDEX('Per Line'!$K$2:$K$3001,$X449)&amp;"")</f>
        <v/>
      </c>
      <c r="H449">
        <f>IF($X449="","",INDEX('Per Line'!$M$2:$M$3001,$X449))</f>
        <v/>
      </c>
      <c r="I449" s="7">
        <f>IF($X449="","",H449*V449/100)</f>
        <v/>
      </c>
      <c r="J449">
        <f>IF($X449="","",INDEX('Per Line'!$W$2:$W$3001,$X449)&amp;"")</f>
        <v/>
      </c>
      <c r="K449">
        <f>IF($X449="","",INDEX('Per Line'!$AD$2:$AD$3001,$X449))</f>
        <v/>
      </c>
      <c r="L449">
        <f>IF($X449="","",IF(AND(ISNUMBER(K449),K449&gt;0),V449&gt;K449,FALSE))</f>
        <v/>
      </c>
      <c r="M449" s="7">
        <f>IF($X449="","",SUMIFS('Per Line'!$V$2:$V$3001,'Per Line'!$D$2:$D$3001,$B449,'Per Line'!$AN$2:$AN$3001,1))</f>
        <v/>
      </c>
      <c r="N449">
        <f>IF($X449="","",Settings!$C$7)</f>
        <v/>
      </c>
      <c r="O449" s="7">
        <f>IF($X449="","",SUMIFS('Per Line'!$V$2:$V$3001,'Per Line'!$D$2:$D$3001,$B449,'Per Line'!$AM$2:$AM$3001,0,'Per Line'!$AN$2:$AN$3001,0))</f>
        <v/>
      </c>
      <c r="P449" s="7">
        <f>IF($X449="","",O449*N449)</f>
        <v/>
      </c>
      <c r="Q449">
        <f>IF($X449="","",Settings!$C$6)</f>
        <v/>
      </c>
      <c r="R449" s="7">
        <f>IF($X449="","",SUMIFS('Per Line'!$V$2:$V$3001,'Per Line'!$D$2:$D$3001,$B449,'Per Line'!$AM$2:$AM$3001,1,'Per Line'!$AN$2:$AN$3001,0))</f>
        <v/>
      </c>
      <c r="S449" s="7">
        <f>IF($X449="","",R449*Q449)</f>
        <v/>
      </c>
      <c r="T449" s="7">
        <f>IF($X449="","",S449+P449)</f>
        <v/>
      </c>
      <c r="U449" s="7">
        <f>IF($X449="","",V449-T449)</f>
        <v/>
      </c>
      <c r="V449" s="7">
        <f>IF($X449="","",O449+R449+M449)</f>
        <v/>
      </c>
      <c r="W449" s="7">
        <f>IF($X449="","",V449-T449-I449)</f>
        <v/>
      </c>
      <c r="X449" s="13">
        <f>IF(ROWS($X$2:$X449)&lt;=MAX('Per Line'!$AL$2:$AL$3001),MATCH(ROWS($X$2:$X449),'Per Line'!$AL$2:$AL$3001,0),"")</f>
        <v/>
      </c>
    </row>
    <row r="450">
      <c r="A450" s="12" t="n"/>
      <c r="B450">
        <f>IF($X450="","",INDEX('Per Line'!$D$2:$D$3001,$X450)&amp;"")</f>
        <v/>
      </c>
      <c r="C450" s="11">
        <f>IF($X450="","",INDEX('Per Line'!$F$2:$F$3001,$X450))</f>
        <v/>
      </c>
      <c r="D450">
        <f>IF($X450="","",INDEX('Per Line'!$G$2:$G$3001,$X450)&amp;"")</f>
        <v/>
      </c>
      <c r="E450">
        <f>IF($X450="","",INDEX('Per Line'!$I$2:$I$3001,$X450)&amp;"")</f>
        <v/>
      </c>
      <c r="F450">
        <f>IF($X450="","",INDEX('Per Line'!$J$2:$J$3001,$X450)&amp;"")</f>
        <v/>
      </c>
      <c r="G450">
        <f>IF($X450="","",INDEX('Per Line'!$K$2:$K$3001,$X450)&amp;"")</f>
        <v/>
      </c>
      <c r="H450">
        <f>IF($X450="","",INDEX('Per Line'!$M$2:$M$3001,$X450))</f>
        <v/>
      </c>
      <c r="I450" s="7">
        <f>IF($X450="","",H450*V450/100)</f>
        <v/>
      </c>
      <c r="J450">
        <f>IF($X450="","",INDEX('Per Line'!$W$2:$W$3001,$X450)&amp;"")</f>
        <v/>
      </c>
      <c r="K450">
        <f>IF($X450="","",INDEX('Per Line'!$AD$2:$AD$3001,$X450))</f>
        <v/>
      </c>
      <c r="L450">
        <f>IF($X450="","",IF(AND(ISNUMBER(K450),K450&gt;0),V450&gt;K450,FALSE))</f>
        <v/>
      </c>
      <c r="M450" s="7">
        <f>IF($X450="","",SUMIFS('Per Line'!$V$2:$V$3001,'Per Line'!$D$2:$D$3001,$B450,'Per Line'!$AN$2:$AN$3001,1))</f>
        <v/>
      </c>
      <c r="N450">
        <f>IF($X450="","",Settings!$C$7)</f>
        <v/>
      </c>
      <c r="O450" s="7">
        <f>IF($X450="","",SUMIFS('Per Line'!$V$2:$V$3001,'Per Line'!$D$2:$D$3001,$B450,'Per Line'!$AM$2:$AM$3001,0,'Per Line'!$AN$2:$AN$3001,0))</f>
        <v/>
      </c>
      <c r="P450" s="7">
        <f>IF($X450="","",O450*N450)</f>
        <v/>
      </c>
      <c r="Q450">
        <f>IF($X450="","",Settings!$C$6)</f>
        <v/>
      </c>
      <c r="R450" s="7">
        <f>IF($X450="","",SUMIFS('Per Line'!$V$2:$V$3001,'Per Line'!$D$2:$D$3001,$B450,'Per Line'!$AM$2:$AM$3001,1,'Per Line'!$AN$2:$AN$3001,0))</f>
        <v/>
      </c>
      <c r="S450" s="7">
        <f>IF($X450="","",R450*Q450)</f>
        <v/>
      </c>
      <c r="T450" s="7">
        <f>IF($X450="","",S450+P450)</f>
        <v/>
      </c>
      <c r="U450" s="7">
        <f>IF($X450="","",V450-T450)</f>
        <v/>
      </c>
      <c r="V450" s="7">
        <f>IF($X450="","",O450+R450+M450)</f>
        <v/>
      </c>
      <c r="W450" s="7">
        <f>IF($X450="","",V450-T450-I450)</f>
        <v/>
      </c>
      <c r="X450" s="13">
        <f>IF(ROWS($X$2:$X450)&lt;=MAX('Per Line'!$AL$2:$AL$3001),MATCH(ROWS($X$2:$X450),'Per Line'!$AL$2:$AL$3001,0),"")</f>
        <v/>
      </c>
    </row>
    <row r="451">
      <c r="A451" s="12" t="n"/>
      <c r="B451">
        <f>IF($X451="","",INDEX('Per Line'!$D$2:$D$3001,$X451)&amp;"")</f>
        <v/>
      </c>
      <c r="C451" s="11">
        <f>IF($X451="","",INDEX('Per Line'!$F$2:$F$3001,$X451))</f>
        <v/>
      </c>
      <c r="D451">
        <f>IF($X451="","",INDEX('Per Line'!$G$2:$G$3001,$X451)&amp;"")</f>
        <v/>
      </c>
      <c r="E451">
        <f>IF($X451="","",INDEX('Per Line'!$I$2:$I$3001,$X451)&amp;"")</f>
        <v/>
      </c>
      <c r="F451">
        <f>IF($X451="","",INDEX('Per Line'!$J$2:$J$3001,$X451)&amp;"")</f>
        <v/>
      </c>
      <c r="G451">
        <f>IF($X451="","",INDEX('Per Line'!$K$2:$K$3001,$X451)&amp;"")</f>
        <v/>
      </c>
      <c r="H451">
        <f>IF($X451="","",INDEX('Per Line'!$M$2:$M$3001,$X451))</f>
        <v/>
      </c>
      <c r="I451" s="7">
        <f>IF($X451="","",H451*V451/100)</f>
        <v/>
      </c>
      <c r="J451">
        <f>IF($X451="","",INDEX('Per Line'!$W$2:$W$3001,$X451)&amp;"")</f>
        <v/>
      </c>
      <c r="K451">
        <f>IF($X451="","",INDEX('Per Line'!$AD$2:$AD$3001,$X451))</f>
        <v/>
      </c>
      <c r="L451">
        <f>IF($X451="","",IF(AND(ISNUMBER(K451),K451&gt;0),V451&gt;K451,FALSE))</f>
        <v/>
      </c>
      <c r="M451" s="7">
        <f>IF($X451="","",SUMIFS('Per Line'!$V$2:$V$3001,'Per Line'!$D$2:$D$3001,$B451,'Per Line'!$AN$2:$AN$3001,1))</f>
        <v/>
      </c>
      <c r="N451">
        <f>IF($X451="","",Settings!$C$7)</f>
        <v/>
      </c>
      <c r="O451" s="7">
        <f>IF($X451="","",SUMIFS('Per Line'!$V$2:$V$3001,'Per Line'!$D$2:$D$3001,$B451,'Per Line'!$AM$2:$AM$3001,0,'Per Line'!$AN$2:$AN$3001,0))</f>
        <v/>
      </c>
      <c r="P451" s="7">
        <f>IF($X451="","",O451*N451)</f>
        <v/>
      </c>
      <c r="Q451">
        <f>IF($X451="","",Settings!$C$6)</f>
        <v/>
      </c>
      <c r="R451" s="7">
        <f>IF($X451="","",SUMIFS('Per Line'!$V$2:$V$3001,'Per Line'!$D$2:$D$3001,$B451,'Per Line'!$AM$2:$AM$3001,1,'Per Line'!$AN$2:$AN$3001,0))</f>
        <v/>
      </c>
      <c r="S451" s="7">
        <f>IF($X451="","",R451*Q451)</f>
        <v/>
      </c>
      <c r="T451" s="7">
        <f>IF($X451="","",S451+P451)</f>
        <v/>
      </c>
      <c r="U451" s="7">
        <f>IF($X451="","",V451-T451)</f>
        <v/>
      </c>
      <c r="V451" s="7">
        <f>IF($X451="","",O451+R451+M451)</f>
        <v/>
      </c>
      <c r="W451" s="7">
        <f>IF($X451="","",V451-T451-I451)</f>
        <v/>
      </c>
      <c r="X451" s="13">
        <f>IF(ROWS($X$2:$X451)&lt;=MAX('Per Line'!$AL$2:$AL$3001),MATCH(ROWS($X$2:$X451),'Per Line'!$AL$2:$AL$3001,0),"")</f>
        <v/>
      </c>
    </row>
    <row r="452">
      <c r="A452" s="12" t="n"/>
      <c r="B452">
        <f>IF($X452="","",INDEX('Per Line'!$D$2:$D$3001,$X452)&amp;"")</f>
        <v/>
      </c>
      <c r="C452" s="11">
        <f>IF($X452="","",INDEX('Per Line'!$F$2:$F$3001,$X452))</f>
        <v/>
      </c>
      <c r="D452">
        <f>IF($X452="","",INDEX('Per Line'!$G$2:$G$3001,$X452)&amp;"")</f>
        <v/>
      </c>
      <c r="E452">
        <f>IF($X452="","",INDEX('Per Line'!$I$2:$I$3001,$X452)&amp;"")</f>
        <v/>
      </c>
      <c r="F452">
        <f>IF($X452="","",INDEX('Per Line'!$J$2:$J$3001,$X452)&amp;"")</f>
        <v/>
      </c>
      <c r="G452">
        <f>IF($X452="","",INDEX('Per Line'!$K$2:$K$3001,$X452)&amp;"")</f>
        <v/>
      </c>
      <c r="H452">
        <f>IF($X452="","",INDEX('Per Line'!$M$2:$M$3001,$X452))</f>
        <v/>
      </c>
      <c r="I452" s="7">
        <f>IF($X452="","",H452*V452/100)</f>
        <v/>
      </c>
      <c r="J452">
        <f>IF($X452="","",INDEX('Per Line'!$W$2:$W$3001,$X452)&amp;"")</f>
        <v/>
      </c>
      <c r="K452">
        <f>IF($X452="","",INDEX('Per Line'!$AD$2:$AD$3001,$X452))</f>
        <v/>
      </c>
      <c r="L452">
        <f>IF($X452="","",IF(AND(ISNUMBER(K452),K452&gt;0),V452&gt;K452,FALSE))</f>
        <v/>
      </c>
      <c r="M452" s="7">
        <f>IF($X452="","",SUMIFS('Per Line'!$V$2:$V$3001,'Per Line'!$D$2:$D$3001,$B452,'Per Line'!$AN$2:$AN$3001,1))</f>
        <v/>
      </c>
      <c r="N452">
        <f>IF($X452="","",Settings!$C$7)</f>
        <v/>
      </c>
      <c r="O452" s="7">
        <f>IF($X452="","",SUMIFS('Per Line'!$V$2:$V$3001,'Per Line'!$D$2:$D$3001,$B452,'Per Line'!$AM$2:$AM$3001,0,'Per Line'!$AN$2:$AN$3001,0))</f>
        <v/>
      </c>
      <c r="P452" s="7">
        <f>IF($X452="","",O452*N452)</f>
        <v/>
      </c>
      <c r="Q452">
        <f>IF($X452="","",Settings!$C$6)</f>
        <v/>
      </c>
      <c r="R452" s="7">
        <f>IF($X452="","",SUMIFS('Per Line'!$V$2:$V$3001,'Per Line'!$D$2:$D$3001,$B452,'Per Line'!$AM$2:$AM$3001,1,'Per Line'!$AN$2:$AN$3001,0))</f>
        <v/>
      </c>
      <c r="S452" s="7">
        <f>IF($X452="","",R452*Q452)</f>
        <v/>
      </c>
      <c r="T452" s="7">
        <f>IF($X452="","",S452+P452)</f>
        <v/>
      </c>
      <c r="U452" s="7">
        <f>IF($X452="","",V452-T452)</f>
        <v/>
      </c>
      <c r="V452" s="7">
        <f>IF($X452="","",O452+R452+M452)</f>
        <v/>
      </c>
      <c r="W452" s="7">
        <f>IF($X452="","",V452-T452-I452)</f>
        <v/>
      </c>
      <c r="X452" s="13">
        <f>IF(ROWS($X$2:$X452)&lt;=MAX('Per Line'!$AL$2:$AL$3001),MATCH(ROWS($X$2:$X452),'Per Line'!$AL$2:$AL$3001,0),"")</f>
        <v/>
      </c>
    </row>
    <row r="453">
      <c r="A453" s="12" t="n"/>
      <c r="B453">
        <f>IF($X453="","",INDEX('Per Line'!$D$2:$D$3001,$X453)&amp;"")</f>
        <v/>
      </c>
      <c r="C453" s="11">
        <f>IF($X453="","",INDEX('Per Line'!$F$2:$F$3001,$X453))</f>
        <v/>
      </c>
      <c r="D453">
        <f>IF($X453="","",INDEX('Per Line'!$G$2:$G$3001,$X453)&amp;"")</f>
        <v/>
      </c>
      <c r="E453">
        <f>IF($X453="","",INDEX('Per Line'!$I$2:$I$3001,$X453)&amp;"")</f>
        <v/>
      </c>
      <c r="F453">
        <f>IF($X453="","",INDEX('Per Line'!$J$2:$J$3001,$X453)&amp;"")</f>
        <v/>
      </c>
      <c r="G453">
        <f>IF($X453="","",INDEX('Per Line'!$K$2:$K$3001,$X453)&amp;"")</f>
        <v/>
      </c>
      <c r="H453">
        <f>IF($X453="","",INDEX('Per Line'!$M$2:$M$3001,$X453))</f>
        <v/>
      </c>
      <c r="I453" s="7">
        <f>IF($X453="","",H453*V453/100)</f>
        <v/>
      </c>
      <c r="J453">
        <f>IF($X453="","",INDEX('Per Line'!$W$2:$W$3001,$X453)&amp;"")</f>
        <v/>
      </c>
      <c r="K453">
        <f>IF($X453="","",INDEX('Per Line'!$AD$2:$AD$3001,$X453))</f>
        <v/>
      </c>
      <c r="L453">
        <f>IF($X453="","",IF(AND(ISNUMBER(K453),K453&gt;0),V453&gt;K453,FALSE))</f>
        <v/>
      </c>
      <c r="M453" s="7">
        <f>IF($X453="","",SUMIFS('Per Line'!$V$2:$V$3001,'Per Line'!$D$2:$D$3001,$B453,'Per Line'!$AN$2:$AN$3001,1))</f>
        <v/>
      </c>
      <c r="N453">
        <f>IF($X453="","",Settings!$C$7)</f>
        <v/>
      </c>
      <c r="O453" s="7">
        <f>IF($X453="","",SUMIFS('Per Line'!$V$2:$V$3001,'Per Line'!$D$2:$D$3001,$B453,'Per Line'!$AM$2:$AM$3001,0,'Per Line'!$AN$2:$AN$3001,0))</f>
        <v/>
      </c>
      <c r="P453" s="7">
        <f>IF($X453="","",O453*N453)</f>
        <v/>
      </c>
      <c r="Q453">
        <f>IF($X453="","",Settings!$C$6)</f>
        <v/>
      </c>
      <c r="R453" s="7">
        <f>IF($X453="","",SUMIFS('Per Line'!$V$2:$V$3001,'Per Line'!$D$2:$D$3001,$B453,'Per Line'!$AM$2:$AM$3001,1,'Per Line'!$AN$2:$AN$3001,0))</f>
        <v/>
      </c>
      <c r="S453" s="7">
        <f>IF($X453="","",R453*Q453)</f>
        <v/>
      </c>
      <c r="T453" s="7">
        <f>IF($X453="","",S453+P453)</f>
        <v/>
      </c>
      <c r="U453" s="7">
        <f>IF($X453="","",V453-T453)</f>
        <v/>
      </c>
      <c r="V453" s="7">
        <f>IF($X453="","",O453+R453+M453)</f>
        <v/>
      </c>
      <c r="W453" s="7">
        <f>IF($X453="","",V453-T453-I453)</f>
        <v/>
      </c>
      <c r="X453" s="13">
        <f>IF(ROWS($X$2:$X453)&lt;=MAX('Per Line'!$AL$2:$AL$3001),MATCH(ROWS($X$2:$X453),'Per Line'!$AL$2:$AL$3001,0),"")</f>
        <v/>
      </c>
    </row>
    <row r="454">
      <c r="A454" s="12" t="n"/>
      <c r="B454">
        <f>IF($X454="","",INDEX('Per Line'!$D$2:$D$3001,$X454)&amp;"")</f>
        <v/>
      </c>
      <c r="C454" s="11">
        <f>IF($X454="","",INDEX('Per Line'!$F$2:$F$3001,$X454))</f>
        <v/>
      </c>
      <c r="D454">
        <f>IF($X454="","",INDEX('Per Line'!$G$2:$G$3001,$X454)&amp;"")</f>
        <v/>
      </c>
      <c r="E454">
        <f>IF($X454="","",INDEX('Per Line'!$I$2:$I$3001,$X454)&amp;"")</f>
        <v/>
      </c>
      <c r="F454">
        <f>IF($X454="","",INDEX('Per Line'!$J$2:$J$3001,$X454)&amp;"")</f>
        <v/>
      </c>
      <c r="G454">
        <f>IF($X454="","",INDEX('Per Line'!$K$2:$K$3001,$X454)&amp;"")</f>
        <v/>
      </c>
      <c r="H454">
        <f>IF($X454="","",INDEX('Per Line'!$M$2:$M$3001,$X454))</f>
        <v/>
      </c>
      <c r="I454" s="7">
        <f>IF($X454="","",H454*V454/100)</f>
        <v/>
      </c>
      <c r="J454">
        <f>IF($X454="","",INDEX('Per Line'!$W$2:$W$3001,$X454)&amp;"")</f>
        <v/>
      </c>
      <c r="K454">
        <f>IF($X454="","",INDEX('Per Line'!$AD$2:$AD$3001,$X454))</f>
        <v/>
      </c>
      <c r="L454">
        <f>IF($X454="","",IF(AND(ISNUMBER(K454),K454&gt;0),V454&gt;K454,FALSE))</f>
        <v/>
      </c>
      <c r="M454" s="7">
        <f>IF($X454="","",SUMIFS('Per Line'!$V$2:$V$3001,'Per Line'!$D$2:$D$3001,$B454,'Per Line'!$AN$2:$AN$3001,1))</f>
        <v/>
      </c>
      <c r="N454">
        <f>IF($X454="","",Settings!$C$7)</f>
        <v/>
      </c>
      <c r="O454" s="7">
        <f>IF($X454="","",SUMIFS('Per Line'!$V$2:$V$3001,'Per Line'!$D$2:$D$3001,$B454,'Per Line'!$AM$2:$AM$3001,0,'Per Line'!$AN$2:$AN$3001,0))</f>
        <v/>
      </c>
      <c r="P454" s="7">
        <f>IF($X454="","",O454*N454)</f>
        <v/>
      </c>
      <c r="Q454">
        <f>IF($X454="","",Settings!$C$6)</f>
        <v/>
      </c>
      <c r="R454" s="7">
        <f>IF($X454="","",SUMIFS('Per Line'!$V$2:$V$3001,'Per Line'!$D$2:$D$3001,$B454,'Per Line'!$AM$2:$AM$3001,1,'Per Line'!$AN$2:$AN$3001,0))</f>
        <v/>
      </c>
      <c r="S454" s="7">
        <f>IF($X454="","",R454*Q454)</f>
        <v/>
      </c>
      <c r="T454" s="7">
        <f>IF($X454="","",S454+P454)</f>
        <v/>
      </c>
      <c r="U454" s="7">
        <f>IF($X454="","",V454-T454)</f>
        <v/>
      </c>
      <c r="V454" s="7">
        <f>IF($X454="","",O454+R454+M454)</f>
        <v/>
      </c>
      <c r="W454" s="7">
        <f>IF($X454="","",V454-T454-I454)</f>
        <v/>
      </c>
      <c r="X454" s="13">
        <f>IF(ROWS($X$2:$X454)&lt;=MAX('Per Line'!$AL$2:$AL$3001),MATCH(ROWS($X$2:$X454),'Per Line'!$AL$2:$AL$3001,0),"")</f>
        <v/>
      </c>
    </row>
    <row r="455">
      <c r="A455" s="12" t="n"/>
      <c r="B455">
        <f>IF($X455="","",INDEX('Per Line'!$D$2:$D$3001,$X455)&amp;"")</f>
        <v/>
      </c>
      <c r="C455" s="11">
        <f>IF($X455="","",INDEX('Per Line'!$F$2:$F$3001,$X455))</f>
        <v/>
      </c>
      <c r="D455">
        <f>IF($X455="","",INDEX('Per Line'!$G$2:$G$3001,$X455)&amp;"")</f>
        <v/>
      </c>
      <c r="E455">
        <f>IF($X455="","",INDEX('Per Line'!$I$2:$I$3001,$X455)&amp;"")</f>
        <v/>
      </c>
      <c r="F455">
        <f>IF($X455="","",INDEX('Per Line'!$J$2:$J$3001,$X455)&amp;"")</f>
        <v/>
      </c>
      <c r="G455">
        <f>IF($X455="","",INDEX('Per Line'!$K$2:$K$3001,$X455)&amp;"")</f>
        <v/>
      </c>
      <c r="H455">
        <f>IF($X455="","",INDEX('Per Line'!$M$2:$M$3001,$X455))</f>
        <v/>
      </c>
      <c r="I455" s="7">
        <f>IF($X455="","",H455*V455/100)</f>
        <v/>
      </c>
      <c r="J455">
        <f>IF($X455="","",INDEX('Per Line'!$W$2:$W$3001,$X455)&amp;"")</f>
        <v/>
      </c>
      <c r="K455">
        <f>IF($X455="","",INDEX('Per Line'!$AD$2:$AD$3001,$X455))</f>
        <v/>
      </c>
      <c r="L455">
        <f>IF($X455="","",IF(AND(ISNUMBER(K455),K455&gt;0),V455&gt;K455,FALSE))</f>
        <v/>
      </c>
      <c r="M455" s="7">
        <f>IF($X455="","",SUMIFS('Per Line'!$V$2:$V$3001,'Per Line'!$D$2:$D$3001,$B455,'Per Line'!$AN$2:$AN$3001,1))</f>
        <v/>
      </c>
      <c r="N455">
        <f>IF($X455="","",Settings!$C$7)</f>
        <v/>
      </c>
      <c r="O455" s="7">
        <f>IF($X455="","",SUMIFS('Per Line'!$V$2:$V$3001,'Per Line'!$D$2:$D$3001,$B455,'Per Line'!$AM$2:$AM$3001,0,'Per Line'!$AN$2:$AN$3001,0))</f>
        <v/>
      </c>
      <c r="P455" s="7">
        <f>IF($X455="","",O455*N455)</f>
        <v/>
      </c>
      <c r="Q455">
        <f>IF($X455="","",Settings!$C$6)</f>
        <v/>
      </c>
      <c r="R455" s="7">
        <f>IF($X455="","",SUMIFS('Per Line'!$V$2:$V$3001,'Per Line'!$D$2:$D$3001,$B455,'Per Line'!$AM$2:$AM$3001,1,'Per Line'!$AN$2:$AN$3001,0))</f>
        <v/>
      </c>
      <c r="S455" s="7">
        <f>IF($X455="","",R455*Q455)</f>
        <v/>
      </c>
      <c r="T455" s="7">
        <f>IF($X455="","",S455+P455)</f>
        <v/>
      </c>
      <c r="U455" s="7">
        <f>IF($X455="","",V455-T455)</f>
        <v/>
      </c>
      <c r="V455" s="7">
        <f>IF($X455="","",O455+R455+M455)</f>
        <v/>
      </c>
      <c r="W455" s="7">
        <f>IF($X455="","",V455-T455-I455)</f>
        <v/>
      </c>
      <c r="X455" s="13">
        <f>IF(ROWS($X$2:$X455)&lt;=MAX('Per Line'!$AL$2:$AL$3001),MATCH(ROWS($X$2:$X455),'Per Line'!$AL$2:$AL$3001,0),"")</f>
        <v/>
      </c>
    </row>
    <row r="456">
      <c r="A456" s="12" t="n"/>
      <c r="B456">
        <f>IF($X456="","",INDEX('Per Line'!$D$2:$D$3001,$X456)&amp;"")</f>
        <v/>
      </c>
      <c r="C456" s="11">
        <f>IF($X456="","",INDEX('Per Line'!$F$2:$F$3001,$X456))</f>
        <v/>
      </c>
      <c r="D456">
        <f>IF($X456="","",INDEX('Per Line'!$G$2:$G$3001,$X456)&amp;"")</f>
        <v/>
      </c>
      <c r="E456">
        <f>IF($X456="","",INDEX('Per Line'!$I$2:$I$3001,$X456)&amp;"")</f>
        <v/>
      </c>
      <c r="F456">
        <f>IF($X456="","",INDEX('Per Line'!$J$2:$J$3001,$X456)&amp;"")</f>
        <v/>
      </c>
      <c r="G456">
        <f>IF($X456="","",INDEX('Per Line'!$K$2:$K$3001,$X456)&amp;"")</f>
        <v/>
      </c>
      <c r="H456">
        <f>IF($X456="","",INDEX('Per Line'!$M$2:$M$3001,$X456))</f>
        <v/>
      </c>
      <c r="I456" s="7">
        <f>IF($X456="","",H456*V456/100)</f>
        <v/>
      </c>
      <c r="J456">
        <f>IF($X456="","",INDEX('Per Line'!$W$2:$W$3001,$X456)&amp;"")</f>
        <v/>
      </c>
      <c r="K456">
        <f>IF($X456="","",INDEX('Per Line'!$AD$2:$AD$3001,$X456))</f>
        <v/>
      </c>
      <c r="L456">
        <f>IF($X456="","",IF(AND(ISNUMBER(K456),K456&gt;0),V456&gt;K456,FALSE))</f>
        <v/>
      </c>
      <c r="M456" s="7">
        <f>IF($X456="","",SUMIFS('Per Line'!$V$2:$V$3001,'Per Line'!$D$2:$D$3001,$B456,'Per Line'!$AN$2:$AN$3001,1))</f>
        <v/>
      </c>
      <c r="N456">
        <f>IF($X456="","",Settings!$C$7)</f>
        <v/>
      </c>
      <c r="O456" s="7">
        <f>IF($X456="","",SUMIFS('Per Line'!$V$2:$V$3001,'Per Line'!$D$2:$D$3001,$B456,'Per Line'!$AM$2:$AM$3001,0,'Per Line'!$AN$2:$AN$3001,0))</f>
        <v/>
      </c>
      <c r="P456" s="7">
        <f>IF($X456="","",O456*N456)</f>
        <v/>
      </c>
      <c r="Q456">
        <f>IF($X456="","",Settings!$C$6)</f>
        <v/>
      </c>
      <c r="R456" s="7">
        <f>IF($X456="","",SUMIFS('Per Line'!$V$2:$V$3001,'Per Line'!$D$2:$D$3001,$B456,'Per Line'!$AM$2:$AM$3001,1,'Per Line'!$AN$2:$AN$3001,0))</f>
        <v/>
      </c>
      <c r="S456" s="7">
        <f>IF($X456="","",R456*Q456)</f>
        <v/>
      </c>
      <c r="T456" s="7">
        <f>IF($X456="","",S456+P456)</f>
        <v/>
      </c>
      <c r="U456" s="7">
        <f>IF($X456="","",V456-T456)</f>
        <v/>
      </c>
      <c r="V456" s="7">
        <f>IF($X456="","",O456+R456+M456)</f>
        <v/>
      </c>
      <c r="W456" s="7">
        <f>IF($X456="","",V456-T456-I456)</f>
        <v/>
      </c>
      <c r="X456" s="13">
        <f>IF(ROWS($X$2:$X456)&lt;=MAX('Per Line'!$AL$2:$AL$3001),MATCH(ROWS($X$2:$X456),'Per Line'!$AL$2:$AL$3001,0),"")</f>
        <v/>
      </c>
    </row>
    <row r="457">
      <c r="A457" s="12" t="n"/>
      <c r="B457">
        <f>IF($X457="","",INDEX('Per Line'!$D$2:$D$3001,$X457)&amp;"")</f>
        <v/>
      </c>
      <c r="C457" s="11">
        <f>IF($X457="","",INDEX('Per Line'!$F$2:$F$3001,$X457))</f>
        <v/>
      </c>
      <c r="D457">
        <f>IF($X457="","",INDEX('Per Line'!$G$2:$G$3001,$X457)&amp;"")</f>
        <v/>
      </c>
      <c r="E457">
        <f>IF($X457="","",INDEX('Per Line'!$I$2:$I$3001,$X457)&amp;"")</f>
        <v/>
      </c>
      <c r="F457">
        <f>IF($X457="","",INDEX('Per Line'!$J$2:$J$3001,$X457)&amp;"")</f>
        <v/>
      </c>
      <c r="G457">
        <f>IF($X457="","",INDEX('Per Line'!$K$2:$K$3001,$X457)&amp;"")</f>
        <v/>
      </c>
      <c r="H457">
        <f>IF($X457="","",INDEX('Per Line'!$M$2:$M$3001,$X457))</f>
        <v/>
      </c>
      <c r="I457" s="7">
        <f>IF($X457="","",H457*V457/100)</f>
        <v/>
      </c>
      <c r="J457">
        <f>IF($X457="","",INDEX('Per Line'!$W$2:$W$3001,$X457)&amp;"")</f>
        <v/>
      </c>
      <c r="K457">
        <f>IF($X457="","",INDEX('Per Line'!$AD$2:$AD$3001,$X457))</f>
        <v/>
      </c>
      <c r="L457">
        <f>IF($X457="","",IF(AND(ISNUMBER(K457),K457&gt;0),V457&gt;K457,FALSE))</f>
        <v/>
      </c>
      <c r="M457" s="7">
        <f>IF($X457="","",SUMIFS('Per Line'!$V$2:$V$3001,'Per Line'!$D$2:$D$3001,$B457,'Per Line'!$AN$2:$AN$3001,1))</f>
        <v/>
      </c>
      <c r="N457">
        <f>IF($X457="","",Settings!$C$7)</f>
        <v/>
      </c>
      <c r="O457" s="7">
        <f>IF($X457="","",SUMIFS('Per Line'!$V$2:$V$3001,'Per Line'!$D$2:$D$3001,$B457,'Per Line'!$AM$2:$AM$3001,0,'Per Line'!$AN$2:$AN$3001,0))</f>
        <v/>
      </c>
      <c r="P457" s="7">
        <f>IF($X457="","",O457*N457)</f>
        <v/>
      </c>
      <c r="Q457">
        <f>IF($X457="","",Settings!$C$6)</f>
        <v/>
      </c>
      <c r="R457" s="7">
        <f>IF($X457="","",SUMIFS('Per Line'!$V$2:$V$3001,'Per Line'!$D$2:$D$3001,$B457,'Per Line'!$AM$2:$AM$3001,1,'Per Line'!$AN$2:$AN$3001,0))</f>
        <v/>
      </c>
      <c r="S457" s="7">
        <f>IF($X457="","",R457*Q457)</f>
        <v/>
      </c>
      <c r="T457" s="7">
        <f>IF($X457="","",S457+P457)</f>
        <v/>
      </c>
      <c r="U457" s="7">
        <f>IF($X457="","",V457-T457)</f>
        <v/>
      </c>
      <c r="V457" s="7">
        <f>IF($X457="","",O457+R457+M457)</f>
        <v/>
      </c>
      <c r="W457" s="7">
        <f>IF($X457="","",V457-T457-I457)</f>
        <v/>
      </c>
      <c r="X457" s="13">
        <f>IF(ROWS($X$2:$X457)&lt;=MAX('Per Line'!$AL$2:$AL$3001),MATCH(ROWS($X$2:$X457),'Per Line'!$AL$2:$AL$3001,0),"")</f>
        <v/>
      </c>
    </row>
    <row r="458">
      <c r="A458" s="12" t="n"/>
      <c r="B458">
        <f>IF($X458="","",INDEX('Per Line'!$D$2:$D$3001,$X458)&amp;"")</f>
        <v/>
      </c>
      <c r="C458" s="11">
        <f>IF($X458="","",INDEX('Per Line'!$F$2:$F$3001,$X458))</f>
        <v/>
      </c>
      <c r="D458">
        <f>IF($X458="","",INDEX('Per Line'!$G$2:$G$3001,$X458)&amp;"")</f>
        <v/>
      </c>
      <c r="E458">
        <f>IF($X458="","",INDEX('Per Line'!$I$2:$I$3001,$X458)&amp;"")</f>
        <v/>
      </c>
      <c r="F458">
        <f>IF($X458="","",INDEX('Per Line'!$J$2:$J$3001,$X458)&amp;"")</f>
        <v/>
      </c>
      <c r="G458">
        <f>IF($X458="","",INDEX('Per Line'!$K$2:$K$3001,$X458)&amp;"")</f>
        <v/>
      </c>
      <c r="H458">
        <f>IF($X458="","",INDEX('Per Line'!$M$2:$M$3001,$X458))</f>
        <v/>
      </c>
      <c r="I458" s="7">
        <f>IF($X458="","",H458*V458/100)</f>
        <v/>
      </c>
      <c r="J458">
        <f>IF($X458="","",INDEX('Per Line'!$W$2:$W$3001,$X458)&amp;"")</f>
        <v/>
      </c>
      <c r="K458">
        <f>IF($X458="","",INDEX('Per Line'!$AD$2:$AD$3001,$X458))</f>
        <v/>
      </c>
      <c r="L458">
        <f>IF($X458="","",IF(AND(ISNUMBER(K458),K458&gt;0),V458&gt;K458,FALSE))</f>
        <v/>
      </c>
      <c r="M458" s="7">
        <f>IF($X458="","",SUMIFS('Per Line'!$V$2:$V$3001,'Per Line'!$D$2:$D$3001,$B458,'Per Line'!$AN$2:$AN$3001,1))</f>
        <v/>
      </c>
      <c r="N458">
        <f>IF($X458="","",Settings!$C$7)</f>
        <v/>
      </c>
      <c r="O458" s="7">
        <f>IF($X458="","",SUMIFS('Per Line'!$V$2:$V$3001,'Per Line'!$D$2:$D$3001,$B458,'Per Line'!$AM$2:$AM$3001,0,'Per Line'!$AN$2:$AN$3001,0))</f>
        <v/>
      </c>
      <c r="P458" s="7">
        <f>IF($X458="","",O458*N458)</f>
        <v/>
      </c>
      <c r="Q458">
        <f>IF($X458="","",Settings!$C$6)</f>
        <v/>
      </c>
      <c r="R458" s="7">
        <f>IF($X458="","",SUMIFS('Per Line'!$V$2:$V$3001,'Per Line'!$D$2:$D$3001,$B458,'Per Line'!$AM$2:$AM$3001,1,'Per Line'!$AN$2:$AN$3001,0))</f>
        <v/>
      </c>
      <c r="S458" s="7">
        <f>IF($X458="","",R458*Q458)</f>
        <v/>
      </c>
      <c r="T458" s="7">
        <f>IF($X458="","",S458+P458)</f>
        <v/>
      </c>
      <c r="U458" s="7">
        <f>IF($X458="","",V458-T458)</f>
        <v/>
      </c>
      <c r="V458" s="7">
        <f>IF($X458="","",O458+R458+M458)</f>
        <v/>
      </c>
      <c r="W458" s="7">
        <f>IF($X458="","",V458-T458-I458)</f>
        <v/>
      </c>
      <c r="X458" s="13">
        <f>IF(ROWS($X$2:$X458)&lt;=MAX('Per Line'!$AL$2:$AL$3001),MATCH(ROWS($X$2:$X458),'Per Line'!$AL$2:$AL$3001,0),"")</f>
        <v/>
      </c>
    </row>
    <row r="459">
      <c r="A459" s="12" t="n"/>
      <c r="B459">
        <f>IF($X459="","",INDEX('Per Line'!$D$2:$D$3001,$X459)&amp;"")</f>
        <v/>
      </c>
      <c r="C459" s="11">
        <f>IF($X459="","",INDEX('Per Line'!$F$2:$F$3001,$X459))</f>
        <v/>
      </c>
      <c r="D459">
        <f>IF($X459="","",INDEX('Per Line'!$G$2:$G$3001,$X459)&amp;"")</f>
        <v/>
      </c>
      <c r="E459">
        <f>IF($X459="","",INDEX('Per Line'!$I$2:$I$3001,$X459)&amp;"")</f>
        <v/>
      </c>
      <c r="F459">
        <f>IF($X459="","",INDEX('Per Line'!$J$2:$J$3001,$X459)&amp;"")</f>
        <v/>
      </c>
      <c r="G459">
        <f>IF($X459="","",INDEX('Per Line'!$K$2:$K$3001,$X459)&amp;"")</f>
        <v/>
      </c>
      <c r="H459">
        <f>IF($X459="","",INDEX('Per Line'!$M$2:$M$3001,$X459))</f>
        <v/>
      </c>
      <c r="I459" s="7">
        <f>IF($X459="","",H459*V459/100)</f>
        <v/>
      </c>
      <c r="J459">
        <f>IF($X459="","",INDEX('Per Line'!$W$2:$W$3001,$X459)&amp;"")</f>
        <v/>
      </c>
      <c r="K459">
        <f>IF($X459="","",INDEX('Per Line'!$AD$2:$AD$3001,$X459))</f>
        <v/>
      </c>
      <c r="L459">
        <f>IF($X459="","",IF(AND(ISNUMBER(K459),K459&gt;0),V459&gt;K459,FALSE))</f>
        <v/>
      </c>
      <c r="M459" s="7">
        <f>IF($X459="","",SUMIFS('Per Line'!$V$2:$V$3001,'Per Line'!$D$2:$D$3001,$B459,'Per Line'!$AN$2:$AN$3001,1))</f>
        <v/>
      </c>
      <c r="N459">
        <f>IF($X459="","",Settings!$C$7)</f>
        <v/>
      </c>
      <c r="O459" s="7">
        <f>IF($X459="","",SUMIFS('Per Line'!$V$2:$V$3001,'Per Line'!$D$2:$D$3001,$B459,'Per Line'!$AM$2:$AM$3001,0,'Per Line'!$AN$2:$AN$3001,0))</f>
        <v/>
      </c>
      <c r="P459" s="7">
        <f>IF($X459="","",O459*N459)</f>
        <v/>
      </c>
      <c r="Q459">
        <f>IF($X459="","",Settings!$C$6)</f>
        <v/>
      </c>
      <c r="R459" s="7">
        <f>IF($X459="","",SUMIFS('Per Line'!$V$2:$V$3001,'Per Line'!$D$2:$D$3001,$B459,'Per Line'!$AM$2:$AM$3001,1,'Per Line'!$AN$2:$AN$3001,0))</f>
        <v/>
      </c>
      <c r="S459" s="7">
        <f>IF($X459="","",R459*Q459)</f>
        <v/>
      </c>
      <c r="T459" s="7">
        <f>IF($X459="","",S459+P459)</f>
        <v/>
      </c>
      <c r="U459" s="7">
        <f>IF($X459="","",V459-T459)</f>
        <v/>
      </c>
      <c r="V459" s="7">
        <f>IF($X459="","",O459+R459+M459)</f>
        <v/>
      </c>
      <c r="W459" s="7">
        <f>IF($X459="","",V459-T459-I459)</f>
        <v/>
      </c>
      <c r="X459" s="13">
        <f>IF(ROWS($X$2:$X459)&lt;=MAX('Per Line'!$AL$2:$AL$3001),MATCH(ROWS($X$2:$X459),'Per Line'!$AL$2:$AL$3001,0),"")</f>
        <v/>
      </c>
    </row>
    <row r="460">
      <c r="A460" s="12" t="n"/>
      <c r="B460">
        <f>IF($X460="","",INDEX('Per Line'!$D$2:$D$3001,$X460)&amp;"")</f>
        <v/>
      </c>
      <c r="C460" s="11">
        <f>IF($X460="","",INDEX('Per Line'!$F$2:$F$3001,$X460))</f>
        <v/>
      </c>
      <c r="D460">
        <f>IF($X460="","",INDEX('Per Line'!$G$2:$G$3001,$X460)&amp;"")</f>
        <v/>
      </c>
      <c r="E460">
        <f>IF($X460="","",INDEX('Per Line'!$I$2:$I$3001,$X460)&amp;"")</f>
        <v/>
      </c>
      <c r="F460">
        <f>IF($X460="","",INDEX('Per Line'!$J$2:$J$3001,$X460)&amp;"")</f>
        <v/>
      </c>
      <c r="G460">
        <f>IF($X460="","",INDEX('Per Line'!$K$2:$K$3001,$X460)&amp;"")</f>
        <v/>
      </c>
      <c r="H460">
        <f>IF($X460="","",INDEX('Per Line'!$M$2:$M$3001,$X460))</f>
        <v/>
      </c>
      <c r="I460" s="7">
        <f>IF($X460="","",H460*V460/100)</f>
        <v/>
      </c>
      <c r="J460">
        <f>IF($X460="","",INDEX('Per Line'!$W$2:$W$3001,$X460)&amp;"")</f>
        <v/>
      </c>
      <c r="K460">
        <f>IF($X460="","",INDEX('Per Line'!$AD$2:$AD$3001,$X460))</f>
        <v/>
      </c>
      <c r="L460">
        <f>IF($X460="","",IF(AND(ISNUMBER(K460),K460&gt;0),V460&gt;K460,FALSE))</f>
        <v/>
      </c>
      <c r="M460" s="7">
        <f>IF($X460="","",SUMIFS('Per Line'!$V$2:$V$3001,'Per Line'!$D$2:$D$3001,$B460,'Per Line'!$AN$2:$AN$3001,1))</f>
        <v/>
      </c>
      <c r="N460">
        <f>IF($X460="","",Settings!$C$7)</f>
        <v/>
      </c>
      <c r="O460" s="7">
        <f>IF($X460="","",SUMIFS('Per Line'!$V$2:$V$3001,'Per Line'!$D$2:$D$3001,$B460,'Per Line'!$AM$2:$AM$3001,0,'Per Line'!$AN$2:$AN$3001,0))</f>
        <v/>
      </c>
      <c r="P460" s="7">
        <f>IF($X460="","",O460*N460)</f>
        <v/>
      </c>
      <c r="Q460">
        <f>IF($X460="","",Settings!$C$6)</f>
        <v/>
      </c>
      <c r="R460" s="7">
        <f>IF($X460="","",SUMIFS('Per Line'!$V$2:$V$3001,'Per Line'!$D$2:$D$3001,$B460,'Per Line'!$AM$2:$AM$3001,1,'Per Line'!$AN$2:$AN$3001,0))</f>
        <v/>
      </c>
      <c r="S460" s="7">
        <f>IF($X460="","",R460*Q460)</f>
        <v/>
      </c>
      <c r="T460" s="7">
        <f>IF($X460="","",S460+P460)</f>
        <v/>
      </c>
      <c r="U460" s="7">
        <f>IF($X460="","",V460-T460)</f>
        <v/>
      </c>
      <c r="V460" s="7">
        <f>IF($X460="","",O460+R460+M460)</f>
        <v/>
      </c>
      <c r="W460" s="7">
        <f>IF($X460="","",V460-T460-I460)</f>
        <v/>
      </c>
      <c r="X460" s="13">
        <f>IF(ROWS($X$2:$X460)&lt;=MAX('Per Line'!$AL$2:$AL$3001),MATCH(ROWS($X$2:$X460),'Per Line'!$AL$2:$AL$3001,0),"")</f>
        <v/>
      </c>
    </row>
    <row r="461">
      <c r="A461" s="12" t="n"/>
      <c r="B461">
        <f>IF($X461="","",INDEX('Per Line'!$D$2:$D$3001,$X461)&amp;"")</f>
        <v/>
      </c>
      <c r="C461" s="11">
        <f>IF($X461="","",INDEX('Per Line'!$F$2:$F$3001,$X461))</f>
        <v/>
      </c>
      <c r="D461">
        <f>IF($X461="","",INDEX('Per Line'!$G$2:$G$3001,$X461)&amp;"")</f>
        <v/>
      </c>
      <c r="E461">
        <f>IF($X461="","",INDEX('Per Line'!$I$2:$I$3001,$X461)&amp;"")</f>
        <v/>
      </c>
      <c r="F461">
        <f>IF($X461="","",INDEX('Per Line'!$J$2:$J$3001,$X461)&amp;"")</f>
        <v/>
      </c>
      <c r="G461">
        <f>IF($X461="","",INDEX('Per Line'!$K$2:$K$3001,$X461)&amp;"")</f>
        <v/>
      </c>
      <c r="H461">
        <f>IF($X461="","",INDEX('Per Line'!$M$2:$M$3001,$X461))</f>
        <v/>
      </c>
      <c r="I461" s="7">
        <f>IF($X461="","",H461*V461/100)</f>
        <v/>
      </c>
      <c r="J461">
        <f>IF($X461="","",INDEX('Per Line'!$W$2:$W$3001,$X461)&amp;"")</f>
        <v/>
      </c>
      <c r="K461">
        <f>IF($X461="","",INDEX('Per Line'!$AD$2:$AD$3001,$X461))</f>
        <v/>
      </c>
      <c r="L461">
        <f>IF($X461="","",IF(AND(ISNUMBER(K461),K461&gt;0),V461&gt;K461,FALSE))</f>
        <v/>
      </c>
      <c r="M461" s="7">
        <f>IF($X461="","",SUMIFS('Per Line'!$V$2:$V$3001,'Per Line'!$D$2:$D$3001,$B461,'Per Line'!$AN$2:$AN$3001,1))</f>
        <v/>
      </c>
      <c r="N461">
        <f>IF($X461="","",Settings!$C$7)</f>
        <v/>
      </c>
      <c r="O461" s="7">
        <f>IF($X461="","",SUMIFS('Per Line'!$V$2:$V$3001,'Per Line'!$D$2:$D$3001,$B461,'Per Line'!$AM$2:$AM$3001,0,'Per Line'!$AN$2:$AN$3001,0))</f>
        <v/>
      </c>
      <c r="P461" s="7">
        <f>IF($X461="","",O461*N461)</f>
        <v/>
      </c>
      <c r="Q461">
        <f>IF($X461="","",Settings!$C$6)</f>
        <v/>
      </c>
      <c r="R461" s="7">
        <f>IF($X461="","",SUMIFS('Per Line'!$V$2:$V$3001,'Per Line'!$D$2:$D$3001,$B461,'Per Line'!$AM$2:$AM$3001,1,'Per Line'!$AN$2:$AN$3001,0))</f>
        <v/>
      </c>
      <c r="S461" s="7">
        <f>IF($X461="","",R461*Q461)</f>
        <v/>
      </c>
      <c r="T461" s="7">
        <f>IF($X461="","",S461+P461)</f>
        <v/>
      </c>
      <c r="U461" s="7">
        <f>IF($X461="","",V461-T461)</f>
        <v/>
      </c>
      <c r="V461" s="7">
        <f>IF($X461="","",O461+R461+M461)</f>
        <v/>
      </c>
      <c r="W461" s="7">
        <f>IF($X461="","",V461-T461-I461)</f>
        <v/>
      </c>
      <c r="X461" s="13">
        <f>IF(ROWS($X$2:$X461)&lt;=MAX('Per Line'!$AL$2:$AL$3001),MATCH(ROWS($X$2:$X461),'Per Line'!$AL$2:$AL$3001,0),"")</f>
        <v/>
      </c>
    </row>
    <row r="462">
      <c r="A462" s="12" t="n"/>
      <c r="B462">
        <f>IF($X462="","",INDEX('Per Line'!$D$2:$D$3001,$X462)&amp;"")</f>
        <v/>
      </c>
      <c r="C462" s="11">
        <f>IF($X462="","",INDEX('Per Line'!$F$2:$F$3001,$X462))</f>
        <v/>
      </c>
      <c r="D462">
        <f>IF($X462="","",INDEX('Per Line'!$G$2:$G$3001,$X462)&amp;"")</f>
        <v/>
      </c>
      <c r="E462">
        <f>IF($X462="","",INDEX('Per Line'!$I$2:$I$3001,$X462)&amp;"")</f>
        <v/>
      </c>
      <c r="F462">
        <f>IF($X462="","",INDEX('Per Line'!$J$2:$J$3001,$X462)&amp;"")</f>
        <v/>
      </c>
      <c r="G462">
        <f>IF($X462="","",INDEX('Per Line'!$K$2:$K$3001,$X462)&amp;"")</f>
        <v/>
      </c>
      <c r="H462">
        <f>IF($X462="","",INDEX('Per Line'!$M$2:$M$3001,$X462))</f>
        <v/>
      </c>
      <c r="I462" s="7">
        <f>IF($X462="","",H462*V462/100)</f>
        <v/>
      </c>
      <c r="J462">
        <f>IF($X462="","",INDEX('Per Line'!$W$2:$W$3001,$X462)&amp;"")</f>
        <v/>
      </c>
      <c r="K462">
        <f>IF($X462="","",INDEX('Per Line'!$AD$2:$AD$3001,$X462))</f>
        <v/>
      </c>
      <c r="L462">
        <f>IF($X462="","",IF(AND(ISNUMBER(K462),K462&gt;0),V462&gt;K462,FALSE))</f>
        <v/>
      </c>
      <c r="M462" s="7">
        <f>IF($X462="","",SUMIFS('Per Line'!$V$2:$V$3001,'Per Line'!$D$2:$D$3001,$B462,'Per Line'!$AN$2:$AN$3001,1))</f>
        <v/>
      </c>
      <c r="N462">
        <f>IF($X462="","",Settings!$C$7)</f>
        <v/>
      </c>
      <c r="O462" s="7">
        <f>IF($X462="","",SUMIFS('Per Line'!$V$2:$V$3001,'Per Line'!$D$2:$D$3001,$B462,'Per Line'!$AM$2:$AM$3001,0,'Per Line'!$AN$2:$AN$3001,0))</f>
        <v/>
      </c>
      <c r="P462" s="7">
        <f>IF($X462="","",O462*N462)</f>
        <v/>
      </c>
      <c r="Q462">
        <f>IF($X462="","",Settings!$C$6)</f>
        <v/>
      </c>
      <c r="R462" s="7">
        <f>IF($X462="","",SUMIFS('Per Line'!$V$2:$V$3001,'Per Line'!$D$2:$D$3001,$B462,'Per Line'!$AM$2:$AM$3001,1,'Per Line'!$AN$2:$AN$3001,0))</f>
        <v/>
      </c>
      <c r="S462" s="7">
        <f>IF($X462="","",R462*Q462)</f>
        <v/>
      </c>
      <c r="T462" s="7">
        <f>IF($X462="","",S462+P462)</f>
        <v/>
      </c>
      <c r="U462" s="7">
        <f>IF($X462="","",V462-T462)</f>
        <v/>
      </c>
      <c r="V462" s="7">
        <f>IF($X462="","",O462+R462+M462)</f>
        <v/>
      </c>
      <c r="W462" s="7">
        <f>IF($X462="","",V462-T462-I462)</f>
        <v/>
      </c>
      <c r="X462" s="13">
        <f>IF(ROWS($X$2:$X462)&lt;=MAX('Per Line'!$AL$2:$AL$3001),MATCH(ROWS($X$2:$X462),'Per Line'!$AL$2:$AL$3001,0),"")</f>
        <v/>
      </c>
    </row>
    <row r="463">
      <c r="A463" s="12" t="n"/>
      <c r="B463">
        <f>IF($X463="","",INDEX('Per Line'!$D$2:$D$3001,$X463)&amp;"")</f>
        <v/>
      </c>
      <c r="C463" s="11">
        <f>IF($X463="","",INDEX('Per Line'!$F$2:$F$3001,$X463))</f>
        <v/>
      </c>
      <c r="D463">
        <f>IF($X463="","",INDEX('Per Line'!$G$2:$G$3001,$X463)&amp;"")</f>
        <v/>
      </c>
      <c r="E463">
        <f>IF($X463="","",INDEX('Per Line'!$I$2:$I$3001,$X463)&amp;"")</f>
        <v/>
      </c>
      <c r="F463">
        <f>IF($X463="","",INDEX('Per Line'!$J$2:$J$3001,$X463)&amp;"")</f>
        <v/>
      </c>
      <c r="G463">
        <f>IF($X463="","",INDEX('Per Line'!$K$2:$K$3001,$X463)&amp;"")</f>
        <v/>
      </c>
      <c r="H463">
        <f>IF($X463="","",INDEX('Per Line'!$M$2:$M$3001,$X463))</f>
        <v/>
      </c>
      <c r="I463" s="7">
        <f>IF($X463="","",H463*V463/100)</f>
        <v/>
      </c>
      <c r="J463">
        <f>IF($X463="","",INDEX('Per Line'!$W$2:$W$3001,$X463)&amp;"")</f>
        <v/>
      </c>
      <c r="K463">
        <f>IF($X463="","",INDEX('Per Line'!$AD$2:$AD$3001,$X463))</f>
        <v/>
      </c>
      <c r="L463">
        <f>IF($X463="","",IF(AND(ISNUMBER(K463),K463&gt;0),V463&gt;K463,FALSE))</f>
        <v/>
      </c>
      <c r="M463" s="7">
        <f>IF($X463="","",SUMIFS('Per Line'!$V$2:$V$3001,'Per Line'!$D$2:$D$3001,$B463,'Per Line'!$AN$2:$AN$3001,1))</f>
        <v/>
      </c>
      <c r="N463">
        <f>IF($X463="","",Settings!$C$7)</f>
        <v/>
      </c>
      <c r="O463" s="7">
        <f>IF($X463="","",SUMIFS('Per Line'!$V$2:$V$3001,'Per Line'!$D$2:$D$3001,$B463,'Per Line'!$AM$2:$AM$3001,0,'Per Line'!$AN$2:$AN$3001,0))</f>
        <v/>
      </c>
      <c r="P463" s="7">
        <f>IF($X463="","",O463*N463)</f>
        <v/>
      </c>
      <c r="Q463">
        <f>IF($X463="","",Settings!$C$6)</f>
        <v/>
      </c>
      <c r="R463" s="7">
        <f>IF($X463="","",SUMIFS('Per Line'!$V$2:$V$3001,'Per Line'!$D$2:$D$3001,$B463,'Per Line'!$AM$2:$AM$3001,1,'Per Line'!$AN$2:$AN$3001,0))</f>
        <v/>
      </c>
      <c r="S463" s="7">
        <f>IF($X463="","",R463*Q463)</f>
        <v/>
      </c>
      <c r="T463" s="7">
        <f>IF($X463="","",S463+P463)</f>
        <v/>
      </c>
      <c r="U463" s="7">
        <f>IF($X463="","",V463-T463)</f>
        <v/>
      </c>
      <c r="V463" s="7">
        <f>IF($X463="","",O463+R463+M463)</f>
        <v/>
      </c>
      <c r="W463" s="7">
        <f>IF($X463="","",V463-T463-I463)</f>
        <v/>
      </c>
      <c r="X463" s="13">
        <f>IF(ROWS($X$2:$X463)&lt;=MAX('Per Line'!$AL$2:$AL$3001),MATCH(ROWS($X$2:$X463),'Per Line'!$AL$2:$AL$3001,0),"")</f>
        <v/>
      </c>
    </row>
    <row r="464">
      <c r="A464" s="12" t="n"/>
      <c r="B464">
        <f>IF($X464="","",INDEX('Per Line'!$D$2:$D$3001,$X464)&amp;"")</f>
        <v/>
      </c>
      <c r="C464" s="11">
        <f>IF($X464="","",INDEX('Per Line'!$F$2:$F$3001,$X464))</f>
        <v/>
      </c>
      <c r="D464">
        <f>IF($X464="","",INDEX('Per Line'!$G$2:$G$3001,$X464)&amp;"")</f>
        <v/>
      </c>
      <c r="E464">
        <f>IF($X464="","",INDEX('Per Line'!$I$2:$I$3001,$X464)&amp;"")</f>
        <v/>
      </c>
      <c r="F464">
        <f>IF($X464="","",INDEX('Per Line'!$J$2:$J$3001,$X464)&amp;"")</f>
        <v/>
      </c>
      <c r="G464">
        <f>IF($X464="","",INDEX('Per Line'!$K$2:$K$3001,$X464)&amp;"")</f>
        <v/>
      </c>
      <c r="H464">
        <f>IF($X464="","",INDEX('Per Line'!$M$2:$M$3001,$X464))</f>
        <v/>
      </c>
      <c r="I464" s="7">
        <f>IF($X464="","",H464*V464/100)</f>
        <v/>
      </c>
      <c r="J464">
        <f>IF($X464="","",INDEX('Per Line'!$W$2:$W$3001,$X464)&amp;"")</f>
        <v/>
      </c>
      <c r="K464">
        <f>IF($X464="","",INDEX('Per Line'!$AD$2:$AD$3001,$X464))</f>
        <v/>
      </c>
      <c r="L464">
        <f>IF($X464="","",IF(AND(ISNUMBER(K464),K464&gt;0),V464&gt;K464,FALSE))</f>
        <v/>
      </c>
      <c r="M464" s="7">
        <f>IF($X464="","",SUMIFS('Per Line'!$V$2:$V$3001,'Per Line'!$D$2:$D$3001,$B464,'Per Line'!$AN$2:$AN$3001,1))</f>
        <v/>
      </c>
      <c r="N464">
        <f>IF($X464="","",Settings!$C$7)</f>
        <v/>
      </c>
      <c r="O464" s="7">
        <f>IF($X464="","",SUMIFS('Per Line'!$V$2:$V$3001,'Per Line'!$D$2:$D$3001,$B464,'Per Line'!$AM$2:$AM$3001,0,'Per Line'!$AN$2:$AN$3001,0))</f>
        <v/>
      </c>
      <c r="P464" s="7">
        <f>IF($X464="","",O464*N464)</f>
        <v/>
      </c>
      <c r="Q464">
        <f>IF($X464="","",Settings!$C$6)</f>
        <v/>
      </c>
      <c r="R464" s="7">
        <f>IF($X464="","",SUMIFS('Per Line'!$V$2:$V$3001,'Per Line'!$D$2:$D$3001,$B464,'Per Line'!$AM$2:$AM$3001,1,'Per Line'!$AN$2:$AN$3001,0))</f>
        <v/>
      </c>
      <c r="S464" s="7">
        <f>IF($X464="","",R464*Q464)</f>
        <v/>
      </c>
      <c r="T464" s="7">
        <f>IF($X464="","",S464+P464)</f>
        <v/>
      </c>
      <c r="U464" s="7">
        <f>IF($X464="","",V464-T464)</f>
        <v/>
      </c>
      <c r="V464" s="7">
        <f>IF($X464="","",O464+R464+M464)</f>
        <v/>
      </c>
      <c r="W464" s="7">
        <f>IF($X464="","",V464-T464-I464)</f>
        <v/>
      </c>
      <c r="X464" s="13">
        <f>IF(ROWS($X$2:$X464)&lt;=MAX('Per Line'!$AL$2:$AL$3001),MATCH(ROWS($X$2:$X464),'Per Line'!$AL$2:$AL$3001,0),"")</f>
        <v/>
      </c>
    </row>
    <row r="465">
      <c r="A465" s="12" t="n"/>
      <c r="B465">
        <f>IF($X465="","",INDEX('Per Line'!$D$2:$D$3001,$X465)&amp;"")</f>
        <v/>
      </c>
      <c r="C465" s="11">
        <f>IF($X465="","",INDEX('Per Line'!$F$2:$F$3001,$X465))</f>
        <v/>
      </c>
      <c r="D465">
        <f>IF($X465="","",INDEX('Per Line'!$G$2:$G$3001,$X465)&amp;"")</f>
        <v/>
      </c>
      <c r="E465">
        <f>IF($X465="","",INDEX('Per Line'!$I$2:$I$3001,$X465)&amp;"")</f>
        <v/>
      </c>
      <c r="F465">
        <f>IF($X465="","",INDEX('Per Line'!$J$2:$J$3001,$X465)&amp;"")</f>
        <v/>
      </c>
      <c r="G465">
        <f>IF($X465="","",INDEX('Per Line'!$K$2:$K$3001,$X465)&amp;"")</f>
        <v/>
      </c>
      <c r="H465">
        <f>IF($X465="","",INDEX('Per Line'!$M$2:$M$3001,$X465))</f>
        <v/>
      </c>
      <c r="I465" s="7">
        <f>IF($X465="","",H465*V465/100)</f>
        <v/>
      </c>
      <c r="J465">
        <f>IF($X465="","",INDEX('Per Line'!$W$2:$W$3001,$X465)&amp;"")</f>
        <v/>
      </c>
      <c r="K465">
        <f>IF($X465="","",INDEX('Per Line'!$AD$2:$AD$3001,$X465))</f>
        <v/>
      </c>
      <c r="L465">
        <f>IF($X465="","",IF(AND(ISNUMBER(K465),K465&gt;0),V465&gt;K465,FALSE))</f>
        <v/>
      </c>
      <c r="M465" s="7">
        <f>IF($X465="","",SUMIFS('Per Line'!$V$2:$V$3001,'Per Line'!$D$2:$D$3001,$B465,'Per Line'!$AN$2:$AN$3001,1))</f>
        <v/>
      </c>
      <c r="N465">
        <f>IF($X465="","",Settings!$C$7)</f>
        <v/>
      </c>
      <c r="O465" s="7">
        <f>IF($X465="","",SUMIFS('Per Line'!$V$2:$V$3001,'Per Line'!$D$2:$D$3001,$B465,'Per Line'!$AM$2:$AM$3001,0,'Per Line'!$AN$2:$AN$3001,0))</f>
        <v/>
      </c>
      <c r="P465" s="7">
        <f>IF($X465="","",O465*N465)</f>
        <v/>
      </c>
      <c r="Q465">
        <f>IF($X465="","",Settings!$C$6)</f>
        <v/>
      </c>
      <c r="R465" s="7">
        <f>IF($X465="","",SUMIFS('Per Line'!$V$2:$V$3001,'Per Line'!$D$2:$D$3001,$B465,'Per Line'!$AM$2:$AM$3001,1,'Per Line'!$AN$2:$AN$3001,0))</f>
        <v/>
      </c>
      <c r="S465" s="7">
        <f>IF($X465="","",R465*Q465)</f>
        <v/>
      </c>
      <c r="T465" s="7">
        <f>IF($X465="","",S465+P465)</f>
        <v/>
      </c>
      <c r="U465" s="7">
        <f>IF($X465="","",V465-T465)</f>
        <v/>
      </c>
      <c r="V465" s="7">
        <f>IF($X465="","",O465+R465+M465)</f>
        <v/>
      </c>
      <c r="W465" s="7">
        <f>IF($X465="","",V465-T465-I465)</f>
        <v/>
      </c>
      <c r="X465" s="13">
        <f>IF(ROWS($X$2:$X465)&lt;=MAX('Per Line'!$AL$2:$AL$3001),MATCH(ROWS($X$2:$X465),'Per Line'!$AL$2:$AL$3001,0),"")</f>
        <v/>
      </c>
    </row>
    <row r="466">
      <c r="A466" s="12" t="n"/>
      <c r="B466">
        <f>IF($X466="","",INDEX('Per Line'!$D$2:$D$3001,$X466)&amp;"")</f>
        <v/>
      </c>
      <c r="C466" s="11">
        <f>IF($X466="","",INDEX('Per Line'!$F$2:$F$3001,$X466))</f>
        <v/>
      </c>
      <c r="D466">
        <f>IF($X466="","",INDEX('Per Line'!$G$2:$G$3001,$X466)&amp;"")</f>
        <v/>
      </c>
      <c r="E466">
        <f>IF($X466="","",INDEX('Per Line'!$I$2:$I$3001,$X466)&amp;"")</f>
        <v/>
      </c>
      <c r="F466">
        <f>IF($X466="","",INDEX('Per Line'!$J$2:$J$3001,$X466)&amp;"")</f>
        <v/>
      </c>
      <c r="G466">
        <f>IF($X466="","",INDEX('Per Line'!$K$2:$K$3001,$X466)&amp;"")</f>
        <v/>
      </c>
      <c r="H466">
        <f>IF($X466="","",INDEX('Per Line'!$M$2:$M$3001,$X466))</f>
        <v/>
      </c>
      <c r="I466" s="7">
        <f>IF($X466="","",H466*V466/100)</f>
        <v/>
      </c>
      <c r="J466">
        <f>IF($X466="","",INDEX('Per Line'!$W$2:$W$3001,$X466)&amp;"")</f>
        <v/>
      </c>
      <c r="K466">
        <f>IF($X466="","",INDEX('Per Line'!$AD$2:$AD$3001,$X466))</f>
        <v/>
      </c>
      <c r="L466">
        <f>IF($X466="","",IF(AND(ISNUMBER(K466),K466&gt;0),V466&gt;K466,FALSE))</f>
        <v/>
      </c>
      <c r="M466" s="7">
        <f>IF($X466="","",SUMIFS('Per Line'!$V$2:$V$3001,'Per Line'!$D$2:$D$3001,$B466,'Per Line'!$AN$2:$AN$3001,1))</f>
        <v/>
      </c>
      <c r="N466">
        <f>IF($X466="","",Settings!$C$7)</f>
        <v/>
      </c>
      <c r="O466" s="7">
        <f>IF($X466="","",SUMIFS('Per Line'!$V$2:$V$3001,'Per Line'!$D$2:$D$3001,$B466,'Per Line'!$AM$2:$AM$3001,0,'Per Line'!$AN$2:$AN$3001,0))</f>
        <v/>
      </c>
      <c r="P466" s="7">
        <f>IF($X466="","",O466*N466)</f>
        <v/>
      </c>
      <c r="Q466">
        <f>IF($X466="","",Settings!$C$6)</f>
        <v/>
      </c>
      <c r="R466" s="7">
        <f>IF($X466="","",SUMIFS('Per Line'!$V$2:$V$3001,'Per Line'!$D$2:$D$3001,$B466,'Per Line'!$AM$2:$AM$3001,1,'Per Line'!$AN$2:$AN$3001,0))</f>
        <v/>
      </c>
      <c r="S466" s="7">
        <f>IF($X466="","",R466*Q466)</f>
        <v/>
      </c>
      <c r="T466" s="7">
        <f>IF($X466="","",S466+P466)</f>
        <v/>
      </c>
      <c r="U466" s="7">
        <f>IF($X466="","",V466-T466)</f>
        <v/>
      </c>
      <c r="V466" s="7">
        <f>IF($X466="","",O466+R466+M466)</f>
        <v/>
      </c>
      <c r="W466" s="7">
        <f>IF($X466="","",V466-T466-I466)</f>
        <v/>
      </c>
      <c r="X466" s="13">
        <f>IF(ROWS($X$2:$X466)&lt;=MAX('Per Line'!$AL$2:$AL$3001),MATCH(ROWS($X$2:$X466),'Per Line'!$AL$2:$AL$3001,0),"")</f>
        <v/>
      </c>
    </row>
    <row r="467">
      <c r="A467" s="12" t="n"/>
      <c r="B467">
        <f>IF($X467="","",INDEX('Per Line'!$D$2:$D$3001,$X467)&amp;"")</f>
        <v/>
      </c>
      <c r="C467" s="11">
        <f>IF($X467="","",INDEX('Per Line'!$F$2:$F$3001,$X467))</f>
        <v/>
      </c>
      <c r="D467">
        <f>IF($X467="","",INDEX('Per Line'!$G$2:$G$3001,$X467)&amp;"")</f>
        <v/>
      </c>
      <c r="E467">
        <f>IF($X467="","",INDEX('Per Line'!$I$2:$I$3001,$X467)&amp;"")</f>
        <v/>
      </c>
      <c r="F467">
        <f>IF($X467="","",INDEX('Per Line'!$J$2:$J$3001,$X467)&amp;"")</f>
        <v/>
      </c>
      <c r="G467">
        <f>IF($X467="","",INDEX('Per Line'!$K$2:$K$3001,$X467)&amp;"")</f>
        <v/>
      </c>
      <c r="H467">
        <f>IF($X467="","",INDEX('Per Line'!$M$2:$M$3001,$X467))</f>
        <v/>
      </c>
      <c r="I467" s="7">
        <f>IF($X467="","",H467*V467/100)</f>
        <v/>
      </c>
      <c r="J467">
        <f>IF($X467="","",INDEX('Per Line'!$W$2:$W$3001,$X467)&amp;"")</f>
        <v/>
      </c>
      <c r="K467">
        <f>IF($X467="","",INDEX('Per Line'!$AD$2:$AD$3001,$X467))</f>
        <v/>
      </c>
      <c r="L467">
        <f>IF($X467="","",IF(AND(ISNUMBER(K467),K467&gt;0),V467&gt;K467,FALSE))</f>
        <v/>
      </c>
      <c r="M467" s="7">
        <f>IF($X467="","",SUMIFS('Per Line'!$V$2:$V$3001,'Per Line'!$D$2:$D$3001,$B467,'Per Line'!$AN$2:$AN$3001,1))</f>
        <v/>
      </c>
      <c r="N467">
        <f>IF($X467="","",Settings!$C$7)</f>
        <v/>
      </c>
      <c r="O467" s="7">
        <f>IF($X467="","",SUMIFS('Per Line'!$V$2:$V$3001,'Per Line'!$D$2:$D$3001,$B467,'Per Line'!$AM$2:$AM$3001,0,'Per Line'!$AN$2:$AN$3001,0))</f>
        <v/>
      </c>
      <c r="P467" s="7">
        <f>IF($X467="","",O467*N467)</f>
        <v/>
      </c>
      <c r="Q467">
        <f>IF($X467="","",Settings!$C$6)</f>
        <v/>
      </c>
      <c r="R467" s="7">
        <f>IF($X467="","",SUMIFS('Per Line'!$V$2:$V$3001,'Per Line'!$D$2:$D$3001,$B467,'Per Line'!$AM$2:$AM$3001,1,'Per Line'!$AN$2:$AN$3001,0))</f>
        <v/>
      </c>
      <c r="S467" s="7">
        <f>IF($X467="","",R467*Q467)</f>
        <v/>
      </c>
      <c r="T467" s="7">
        <f>IF($X467="","",S467+P467)</f>
        <v/>
      </c>
      <c r="U467" s="7">
        <f>IF($X467="","",V467-T467)</f>
        <v/>
      </c>
      <c r="V467" s="7">
        <f>IF($X467="","",O467+R467+M467)</f>
        <v/>
      </c>
      <c r="W467" s="7">
        <f>IF($X467="","",V467-T467-I467)</f>
        <v/>
      </c>
      <c r="X467" s="13">
        <f>IF(ROWS($X$2:$X467)&lt;=MAX('Per Line'!$AL$2:$AL$3001),MATCH(ROWS($X$2:$X467),'Per Line'!$AL$2:$AL$3001,0),"")</f>
        <v/>
      </c>
    </row>
    <row r="468">
      <c r="A468" s="12" t="n"/>
      <c r="B468">
        <f>IF($X468="","",INDEX('Per Line'!$D$2:$D$3001,$X468)&amp;"")</f>
        <v/>
      </c>
      <c r="C468" s="11">
        <f>IF($X468="","",INDEX('Per Line'!$F$2:$F$3001,$X468))</f>
        <v/>
      </c>
      <c r="D468">
        <f>IF($X468="","",INDEX('Per Line'!$G$2:$G$3001,$X468)&amp;"")</f>
        <v/>
      </c>
      <c r="E468">
        <f>IF($X468="","",INDEX('Per Line'!$I$2:$I$3001,$X468)&amp;"")</f>
        <v/>
      </c>
      <c r="F468">
        <f>IF($X468="","",INDEX('Per Line'!$J$2:$J$3001,$X468)&amp;"")</f>
        <v/>
      </c>
      <c r="G468">
        <f>IF($X468="","",INDEX('Per Line'!$K$2:$K$3001,$X468)&amp;"")</f>
        <v/>
      </c>
      <c r="H468">
        <f>IF($X468="","",INDEX('Per Line'!$M$2:$M$3001,$X468))</f>
        <v/>
      </c>
      <c r="I468" s="7">
        <f>IF($X468="","",H468*V468/100)</f>
        <v/>
      </c>
      <c r="J468">
        <f>IF($X468="","",INDEX('Per Line'!$W$2:$W$3001,$X468)&amp;"")</f>
        <v/>
      </c>
      <c r="K468">
        <f>IF($X468="","",INDEX('Per Line'!$AD$2:$AD$3001,$X468))</f>
        <v/>
      </c>
      <c r="L468">
        <f>IF($X468="","",IF(AND(ISNUMBER(K468),K468&gt;0),V468&gt;K468,FALSE))</f>
        <v/>
      </c>
      <c r="M468" s="7">
        <f>IF($X468="","",SUMIFS('Per Line'!$V$2:$V$3001,'Per Line'!$D$2:$D$3001,$B468,'Per Line'!$AN$2:$AN$3001,1))</f>
        <v/>
      </c>
      <c r="N468">
        <f>IF($X468="","",Settings!$C$7)</f>
        <v/>
      </c>
      <c r="O468" s="7">
        <f>IF($X468="","",SUMIFS('Per Line'!$V$2:$V$3001,'Per Line'!$D$2:$D$3001,$B468,'Per Line'!$AM$2:$AM$3001,0,'Per Line'!$AN$2:$AN$3001,0))</f>
        <v/>
      </c>
      <c r="P468" s="7">
        <f>IF($X468="","",O468*N468)</f>
        <v/>
      </c>
      <c r="Q468">
        <f>IF($X468="","",Settings!$C$6)</f>
        <v/>
      </c>
      <c r="R468" s="7">
        <f>IF($X468="","",SUMIFS('Per Line'!$V$2:$V$3001,'Per Line'!$D$2:$D$3001,$B468,'Per Line'!$AM$2:$AM$3001,1,'Per Line'!$AN$2:$AN$3001,0))</f>
        <v/>
      </c>
      <c r="S468" s="7">
        <f>IF($X468="","",R468*Q468)</f>
        <v/>
      </c>
      <c r="T468" s="7">
        <f>IF($X468="","",S468+P468)</f>
        <v/>
      </c>
      <c r="U468" s="7">
        <f>IF($X468="","",V468-T468)</f>
        <v/>
      </c>
      <c r="V468" s="7">
        <f>IF($X468="","",O468+R468+M468)</f>
        <v/>
      </c>
      <c r="W468" s="7">
        <f>IF($X468="","",V468-T468-I468)</f>
        <v/>
      </c>
      <c r="X468" s="13">
        <f>IF(ROWS($X$2:$X468)&lt;=MAX('Per Line'!$AL$2:$AL$3001),MATCH(ROWS($X$2:$X468),'Per Line'!$AL$2:$AL$3001,0),"")</f>
        <v/>
      </c>
    </row>
    <row r="469">
      <c r="A469" s="12" t="n"/>
      <c r="B469">
        <f>IF($X469="","",INDEX('Per Line'!$D$2:$D$3001,$X469)&amp;"")</f>
        <v/>
      </c>
      <c r="C469" s="11">
        <f>IF($X469="","",INDEX('Per Line'!$F$2:$F$3001,$X469))</f>
        <v/>
      </c>
      <c r="D469">
        <f>IF($X469="","",INDEX('Per Line'!$G$2:$G$3001,$X469)&amp;"")</f>
        <v/>
      </c>
      <c r="E469">
        <f>IF($X469="","",INDEX('Per Line'!$I$2:$I$3001,$X469)&amp;"")</f>
        <v/>
      </c>
      <c r="F469">
        <f>IF($X469="","",INDEX('Per Line'!$J$2:$J$3001,$X469)&amp;"")</f>
        <v/>
      </c>
      <c r="G469">
        <f>IF($X469="","",INDEX('Per Line'!$K$2:$K$3001,$X469)&amp;"")</f>
        <v/>
      </c>
      <c r="H469">
        <f>IF($X469="","",INDEX('Per Line'!$M$2:$M$3001,$X469))</f>
        <v/>
      </c>
      <c r="I469" s="7">
        <f>IF($X469="","",H469*V469/100)</f>
        <v/>
      </c>
      <c r="J469">
        <f>IF($X469="","",INDEX('Per Line'!$W$2:$W$3001,$X469)&amp;"")</f>
        <v/>
      </c>
      <c r="K469">
        <f>IF($X469="","",INDEX('Per Line'!$AD$2:$AD$3001,$X469))</f>
        <v/>
      </c>
      <c r="L469">
        <f>IF($X469="","",IF(AND(ISNUMBER(K469),K469&gt;0),V469&gt;K469,FALSE))</f>
        <v/>
      </c>
      <c r="M469" s="7">
        <f>IF($X469="","",SUMIFS('Per Line'!$V$2:$V$3001,'Per Line'!$D$2:$D$3001,$B469,'Per Line'!$AN$2:$AN$3001,1))</f>
        <v/>
      </c>
      <c r="N469">
        <f>IF($X469="","",Settings!$C$7)</f>
        <v/>
      </c>
      <c r="O469" s="7">
        <f>IF($X469="","",SUMIFS('Per Line'!$V$2:$V$3001,'Per Line'!$D$2:$D$3001,$B469,'Per Line'!$AM$2:$AM$3001,0,'Per Line'!$AN$2:$AN$3001,0))</f>
        <v/>
      </c>
      <c r="P469" s="7">
        <f>IF($X469="","",O469*N469)</f>
        <v/>
      </c>
      <c r="Q469">
        <f>IF($X469="","",Settings!$C$6)</f>
        <v/>
      </c>
      <c r="R469" s="7">
        <f>IF($X469="","",SUMIFS('Per Line'!$V$2:$V$3001,'Per Line'!$D$2:$D$3001,$B469,'Per Line'!$AM$2:$AM$3001,1,'Per Line'!$AN$2:$AN$3001,0))</f>
        <v/>
      </c>
      <c r="S469" s="7">
        <f>IF($X469="","",R469*Q469)</f>
        <v/>
      </c>
      <c r="T469" s="7">
        <f>IF($X469="","",S469+P469)</f>
        <v/>
      </c>
      <c r="U469" s="7">
        <f>IF($X469="","",V469-T469)</f>
        <v/>
      </c>
      <c r="V469" s="7">
        <f>IF($X469="","",O469+R469+M469)</f>
        <v/>
      </c>
      <c r="W469" s="7">
        <f>IF($X469="","",V469-T469-I469)</f>
        <v/>
      </c>
      <c r="X469" s="13">
        <f>IF(ROWS($X$2:$X469)&lt;=MAX('Per Line'!$AL$2:$AL$3001),MATCH(ROWS($X$2:$X469),'Per Line'!$AL$2:$AL$3001,0),"")</f>
        <v/>
      </c>
    </row>
    <row r="470">
      <c r="A470" s="12" t="n"/>
      <c r="B470">
        <f>IF($X470="","",INDEX('Per Line'!$D$2:$D$3001,$X470)&amp;"")</f>
        <v/>
      </c>
      <c r="C470" s="11">
        <f>IF($X470="","",INDEX('Per Line'!$F$2:$F$3001,$X470))</f>
        <v/>
      </c>
      <c r="D470">
        <f>IF($X470="","",INDEX('Per Line'!$G$2:$G$3001,$X470)&amp;"")</f>
        <v/>
      </c>
      <c r="E470">
        <f>IF($X470="","",INDEX('Per Line'!$I$2:$I$3001,$X470)&amp;"")</f>
        <v/>
      </c>
      <c r="F470">
        <f>IF($X470="","",INDEX('Per Line'!$J$2:$J$3001,$X470)&amp;"")</f>
        <v/>
      </c>
      <c r="G470">
        <f>IF($X470="","",INDEX('Per Line'!$K$2:$K$3001,$X470)&amp;"")</f>
        <v/>
      </c>
      <c r="H470">
        <f>IF($X470="","",INDEX('Per Line'!$M$2:$M$3001,$X470))</f>
        <v/>
      </c>
      <c r="I470" s="7">
        <f>IF($X470="","",H470*V470/100)</f>
        <v/>
      </c>
      <c r="J470">
        <f>IF($X470="","",INDEX('Per Line'!$W$2:$W$3001,$X470)&amp;"")</f>
        <v/>
      </c>
      <c r="K470">
        <f>IF($X470="","",INDEX('Per Line'!$AD$2:$AD$3001,$X470))</f>
        <v/>
      </c>
      <c r="L470">
        <f>IF($X470="","",IF(AND(ISNUMBER(K470),K470&gt;0),V470&gt;K470,FALSE))</f>
        <v/>
      </c>
      <c r="M470" s="7">
        <f>IF($X470="","",SUMIFS('Per Line'!$V$2:$V$3001,'Per Line'!$D$2:$D$3001,$B470,'Per Line'!$AN$2:$AN$3001,1))</f>
        <v/>
      </c>
      <c r="N470">
        <f>IF($X470="","",Settings!$C$7)</f>
        <v/>
      </c>
      <c r="O470" s="7">
        <f>IF($X470="","",SUMIFS('Per Line'!$V$2:$V$3001,'Per Line'!$D$2:$D$3001,$B470,'Per Line'!$AM$2:$AM$3001,0,'Per Line'!$AN$2:$AN$3001,0))</f>
        <v/>
      </c>
      <c r="P470" s="7">
        <f>IF($X470="","",O470*N470)</f>
        <v/>
      </c>
      <c r="Q470">
        <f>IF($X470="","",Settings!$C$6)</f>
        <v/>
      </c>
      <c r="R470" s="7">
        <f>IF($X470="","",SUMIFS('Per Line'!$V$2:$V$3001,'Per Line'!$D$2:$D$3001,$B470,'Per Line'!$AM$2:$AM$3001,1,'Per Line'!$AN$2:$AN$3001,0))</f>
        <v/>
      </c>
      <c r="S470" s="7">
        <f>IF($X470="","",R470*Q470)</f>
        <v/>
      </c>
      <c r="T470" s="7">
        <f>IF($X470="","",S470+P470)</f>
        <v/>
      </c>
      <c r="U470" s="7">
        <f>IF($X470="","",V470-T470)</f>
        <v/>
      </c>
      <c r="V470" s="7">
        <f>IF($X470="","",O470+R470+M470)</f>
        <v/>
      </c>
      <c r="W470" s="7">
        <f>IF($X470="","",V470-T470-I470)</f>
        <v/>
      </c>
      <c r="X470" s="13">
        <f>IF(ROWS($X$2:$X470)&lt;=MAX('Per Line'!$AL$2:$AL$3001),MATCH(ROWS($X$2:$X470),'Per Line'!$AL$2:$AL$3001,0),"")</f>
        <v/>
      </c>
    </row>
    <row r="471">
      <c r="A471" s="12" t="n"/>
      <c r="B471">
        <f>IF($X471="","",INDEX('Per Line'!$D$2:$D$3001,$X471)&amp;"")</f>
        <v/>
      </c>
      <c r="C471" s="11">
        <f>IF($X471="","",INDEX('Per Line'!$F$2:$F$3001,$X471))</f>
        <v/>
      </c>
      <c r="D471">
        <f>IF($X471="","",INDEX('Per Line'!$G$2:$G$3001,$X471)&amp;"")</f>
        <v/>
      </c>
      <c r="E471">
        <f>IF($X471="","",INDEX('Per Line'!$I$2:$I$3001,$X471)&amp;"")</f>
        <v/>
      </c>
      <c r="F471">
        <f>IF($X471="","",INDEX('Per Line'!$J$2:$J$3001,$X471)&amp;"")</f>
        <v/>
      </c>
      <c r="G471">
        <f>IF($X471="","",INDEX('Per Line'!$K$2:$K$3001,$X471)&amp;"")</f>
        <v/>
      </c>
      <c r="H471">
        <f>IF($X471="","",INDEX('Per Line'!$M$2:$M$3001,$X471))</f>
        <v/>
      </c>
      <c r="I471" s="7">
        <f>IF($X471="","",H471*V471/100)</f>
        <v/>
      </c>
      <c r="J471">
        <f>IF($X471="","",INDEX('Per Line'!$W$2:$W$3001,$X471)&amp;"")</f>
        <v/>
      </c>
      <c r="K471">
        <f>IF($X471="","",INDEX('Per Line'!$AD$2:$AD$3001,$X471))</f>
        <v/>
      </c>
      <c r="L471">
        <f>IF($X471="","",IF(AND(ISNUMBER(K471),K471&gt;0),V471&gt;K471,FALSE))</f>
        <v/>
      </c>
      <c r="M471" s="7">
        <f>IF($X471="","",SUMIFS('Per Line'!$V$2:$V$3001,'Per Line'!$D$2:$D$3001,$B471,'Per Line'!$AN$2:$AN$3001,1))</f>
        <v/>
      </c>
      <c r="N471">
        <f>IF($X471="","",Settings!$C$7)</f>
        <v/>
      </c>
      <c r="O471" s="7">
        <f>IF($X471="","",SUMIFS('Per Line'!$V$2:$V$3001,'Per Line'!$D$2:$D$3001,$B471,'Per Line'!$AM$2:$AM$3001,0,'Per Line'!$AN$2:$AN$3001,0))</f>
        <v/>
      </c>
      <c r="P471" s="7">
        <f>IF($X471="","",O471*N471)</f>
        <v/>
      </c>
      <c r="Q471">
        <f>IF($X471="","",Settings!$C$6)</f>
        <v/>
      </c>
      <c r="R471" s="7">
        <f>IF($X471="","",SUMIFS('Per Line'!$V$2:$V$3001,'Per Line'!$D$2:$D$3001,$B471,'Per Line'!$AM$2:$AM$3001,1,'Per Line'!$AN$2:$AN$3001,0))</f>
        <v/>
      </c>
      <c r="S471" s="7">
        <f>IF($X471="","",R471*Q471)</f>
        <v/>
      </c>
      <c r="T471" s="7">
        <f>IF($X471="","",S471+P471)</f>
        <v/>
      </c>
      <c r="U471" s="7">
        <f>IF($X471="","",V471-T471)</f>
        <v/>
      </c>
      <c r="V471" s="7">
        <f>IF($X471="","",O471+R471+M471)</f>
        <v/>
      </c>
      <c r="W471" s="7">
        <f>IF($X471="","",V471-T471-I471)</f>
        <v/>
      </c>
      <c r="X471" s="13">
        <f>IF(ROWS($X$2:$X471)&lt;=MAX('Per Line'!$AL$2:$AL$3001),MATCH(ROWS($X$2:$X471),'Per Line'!$AL$2:$AL$3001,0),"")</f>
        <v/>
      </c>
    </row>
    <row r="472">
      <c r="A472" s="12" t="n"/>
      <c r="B472">
        <f>IF($X472="","",INDEX('Per Line'!$D$2:$D$3001,$X472)&amp;"")</f>
        <v/>
      </c>
      <c r="C472" s="11">
        <f>IF($X472="","",INDEX('Per Line'!$F$2:$F$3001,$X472))</f>
        <v/>
      </c>
      <c r="D472">
        <f>IF($X472="","",INDEX('Per Line'!$G$2:$G$3001,$X472)&amp;"")</f>
        <v/>
      </c>
      <c r="E472">
        <f>IF($X472="","",INDEX('Per Line'!$I$2:$I$3001,$X472)&amp;"")</f>
        <v/>
      </c>
      <c r="F472">
        <f>IF($X472="","",INDEX('Per Line'!$J$2:$J$3001,$X472)&amp;"")</f>
        <v/>
      </c>
      <c r="G472">
        <f>IF($X472="","",INDEX('Per Line'!$K$2:$K$3001,$X472)&amp;"")</f>
        <v/>
      </c>
      <c r="H472">
        <f>IF($X472="","",INDEX('Per Line'!$M$2:$M$3001,$X472))</f>
        <v/>
      </c>
      <c r="I472" s="7">
        <f>IF($X472="","",H472*V472/100)</f>
        <v/>
      </c>
      <c r="J472">
        <f>IF($X472="","",INDEX('Per Line'!$W$2:$W$3001,$X472)&amp;"")</f>
        <v/>
      </c>
      <c r="K472">
        <f>IF($X472="","",INDEX('Per Line'!$AD$2:$AD$3001,$X472))</f>
        <v/>
      </c>
      <c r="L472">
        <f>IF($X472="","",IF(AND(ISNUMBER(K472),K472&gt;0),V472&gt;K472,FALSE))</f>
        <v/>
      </c>
      <c r="M472" s="7">
        <f>IF($X472="","",SUMIFS('Per Line'!$V$2:$V$3001,'Per Line'!$D$2:$D$3001,$B472,'Per Line'!$AN$2:$AN$3001,1))</f>
        <v/>
      </c>
      <c r="N472">
        <f>IF($X472="","",Settings!$C$7)</f>
        <v/>
      </c>
      <c r="O472" s="7">
        <f>IF($X472="","",SUMIFS('Per Line'!$V$2:$V$3001,'Per Line'!$D$2:$D$3001,$B472,'Per Line'!$AM$2:$AM$3001,0,'Per Line'!$AN$2:$AN$3001,0))</f>
        <v/>
      </c>
      <c r="P472" s="7">
        <f>IF($X472="","",O472*N472)</f>
        <v/>
      </c>
      <c r="Q472">
        <f>IF($X472="","",Settings!$C$6)</f>
        <v/>
      </c>
      <c r="R472" s="7">
        <f>IF($X472="","",SUMIFS('Per Line'!$V$2:$V$3001,'Per Line'!$D$2:$D$3001,$B472,'Per Line'!$AM$2:$AM$3001,1,'Per Line'!$AN$2:$AN$3001,0))</f>
        <v/>
      </c>
      <c r="S472" s="7">
        <f>IF($X472="","",R472*Q472)</f>
        <v/>
      </c>
      <c r="T472" s="7">
        <f>IF($X472="","",S472+P472)</f>
        <v/>
      </c>
      <c r="U472" s="7">
        <f>IF($X472="","",V472-T472)</f>
        <v/>
      </c>
      <c r="V472" s="7">
        <f>IF($X472="","",O472+R472+M472)</f>
        <v/>
      </c>
      <c r="W472" s="7">
        <f>IF($X472="","",V472-T472-I472)</f>
        <v/>
      </c>
      <c r="X472" s="13">
        <f>IF(ROWS($X$2:$X472)&lt;=MAX('Per Line'!$AL$2:$AL$3001),MATCH(ROWS($X$2:$X472),'Per Line'!$AL$2:$AL$3001,0),"")</f>
        <v/>
      </c>
    </row>
    <row r="473">
      <c r="A473" s="12" t="n"/>
      <c r="B473">
        <f>IF($X473="","",INDEX('Per Line'!$D$2:$D$3001,$X473)&amp;"")</f>
        <v/>
      </c>
      <c r="C473" s="11">
        <f>IF($X473="","",INDEX('Per Line'!$F$2:$F$3001,$X473))</f>
        <v/>
      </c>
      <c r="D473">
        <f>IF($X473="","",INDEX('Per Line'!$G$2:$G$3001,$X473)&amp;"")</f>
        <v/>
      </c>
      <c r="E473">
        <f>IF($X473="","",INDEX('Per Line'!$I$2:$I$3001,$X473)&amp;"")</f>
        <v/>
      </c>
      <c r="F473">
        <f>IF($X473="","",INDEX('Per Line'!$J$2:$J$3001,$X473)&amp;"")</f>
        <v/>
      </c>
      <c r="G473">
        <f>IF($X473="","",INDEX('Per Line'!$K$2:$K$3001,$X473)&amp;"")</f>
        <v/>
      </c>
      <c r="H473">
        <f>IF($X473="","",INDEX('Per Line'!$M$2:$M$3001,$X473))</f>
        <v/>
      </c>
      <c r="I473" s="7">
        <f>IF($X473="","",H473*V473/100)</f>
        <v/>
      </c>
      <c r="J473">
        <f>IF($X473="","",INDEX('Per Line'!$W$2:$W$3001,$X473)&amp;"")</f>
        <v/>
      </c>
      <c r="K473">
        <f>IF($X473="","",INDEX('Per Line'!$AD$2:$AD$3001,$X473))</f>
        <v/>
      </c>
      <c r="L473">
        <f>IF($X473="","",IF(AND(ISNUMBER(K473),K473&gt;0),V473&gt;K473,FALSE))</f>
        <v/>
      </c>
      <c r="M473" s="7">
        <f>IF($X473="","",SUMIFS('Per Line'!$V$2:$V$3001,'Per Line'!$D$2:$D$3001,$B473,'Per Line'!$AN$2:$AN$3001,1))</f>
        <v/>
      </c>
      <c r="N473">
        <f>IF($X473="","",Settings!$C$7)</f>
        <v/>
      </c>
      <c r="O473" s="7">
        <f>IF($X473="","",SUMIFS('Per Line'!$V$2:$V$3001,'Per Line'!$D$2:$D$3001,$B473,'Per Line'!$AM$2:$AM$3001,0,'Per Line'!$AN$2:$AN$3001,0))</f>
        <v/>
      </c>
      <c r="P473" s="7">
        <f>IF($X473="","",O473*N473)</f>
        <v/>
      </c>
      <c r="Q473">
        <f>IF($X473="","",Settings!$C$6)</f>
        <v/>
      </c>
      <c r="R473" s="7">
        <f>IF($X473="","",SUMIFS('Per Line'!$V$2:$V$3001,'Per Line'!$D$2:$D$3001,$B473,'Per Line'!$AM$2:$AM$3001,1,'Per Line'!$AN$2:$AN$3001,0))</f>
        <v/>
      </c>
      <c r="S473" s="7">
        <f>IF($X473="","",R473*Q473)</f>
        <v/>
      </c>
      <c r="T473" s="7">
        <f>IF($X473="","",S473+P473)</f>
        <v/>
      </c>
      <c r="U473" s="7">
        <f>IF($X473="","",V473-T473)</f>
        <v/>
      </c>
      <c r="V473" s="7">
        <f>IF($X473="","",O473+R473+M473)</f>
        <v/>
      </c>
      <c r="W473" s="7">
        <f>IF($X473="","",V473-T473-I473)</f>
        <v/>
      </c>
      <c r="X473" s="13">
        <f>IF(ROWS($X$2:$X473)&lt;=MAX('Per Line'!$AL$2:$AL$3001),MATCH(ROWS($X$2:$X473),'Per Line'!$AL$2:$AL$3001,0),"")</f>
        <v/>
      </c>
    </row>
    <row r="474">
      <c r="A474" s="12" t="n"/>
      <c r="B474">
        <f>IF($X474="","",INDEX('Per Line'!$D$2:$D$3001,$X474)&amp;"")</f>
        <v/>
      </c>
      <c r="C474" s="11">
        <f>IF($X474="","",INDEX('Per Line'!$F$2:$F$3001,$X474))</f>
        <v/>
      </c>
      <c r="D474">
        <f>IF($X474="","",INDEX('Per Line'!$G$2:$G$3001,$X474)&amp;"")</f>
        <v/>
      </c>
      <c r="E474">
        <f>IF($X474="","",INDEX('Per Line'!$I$2:$I$3001,$X474)&amp;"")</f>
        <v/>
      </c>
      <c r="F474">
        <f>IF($X474="","",INDEX('Per Line'!$J$2:$J$3001,$X474)&amp;"")</f>
        <v/>
      </c>
      <c r="G474">
        <f>IF($X474="","",INDEX('Per Line'!$K$2:$K$3001,$X474)&amp;"")</f>
        <v/>
      </c>
      <c r="H474">
        <f>IF($X474="","",INDEX('Per Line'!$M$2:$M$3001,$X474))</f>
        <v/>
      </c>
      <c r="I474" s="7">
        <f>IF($X474="","",H474*V474/100)</f>
        <v/>
      </c>
      <c r="J474">
        <f>IF($X474="","",INDEX('Per Line'!$W$2:$W$3001,$X474)&amp;"")</f>
        <v/>
      </c>
      <c r="K474">
        <f>IF($X474="","",INDEX('Per Line'!$AD$2:$AD$3001,$X474))</f>
        <v/>
      </c>
      <c r="L474">
        <f>IF($X474="","",IF(AND(ISNUMBER(K474),K474&gt;0),V474&gt;K474,FALSE))</f>
        <v/>
      </c>
      <c r="M474" s="7">
        <f>IF($X474="","",SUMIFS('Per Line'!$V$2:$V$3001,'Per Line'!$D$2:$D$3001,$B474,'Per Line'!$AN$2:$AN$3001,1))</f>
        <v/>
      </c>
      <c r="N474">
        <f>IF($X474="","",Settings!$C$7)</f>
        <v/>
      </c>
      <c r="O474" s="7">
        <f>IF($X474="","",SUMIFS('Per Line'!$V$2:$V$3001,'Per Line'!$D$2:$D$3001,$B474,'Per Line'!$AM$2:$AM$3001,0,'Per Line'!$AN$2:$AN$3001,0))</f>
        <v/>
      </c>
      <c r="P474" s="7">
        <f>IF($X474="","",O474*N474)</f>
        <v/>
      </c>
      <c r="Q474">
        <f>IF($X474="","",Settings!$C$6)</f>
        <v/>
      </c>
      <c r="R474" s="7">
        <f>IF($X474="","",SUMIFS('Per Line'!$V$2:$V$3001,'Per Line'!$D$2:$D$3001,$B474,'Per Line'!$AM$2:$AM$3001,1,'Per Line'!$AN$2:$AN$3001,0))</f>
        <v/>
      </c>
      <c r="S474" s="7">
        <f>IF($X474="","",R474*Q474)</f>
        <v/>
      </c>
      <c r="T474" s="7">
        <f>IF($X474="","",S474+P474)</f>
        <v/>
      </c>
      <c r="U474" s="7">
        <f>IF($X474="","",V474-T474)</f>
        <v/>
      </c>
      <c r="V474" s="7">
        <f>IF($X474="","",O474+R474+M474)</f>
        <v/>
      </c>
      <c r="W474" s="7">
        <f>IF($X474="","",V474-T474-I474)</f>
        <v/>
      </c>
      <c r="X474" s="13">
        <f>IF(ROWS($X$2:$X474)&lt;=MAX('Per Line'!$AL$2:$AL$3001),MATCH(ROWS($X$2:$X474),'Per Line'!$AL$2:$AL$3001,0),"")</f>
        <v/>
      </c>
    </row>
    <row r="475">
      <c r="A475" s="12" t="n"/>
      <c r="B475">
        <f>IF($X475="","",INDEX('Per Line'!$D$2:$D$3001,$X475)&amp;"")</f>
        <v/>
      </c>
      <c r="C475" s="11">
        <f>IF($X475="","",INDEX('Per Line'!$F$2:$F$3001,$X475))</f>
        <v/>
      </c>
      <c r="D475">
        <f>IF($X475="","",INDEX('Per Line'!$G$2:$G$3001,$X475)&amp;"")</f>
        <v/>
      </c>
      <c r="E475">
        <f>IF($X475="","",INDEX('Per Line'!$I$2:$I$3001,$X475)&amp;"")</f>
        <v/>
      </c>
      <c r="F475">
        <f>IF($X475="","",INDEX('Per Line'!$J$2:$J$3001,$X475)&amp;"")</f>
        <v/>
      </c>
      <c r="G475">
        <f>IF($X475="","",INDEX('Per Line'!$K$2:$K$3001,$X475)&amp;"")</f>
        <v/>
      </c>
      <c r="H475">
        <f>IF($X475="","",INDEX('Per Line'!$M$2:$M$3001,$X475))</f>
        <v/>
      </c>
      <c r="I475" s="7">
        <f>IF($X475="","",H475*V475/100)</f>
        <v/>
      </c>
      <c r="J475">
        <f>IF($X475="","",INDEX('Per Line'!$W$2:$W$3001,$X475)&amp;"")</f>
        <v/>
      </c>
      <c r="K475">
        <f>IF($X475="","",INDEX('Per Line'!$AD$2:$AD$3001,$X475))</f>
        <v/>
      </c>
      <c r="L475">
        <f>IF($X475="","",IF(AND(ISNUMBER(K475),K475&gt;0),V475&gt;K475,FALSE))</f>
        <v/>
      </c>
      <c r="M475" s="7">
        <f>IF($X475="","",SUMIFS('Per Line'!$V$2:$V$3001,'Per Line'!$D$2:$D$3001,$B475,'Per Line'!$AN$2:$AN$3001,1))</f>
        <v/>
      </c>
      <c r="N475">
        <f>IF($X475="","",Settings!$C$7)</f>
        <v/>
      </c>
      <c r="O475" s="7">
        <f>IF($X475="","",SUMIFS('Per Line'!$V$2:$V$3001,'Per Line'!$D$2:$D$3001,$B475,'Per Line'!$AM$2:$AM$3001,0,'Per Line'!$AN$2:$AN$3001,0))</f>
        <v/>
      </c>
      <c r="P475" s="7">
        <f>IF($X475="","",O475*N475)</f>
        <v/>
      </c>
      <c r="Q475">
        <f>IF($X475="","",Settings!$C$6)</f>
        <v/>
      </c>
      <c r="R475" s="7">
        <f>IF($X475="","",SUMIFS('Per Line'!$V$2:$V$3001,'Per Line'!$D$2:$D$3001,$B475,'Per Line'!$AM$2:$AM$3001,1,'Per Line'!$AN$2:$AN$3001,0))</f>
        <v/>
      </c>
      <c r="S475" s="7">
        <f>IF($X475="","",R475*Q475)</f>
        <v/>
      </c>
      <c r="T475" s="7">
        <f>IF($X475="","",S475+P475)</f>
        <v/>
      </c>
      <c r="U475" s="7">
        <f>IF($X475="","",V475-T475)</f>
        <v/>
      </c>
      <c r="V475" s="7">
        <f>IF($X475="","",O475+R475+M475)</f>
        <v/>
      </c>
      <c r="W475" s="7">
        <f>IF($X475="","",V475-T475-I475)</f>
        <v/>
      </c>
      <c r="X475" s="13">
        <f>IF(ROWS($X$2:$X475)&lt;=MAX('Per Line'!$AL$2:$AL$3001),MATCH(ROWS($X$2:$X475),'Per Line'!$AL$2:$AL$3001,0),"")</f>
        <v/>
      </c>
    </row>
    <row r="476">
      <c r="A476" s="12" t="n"/>
      <c r="B476">
        <f>IF($X476="","",INDEX('Per Line'!$D$2:$D$3001,$X476)&amp;"")</f>
        <v/>
      </c>
      <c r="C476" s="11">
        <f>IF($X476="","",INDEX('Per Line'!$F$2:$F$3001,$X476))</f>
        <v/>
      </c>
      <c r="D476">
        <f>IF($X476="","",INDEX('Per Line'!$G$2:$G$3001,$X476)&amp;"")</f>
        <v/>
      </c>
      <c r="E476">
        <f>IF($X476="","",INDEX('Per Line'!$I$2:$I$3001,$X476)&amp;"")</f>
        <v/>
      </c>
      <c r="F476">
        <f>IF($X476="","",INDEX('Per Line'!$J$2:$J$3001,$X476)&amp;"")</f>
        <v/>
      </c>
      <c r="G476">
        <f>IF($X476="","",INDEX('Per Line'!$K$2:$K$3001,$X476)&amp;"")</f>
        <v/>
      </c>
      <c r="H476">
        <f>IF($X476="","",INDEX('Per Line'!$M$2:$M$3001,$X476))</f>
        <v/>
      </c>
      <c r="I476" s="7">
        <f>IF($X476="","",H476*V476/100)</f>
        <v/>
      </c>
      <c r="J476">
        <f>IF($X476="","",INDEX('Per Line'!$W$2:$W$3001,$X476)&amp;"")</f>
        <v/>
      </c>
      <c r="K476">
        <f>IF($X476="","",INDEX('Per Line'!$AD$2:$AD$3001,$X476))</f>
        <v/>
      </c>
      <c r="L476">
        <f>IF($X476="","",IF(AND(ISNUMBER(K476),K476&gt;0),V476&gt;K476,FALSE))</f>
        <v/>
      </c>
      <c r="M476" s="7">
        <f>IF($X476="","",SUMIFS('Per Line'!$V$2:$V$3001,'Per Line'!$D$2:$D$3001,$B476,'Per Line'!$AN$2:$AN$3001,1))</f>
        <v/>
      </c>
      <c r="N476">
        <f>IF($X476="","",Settings!$C$7)</f>
        <v/>
      </c>
      <c r="O476" s="7">
        <f>IF($X476="","",SUMIFS('Per Line'!$V$2:$V$3001,'Per Line'!$D$2:$D$3001,$B476,'Per Line'!$AM$2:$AM$3001,0,'Per Line'!$AN$2:$AN$3001,0))</f>
        <v/>
      </c>
      <c r="P476" s="7">
        <f>IF($X476="","",O476*N476)</f>
        <v/>
      </c>
      <c r="Q476">
        <f>IF($X476="","",Settings!$C$6)</f>
        <v/>
      </c>
      <c r="R476" s="7">
        <f>IF($X476="","",SUMIFS('Per Line'!$V$2:$V$3001,'Per Line'!$D$2:$D$3001,$B476,'Per Line'!$AM$2:$AM$3001,1,'Per Line'!$AN$2:$AN$3001,0))</f>
        <v/>
      </c>
      <c r="S476" s="7">
        <f>IF($X476="","",R476*Q476)</f>
        <v/>
      </c>
      <c r="T476" s="7">
        <f>IF($X476="","",S476+P476)</f>
        <v/>
      </c>
      <c r="U476" s="7">
        <f>IF($X476="","",V476-T476)</f>
        <v/>
      </c>
      <c r="V476" s="7">
        <f>IF($X476="","",O476+R476+M476)</f>
        <v/>
      </c>
      <c r="W476" s="7">
        <f>IF($X476="","",V476-T476-I476)</f>
        <v/>
      </c>
      <c r="X476" s="13">
        <f>IF(ROWS($X$2:$X476)&lt;=MAX('Per Line'!$AL$2:$AL$3001),MATCH(ROWS($X$2:$X476),'Per Line'!$AL$2:$AL$3001,0),"")</f>
        <v/>
      </c>
    </row>
    <row r="477">
      <c r="A477" s="12" t="n"/>
      <c r="B477">
        <f>IF($X477="","",INDEX('Per Line'!$D$2:$D$3001,$X477)&amp;"")</f>
        <v/>
      </c>
      <c r="C477" s="11">
        <f>IF($X477="","",INDEX('Per Line'!$F$2:$F$3001,$X477))</f>
        <v/>
      </c>
      <c r="D477">
        <f>IF($X477="","",INDEX('Per Line'!$G$2:$G$3001,$X477)&amp;"")</f>
        <v/>
      </c>
      <c r="E477">
        <f>IF($X477="","",INDEX('Per Line'!$I$2:$I$3001,$X477)&amp;"")</f>
        <v/>
      </c>
      <c r="F477">
        <f>IF($X477="","",INDEX('Per Line'!$J$2:$J$3001,$X477)&amp;"")</f>
        <v/>
      </c>
      <c r="G477">
        <f>IF($X477="","",INDEX('Per Line'!$K$2:$K$3001,$X477)&amp;"")</f>
        <v/>
      </c>
      <c r="H477">
        <f>IF($X477="","",INDEX('Per Line'!$M$2:$M$3001,$X477))</f>
        <v/>
      </c>
      <c r="I477" s="7">
        <f>IF($X477="","",H477*V477/100)</f>
        <v/>
      </c>
      <c r="J477">
        <f>IF($X477="","",INDEX('Per Line'!$W$2:$W$3001,$X477)&amp;"")</f>
        <v/>
      </c>
      <c r="K477">
        <f>IF($X477="","",INDEX('Per Line'!$AD$2:$AD$3001,$X477))</f>
        <v/>
      </c>
      <c r="L477">
        <f>IF($X477="","",IF(AND(ISNUMBER(K477),K477&gt;0),V477&gt;K477,FALSE))</f>
        <v/>
      </c>
      <c r="M477" s="7">
        <f>IF($X477="","",SUMIFS('Per Line'!$V$2:$V$3001,'Per Line'!$D$2:$D$3001,$B477,'Per Line'!$AN$2:$AN$3001,1))</f>
        <v/>
      </c>
      <c r="N477">
        <f>IF($X477="","",Settings!$C$7)</f>
        <v/>
      </c>
      <c r="O477" s="7">
        <f>IF($X477="","",SUMIFS('Per Line'!$V$2:$V$3001,'Per Line'!$D$2:$D$3001,$B477,'Per Line'!$AM$2:$AM$3001,0,'Per Line'!$AN$2:$AN$3001,0))</f>
        <v/>
      </c>
      <c r="P477" s="7">
        <f>IF($X477="","",O477*N477)</f>
        <v/>
      </c>
      <c r="Q477">
        <f>IF($X477="","",Settings!$C$6)</f>
        <v/>
      </c>
      <c r="R477" s="7">
        <f>IF($X477="","",SUMIFS('Per Line'!$V$2:$V$3001,'Per Line'!$D$2:$D$3001,$B477,'Per Line'!$AM$2:$AM$3001,1,'Per Line'!$AN$2:$AN$3001,0))</f>
        <v/>
      </c>
      <c r="S477" s="7">
        <f>IF($X477="","",R477*Q477)</f>
        <v/>
      </c>
      <c r="T477" s="7">
        <f>IF($X477="","",S477+P477)</f>
        <v/>
      </c>
      <c r="U477" s="7">
        <f>IF($X477="","",V477-T477)</f>
        <v/>
      </c>
      <c r="V477" s="7">
        <f>IF($X477="","",O477+R477+M477)</f>
        <v/>
      </c>
      <c r="W477" s="7">
        <f>IF($X477="","",V477-T477-I477)</f>
        <v/>
      </c>
      <c r="X477" s="13">
        <f>IF(ROWS($X$2:$X477)&lt;=MAX('Per Line'!$AL$2:$AL$3001),MATCH(ROWS($X$2:$X477),'Per Line'!$AL$2:$AL$3001,0),"")</f>
        <v/>
      </c>
    </row>
    <row r="478">
      <c r="A478" s="12" t="n"/>
      <c r="B478">
        <f>IF($X478="","",INDEX('Per Line'!$D$2:$D$3001,$X478)&amp;"")</f>
        <v/>
      </c>
      <c r="C478" s="11">
        <f>IF($X478="","",INDEX('Per Line'!$F$2:$F$3001,$X478))</f>
        <v/>
      </c>
      <c r="D478">
        <f>IF($X478="","",INDEX('Per Line'!$G$2:$G$3001,$X478)&amp;"")</f>
        <v/>
      </c>
      <c r="E478">
        <f>IF($X478="","",INDEX('Per Line'!$I$2:$I$3001,$X478)&amp;"")</f>
        <v/>
      </c>
      <c r="F478">
        <f>IF($X478="","",INDEX('Per Line'!$J$2:$J$3001,$X478)&amp;"")</f>
        <v/>
      </c>
      <c r="G478">
        <f>IF($X478="","",INDEX('Per Line'!$K$2:$K$3001,$X478)&amp;"")</f>
        <v/>
      </c>
      <c r="H478">
        <f>IF($X478="","",INDEX('Per Line'!$M$2:$M$3001,$X478))</f>
        <v/>
      </c>
      <c r="I478" s="7">
        <f>IF($X478="","",H478*V478/100)</f>
        <v/>
      </c>
      <c r="J478">
        <f>IF($X478="","",INDEX('Per Line'!$W$2:$W$3001,$X478)&amp;"")</f>
        <v/>
      </c>
      <c r="K478">
        <f>IF($X478="","",INDEX('Per Line'!$AD$2:$AD$3001,$X478))</f>
        <v/>
      </c>
      <c r="L478">
        <f>IF($X478="","",IF(AND(ISNUMBER(K478),K478&gt;0),V478&gt;K478,FALSE))</f>
        <v/>
      </c>
      <c r="M478" s="7">
        <f>IF($X478="","",SUMIFS('Per Line'!$V$2:$V$3001,'Per Line'!$D$2:$D$3001,$B478,'Per Line'!$AN$2:$AN$3001,1))</f>
        <v/>
      </c>
      <c r="N478">
        <f>IF($X478="","",Settings!$C$7)</f>
        <v/>
      </c>
      <c r="O478" s="7">
        <f>IF($X478="","",SUMIFS('Per Line'!$V$2:$V$3001,'Per Line'!$D$2:$D$3001,$B478,'Per Line'!$AM$2:$AM$3001,0,'Per Line'!$AN$2:$AN$3001,0))</f>
        <v/>
      </c>
      <c r="P478" s="7">
        <f>IF($X478="","",O478*N478)</f>
        <v/>
      </c>
      <c r="Q478">
        <f>IF($X478="","",Settings!$C$6)</f>
        <v/>
      </c>
      <c r="R478" s="7">
        <f>IF($X478="","",SUMIFS('Per Line'!$V$2:$V$3001,'Per Line'!$D$2:$D$3001,$B478,'Per Line'!$AM$2:$AM$3001,1,'Per Line'!$AN$2:$AN$3001,0))</f>
        <v/>
      </c>
      <c r="S478" s="7">
        <f>IF($X478="","",R478*Q478)</f>
        <v/>
      </c>
      <c r="T478" s="7">
        <f>IF($X478="","",S478+P478)</f>
        <v/>
      </c>
      <c r="U478" s="7">
        <f>IF($X478="","",V478-T478)</f>
        <v/>
      </c>
      <c r="V478" s="7">
        <f>IF($X478="","",O478+R478+M478)</f>
        <v/>
      </c>
      <c r="W478" s="7">
        <f>IF($X478="","",V478-T478-I478)</f>
        <v/>
      </c>
      <c r="X478" s="13">
        <f>IF(ROWS($X$2:$X478)&lt;=MAX('Per Line'!$AL$2:$AL$3001),MATCH(ROWS($X$2:$X478),'Per Line'!$AL$2:$AL$3001,0),"")</f>
        <v/>
      </c>
    </row>
    <row r="479">
      <c r="A479" s="12" t="n"/>
      <c r="B479">
        <f>IF($X479="","",INDEX('Per Line'!$D$2:$D$3001,$X479)&amp;"")</f>
        <v/>
      </c>
      <c r="C479" s="11">
        <f>IF($X479="","",INDEX('Per Line'!$F$2:$F$3001,$X479))</f>
        <v/>
      </c>
      <c r="D479">
        <f>IF($X479="","",INDEX('Per Line'!$G$2:$G$3001,$X479)&amp;"")</f>
        <v/>
      </c>
      <c r="E479">
        <f>IF($X479="","",INDEX('Per Line'!$I$2:$I$3001,$X479)&amp;"")</f>
        <v/>
      </c>
      <c r="F479">
        <f>IF($X479="","",INDEX('Per Line'!$J$2:$J$3001,$X479)&amp;"")</f>
        <v/>
      </c>
      <c r="G479">
        <f>IF($X479="","",INDEX('Per Line'!$K$2:$K$3001,$X479)&amp;"")</f>
        <v/>
      </c>
      <c r="H479">
        <f>IF($X479="","",INDEX('Per Line'!$M$2:$M$3001,$X479))</f>
        <v/>
      </c>
      <c r="I479" s="7">
        <f>IF($X479="","",H479*V479/100)</f>
        <v/>
      </c>
      <c r="J479">
        <f>IF($X479="","",INDEX('Per Line'!$W$2:$W$3001,$X479)&amp;"")</f>
        <v/>
      </c>
      <c r="K479">
        <f>IF($X479="","",INDEX('Per Line'!$AD$2:$AD$3001,$X479))</f>
        <v/>
      </c>
      <c r="L479">
        <f>IF($X479="","",IF(AND(ISNUMBER(K479),K479&gt;0),V479&gt;K479,FALSE))</f>
        <v/>
      </c>
      <c r="M479" s="7">
        <f>IF($X479="","",SUMIFS('Per Line'!$V$2:$V$3001,'Per Line'!$D$2:$D$3001,$B479,'Per Line'!$AN$2:$AN$3001,1))</f>
        <v/>
      </c>
      <c r="N479">
        <f>IF($X479="","",Settings!$C$7)</f>
        <v/>
      </c>
      <c r="O479" s="7">
        <f>IF($X479="","",SUMIFS('Per Line'!$V$2:$V$3001,'Per Line'!$D$2:$D$3001,$B479,'Per Line'!$AM$2:$AM$3001,0,'Per Line'!$AN$2:$AN$3001,0))</f>
        <v/>
      </c>
      <c r="P479" s="7">
        <f>IF($X479="","",O479*N479)</f>
        <v/>
      </c>
      <c r="Q479">
        <f>IF($X479="","",Settings!$C$6)</f>
        <v/>
      </c>
      <c r="R479" s="7">
        <f>IF($X479="","",SUMIFS('Per Line'!$V$2:$V$3001,'Per Line'!$D$2:$D$3001,$B479,'Per Line'!$AM$2:$AM$3001,1,'Per Line'!$AN$2:$AN$3001,0))</f>
        <v/>
      </c>
      <c r="S479" s="7">
        <f>IF($X479="","",R479*Q479)</f>
        <v/>
      </c>
      <c r="T479" s="7">
        <f>IF($X479="","",S479+P479)</f>
        <v/>
      </c>
      <c r="U479" s="7">
        <f>IF($X479="","",V479-T479)</f>
        <v/>
      </c>
      <c r="V479" s="7">
        <f>IF($X479="","",O479+R479+M479)</f>
        <v/>
      </c>
      <c r="W479" s="7">
        <f>IF($X479="","",V479-T479-I479)</f>
        <v/>
      </c>
      <c r="X479" s="13">
        <f>IF(ROWS($X$2:$X479)&lt;=MAX('Per Line'!$AL$2:$AL$3001),MATCH(ROWS($X$2:$X479),'Per Line'!$AL$2:$AL$3001,0),"")</f>
        <v/>
      </c>
    </row>
    <row r="480">
      <c r="A480" s="12" t="n"/>
      <c r="B480">
        <f>IF($X480="","",INDEX('Per Line'!$D$2:$D$3001,$X480)&amp;"")</f>
        <v/>
      </c>
      <c r="C480" s="11">
        <f>IF($X480="","",INDEX('Per Line'!$F$2:$F$3001,$X480))</f>
        <v/>
      </c>
      <c r="D480">
        <f>IF($X480="","",INDEX('Per Line'!$G$2:$G$3001,$X480)&amp;"")</f>
        <v/>
      </c>
      <c r="E480">
        <f>IF($X480="","",INDEX('Per Line'!$I$2:$I$3001,$X480)&amp;"")</f>
        <v/>
      </c>
      <c r="F480">
        <f>IF($X480="","",INDEX('Per Line'!$J$2:$J$3001,$X480)&amp;"")</f>
        <v/>
      </c>
      <c r="G480">
        <f>IF($X480="","",INDEX('Per Line'!$K$2:$K$3001,$X480)&amp;"")</f>
        <v/>
      </c>
      <c r="H480">
        <f>IF($X480="","",INDEX('Per Line'!$M$2:$M$3001,$X480))</f>
        <v/>
      </c>
      <c r="I480" s="7">
        <f>IF($X480="","",H480*V480/100)</f>
        <v/>
      </c>
      <c r="J480">
        <f>IF($X480="","",INDEX('Per Line'!$W$2:$W$3001,$X480)&amp;"")</f>
        <v/>
      </c>
      <c r="K480">
        <f>IF($X480="","",INDEX('Per Line'!$AD$2:$AD$3001,$X480))</f>
        <v/>
      </c>
      <c r="L480">
        <f>IF($X480="","",IF(AND(ISNUMBER(K480),K480&gt;0),V480&gt;K480,FALSE))</f>
        <v/>
      </c>
      <c r="M480" s="7">
        <f>IF($X480="","",SUMIFS('Per Line'!$V$2:$V$3001,'Per Line'!$D$2:$D$3001,$B480,'Per Line'!$AN$2:$AN$3001,1))</f>
        <v/>
      </c>
      <c r="N480">
        <f>IF($X480="","",Settings!$C$7)</f>
        <v/>
      </c>
      <c r="O480" s="7">
        <f>IF($X480="","",SUMIFS('Per Line'!$V$2:$V$3001,'Per Line'!$D$2:$D$3001,$B480,'Per Line'!$AM$2:$AM$3001,0,'Per Line'!$AN$2:$AN$3001,0))</f>
        <v/>
      </c>
      <c r="P480" s="7">
        <f>IF($X480="","",O480*N480)</f>
        <v/>
      </c>
      <c r="Q480">
        <f>IF($X480="","",Settings!$C$6)</f>
        <v/>
      </c>
      <c r="R480" s="7">
        <f>IF($X480="","",SUMIFS('Per Line'!$V$2:$V$3001,'Per Line'!$D$2:$D$3001,$B480,'Per Line'!$AM$2:$AM$3001,1,'Per Line'!$AN$2:$AN$3001,0))</f>
        <v/>
      </c>
      <c r="S480" s="7">
        <f>IF($X480="","",R480*Q480)</f>
        <v/>
      </c>
      <c r="T480" s="7">
        <f>IF($X480="","",S480+P480)</f>
        <v/>
      </c>
      <c r="U480" s="7">
        <f>IF($X480="","",V480-T480)</f>
        <v/>
      </c>
      <c r="V480" s="7">
        <f>IF($X480="","",O480+R480+M480)</f>
        <v/>
      </c>
      <c r="W480" s="7">
        <f>IF($X480="","",V480-T480-I480)</f>
        <v/>
      </c>
      <c r="X480" s="13">
        <f>IF(ROWS($X$2:$X480)&lt;=MAX('Per Line'!$AL$2:$AL$3001),MATCH(ROWS($X$2:$X480),'Per Line'!$AL$2:$AL$3001,0),"")</f>
        <v/>
      </c>
    </row>
    <row r="481">
      <c r="A481" s="12" t="n"/>
      <c r="B481">
        <f>IF($X481="","",INDEX('Per Line'!$D$2:$D$3001,$X481)&amp;"")</f>
        <v/>
      </c>
      <c r="C481" s="11">
        <f>IF($X481="","",INDEX('Per Line'!$F$2:$F$3001,$X481))</f>
        <v/>
      </c>
      <c r="D481">
        <f>IF($X481="","",INDEX('Per Line'!$G$2:$G$3001,$X481)&amp;"")</f>
        <v/>
      </c>
      <c r="E481">
        <f>IF($X481="","",INDEX('Per Line'!$I$2:$I$3001,$X481)&amp;"")</f>
        <v/>
      </c>
      <c r="F481">
        <f>IF($X481="","",INDEX('Per Line'!$J$2:$J$3001,$X481)&amp;"")</f>
        <v/>
      </c>
      <c r="G481">
        <f>IF($X481="","",INDEX('Per Line'!$K$2:$K$3001,$X481)&amp;"")</f>
        <v/>
      </c>
      <c r="H481">
        <f>IF($X481="","",INDEX('Per Line'!$M$2:$M$3001,$X481))</f>
        <v/>
      </c>
      <c r="I481" s="7">
        <f>IF($X481="","",H481*V481/100)</f>
        <v/>
      </c>
      <c r="J481">
        <f>IF($X481="","",INDEX('Per Line'!$W$2:$W$3001,$X481)&amp;"")</f>
        <v/>
      </c>
      <c r="K481">
        <f>IF($X481="","",INDEX('Per Line'!$AD$2:$AD$3001,$X481))</f>
        <v/>
      </c>
      <c r="L481">
        <f>IF($X481="","",IF(AND(ISNUMBER(K481),K481&gt;0),V481&gt;K481,FALSE))</f>
        <v/>
      </c>
      <c r="M481" s="7">
        <f>IF($X481="","",SUMIFS('Per Line'!$V$2:$V$3001,'Per Line'!$D$2:$D$3001,$B481,'Per Line'!$AN$2:$AN$3001,1))</f>
        <v/>
      </c>
      <c r="N481">
        <f>IF($X481="","",Settings!$C$7)</f>
        <v/>
      </c>
      <c r="O481" s="7">
        <f>IF($X481="","",SUMIFS('Per Line'!$V$2:$V$3001,'Per Line'!$D$2:$D$3001,$B481,'Per Line'!$AM$2:$AM$3001,0,'Per Line'!$AN$2:$AN$3001,0))</f>
        <v/>
      </c>
      <c r="P481" s="7">
        <f>IF($X481="","",O481*N481)</f>
        <v/>
      </c>
      <c r="Q481">
        <f>IF($X481="","",Settings!$C$6)</f>
        <v/>
      </c>
      <c r="R481" s="7">
        <f>IF($X481="","",SUMIFS('Per Line'!$V$2:$V$3001,'Per Line'!$D$2:$D$3001,$B481,'Per Line'!$AM$2:$AM$3001,1,'Per Line'!$AN$2:$AN$3001,0))</f>
        <v/>
      </c>
      <c r="S481" s="7">
        <f>IF($X481="","",R481*Q481)</f>
        <v/>
      </c>
      <c r="T481" s="7">
        <f>IF($X481="","",S481+P481)</f>
        <v/>
      </c>
      <c r="U481" s="7">
        <f>IF($X481="","",V481-T481)</f>
        <v/>
      </c>
      <c r="V481" s="7">
        <f>IF($X481="","",O481+R481+M481)</f>
        <v/>
      </c>
      <c r="W481" s="7">
        <f>IF($X481="","",V481-T481-I481)</f>
        <v/>
      </c>
      <c r="X481" s="13">
        <f>IF(ROWS($X$2:$X481)&lt;=MAX('Per Line'!$AL$2:$AL$3001),MATCH(ROWS($X$2:$X481),'Per Line'!$AL$2:$AL$3001,0),"")</f>
        <v/>
      </c>
    </row>
    <row r="482">
      <c r="A482" s="12" t="n"/>
      <c r="B482">
        <f>IF($X482="","",INDEX('Per Line'!$D$2:$D$3001,$X482)&amp;"")</f>
        <v/>
      </c>
      <c r="C482" s="11">
        <f>IF($X482="","",INDEX('Per Line'!$F$2:$F$3001,$X482))</f>
        <v/>
      </c>
      <c r="D482">
        <f>IF($X482="","",INDEX('Per Line'!$G$2:$G$3001,$X482)&amp;"")</f>
        <v/>
      </c>
      <c r="E482">
        <f>IF($X482="","",INDEX('Per Line'!$I$2:$I$3001,$X482)&amp;"")</f>
        <v/>
      </c>
      <c r="F482">
        <f>IF($X482="","",INDEX('Per Line'!$J$2:$J$3001,$X482)&amp;"")</f>
        <v/>
      </c>
      <c r="G482">
        <f>IF($X482="","",INDEX('Per Line'!$K$2:$K$3001,$X482)&amp;"")</f>
        <v/>
      </c>
      <c r="H482">
        <f>IF($X482="","",INDEX('Per Line'!$M$2:$M$3001,$X482))</f>
        <v/>
      </c>
      <c r="I482" s="7">
        <f>IF($X482="","",H482*V482/100)</f>
        <v/>
      </c>
      <c r="J482">
        <f>IF($X482="","",INDEX('Per Line'!$W$2:$W$3001,$X482)&amp;"")</f>
        <v/>
      </c>
      <c r="K482">
        <f>IF($X482="","",INDEX('Per Line'!$AD$2:$AD$3001,$X482))</f>
        <v/>
      </c>
      <c r="L482">
        <f>IF($X482="","",IF(AND(ISNUMBER(K482),K482&gt;0),V482&gt;K482,FALSE))</f>
        <v/>
      </c>
      <c r="M482" s="7">
        <f>IF($X482="","",SUMIFS('Per Line'!$V$2:$V$3001,'Per Line'!$D$2:$D$3001,$B482,'Per Line'!$AN$2:$AN$3001,1))</f>
        <v/>
      </c>
      <c r="N482">
        <f>IF($X482="","",Settings!$C$7)</f>
        <v/>
      </c>
      <c r="O482" s="7">
        <f>IF($X482="","",SUMIFS('Per Line'!$V$2:$V$3001,'Per Line'!$D$2:$D$3001,$B482,'Per Line'!$AM$2:$AM$3001,0,'Per Line'!$AN$2:$AN$3001,0))</f>
        <v/>
      </c>
      <c r="P482" s="7">
        <f>IF($X482="","",O482*N482)</f>
        <v/>
      </c>
      <c r="Q482">
        <f>IF($X482="","",Settings!$C$6)</f>
        <v/>
      </c>
      <c r="R482" s="7">
        <f>IF($X482="","",SUMIFS('Per Line'!$V$2:$V$3001,'Per Line'!$D$2:$D$3001,$B482,'Per Line'!$AM$2:$AM$3001,1,'Per Line'!$AN$2:$AN$3001,0))</f>
        <v/>
      </c>
      <c r="S482" s="7">
        <f>IF($X482="","",R482*Q482)</f>
        <v/>
      </c>
      <c r="T482" s="7">
        <f>IF($X482="","",S482+P482)</f>
        <v/>
      </c>
      <c r="U482" s="7">
        <f>IF($X482="","",V482-T482)</f>
        <v/>
      </c>
      <c r="V482" s="7">
        <f>IF($X482="","",O482+R482+M482)</f>
        <v/>
      </c>
      <c r="W482" s="7">
        <f>IF($X482="","",V482-T482-I482)</f>
        <v/>
      </c>
      <c r="X482" s="13">
        <f>IF(ROWS($X$2:$X482)&lt;=MAX('Per Line'!$AL$2:$AL$3001),MATCH(ROWS($X$2:$X482),'Per Line'!$AL$2:$AL$3001,0),"")</f>
        <v/>
      </c>
    </row>
    <row r="483">
      <c r="A483" s="12" t="n"/>
      <c r="B483">
        <f>IF($X483="","",INDEX('Per Line'!$D$2:$D$3001,$X483)&amp;"")</f>
        <v/>
      </c>
      <c r="C483" s="11">
        <f>IF($X483="","",INDEX('Per Line'!$F$2:$F$3001,$X483))</f>
        <v/>
      </c>
      <c r="D483">
        <f>IF($X483="","",INDEX('Per Line'!$G$2:$G$3001,$X483)&amp;"")</f>
        <v/>
      </c>
      <c r="E483">
        <f>IF($X483="","",INDEX('Per Line'!$I$2:$I$3001,$X483)&amp;"")</f>
        <v/>
      </c>
      <c r="F483">
        <f>IF($X483="","",INDEX('Per Line'!$J$2:$J$3001,$X483)&amp;"")</f>
        <v/>
      </c>
      <c r="G483">
        <f>IF($X483="","",INDEX('Per Line'!$K$2:$K$3001,$X483)&amp;"")</f>
        <v/>
      </c>
      <c r="H483">
        <f>IF($X483="","",INDEX('Per Line'!$M$2:$M$3001,$X483))</f>
        <v/>
      </c>
      <c r="I483" s="7">
        <f>IF($X483="","",H483*V483/100)</f>
        <v/>
      </c>
      <c r="J483">
        <f>IF($X483="","",INDEX('Per Line'!$W$2:$W$3001,$X483)&amp;"")</f>
        <v/>
      </c>
      <c r="K483">
        <f>IF($X483="","",INDEX('Per Line'!$AD$2:$AD$3001,$X483))</f>
        <v/>
      </c>
      <c r="L483">
        <f>IF($X483="","",IF(AND(ISNUMBER(K483),K483&gt;0),V483&gt;K483,FALSE))</f>
        <v/>
      </c>
      <c r="M483" s="7">
        <f>IF($X483="","",SUMIFS('Per Line'!$V$2:$V$3001,'Per Line'!$D$2:$D$3001,$B483,'Per Line'!$AN$2:$AN$3001,1))</f>
        <v/>
      </c>
      <c r="N483">
        <f>IF($X483="","",Settings!$C$7)</f>
        <v/>
      </c>
      <c r="O483" s="7">
        <f>IF($X483="","",SUMIFS('Per Line'!$V$2:$V$3001,'Per Line'!$D$2:$D$3001,$B483,'Per Line'!$AM$2:$AM$3001,0,'Per Line'!$AN$2:$AN$3001,0))</f>
        <v/>
      </c>
      <c r="P483" s="7">
        <f>IF($X483="","",O483*N483)</f>
        <v/>
      </c>
      <c r="Q483">
        <f>IF($X483="","",Settings!$C$6)</f>
        <v/>
      </c>
      <c r="R483" s="7">
        <f>IF($X483="","",SUMIFS('Per Line'!$V$2:$V$3001,'Per Line'!$D$2:$D$3001,$B483,'Per Line'!$AM$2:$AM$3001,1,'Per Line'!$AN$2:$AN$3001,0))</f>
        <v/>
      </c>
      <c r="S483" s="7">
        <f>IF($X483="","",R483*Q483)</f>
        <v/>
      </c>
      <c r="T483" s="7">
        <f>IF($X483="","",S483+P483)</f>
        <v/>
      </c>
      <c r="U483" s="7">
        <f>IF($X483="","",V483-T483)</f>
        <v/>
      </c>
      <c r="V483" s="7">
        <f>IF($X483="","",O483+R483+M483)</f>
        <v/>
      </c>
      <c r="W483" s="7">
        <f>IF($X483="","",V483-T483-I483)</f>
        <v/>
      </c>
      <c r="X483" s="13">
        <f>IF(ROWS($X$2:$X483)&lt;=MAX('Per Line'!$AL$2:$AL$3001),MATCH(ROWS($X$2:$X483),'Per Line'!$AL$2:$AL$3001,0),"")</f>
        <v/>
      </c>
    </row>
    <row r="484">
      <c r="A484" s="12" t="n"/>
      <c r="B484">
        <f>IF($X484="","",INDEX('Per Line'!$D$2:$D$3001,$X484)&amp;"")</f>
        <v/>
      </c>
      <c r="C484" s="11">
        <f>IF($X484="","",INDEX('Per Line'!$F$2:$F$3001,$X484))</f>
        <v/>
      </c>
      <c r="D484">
        <f>IF($X484="","",INDEX('Per Line'!$G$2:$G$3001,$X484)&amp;"")</f>
        <v/>
      </c>
      <c r="E484">
        <f>IF($X484="","",INDEX('Per Line'!$I$2:$I$3001,$X484)&amp;"")</f>
        <v/>
      </c>
      <c r="F484">
        <f>IF($X484="","",INDEX('Per Line'!$J$2:$J$3001,$X484)&amp;"")</f>
        <v/>
      </c>
      <c r="G484">
        <f>IF($X484="","",INDEX('Per Line'!$K$2:$K$3001,$X484)&amp;"")</f>
        <v/>
      </c>
      <c r="H484">
        <f>IF($X484="","",INDEX('Per Line'!$M$2:$M$3001,$X484))</f>
        <v/>
      </c>
      <c r="I484" s="7">
        <f>IF($X484="","",H484*V484/100)</f>
        <v/>
      </c>
      <c r="J484">
        <f>IF($X484="","",INDEX('Per Line'!$W$2:$W$3001,$X484)&amp;"")</f>
        <v/>
      </c>
      <c r="K484">
        <f>IF($X484="","",INDEX('Per Line'!$AD$2:$AD$3001,$X484))</f>
        <v/>
      </c>
      <c r="L484">
        <f>IF($X484="","",IF(AND(ISNUMBER(K484),K484&gt;0),V484&gt;K484,FALSE))</f>
        <v/>
      </c>
      <c r="M484" s="7">
        <f>IF($X484="","",SUMIFS('Per Line'!$V$2:$V$3001,'Per Line'!$D$2:$D$3001,$B484,'Per Line'!$AN$2:$AN$3001,1))</f>
        <v/>
      </c>
      <c r="N484">
        <f>IF($X484="","",Settings!$C$7)</f>
        <v/>
      </c>
      <c r="O484" s="7">
        <f>IF($X484="","",SUMIFS('Per Line'!$V$2:$V$3001,'Per Line'!$D$2:$D$3001,$B484,'Per Line'!$AM$2:$AM$3001,0,'Per Line'!$AN$2:$AN$3001,0))</f>
        <v/>
      </c>
      <c r="P484" s="7">
        <f>IF($X484="","",O484*N484)</f>
        <v/>
      </c>
      <c r="Q484">
        <f>IF($X484="","",Settings!$C$6)</f>
        <v/>
      </c>
      <c r="R484" s="7">
        <f>IF($X484="","",SUMIFS('Per Line'!$V$2:$V$3001,'Per Line'!$D$2:$D$3001,$B484,'Per Line'!$AM$2:$AM$3001,1,'Per Line'!$AN$2:$AN$3001,0))</f>
        <v/>
      </c>
      <c r="S484" s="7">
        <f>IF($X484="","",R484*Q484)</f>
        <v/>
      </c>
      <c r="T484" s="7">
        <f>IF($X484="","",S484+P484)</f>
        <v/>
      </c>
      <c r="U484" s="7">
        <f>IF($X484="","",V484-T484)</f>
        <v/>
      </c>
      <c r="V484" s="7">
        <f>IF($X484="","",O484+R484+M484)</f>
        <v/>
      </c>
      <c r="W484" s="7">
        <f>IF($X484="","",V484-T484-I484)</f>
        <v/>
      </c>
      <c r="X484" s="13">
        <f>IF(ROWS($X$2:$X484)&lt;=MAX('Per Line'!$AL$2:$AL$3001),MATCH(ROWS($X$2:$X484),'Per Line'!$AL$2:$AL$3001,0),"")</f>
        <v/>
      </c>
    </row>
    <row r="485">
      <c r="A485" s="12" t="n"/>
      <c r="B485">
        <f>IF($X485="","",INDEX('Per Line'!$D$2:$D$3001,$X485)&amp;"")</f>
        <v/>
      </c>
      <c r="C485" s="11">
        <f>IF($X485="","",INDEX('Per Line'!$F$2:$F$3001,$X485))</f>
        <v/>
      </c>
      <c r="D485">
        <f>IF($X485="","",INDEX('Per Line'!$G$2:$G$3001,$X485)&amp;"")</f>
        <v/>
      </c>
      <c r="E485">
        <f>IF($X485="","",INDEX('Per Line'!$I$2:$I$3001,$X485)&amp;"")</f>
        <v/>
      </c>
      <c r="F485">
        <f>IF($X485="","",INDEX('Per Line'!$J$2:$J$3001,$X485)&amp;"")</f>
        <v/>
      </c>
      <c r="G485">
        <f>IF($X485="","",INDEX('Per Line'!$K$2:$K$3001,$X485)&amp;"")</f>
        <v/>
      </c>
      <c r="H485">
        <f>IF($X485="","",INDEX('Per Line'!$M$2:$M$3001,$X485))</f>
        <v/>
      </c>
      <c r="I485" s="7">
        <f>IF($X485="","",H485*V485/100)</f>
        <v/>
      </c>
      <c r="J485">
        <f>IF($X485="","",INDEX('Per Line'!$W$2:$W$3001,$X485)&amp;"")</f>
        <v/>
      </c>
      <c r="K485">
        <f>IF($X485="","",INDEX('Per Line'!$AD$2:$AD$3001,$X485))</f>
        <v/>
      </c>
      <c r="L485">
        <f>IF($X485="","",IF(AND(ISNUMBER(K485),K485&gt;0),V485&gt;K485,FALSE))</f>
        <v/>
      </c>
      <c r="M485" s="7">
        <f>IF($X485="","",SUMIFS('Per Line'!$V$2:$V$3001,'Per Line'!$D$2:$D$3001,$B485,'Per Line'!$AN$2:$AN$3001,1))</f>
        <v/>
      </c>
      <c r="N485">
        <f>IF($X485="","",Settings!$C$7)</f>
        <v/>
      </c>
      <c r="O485" s="7">
        <f>IF($X485="","",SUMIFS('Per Line'!$V$2:$V$3001,'Per Line'!$D$2:$D$3001,$B485,'Per Line'!$AM$2:$AM$3001,0,'Per Line'!$AN$2:$AN$3001,0))</f>
        <v/>
      </c>
      <c r="P485" s="7">
        <f>IF($X485="","",O485*N485)</f>
        <v/>
      </c>
      <c r="Q485">
        <f>IF($X485="","",Settings!$C$6)</f>
        <v/>
      </c>
      <c r="R485" s="7">
        <f>IF($X485="","",SUMIFS('Per Line'!$V$2:$V$3001,'Per Line'!$D$2:$D$3001,$B485,'Per Line'!$AM$2:$AM$3001,1,'Per Line'!$AN$2:$AN$3001,0))</f>
        <v/>
      </c>
      <c r="S485" s="7">
        <f>IF($X485="","",R485*Q485)</f>
        <v/>
      </c>
      <c r="T485" s="7">
        <f>IF($X485="","",S485+P485)</f>
        <v/>
      </c>
      <c r="U485" s="7">
        <f>IF($X485="","",V485-T485)</f>
        <v/>
      </c>
      <c r="V485" s="7">
        <f>IF($X485="","",O485+R485+M485)</f>
        <v/>
      </c>
      <c r="W485" s="7">
        <f>IF($X485="","",V485-T485-I485)</f>
        <v/>
      </c>
      <c r="X485" s="13">
        <f>IF(ROWS($X$2:$X485)&lt;=MAX('Per Line'!$AL$2:$AL$3001),MATCH(ROWS($X$2:$X485),'Per Line'!$AL$2:$AL$3001,0),"")</f>
        <v/>
      </c>
    </row>
    <row r="486">
      <c r="A486" s="12" t="n"/>
      <c r="B486">
        <f>IF($X486="","",INDEX('Per Line'!$D$2:$D$3001,$X486)&amp;"")</f>
        <v/>
      </c>
      <c r="C486" s="11">
        <f>IF($X486="","",INDEX('Per Line'!$F$2:$F$3001,$X486))</f>
        <v/>
      </c>
      <c r="D486">
        <f>IF($X486="","",INDEX('Per Line'!$G$2:$G$3001,$X486)&amp;"")</f>
        <v/>
      </c>
      <c r="E486">
        <f>IF($X486="","",INDEX('Per Line'!$I$2:$I$3001,$X486)&amp;"")</f>
        <v/>
      </c>
      <c r="F486">
        <f>IF($X486="","",INDEX('Per Line'!$J$2:$J$3001,$X486)&amp;"")</f>
        <v/>
      </c>
      <c r="G486">
        <f>IF($X486="","",INDEX('Per Line'!$K$2:$K$3001,$X486)&amp;"")</f>
        <v/>
      </c>
      <c r="H486">
        <f>IF($X486="","",INDEX('Per Line'!$M$2:$M$3001,$X486))</f>
        <v/>
      </c>
      <c r="I486" s="7">
        <f>IF($X486="","",H486*V486/100)</f>
        <v/>
      </c>
      <c r="J486">
        <f>IF($X486="","",INDEX('Per Line'!$W$2:$W$3001,$X486)&amp;"")</f>
        <v/>
      </c>
      <c r="K486">
        <f>IF($X486="","",INDEX('Per Line'!$AD$2:$AD$3001,$X486))</f>
        <v/>
      </c>
      <c r="L486">
        <f>IF($X486="","",IF(AND(ISNUMBER(K486),K486&gt;0),V486&gt;K486,FALSE))</f>
        <v/>
      </c>
      <c r="M486" s="7">
        <f>IF($X486="","",SUMIFS('Per Line'!$V$2:$V$3001,'Per Line'!$D$2:$D$3001,$B486,'Per Line'!$AN$2:$AN$3001,1))</f>
        <v/>
      </c>
      <c r="N486">
        <f>IF($X486="","",Settings!$C$7)</f>
        <v/>
      </c>
      <c r="O486" s="7">
        <f>IF($X486="","",SUMIFS('Per Line'!$V$2:$V$3001,'Per Line'!$D$2:$D$3001,$B486,'Per Line'!$AM$2:$AM$3001,0,'Per Line'!$AN$2:$AN$3001,0))</f>
        <v/>
      </c>
      <c r="P486" s="7">
        <f>IF($X486="","",O486*N486)</f>
        <v/>
      </c>
      <c r="Q486">
        <f>IF($X486="","",Settings!$C$6)</f>
        <v/>
      </c>
      <c r="R486" s="7">
        <f>IF($X486="","",SUMIFS('Per Line'!$V$2:$V$3001,'Per Line'!$D$2:$D$3001,$B486,'Per Line'!$AM$2:$AM$3001,1,'Per Line'!$AN$2:$AN$3001,0))</f>
        <v/>
      </c>
      <c r="S486" s="7">
        <f>IF($X486="","",R486*Q486)</f>
        <v/>
      </c>
      <c r="T486" s="7">
        <f>IF($X486="","",S486+P486)</f>
        <v/>
      </c>
      <c r="U486" s="7">
        <f>IF($X486="","",V486-T486)</f>
        <v/>
      </c>
      <c r="V486" s="7">
        <f>IF($X486="","",O486+R486+M486)</f>
        <v/>
      </c>
      <c r="W486" s="7">
        <f>IF($X486="","",V486-T486-I486)</f>
        <v/>
      </c>
      <c r="X486" s="13">
        <f>IF(ROWS($X$2:$X486)&lt;=MAX('Per Line'!$AL$2:$AL$3001),MATCH(ROWS($X$2:$X486),'Per Line'!$AL$2:$AL$3001,0),"")</f>
        <v/>
      </c>
    </row>
    <row r="487">
      <c r="A487" s="12" t="n"/>
      <c r="B487">
        <f>IF($X487="","",INDEX('Per Line'!$D$2:$D$3001,$X487)&amp;"")</f>
        <v/>
      </c>
      <c r="C487" s="11">
        <f>IF($X487="","",INDEX('Per Line'!$F$2:$F$3001,$X487))</f>
        <v/>
      </c>
      <c r="D487">
        <f>IF($X487="","",INDEX('Per Line'!$G$2:$G$3001,$X487)&amp;"")</f>
        <v/>
      </c>
      <c r="E487">
        <f>IF($X487="","",INDEX('Per Line'!$I$2:$I$3001,$X487)&amp;"")</f>
        <v/>
      </c>
      <c r="F487">
        <f>IF($X487="","",INDEX('Per Line'!$J$2:$J$3001,$X487)&amp;"")</f>
        <v/>
      </c>
      <c r="G487">
        <f>IF($X487="","",INDEX('Per Line'!$K$2:$K$3001,$X487)&amp;"")</f>
        <v/>
      </c>
      <c r="H487">
        <f>IF($X487="","",INDEX('Per Line'!$M$2:$M$3001,$X487))</f>
        <v/>
      </c>
      <c r="I487" s="7">
        <f>IF($X487="","",H487*V487/100)</f>
        <v/>
      </c>
      <c r="J487">
        <f>IF($X487="","",INDEX('Per Line'!$W$2:$W$3001,$X487)&amp;"")</f>
        <v/>
      </c>
      <c r="K487">
        <f>IF($X487="","",INDEX('Per Line'!$AD$2:$AD$3001,$X487))</f>
        <v/>
      </c>
      <c r="L487">
        <f>IF($X487="","",IF(AND(ISNUMBER(K487),K487&gt;0),V487&gt;K487,FALSE))</f>
        <v/>
      </c>
      <c r="M487" s="7">
        <f>IF($X487="","",SUMIFS('Per Line'!$V$2:$V$3001,'Per Line'!$D$2:$D$3001,$B487,'Per Line'!$AN$2:$AN$3001,1))</f>
        <v/>
      </c>
      <c r="N487">
        <f>IF($X487="","",Settings!$C$7)</f>
        <v/>
      </c>
      <c r="O487" s="7">
        <f>IF($X487="","",SUMIFS('Per Line'!$V$2:$V$3001,'Per Line'!$D$2:$D$3001,$B487,'Per Line'!$AM$2:$AM$3001,0,'Per Line'!$AN$2:$AN$3001,0))</f>
        <v/>
      </c>
      <c r="P487" s="7">
        <f>IF($X487="","",O487*N487)</f>
        <v/>
      </c>
      <c r="Q487">
        <f>IF($X487="","",Settings!$C$6)</f>
        <v/>
      </c>
      <c r="R487" s="7">
        <f>IF($X487="","",SUMIFS('Per Line'!$V$2:$V$3001,'Per Line'!$D$2:$D$3001,$B487,'Per Line'!$AM$2:$AM$3001,1,'Per Line'!$AN$2:$AN$3001,0))</f>
        <v/>
      </c>
      <c r="S487" s="7">
        <f>IF($X487="","",R487*Q487)</f>
        <v/>
      </c>
      <c r="T487" s="7">
        <f>IF($X487="","",S487+P487)</f>
        <v/>
      </c>
      <c r="U487" s="7">
        <f>IF($X487="","",V487-T487)</f>
        <v/>
      </c>
      <c r="V487" s="7">
        <f>IF($X487="","",O487+R487+M487)</f>
        <v/>
      </c>
      <c r="W487" s="7">
        <f>IF($X487="","",V487-T487-I487)</f>
        <v/>
      </c>
      <c r="X487" s="13">
        <f>IF(ROWS($X$2:$X487)&lt;=MAX('Per Line'!$AL$2:$AL$3001),MATCH(ROWS($X$2:$X487),'Per Line'!$AL$2:$AL$3001,0),"")</f>
        <v/>
      </c>
    </row>
    <row r="488">
      <c r="A488" s="12" t="n"/>
      <c r="B488">
        <f>IF($X488="","",INDEX('Per Line'!$D$2:$D$3001,$X488)&amp;"")</f>
        <v/>
      </c>
      <c r="C488" s="11">
        <f>IF($X488="","",INDEX('Per Line'!$F$2:$F$3001,$X488))</f>
        <v/>
      </c>
      <c r="D488">
        <f>IF($X488="","",INDEX('Per Line'!$G$2:$G$3001,$X488)&amp;"")</f>
        <v/>
      </c>
      <c r="E488">
        <f>IF($X488="","",INDEX('Per Line'!$I$2:$I$3001,$X488)&amp;"")</f>
        <v/>
      </c>
      <c r="F488">
        <f>IF($X488="","",INDEX('Per Line'!$J$2:$J$3001,$X488)&amp;"")</f>
        <v/>
      </c>
      <c r="G488">
        <f>IF($X488="","",INDEX('Per Line'!$K$2:$K$3001,$X488)&amp;"")</f>
        <v/>
      </c>
      <c r="H488">
        <f>IF($X488="","",INDEX('Per Line'!$M$2:$M$3001,$X488))</f>
        <v/>
      </c>
      <c r="I488" s="7">
        <f>IF($X488="","",H488*V488/100)</f>
        <v/>
      </c>
      <c r="J488">
        <f>IF($X488="","",INDEX('Per Line'!$W$2:$W$3001,$X488)&amp;"")</f>
        <v/>
      </c>
      <c r="K488">
        <f>IF($X488="","",INDEX('Per Line'!$AD$2:$AD$3001,$X488))</f>
        <v/>
      </c>
      <c r="L488">
        <f>IF($X488="","",IF(AND(ISNUMBER(K488),K488&gt;0),V488&gt;K488,FALSE))</f>
        <v/>
      </c>
      <c r="M488" s="7">
        <f>IF($X488="","",SUMIFS('Per Line'!$V$2:$V$3001,'Per Line'!$D$2:$D$3001,$B488,'Per Line'!$AN$2:$AN$3001,1))</f>
        <v/>
      </c>
      <c r="N488">
        <f>IF($X488="","",Settings!$C$7)</f>
        <v/>
      </c>
      <c r="O488" s="7">
        <f>IF($X488="","",SUMIFS('Per Line'!$V$2:$V$3001,'Per Line'!$D$2:$D$3001,$B488,'Per Line'!$AM$2:$AM$3001,0,'Per Line'!$AN$2:$AN$3001,0))</f>
        <v/>
      </c>
      <c r="P488" s="7">
        <f>IF($X488="","",O488*N488)</f>
        <v/>
      </c>
      <c r="Q488">
        <f>IF($X488="","",Settings!$C$6)</f>
        <v/>
      </c>
      <c r="R488" s="7">
        <f>IF($X488="","",SUMIFS('Per Line'!$V$2:$V$3001,'Per Line'!$D$2:$D$3001,$B488,'Per Line'!$AM$2:$AM$3001,1,'Per Line'!$AN$2:$AN$3001,0))</f>
        <v/>
      </c>
      <c r="S488" s="7">
        <f>IF($X488="","",R488*Q488)</f>
        <v/>
      </c>
      <c r="T488" s="7">
        <f>IF($X488="","",S488+P488)</f>
        <v/>
      </c>
      <c r="U488" s="7">
        <f>IF($X488="","",V488-T488)</f>
        <v/>
      </c>
      <c r="V488" s="7">
        <f>IF($X488="","",O488+R488+M488)</f>
        <v/>
      </c>
      <c r="W488" s="7">
        <f>IF($X488="","",V488-T488-I488)</f>
        <v/>
      </c>
      <c r="X488" s="13">
        <f>IF(ROWS($X$2:$X488)&lt;=MAX('Per Line'!$AL$2:$AL$3001),MATCH(ROWS($X$2:$X488),'Per Line'!$AL$2:$AL$3001,0),"")</f>
        <v/>
      </c>
    </row>
    <row r="489">
      <c r="A489" s="12" t="n"/>
      <c r="B489">
        <f>IF($X489="","",INDEX('Per Line'!$D$2:$D$3001,$X489)&amp;"")</f>
        <v/>
      </c>
      <c r="C489" s="11">
        <f>IF($X489="","",INDEX('Per Line'!$F$2:$F$3001,$X489))</f>
        <v/>
      </c>
      <c r="D489">
        <f>IF($X489="","",INDEX('Per Line'!$G$2:$G$3001,$X489)&amp;"")</f>
        <v/>
      </c>
      <c r="E489">
        <f>IF($X489="","",INDEX('Per Line'!$I$2:$I$3001,$X489)&amp;"")</f>
        <v/>
      </c>
      <c r="F489">
        <f>IF($X489="","",INDEX('Per Line'!$J$2:$J$3001,$X489)&amp;"")</f>
        <v/>
      </c>
      <c r="G489">
        <f>IF($X489="","",INDEX('Per Line'!$K$2:$K$3001,$X489)&amp;"")</f>
        <v/>
      </c>
      <c r="H489">
        <f>IF($X489="","",INDEX('Per Line'!$M$2:$M$3001,$X489))</f>
        <v/>
      </c>
      <c r="I489" s="7">
        <f>IF($X489="","",H489*V489/100)</f>
        <v/>
      </c>
      <c r="J489">
        <f>IF($X489="","",INDEX('Per Line'!$W$2:$W$3001,$X489)&amp;"")</f>
        <v/>
      </c>
      <c r="K489">
        <f>IF($X489="","",INDEX('Per Line'!$AD$2:$AD$3001,$X489))</f>
        <v/>
      </c>
      <c r="L489">
        <f>IF($X489="","",IF(AND(ISNUMBER(K489),K489&gt;0),V489&gt;K489,FALSE))</f>
        <v/>
      </c>
      <c r="M489" s="7">
        <f>IF($X489="","",SUMIFS('Per Line'!$V$2:$V$3001,'Per Line'!$D$2:$D$3001,$B489,'Per Line'!$AN$2:$AN$3001,1))</f>
        <v/>
      </c>
      <c r="N489">
        <f>IF($X489="","",Settings!$C$7)</f>
        <v/>
      </c>
      <c r="O489" s="7">
        <f>IF($X489="","",SUMIFS('Per Line'!$V$2:$V$3001,'Per Line'!$D$2:$D$3001,$B489,'Per Line'!$AM$2:$AM$3001,0,'Per Line'!$AN$2:$AN$3001,0))</f>
        <v/>
      </c>
      <c r="P489" s="7">
        <f>IF($X489="","",O489*N489)</f>
        <v/>
      </c>
      <c r="Q489">
        <f>IF($X489="","",Settings!$C$6)</f>
        <v/>
      </c>
      <c r="R489" s="7">
        <f>IF($X489="","",SUMIFS('Per Line'!$V$2:$V$3001,'Per Line'!$D$2:$D$3001,$B489,'Per Line'!$AM$2:$AM$3001,1,'Per Line'!$AN$2:$AN$3001,0))</f>
        <v/>
      </c>
      <c r="S489" s="7">
        <f>IF($X489="","",R489*Q489)</f>
        <v/>
      </c>
      <c r="T489" s="7">
        <f>IF($X489="","",S489+P489)</f>
        <v/>
      </c>
      <c r="U489" s="7">
        <f>IF($X489="","",V489-T489)</f>
        <v/>
      </c>
      <c r="V489" s="7">
        <f>IF($X489="","",O489+R489+M489)</f>
        <v/>
      </c>
      <c r="W489" s="7">
        <f>IF($X489="","",V489-T489-I489)</f>
        <v/>
      </c>
      <c r="X489" s="13">
        <f>IF(ROWS($X$2:$X489)&lt;=MAX('Per Line'!$AL$2:$AL$3001),MATCH(ROWS($X$2:$X489),'Per Line'!$AL$2:$AL$3001,0),"")</f>
        <v/>
      </c>
    </row>
    <row r="490">
      <c r="A490" s="12" t="n"/>
      <c r="B490">
        <f>IF($X490="","",INDEX('Per Line'!$D$2:$D$3001,$X490)&amp;"")</f>
        <v/>
      </c>
      <c r="C490" s="11">
        <f>IF($X490="","",INDEX('Per Line'!$F$2:$F$3001,$X490))</f>
        <v/>
      </c>
      <c r="D490">
        <f>IF($X490="","",INDEX('Per Line'!$G$2:$G$3001,$X490)&amp;"")</f>
        <v/>
      </c>
      <c r="E490">
        <f>IF($X490="","",INDEX('Per Line'!$I$2:$I$3001,$X490)&amp;"")</f>
        <v/>
      </c>
      <c r="F490">
        <f>IF($X490="","",INDEX('Per Line'!$J$2:$J$3001,$X490)&amp;"")</f>
        <v/>
      </c>
      <c r="G490">
        <f>IF($X490="","",INDEX('Per Line'!$K$2:$K$3001,$X490)&amp;"")</f>
        <v/>
      </c>
      <c r="H490">
        <f>IF($X490="","",INDEX('Per Line'!$M$2:$M$3001,$X490))</f>
        <v/>
      </c>
      <c r="I490" s="7">
        <f>IF($X490="","",H490*V490/100)</f>
        <v/>
      </c>
      <c r="J490">
        <f>IF($X490="","",INDEX('Per Line'!$W$2:$W$3001,$X490)&amp;"")</f>
        <v/>
      </c>
      <c r="K490">
        <f>IF($X490="","",INDEX('Per Line'!$AD$2:$AD$3001,$X490))</f>
        <v/>
      </c>
      <c r="L490">
        <f>IF($X490="","",IF(AND(ISNUMBER(K490),K490&gt;0),V490&gt;K490,FALSE))</f>
        <v/>
      </c>
      <c r="M490" s="7">
        <f>IF($X490="","",SUMIFS('Per Line'!$V$2:$V$3001,'Per Line'!$D$2:$D$3001,$B490,'Per Line'!$AN$2:$AN$3001,1))</f>
        <v/>
      </c>
      <c r="N490">
        <f>IF($X490="","",Settings!$C$7)</f>
        <v/>
      </c>
      <c r="O490" s="7">
        <f>IF($X490="","",SUMIFS('Per Line'!$V$2:$V$3001,'Per Line'!$D$2:$D$3001,$B490,'Per Line'!$AM$2:$AM$3001,0,'Per Line'!$AN$2:$AN$3001,0))</f>
        <v/>
      </c>
      <c r="P490" s="7">
        <f>IF($X490="","",O490*N490)</f>
        <v/>
      </c>
      <c r="Q490">
        <f>IF($X490="","",Settings!$C$6)</f>
        <v/>
      </c>
      <c r="R490" s="7">
        <f>IF($X490="","",SUMIFS('Per Line'!$V$2:$V$3001,'Per Line'!$D$2:$D$3001,$B490,'Per Line'!$AM$2:$AM$3001,1,'Per Line'!$AN$2:$AN$3001,0))</f>
        <v/>
      </c>
      <c r="S490" s="7">
        <f>IF($X490="","",R490*Q490)</f>
        <v/>
      </c>
      <c r="T490" s="7">
        <f>IF($X490="","",S490+P490)</f>
        <v/>
      </c>
      <c r="U490" s="7">
        <f>IF($X490="","",V490-T490)</f>
        <v/>
      </c>
      <c r="V490" s="7">
        <f>IF($X490="","",O490+R490+M490)</f>
        <v/>
      </c>
      <c r="W490" s="7">
        <f>IF($X490="","",V490-T490-I490)</f>
        <v/>
      </c>
      <c r="X490" s="13">
        <f>IF(ROWS($X$2:$X490)&lt;=MAX('Per Line'!$AL$2:$AL$3001),MATCH(ROWS($X$2:$X490),'Per Line'!$AL$2:$AL$3001,0),"")</f>
        <v/>
      </c>
    </row>
    <row r="491">
      <c r="A491" s="12" t="n"/>
      <c r="B491">
        <f>IF($X491="","",INDEX('Per Line'!$D$2:$D$3001,$X491)&amp;"")</f>
        <v/>
      </c>
      <c r="C491" s="11">
        <f>IF($X491="","",INDEX('Per Line'!$F$2:$F$3001,$X491))</f>
        <v/>
      </c>
      <c r="D491">
        <f>IF($X491="","",INDEX('Per Line'!$G$2:$G$3001,$X491)&amp;"")</f>
        <v/>
      </c>
      <c r="E491">
        <f>IF($X491="","",INDEX('Per Line'!$I$2:$I$3001,$X491)&amp;"")</f>
        <v/>
      </c>
      <c r="F491">
        <f>IF($X491="","",INDEX('Per Line'!$J$2:$J$3001,$X491)&amp;"")</f>
        <v/>
      </c>
      <c r="G491">
        <f>IF($X491="","",INDEX('Per Line'!$K$2:$K$3001,$X491)&amp;"")</f>
        <v/>
      </c>
      <c r="H491">
        <f>IF($X491="","",INDEX('Per Line'!$M$2:$M$3001,$X491))</f>
        <v/>
      </c>
      <c r="I491" s="7">
        <f>IF($X491="","",H491*V491/100)</f>
        <v/>
      </c>
      <c r="J491">
        <f>IF($X491="","",INDEX('Per Line'!$W$2:$W$3001,$X491)&amp;"")</f>
        <v/>
      </c>
      <c r="K491">
        <f>IF($X491="","",INDEX('Per Line'!$AD$2:$AD$3001,$X491))</f>
        <v/>
      </c>
      <c r="L491">
        <f>IF($X491="","",IF(AND(ISNUMBER(K491),K491&gt;0),V491&gt;K491,FALSE))</f>
        <v/>
      </c>
      <c r="M491" s="7">
        <f>IF($X491="","",SUMIFS('Per Line'!$V$2:$V$3001,'Per Line'!$D$2:$D$3001,$B491,'Per Line'!$AN$2:$AN$3001,1))</f>
        <v/>
      </c>
      <c r="N491">
        <f>IF($X491="","",Settings!$C$7)</f>
        <v/>
      </c>
      <c r="O491" s="7">
        <f>IF($X491="","",SUMIFS('Per Line'!$V$2:$V$3001,'Per Line'!$D$2:$D$3001,$B491,'Per Line'!$AM$2:$AM$3001,0,'Per Line'!$AN$2:$AN$3001,0))</f>
        <v/>
      </c>
      <c r="P491" s="7">
        <f>IF($X491="","",O491*N491)</f>
        <v/>
      </c>
      <c r="Q491">
        <f>IF($X491="","",Settings!$C$6)</f>
        <v/>
      </c>
      <c r="R491" s="7">
        <f>IF($X491="","",SUMIFS('Per Line'!$V$2:$V$3001,'Per Line'!$D$2:$D$3001,$B491,'Per Line'!$AM$2:$AM$3001,1,'Per Line'!$AN$2:$AN$3001,0))</f>
        <v/>
      </c>
      <c r="S491" s="7">
        <f>IF($X491="","",R491*Q491)</f>
        <v/>
      </c>
      <c r="T491" s="7">
        <f>IF($X491="","",S491+P491)</f>
        <v/>
      </c>
      <c r="U491" s="7">
        <f>IF($X491="","",V491-T491)</f>
        <v/>
      </c>
      <c r="V491" s="7">
        <f>IF($X491="","",O491+R491+M491)</f>
        <v/>
      </c>
      <c r="W491" s="7">
        <f>IF($X491="","",V491-T491-I491)</f>
        <v/>
      </c>
      <c r="X491" s="13">
        <f>IF(ROWS($X$2:$X491)&lt;=MAX('Per Line'!$AL$2:$AL$3001),MATCH(ROWS($X$2:$X491),'Per Line'!$AL$2:$AL$3001,0),"")</f>
        <v/>
      </c>
    </row>
    <row r="492">
      <c r="A492" s="12" t="n"/>
      <c r="B492">
        <f>IF($X492="","",INDEX('Per Line'!$D$2:$D$3001,$X492)&amp;"")</f>
        <v/>
      </c>
      <c r="C492" s="11">
        <f>IF($X492="","",INDEX('Per Line'!$F$2:$F$3001,$X492))</f>
        <v/>
      </c>
      <c r="D492">
        <f>IF($X492="","",INDEX('Per Line'!$G$2:$G$3001,$X492)&amp;"")</f>
        <v/>
      </c>
      <c r="E492">
        <f>IF($X492="","",INDEX('Per Line'!$I$2:$I$3001,$X492)&amp;"")</f>
        <v/>
      </c>
      <c r="F492">
        <f>IF($X492="","",INDEX('Per Line'!$J$2:$J$3001,$X492)&amp;"")</f>
        <v/>
      </c>
      <c r="G492">
        <f>IF($X492="","",INDEX('Per Line'!$K$2:$K$3001,$X492)&amp;"")</f>
        <v/>
      </c>
      <c r="H492">
        <f>IF($X492="","",INDEX('Per Line'!$M$2:$M$3001,$X492))</f>
        <v/>
      </c>
      <c r="I492" s="7">
        <f>IF($X492="","",H492*V492/100)</f>
        <v/>
      </c>
      <c r="J492">
        <f>IF($X492="","",INDEX('Per Line'!$W$2:$W$3001,$X492)&amp;"")</f>
        <v/>
      </c>
      <c r="K492">
        <f>IF($X492="","",INDEX('Per Line'!$AD$2:$AD$3001,$X492))</f>
        <v/>
      </c>
      <c r="L492">
        <f>IF($X492="","",IF(AND(ISNUMBER(K492),K492&gt;0),V492&gt;K492,FALSE))</f>
        <v/>
      </c>
      <c r="M492" s="7">
        <f>IF($X492="","",SUMIFS('Per Line'!$V$2:$V$3001,'Per Line'!$D$2:$D$3001,$B492,'Per Line'!$AN$2:$AN$3001,1))</f>
        <v/>
      </c>
      <c r="N492">
        <f>IF($X492="","",Settings!$C$7)</f>
        <v/>
      </c>
      <c r="O492" s="7">
        <f>IF($X492="","",SUMIFS('Per Line'!$V$2:$V$3001,'Per Line'!$D$2:$D$3001,$B492,'Per Line'!$AM$2:$AM$3001,0,'Per Line'!$AN$2:$AN$3001,0))</f>
        <v/>
      </c>
      <c r="P492" s="7">
        <f>IF($X492="","",O492*N492)</f>
        <v/>
      </c>
      <c r="Q492">
        <f>IF($X492="","",Settings!$C$6)</f>
        <v/>
      </c>
      <c r="R492" s="7">
        <f>IF($X492="","",SUMIFS('Per Line'!$V$2:$V$3001,'Per Line'!$D$2:$D$3001,$B492,'Per Line'!$AM$2:$AM$3001,1,'Per Line'!$AN$2:$AN$3001,0))</f>
        <v/>
      </c>
      <c r="S492" s="7">
        <f>IF($X492="","",R492*Q492)</f>
        <v/>
      </c>
      <c r="T492" s="7">
        <f>IF($X492="","",S492+P492)</f>
        <v/>
      </c>
      <c r="U492" s="7">
        <f>IF($X492="","",V492-T492)</f>
        <v/>
      </c>
      <c r="V492" s="7">
        <f>IF($X492="","",O492+R492+M492)</f>
        <v/>
      </c>
      <c r="W492" s="7">
        <f>IF($X492="","",V492-T492-I492)</f>
        <v/>
      </c>
      <c r="X492" s="13">
        <f>IF(ROWS($X$2:$X492)&lt;=MAX('Per Line'!$AL$2:$AL$3001),MATCH(ROWS($X$2:$X492),'Per Line'!$AL$2:$AL$3001,0),"")</f>
        <v/>
      </c>
    </row>
    <row r="493">
      <c r="A493" s="12" t="n"/>
      <c r="B493">
        <f>IF($X493="","",INDEX('Per Line'!$D$2:$D$3001,$X493)&amp;"")</f>
        <v/>
      </c>
      <c r="C493" s="11">
        <f>IF($X493="","",INDEX('Per Line'!$F$2:$F$3001,$X493))</f>
        <v/>
      </c>
      <c r="D493">
        <f>IF($X493="","",INDEX('Per Line'!$G$2:$G$3001,$X493)&amp;"")</f>
        <v/>
      </c>
      <c r="E493">
        <f>IF($X493="","",INDEX('Per Line'!$I$2:$I$3001,$X493)&amp;"")</f>
        <v/>
      </c>
      <c r="F493">
        <f>IF($X493="","",INDEX('Per Line'!$J$2:$J$3001,$X493)&amp;"")</f>
        <v/>
      </c>
      <c r="G493">
        <f>IF($X493="","",INDEX('Per Line'!$K$2:$K$3001,$X493)&amp;"")</f>
        <v/>
      </c>
      <c r="H493">
        <f>IF($X493="","",INDEX('Per Line'!$M$2:$M$3001,$X493))</f>
        <v/>
      </c>
      <c r="I493" s="7">
        <f>IF($X493="","",H493*V493/100)</f>
        <v/>
      </c>
      <c r="J493">
        <f>IF($X493="","",INDEX('Per Line'!$W$2:$W$3001,$X493)&amp;"")</f>
        <v/>
      </c>
      <c r="K493">
        <f>IF($X493="","",INDEX('Per Line'!$AD$2:$AD$3001,$X493))</f>
        <v/>
      </c>
      <c r="L493">
        <f>IF($X493="","",IF(AND(ISNUMBER(K493),K493&gt;0),V493&gt;K493,FALSE))</f>
        <v/>
      </c>
      <c r="M493" s="7">
        <f>IF($X493="","",SUMIFS('Per Line'!$V$2:$V$3001,'Per Line'!$D$2:$D$3001,$B493,'Per Line'!$AN$2:$AN$3001,1))</f>
        <v/>
      </c>
      <c r="N493">
        <f>IF($X493="","",Settings!$C$7)</f>
        <v/>
      </c>
      <c r="O493" s="7">
        <f>IF($X493="","",SUMIFS('Per Line'!$V$2:$V$3001,'Per Line'!$D$2:$D$3001,$B493,'Per Line'!$AM$2:$AM$3001,0,'Per Line'!$AN$2:$AN$3001,0))</f>
        <v/>
      </c>
      <c r="P493" s="7">
        <f>IF($X493="","",O493*N493)</f>
        <v/>
      </c>
      <c r="Q493">
        <f>IF($X493="","",Settings!$C$6)</f>
        <v/>
      </c>
      <c r="R493" s="7">
        <f>IF($X493="","",SUMIFS('Per Line'!$V$2:$V$3001,'Per Line'!$D$2:$D$3001,$B493,'Per Line'!$AM$2:$AM$3001,1,'Per Line'!$AN$2:$AN$3001,0))</f>
        <v/>
      </c>
      <c r="S493" s="7">
        <f>IF($X493="","",R493*Q493)</f>
        <v/>
      </c>
      <c r="T493" s="7">
        <f>IF($X493="","",S493+P493)</f>
        <v/>
      </c>
      <c r="U493" s="7">
        <f>IF($X493="","",V493-T493)</f>
        <v/>
      </c>
      <c r="V493" s="7">
        <f>IF($X493="","",O493+R493+M493)</f>
        <v/>
      </c>
      <c r="W493" s="7">
        <f>IF($X493="","",V493-T493-I493)</f>
        <v/>
      </c>
      <c r="X493" s="13">
        <f>IF(ROWS($X$2:$X493)&lt;=MAX('Per Line'!$AL$2:$AL$3001),MATCH(ROWS($X$2:$X493),'Per Line'!$AL$2:$AL$3001,0),"")</f>
        <v/>
      </c>
    </row>
    <row r="494">
      <c r="A494" s="12" t="n"/>
      <c r="B494">
        <f>IF($X494="","",INDEX('Per Line'!$D$2:$D$3001,$X494)&amp;"")</f>
        <v/>
      </c>
      <c r="C494" s="11">
        <f>IF($X494="","",INDEX('Per Line'!$F$2:$F$3001,$X494))</f>
        <v/>
      </c>
      <c r="D494">
        <f>IF($X494="","",INDEX('Per Line'!$G$2:$G$3001,$X494)&amp;"")</f>
        <v/>
      </c>
      <c r="E494">
        <f>IF($X494="","",INDEX('Per Line'!$I$2:$I$3001,$X494)&amp;"")</f>
        <v/>
      </c>
      <c r="F494">
        <f>IF($X494="","",INDEX('Per Line'!$J$2:$J$3001,$X494)&amp;"")</f>
        <v/>
      </c>
      <c r="G494">
        <f>IF($X494="","",INDEX('Per Line'!$K$2:$K$3001,$X494)&amp;"")</f>
        <v/>
      </c>
      <c r="H494">
        <f>IF($X494="","",INDEX('Per Line'!$M$2:$M$3001,$X494))</f>
        <v/>
      </c>
      <c r="I494" s="7">
        <f>IF($X494="","",H494*V494/100)</f>
        <v/>
      </c>
      <c r="J494">
        <f>IF($X494="","",INDEX('Per Line'!$W$2:$W$3001,$X494)&amp;"")</f>
        <v/>
      </c>
      <c r="K494">
        <f>IF($X494="","",INDEX('Per Line'!$AD$2:$AD$3001,$X494))</f>
        <v/>
      </c>
      <c r="L494">
        <f>IF($X494="","",IF(AND(ISNUMBER(K494),K494&gt;0),V494&gt;K494,FALSE))</f>
        <v/>
      </c>
      <c r="M494" s="7">
        <f>IF($X494="","",SUMIFS('Per Line'!$V$2:$V$3001,'Per Line'!$D$2:$D$3001,$B494,'Per Line'!$AN$2:$AN$3001,1))</f>
        <v/>
      </c>
      <c r="N494">
        <f>IF($X494="","",Settings!$C$7)</f>
        <v/>
      </c>
      <c r="O494" s="7">
        <f>IF($X494="","",SUMIFS('Per Line'!$V$2:$V$3001,'Per Line'!$D$2:$D$3001,$B494,'Per Line'!$AM$2:$AM$3001,0,'Per Line'!$AN$2:$AN$3001,0))</f>
        <v/>
      </c>
      <c r="P494" s="7">
        <f>IF($X494="","",O494*N494)</f>
        <v/>
      </c>
      <c r="Q494">
        <f>IF($X494="","",Settings!$C$6)</f>
        <v/>
      </c>
      <c r="R494" s="7">
        <f>IF($X494="","",SUMIFS('Per Line'!$V$2:$V$3001,'Per Line'!$D$2:$D$3001,$B494,'Per Line'!$AM$2:$AM$3001,1,'Per Line'!$AN$2:$AN$3001,0))</f>
        <v/>
      </c>
      <c r="S494" s="7">
        <f>IF($X494="","",R494*Q494)</f>
        <v/>
      </c>
      <c r="T494" s="7">
        <f>IF($X494="","",S494+P494)</f>
        <v/>
      </c>
      <c r="U494" s="7">
        <f>IF($X494="","",V494-T494)</f>
        <v/>
      </c>
      <c r="V494" s="7">
        <f>IF($X494="","",O494+R494+M494)</f>
        <v/>
      </c>
      <c r="W494" s="7">
        <f>IF($X494="","",V494-T494-I494)</f>
        <v/>
      </c>
      <c r="X494" s="13">
        <f>IF(ROWS($X$2:$X494)&lt;=MAX('Per Line'!$AL$2:$AL$3001),MATCH(ROWS($X$2:$X494),'Per Line'!$AL$2:$AL$3001,0),"")</f>
        <v/>
      </c>
    </row>
    <row r="495">
      <c r="A495" s="12" t="n"/>
      <c r="B495">
        <f>IF($X495="","",INDEX('Per Line'!$D$2:$D$3001,$X495)&amp;"")</f>
        <v/>
      </c>
      <c r="C495" s="11">
        <f>IF($X495="","",INDEX('Per Line'!$F$2:$F$3001,$X495))</f>
        <v/>
      </c>
      <c r="D495">
        <f>IF($X495="","",INDEX('Per Line'!$G$2:$G$3001,$X495)&amp;"")</f>
        <v/>
      </c>
      <c r="E495">
        <f>IF($X495="","",INDEX('Per Line'!$I$2:$I$3001,$X495)&amp;"")</f>
        <v/>
      </c>
      <c r="F495">
        <f>IF($X495="","",INDEX('Per Line'!$J$2:$J$3001,$X495)&amp;"")</f>
        <v/>
      </c>
      <c r="G495">
        <f>IF($X495="","",INDEX('Per Line'!$K$2:$K$3001,$X495)&amp;"")</f>
        <v/>
      </c>
      <c r="H495">
        <f>IF($X495="","",INDEX('Per Line'!$M$2:$M$3001,$X495))</f>
        <v/>
      </c>
      <c r="I495" s="7">
        <f>IF($X495="","",H495*V495/100)</f>
        <v/>
      </c>
      <c r="J495">
        <f>IF($X495="","",INDEX('Per Line'!$W$2:$W$3001,$X495)&amp;"")</f>
        <v/>
      </c>
      <c r="K495">
        <f>IF($X495="","",INDEX('Per Line'!$AD$2:$AD$3001,$X495))</f>
        <v/>
      </c>
      <c r="L495">
        <f>IF($X495="","",IF(AND(ISNUMBER(K495),K495&gt;0),V495&gt;K495,FALSE))</f>
        <v/>
      </c>
      <c r="M495" s="7">
        <f>IF($X495="","",SUMIFS('Per Line'!$V$2:$V$3001,'Per Line'!$D$2:$D$3001,$B495,'Per Line'!$AN$2:$AN$3001,1))</f>
        <v/>
      </c>
      <c r="N495">
        <f>IF($X495="","",Settings!$C$7)</f>
        <v/>
      </c>
      <c r="O495" s="7">
        <f>IF($X495="","",SUMIFS('Per Line'!$V$2:$V$3001,'Per Line'!$D$2:$D$3001,$B495,'Per Line'!$AM$2:$AM$3001,0,'Per Line'!$AN$2:$AN$3001,0))</f>
        <v/>
      </c>
      <c r="P495" s="7">
        <f>IF($X495="","",O495*N495)</f>
        <v/>
      </c>
      <c r="Q495">
        <f>IF($X495="","",Settings!$C$6)</f>
        <v/>
      </c>
      <c r="R495" s="7">
        <f>IF($X495="","",SUMIFS('Per Line'!$V$2:$V$3001,'Per Line'!$D$2:$D$3001,$B495,'Per Line'!$AM$2:$AM$3001,1,'Per Line'!$AN$2:$AN$3001,0))</f>
        <v/>
      </c>
      <c r="S495" s="7">
        <f>IF($X495="","",R495*Q495)</f>
        <v/>
      </c>
      <c r="T495" s="7">
        <f>IF($X495="","",S495+P495)</f>
        <v/>
      </c>
      <c r="U495" s="7">
        <f>IF($X495="","",V495-T495)</f>
        <v/>
      </c>
      <c r="V495" s="7">
        <f>IF($X495="","",O495+R495+M495)</f>
        <v/>
      </c>
      <c r="W495" s="7">
        <f>IF($X495="","",V495-T495-I495)</f>
        <v/>
      </c>
      <c r="X495" s="13">
        <f>IF(ROWS($X$2:$X495)&lt;=MAX('Per Line'!$AL$2:$AL$3001),MATCH(ROWS($X$2:$X495),'Per Line'!$AL$2:$AL$3001,0),"")</f>
        <v/>
      </c>
    </row>
    <row r="496">
      <c r="A496" s="12" t="n"/>
      <c r="B496">
        <f>IF($X496="","",INDEX('Per Line'!$D$2:$D$3001,$X496)&amp;"")</f>
        <v/>
      </c>
      <c r="C496" s="11">
        <f>IF($X496="","",INDEX('Per Line'!$F$2:$F$3001,$X496))</f>
        <v/>
      </c>
      <c r="D496">
        <f>IF($X496="","",INDEX('Per Line'!$G$2:$G$3001,$X496)&amp;"")</f>
        <v/>
      </c>
      <c r="E496">
        <f>IF($X496="","",INDEX('Per Line'!$I$2:$I$3001,$X496)&amp;"")</f>
        <v/>
      </c>
      <c r="F496">
        <f>IF($X496="","",INDEX('Per Line'!$J$2:$J$3001,$X496)&amp;"")</f>
        <v/>
      </c>
      <c r="G496">
        <f>IF($X496="","",INDEX('Per Line'!$K$2:$K$3001,$X496)&amp;"")</f>
        <v/>
      </c>
      <c r="H496">
        <f>IF($X496="","",INDEX('Per Line'!$M$2:$M$3001,$X496))</f>
        <v/>
      </c>
      <c r="I496" s="7">
        <f>IF($X496="","",H496*V496/100)</f>
        <v/>
      </c>
      <c r="J496">
        <f>IF($X496="","",INDEX('Per Line'!$W$2:$W$3001,$X496)&amp;"")</f>
        <v/>
      </c>
      <c r="K496">
        <f>IF($X496="","",INDEX('Per Line'!$AD$2:$AD$3001,$X496))</f>
        <v/>
      </c>
      <c r="L496">
        <f>IF($X496="","",IF(AND(ISNUMBER(K496),K496&gt;0),V496&gt;K496,FALSE))</f>
        <v/>
      </c>
      <c r="M496" s="7">
        <f>IF($X496="","",SUMIFS('Per Line'!$V$2:$V$3001,'Per Line'!$D$2:$D$3001,$B496,'Per Line'!$AN$2:$AN$3001,1))</f>
        <v/>
      </c>
      <c r="N496">
        <f>IF($X496="","",Settings!$C$7)</f>
        <v/>
      </c>
      <c r="O496" s="7">
        <f>IF($X496="","",SUMIFS('Per Line'!$V$2:$V$3001,'Per Line'!$D$2:$D$3001,$B496,'Per Line'!$AM$2:$AM$3001,0,'Per Line'!$AN$2:$AN$3001,0))</f>
        <v/>
      </c>
      <c r="P496" s="7">
        <f>IF($X496="","",O496*N496)</f>
        <v/>
      </c>
      <c r="Q496">
        <f>IF($X496="","",Settings!$C$6)</f>
        <v/>
      </c>
      <c r="R496" s="7">
        <f>IF($X496="","",SUMIFS('Per Line'!$V$2:$V$3001,'Per Line'!$D$2:$D$3001,$B496,'Per Line'!$AM$2:$AM$3001,1,'Per Line'!$AN$2:$AN$3001,0))</f>
        <v/>
      </c>
      <c r="S496" s="7">
        <f>IF($X496="","",R496*Q496)</f>
        <v/>
      </c>
      <c r="T496" s="7">
        <f>IF($X496="","",S496+P496)</f>
        <v/>
      </c>
      <c r="U496" s="7">
        <f>IF($X496="","",V496-T496)</f>
        <v/>
      </c>
      <c r="V496" s="7">
        <f>IF($X496="","",O496+R496+M496)</f>
        <v/>
      </c>
      <c r="W496" s="7">
        <f>IF($X496="","",V496-T496-I496)</f>
        <v/>
      </c>
      <c r="X496" s="13">
        <f>IF(ROWS($X$2:$X496)&lt;=MAX('Per Line'!$AL$2:$AL$3001),MATCH(ROWS($X$2:$X496),'Per Line'!$AL$2:$AL$3001,0),"")</f>
        <v/>
      </c>
    </row>
    <row r="497">
      <c r="A497" s="12" t="n"/>
      <c r="B497">
        <f>IF($X497="","",INDEX('Per Line'!$D$2:$D$3001,$X497)&amp;"")</f>
        <v/>
      </c>
      <c r="C497" s="11">
        <f>IF($X497="","",INDEX('Per Line'!$F$2:$F$3001,$X497))</f>
        <v/>
      </c>
      <c r="D497">
        <f>IF($X497="","",INDEX('Per Line'!$G$2:$G$3001,$X497)&amp;"")</f>
        <v/>
      </c>
      <c r="E497">
        <f>IF($X497="","",INDEX('Per Line'!$I$2:$I$3001,$X497)&amp;"")</f>
        <v/>
      </c>
      <c r="F497">
        <f>IF($X497="","",INDEX('Per Line'!$J$2:$J$3001,$X497)&amp;"")</f>
        <v/>
      </c>
      <c r="G497">
        <f>IF($X497="","",INDEX('Per Line'!$K$2:$K$3001,$X497)&amp;"")</f>
        <v/>
      </c>
      <c r="H497">
        <f>IF($X497="","",INDEX('Per Line'!$M$2:$M$3001,$X497))</f>
        <v/>
      </c>
      <c r="I497" s="7">
        <f>IF($X497="","",H497*V497/100)</f>
        <v/>
      </c>
      <c r="J497">
        <f>IF($X497="","",INDEX('Per Line'!$W$2:$W$3001,$X497)&amp;"")</f>
        <v/>
      </c>
      <c r="K497">
        <f>IF($X497="","",INDEX('Per Line'!$AD$2:$AD$3001,$X497))</f>
        <v/>
      </c>
      <c r="L497">
        <f>IF($X497="","",IF(AND(ISNUMBER(K497),K497&gt;0),V497&gt;K497,FALSE))</f>
        <v/>
      </c>
      <c r="M497" s="7">
        <f>IF($X497="","",SUMIFS('Per Line'!$V$2:$V$3001,'Per Line'!$D$2:$D$3001,$B497,'Per Line'!$AN$2:$AN$3001,1))</f>
        <v/>
      </c>
      <c r="N497">
        <f>IF($X497="","",Settings!$C$7)</f>
        <v/>
      </c>
      <c r="O497" s="7">
        <f>IF($X497="","",SUMIFS('Per Line'!$V$2:$V$3001,'Per Line'!$D$2:$D$3001,$B497,'Per Line'!$AM$2:$AM$3001,0,'Per Line'!$AN$2:$AN$3001,0))</f>
        <v/>
      </c>
      <c r="P497" s="7">
        <f>IF($X497="","",O497*N497)</f>
        <v/>
      </c>
      <c r="Q497">
        <f>IF($X497="","",Settings!$C$6)</f>
        <v/>
      </c>
      <c r="R497" s="7">
        <f>IF($X497="","",SUMIFS('Per Line'!$V$2:$V$3001,'Per Line'!$D$2:$D$3001,$B497,'Per Line'!$AM$2:$AM$3001,1,'Per Line'!$AN$2:$AN$3001,0))</f>
        <v/>
      </c>
      <c r="S497" s="7">
        <f>IF($X497="","",R497*Q497)</f>
        <v/>
      </c>
      <c r="T497" s="7">
        <f>IF($X497="","",S497+P497)</f>
        <v/>
      </c>
      <c r="U497" s="7">
        <f>IF($X497="","",V497-T497)</f>
        <v/>
      </c>
      <c r="V497" s="7">
        <f>IF($X497="","",O497+R497+M497)</f>
        <v/>
      </c>
      <c r="W497" s="7">
        <f>IF($X497="","",V497-T497-I497)</f>
        <v/>
      </c>
      <c r="X497" s="13">
        <f>IF(ROWS($X$2:$X497)&lt;=MAX('Per Line'!$AL$2:$AL$3001),MATCH(ROWS($X$2:$X497),'Per Line'!$AL$2:$AL$3001,0),"")</f>
        <v/>
      </c>
    </row>
    <row r="498">
      <c r="A498" s="12" t="n"/>
      <c r="B498">
        <f>IF($X498="","",INDEX('Per Line'!$D$2:$D$3001,$X498)&amp;"")</f>
        <v/>
      </c>
      <c r="C498" s="11">
        <f>IF($X498="","",INDEX('Per Line'!$F$2:$F$3001,$X498))</f>
        <v/>
      </c>
      <c r="D498">
        <f>IF($X498="","",INDEX('Per Line'!$G$2:$G$3001,$X498)&amp;"")</f>
        <v/>
      </c>
      <c r="E498">
        <f>IF($X498="","",INDEX('Per Line'!$I$2:$I$3001,$X498)&amp;"")</f>
        <v/>
      </c>
      <c r="F498">
        <f>IF($X498="","",INDEX('Per Line'!$J$2:$J$3001,$X498)&amp;"")</f>
        <v/>
      </c>
      <c r="G498">
        <f>IF($X498="","",INDEX('Per Line'!$K$2:$K$3001,$X498)&amp;"")</f>
        <v/>
      </c>
      <c r="H498">
        <f>IF($X498="","",INDEX('Per Line'!$M$2:$M$3001,$X498))</f>
        <v/>
      </c>
      <c r="I498" s="7">
        <f>IF($X498="","",H498*V498/100)</f>
        <v/>
      </c>
      <c r="J498">
        <f>IF($X498="","",INDEX('Per Line'!$W$2:$W$3001,$X498)&amp;"")</f>
        <v/>
      </c>
      <c r="K498">
        <f>IF($X498="","",INDEX('Per Line'!$AD$2:$AD$3001,$X498))</f>
        <v/>
      </c>
      <c r="L498">
        <f>IF($X498="","",IF(AND(ISNUMBER(K498),K498&gt;0),V498&gt;K498,FALSE))</f>
        <v/>
      </c>
      <c r="M498" s="7">
        <f>IF($X498="","",SUMIFS('Per Line'!$V$2:$V$3001,'Per Line'!$D$2:$D$3001,$B498,'Per Line'!$AN$2:$AN$3001,1))</f>
        <v/>
      </c>
      <c r="N498">
        <f>IF($X498="","",Settings!$C$7)</f>
        <v/>
      </c>
      <c r="O498" s="7">
        <f>IF($X498="","",SUMIFS('Per Line'!$V$2:$V$3001,'Per Line'!$D$2:$D$3001,$B498,'Per Line'!$AM$2:$AM$3001,0,'Per Line'!$AN$2:$AN$3001,0))</f>
        <v/>
      </c>
      <c r="P498" s="7">
        <f>IF($X498="","",O498*N498)</f>
        <v/>
      </c>
      <c r="Q498">
        <f>IF($X498="","",Settings!$C$6)</f>
        <v/>
      </c>
      <c r="R498" s="7">
        <f>IF($X498="","",SUMIFS('Per Line'!$V$2:$V$3001,'Per Line'!$D$2:$D$3001,$B498,'Per Line'!$AM$2:$AM$3001,1,'Per Line'!$AN$2:$AN$3001,0))</f>
        <v/>
      </c>
      <c r="S498" s="7">
        <f>IF($X498="","",R498*Q498)</f>
        <v/>
      </c>
      <c r="T498" s="7">
        <f>IF($X498="","",S498+P498)</f>
        <v/>
      </c>
      <c r="U498" s="7">
        <f>IF($X498="","",V498-T498)</f>
        <v/>
      </c>
      <c r="V498" s="7">
        <f>IF($X498="","",O498+R498+M498)</f>
        <v/>
      </c>
      <c r="W498" s="7">
        <f>IF($X498="","",V498-T498-I498)</f>
        <v/>
      </c>
      <c r="X498" s="13">
        <f>IF(ROWS($X$2:$X498)&lt;=MAX('Per Line'!$AL$2:$AL$3001),MATCH(ROWS($X$2:$X498),'Per Line'!$AL$2:$AL$3001,0),"")</f>
        <v/>
      </c>
    </row>
    <row r="499">
      <c r="A499" s="12" t="n"/>
      <c r="B499">
        <f>IF($X499="","",INDEX('Per Line'!$D$2:$D$3001,$X499)&amp;"")</f>
        <v/>
      </c>
      <c r="C499" s="11">
        <f>IF($X499="","",INDEX('Per Line'!$F$2:$F$3001,$X499))</f>
        <v/>
      </c>
      <c r="D499">
        <f>IF($X499="","",INDEX('Per Line'!$G$2:$G$3001,$X499)&amp;"")</f>
        <v/>
      </c>
      <c r="E499">
        <f>IF($X499="","",INDEX('Per Line'!$I$2:$I$3001,$X499)&amp;"")</f>
        <v/>
      </c>
      <c r="F499">
        <f>IF($X499="","",INDEX('Per Line'!$J$2:$J$3001,$X499)&amp;"")</f>
        <v/>
      </c>
      <c r="G499">
        <f>IF($X499="","",INDEX('Per Line'!$K$2:$K$3001,$X499)&amp;"")</f>
        <v/>
      </c>
      <c r="H499">
        <f>IF($X499="","",INDEX('Per Line'!$M$2:$M$3001,$X499))</f>
        <v/>
      </c>
      <c r="I499" s="7">
        <f>IF($X499="","",H499*V499/100)</f>
        <v/>
      </c>
      <c r="J499">
        <f>IF($X499="","",INDEX('Per Line'!$W$2:$W$3001,$X499)&amp;"")</f>
        <v/>
      </c>
      <c r="K499">
        <f>IF($X499="","",INDEX('Per Line'!$AD$2:$AD$3001,$X499))</f>
        <v/>
      </c>
      <c r="L499">
        <f>IF($X499="","",IF(AND(ISNUMBER(K499),K499&gt;0),V499&gt;K499,FALSE))</f>
        <v/>
      </c>
      <c r="M499" s="7">
        <f>IF($X499="","",SUMIFS('Per Line'!$V$2:$V$3001,'Per Line'!$D$2:$D$3001,$B499,'Per Line'!$AN$2:$AN$3001,1))</f>
        <v/>
      </c>
      <c r="N499">
        <f>IF($X499="","",Settings!$C$7)</f>
        <v/>
      </c>
      <c r="O499" s="7">
        <f>IF($X499="","",SUMIFS('Per Line'!$V$2:$V$3001,'Per Line'!$D$2:$D$3001,$B499,'Per Line'!$AM$2:$AM$3001,0,'Per Line'!$AN$2:$AN$3001,0))</f>
        <v/>
      </c>
      <c r="P499" s="7">
        <f>IF($X499="","",O499*N499)</f>
        <v/>
      </c>
      <c r="Q499">
        <f>IF($X499="","",Settings!$C$6)</f>
        <v/>
      </c>
      <c r="R499" s="7">
        <f>IF($X499="","",SUMIFS('Per Line'!$V$2:$V$3001,'Per Line'!$D$2:$D$3001,$B499,'Per Line'!$AM$2:$AM$3001,1,'Per Line'!$AN$2:$AN$3001,0))</f>
        <v/>
      </c>
      <c r="S499" s="7">
        <f>IF($X499="","",R499*Q499)</f>
        <v/>
      </c>
      <c r="T499" s="7">
        <f>IF($X499="","",S499+P499)</f>
        <v/>
      </c>
      <c r="U499" s="7">
        <f>IF($X499="","",V499-T499)</f>
        <v/>
      </c>
      <c r="V499" s="7">
        <f>IF($X499="","",O499+R499+M499)</f>
        <v/>
      </c>
      <c r="W499" s="7">
        <f>IF($X499="","",V499-T499-I499)</f>
        <v/>
      </c>
      <c r="X499" s="13">
        <f>IF(ROWS($X$2:$X499)&lt;=MAX('Per Line'!$AL$2:$AL$3001),MATCH(ROWS($X$2:$X499),'Per Line'!$AL$2:$AL$3001,0),"")</f>
        <v/>
      </c>
    </row>
    <row r="500">
      <c r="A500" s="12" t="n"/>
      <c r="B500">
        <f>IF($X500="","",INDEX('Per Line'!$D$2:$D$3001,$X500)&amp;"")</f>
        <v/>
      </c>
      <c r="C500" s="11">
        <f>IF($X500="","",INDEX('Per Line'!$F$2:$F$3001,$X500))</f>
        <v/>
      </c>
      <c r="D500">
        <f>IF($X500="","",INDEX('Per Line'!$G$2:$G$3001,$X500)&amp;"")</f>
        <v/>
      </c>
      <c r="E500">
        <f>IF($X500="","",INDEX('Per Line'!$I$2:$I$3001,$X500)&amp;"")</f>
        <v/>
      </c>
      <c r="F500">
        <f>IF($X500="","",INDEX('Per Line'!$J$2:$J$3001,$X500)&amp;"")</f>
        <v/>
      </c>
      <c r="G500">
        <f>IF($X500="","",INDEX('Per Line'!$K$2:$K$3001,$X500)&amp;"")</f>
        <v/>
      </c>
      <c r="H500">
        <f>IF($X500="","",INDEX('Per Line'!$M$2:$M$3001,$X500))</f>
        <v/>
      </c>
      <c r="I500" s="7">
        <f>IF($X500="","",H500*V500/100)</f>
        <v/>
      </c>
      <c r="J500">
        <f>IF($X500="","",INDEX('Per Line'!$W$2:$W$3001,$X500)&amp;"")</f>
        <v/>
      </c>
      <c r="K500">
        <f>IF($X500="","",INDEX('Per Line'!$AD$2:$AD$3001,$X500))</f>
        <v/>
      </c>
      <c r="L500">
        <f>IF($X500="","",IF(AND(ISNUMBER(K500),K500&gt;0),V500&gt;K500,FALSE))</f>
        <v/>
      </c>
      <c r="M500" s="7">
        <f>IF($X500="","",SUMIFS('Per Line'!$V$2:$V$3001,'Per Line'!$D$2:$D$3001,$B500,'Per Line'!$AN$2:$AN$3001,1))</f>
        <v/>
      </c>
      <c r="N500">
        <f>IF($X500="","",Settings!$C$7)</f>
        <v/>
      </c>
      <c r="O500" s="7">
        <f>IF($X500="","",SUMIFS('Per Line'!$V$2:$V$3001,'Per Line'!$D$2:$D$3001,$B500,'Per Line'!$AM$2:$AM$3001,0,'Per Line'!$AN$2:$AN$3001,0))</f>
        <v/>
      </c>
      <c r="P500" s="7">
        <f>IF($X500="","",O500*N500)</f>
        <v/>
      </c>
      <c r="Q500">
        <f>IF($X500="","",Settings!$C$6)</f>
        <v/>
      </c>
      <c r="R500" s="7">
        <f>IF($X500="","",SUMIFS('Per Line'!$V$2:$V$3001,'Per Line'!$D$2:$D$3001,$B500,'Per Line'!$AM$2:$AM$3001,1,'Per Line'!$AN$2:$AN$3001,0))</f>
        <v/>
      </c>
      <c r="S500" s="7">
        <f>IF($X500="","",R500*Q500)</f>
        <v/>
      </c>
      <c r="T500" s="7">
        <f>IF($X500="","",S500+P500)</f>
        <v/>
      </c>
      <c r="U500" s="7">
        <f>IF($X500="","",V500-T500)</f>
        <v/>
      </c>
      <c r="V500" s="7">
        <f>IF($X500="","",O500+R500+M500)</f>
        <v/>
      </c>
      <c r="W500" s="7">
        <f>IF($X500="","",V500-T500-I500)</f>
        <v/>
      </c>
      <c r="X500" s="13">
        <f>IF(ROWS($X$2:$X500)&lt;=MAX('Per Line'!$AL$2:$AL$3001),MATCH(ROWS($X$2:$X500),'Per Line'!$AL$2:$AL$3001,0),"")</f>
        <v/>
      </c>
    </row>
    <row r="501">
      <c r="A501" s="12" t="n"/>
      <c r="B501">
        <f>IF($X501="","",INDEX('Per Line'!$D$2:$D$3001,$X501)&amp;"")</f>
        <v/>
      </c>
      <c r="C501" s="11">
        <f>IF($X501="","",INDEX('Per Line'!$F$2:$F$3001,$X501))</f>
        <v/>
      </c>
      <c r="D501">
        <f>IF($X501="","",INDEX('Per Line'!$G$2:$G$3001,$X501)&amp;"")</f>
        <v/>
      </c>
      <c r="E501">
        <f>IF($X501="","",INDEX('Per Line'!$I$2:$I$3001,$X501)&amp;"")</f>
        <v/>
      </c>
      <c r="F501">
        <f>IF($X501="","",INDEX('Per Line'!$J$2:$J$3001,$X501)&amp;"")</f>
        <v/>
      </c>
      <c r="G501">
        <f>IF($X501="","",INDEX('Per Line'!$K$2:$K$3001,$X501)&amp;"")</f>
        <v/>
      </c>
      <c r="H501">
        <f>IF($X501="","",INDEX('Per Line'!$M$2:$M$3001,$X501))</f>
        <v/>
      </c>
      <c r="I501" s="7">
        <f>IF($X501="","",H501*V501/100)</f>
        <v/>
      </c>
      <c r="J501">
        <f>IF($X501="","",INDEX('Per Line'!$W$2:$W$3001,$X501)&amp;"")</f>
        <v/>
      </c>
      <c r="K501">
        <f>IF($X501="","",INDEX('Per Line'!$AD$2:$AD$3001,$X501))</f>
        <v/>
      </c>
      <c r="L501">
        <f>IF($X501="","",IF(AND(ISNUMBER(K501),K501&gt;0),V501&gt;K501,FALSE))</f>
        <v/>
      </c>
      <c r="M501" s="7">
        <f>IF($X501="","",SUMIFS('Per Line'!$V$2:$V$3001,'Per Line'!$D$2:$D$3001,$B501,'Per Line'!$AN$2:$AN$3001,1))</f>
        <v/>
      </c>
      <c r="N501">
        <f>IF($X501="","",Settings!$C$7)</f>
        <v/>
      </c>
      <c r="O501" s="7">
        <f>IF($X501="","",SUMIFS('Per Line'!$V$2:$V$3001,'Per Line'!$D$2:$D$3001,$B501,'Per Line'!$AM$2:$AM$3001,0,'Per Line'!$AN$2:$AN$3001,0))</f>
        <v/>
      </c>
      <c r="P501" s="7">
        <f>IF($X501="","",O501*N501)</f>
        <v/>
      </c>
      <c r="Q501">
        <f>IF($X501="","",Settings!$C$6)</f>
        <v/>
      </c>
      <c r="R501" s="7">
        <f>IF($X501="","",SUMIFS('Per Line'!$V$2:$V$3001,'Per Line'!$D$2:$D$3001,$B501,'Per Line'!$AM$2:$AM$3001,1,'Per Line'!$AN$2:$AN$3001,0))</f>
        <v/>
      </c>
      <c r="S501" s="7">
        <f>IF($X501="","",R501*Q501)</f>
        <v/>
      </c>
      <c r="T501" s="7">
        <f>IF($X501="","",S501+P501)</f>
        <v/>
      </c>
      <c r="U501" s="7">
        <f>IF($X501="","",V501-T501)</f>
        <v/>
      </c>
      <c r="V501" s="7">
        <f>IF($X501="","",O501+R501+M501)</f>
        <v/>
      </c>
      <c r="W501" s="7">
        <f>IF($X501="","",V501-T501-I501)</f>
        <v/>
      </c>
      <c r="X501" s="13">
        <f>IF(ROWS($X$2:$X501)&lt;=MAX('Per Line'!$AL$2:$AL$3001),MATCH(ROWS($X$2:$X501),'Per Line'!$AL$2:$AL$3001,0),"")</f>
        <v/>
      </c>
    </row>
    <row r="502">
      <c r="A502" s="12" t="n"/>
      <c r="B502">
        <f>IF($X502="","",INDEX('Per Line'!$D$2:$D$3001,$X502)&amp;"")</f>
        <v/>
      </c>
      <c r="C502" s="11">
        <f>IF($X502="","",INDEX('Per Line'!$F$2:$F$3001,$X502))</f>
        <v/>
      </c>
      <c r="D502">
        <f>IF($X502="","",INDEX('Per Line'!$G$2:$G$3001,$X502)&amp;"")</f>
        <v/>
      </c>
      <c r="E502">
        <f>IF($X502="","",INDEX('Per Line'!$I$2:$I$3001,$X502)&amp;"")</f>
        <v/>
      </c>
      <c r="F502">
        <f>IF($X502="","",INDEX('Per Line'!$J$2:$J$3001,$X502)&amp;"")</f>
        <v/>
      </c>
      <c r="G502">
        <f>IF($X502="","",INDEX('Per Line'!$K$2:$K$3001,$X502)&amp;"")</f>
        <v/>
      </c>
      <c r="H502">
        <f>IF($X502="","",INDEX('Per Line'!$M$2:$M$3001,$X502))</f>
        <v/>
      </c>
      <c r="I502" s="7">
        <f>IF($X502="","",H502*V502/100)</f>
        <v/>
      </c>
      <c r="J502">
        <f>IF($X502="","",INDEX('Per Line'!$W$2:$W$3001,$X502)&amp;"")</f>
        <v/>
      </c>
      <c r="K502">
        <f>IF($X502="","",INDEX('Per Line'!$AD$2:$AD$3001,$X502))</f>
        <v/>
      </c>
      <c r="L502">
        <f>IF($X502="","",IF(AND(ISNUMBER(K502),K502&gt;0),V502&gt;K502,FALSE))</f>
        <v/>
      </c>
      <c r="M502" s="7">
        <f>IF($X502="","",SUMIFS('Per Line'!$V$2:$V$3001,'Per Line'!$D$2:$D$3001,$B502,'Per Line'!$AN$2:$AN$3001,1))</f>
        <v/>
      </c>
      <c r="N502">
        <f>IF($X502="","",Settings!$C$7)</f>
        <v/>
      </c>
      <c r="O502" s="7">
        <f>IF($X502="","",SUMIFS('Per Line'!$V$2:$V$3001,'Per Line'!$D$2:$D$3001,$B502,'Per Line'!$AM$2:$AM$3001,0,'Per Line'!$AN$2:$AN$3001,0))</f>
        <v/>
      </c>
      <c r="P502" s="7">
        <f>IF($X502="","",O502*N502)</f>
        <v/>
      </c>
      <c r="Q502">
        <f>IF($X502="","",Settings!$C$6)</f>
        <v/>
      </c>
      <c r="R502" s="7">
        <f>IF($X502="","",SUMIFS('Per Line'!$V$2:$V$3001,'Per Line'!$D$2:$D$3001,$B502,'Per Line'!$AM$2:$AM$3001,1,'Per Line'!$AN$2:$AN$3001,0))</f>
        <v/>
      </c>
      <c r="S502" s="7">
        <f>IF($X502="","",R502*Q502)</f>
        <v/>
      </c>
      <c r="T502" s="7">
        <f>IF($X502="","",S502+P502)</f>
        <v/>
      </c>
      <c r="U502" s="7">
        <f>IF($X502="","",V502-T502)</f>
        <v/>
      </c>
      <c r="V502" s="7">
        <f>IF($X502="","",O502+R502+M502)</f>
        <v/>
      </c>
      <c r="W502" s="7">
        <f>IF($X502="","",V502-T502-I502)</f>
        <v/>
      </c>
      <c r="X502" s="13">
        <f>IF(ROWS($X$2:$X502)&lt;=MAX('Per Line'!$AL$2:$AL$3001),MATCH(ROWS($X$2:$X502),'Per Line'!$AL$2:$AL$3001,0),"")</f>
        <v/>
      </c>
    </row>
    <row r="503">
      <c r="A503" s="12" t="n"/>
      <c r="B503">
        <f>IF($X503="","",INDEX('Per Line'!$D$2:$D$3001,$X503)&amp;"")</f>
        <v/>
      </c>
      <c r="C503" s="11">
        <f>IF($X503="","",INDEX('Per Line'!$F$2:$F$3001,$X503))</f>
        <v/>
      </c>
      <c r="D503">
        <f>IF($X503="","",INDEX('Per Line'!$G$2:$G$3001,$X503)&amp;"")</f>
        <v/>
      </c>
      <c r="E503">
        <f>IF($X503="","",INDEX('Per Line'!$I$2:$I$3001,$X503)&amp;"")</f>
        <v/>
      </c>
      <c r="F503">
        <f>IF($X503="","",INDEX('Per Line'!$J$2:$J$3001,$X503)&amp;"")</f>
        <v/>
      </c>
      <c r="G503">
        <f>IF($X503="","",INDEX('Per Line'!$K$2:$K$3001,$X503)&amp;"")</f>
        <v/>
      </c>
      <c r="H503">
        <f>IF($X503="","",INDEX('Per Line'!$M$2:$M$3001,$X503))</f>
        <v/>
      </c>
      <c r="I503" s="7">
        <f>IF($X503="","",H503*V503/100)</f>
        <v/>
      </c>
      <c r="J503">
        <f>IF($X503="","",INDEX('Per Line'!$W$2:$W$3001,$X503)&amp;"")</f>
        <v/>
      </c>
      <c r="K503">
        <f>IF($X503="","",INDEX('Per Line'!$AD$2:$AD$3001,$X503))</f>
        <v/>
      </c>
      <c r="L503">
        <f>IF($X503="","",IF(AND(ISNUMBER(K503),K503&gt;0),V503&gt;K503,FALSE))</f>
        <v/>
      </c>
      <c r="M503" s="7">
        <f>IF($X503="","",SUMIFS('Per Line'!$V$2:$V$3001,'Per Line'!$D$2:$D$3001,$B503,'Per Line'!$AN$2:$AN$3001,1))</f>
        <v/>
      </c>
      <c r="N503">
        <f>IF($X503="","",Settings!$C$7)</f>
        <v/>
      </c>
      <c r="O503" s="7">
        <f>IF($X503="","",SUMIFS('Per Line'!$V$2:$V$3001,'Per Line'!$D$2:$D$3001,$B503,'Per Line'!$AM$2:$AM$3001,0,'Per Line'!$AN$2:$AN$3001,0))</f>
        <v/>
      </c>
      <c r="P503" s="7">
        <f>IF($X503="","",O503*N503)</f>
        <v/>
      </c>
      <c r="Q503">
        <f>IF($X503="","",Settings!$C$6)</f>
        <v/>
      </c>
      <c r="R503" s="7">
        <f>IF($X503="","",SUMIFS('Per Line'!$V$2:$V$3001,'Per Line'!$D$2:$D$3001,$B503,'Per Line'!$AM$2:$AM$3001,1,'Per Line'!$AN$2:$AN$3001,0))</f>
        <v/>
      </c>
      <c r="S503" s="7">
        <f>IF($X503="","",R503*Q503)</f>
        <v/>
      </c>
      <c r="T503" s="7">
        <f>IF($X503="","",S503+P503)</f>
        <v/>
      </c>
      <c r="U503" s="7">
        <f>IF($X503="","",V503-T503)</f>
        <v/>
      </c>
      <c r="V503" s="7">
        <f>IF($X503="","",O503+R503+M503)</f>
        <v/>
      </c>
      <c r="W503" s="7">
        <f>IF($X503="","",V503-T503-I503)</f>
        <v/>
      </c>
      <c r="X503" s="13">
        <f>IF(ROWS($X$2:$X503)&lt;=MAX('Per Line'!$AL$2:$AL$3001),MATCH(ROWS($X$2:$X503),'Per Line'!$AL$2:$AL$3001,0),"")</f>
        <v/>
      </c>
    </row>
    <row r="504">
      <c r="A504" s="12" t="n"/>
      <c r="B504">
        <f>IF($X504="","",INDEX('Per Line'!$D$2:$D$3001,$X504)&amp;"")</f>
        <v/>
      </c>
      <c r="C504" s="11">
        <f>IF($X504="","",INDEX('Per Line'!$F$2:$F$3001,$X504))</f>
        <v/>
      </c>
      <c r="D504">
        <f>IF($X504="","",INDEX('Per Line'!$G$2:$G$3001,$X504)&amp;"")</f>
        <v/>
      </c>
      <c r="E504">
        <f>IF($X504="","",INDEX('Per Line'!$I$2:$I$3001,$X504)&amp;"")</f>
        <v/>
      </c>
      <c r="F504">
        <f>IF($X504="","",INDEX('Per Line'!$J$2:$J$3001,$X504)&amp;"")</f>
        <v/>
      </c>
      <c r="G504">
        <f>IF($X504="","",INDEX('Per Line'!$K$2:$K$3001,$X504)&amp;"")</f>
        <v/>
      </c>
      <c r="H504">
        <f>IF($X504="","",INDEX('Per Line'!$M$2:$M$3001,$X504))</f>
        <v/>
      </c>
      <c r="I504" s="7">
        <f>IF($X504="","",H504*V504/100)</f>
        <v/>
      </c>
      <c r="J504">
        <f>IF($X504="","",INDEX('Per Line'!$W$2:$W$3001,$X504)&amp;"")</f>
        <v/>
      </c>
      <c r="K504">
        <f>IF($X504="","",INDEX('Per Line'!$AD$2:$AD$3001,$X504))</f>
        <v/>
      </c>
      <c r="L504">
        <f>IF($X504="","",IF(AND(ISNUMBER(K504),K504&gt;0),V504&gt;K504,FALSE))</f>
        <v/>
      </c>
      <c r="M504" s="7">
        <f>IF($X504="","",SUMIFS('Per Line'!$V$2:$V$3001,'Per Line'!$D$2:$D$3001,$B504,'Per Line'!$AN$2:$AN$3001,1))</f>
        <v/>
      </c>
      <c r="N504">
        <f>IF($X504="","",Settings!$C$7)</f>
        <v/>
      </c>
      <c r="O504" s="7">
        <f>IF($X504="","",SUMIFS('Per Line'!$V$2:$V$3001,'Per Line'!$D$2:$D$3001,$B504,'Per Line'!$AM$2:$AM$3001,0,'Per Line'!$AN$2:$AN$3001,0))</f>
        <v/>
      </c>
      <c r="P504" s="7">
        <f>IF($X504="","",O504*N504)</f>
        <v/>
      </c>
      <c r="Q504">
        <f>IF($X504="","",Settings!$C$6)</f>
        <v/>
      </c>
      <c r="R504" s="7">
        <f>IF($X504="","",SUMIFS('Per Line'!$V$2:$V$3001,'Per Line'!$D$2:$D$3001,$B504,'Per Line'!$AM$2:$AM$3001,1,'Per Line'!$AN$2:$AN$3001,0))</f>
        <v/>
      </c>
      <c r="S504" s="7">
        <f>IF($X504="","",R504*Q504)</f>
        <v/>
      </c>
      <c r="T504" s="7">
        <f>IF($X504="","",S504+P504)</f>
        <v/>
      </c>
      <c r="U504" s="7">
        <f>IF($X504="","",V504-T504)</f>
        <v/>
      </c>
      <c r="V504" s="7">
        <f>IF($X504="","",O504+R504+M504)</f>
        <v/>
      </c>
      <c r="W504" s="7">
        <f>IF($X504="","",V504-T504-I504)</f>
        <v/>
      </c>
      <c r="X504" s="13">
        <f>IF(ROWS($X$2:$X504)&lt;=MAX('Per Line'!$AL$2:$AL$3001),MATCH(ROWS($X$2:$X504),'Per Line'!$AL$2:$AL$3001,0),"")</f>
        <v/>
      </c>
    </row>
    <row r="505">
      <c r="A505" s="12" t="n"/>
      <c r="B505">
        <f>IF($X505="","",INDEX('Per Line'!$D$2:$D$3001,$X505)&amp;"")</f>
        <v/>
      </c>
      <c r="C505" s="11">
        <f>IF($X505="","",INDEX('Per Line'!$F$2:$F$3001,$X505))</f>
        <v/>
      </c>
      <c r="D505">
        <f>IF($X505="","",INDEX('Per Line'!$G$2:$G$3001,$X505)&amp;"")</f>
        <v/>
      </c>
      <c r="E505">
        <f>IF($X505="","",INDEX('Per Line'!$I$2:$I$3001,$X505)&amp;"")</f>
        <v/>
      </c>
      <c r="F505">
        <f>IF($X505="","",INDEX('Per Line'!$J$2:$J$3001,$X505)&amp;"")</f>
        <v/>
      </c>
      <c r="G505">
        <f>IF($X505="","",INDEX('Per Line'!$K$2:$K$3001,$X505)&amp;"")</f>
        <v/>
      </c>
      <c r="H505">
        <f>IF($X505="","",INDEX('Per Line'!$M$2:$M$3001,$X505))</f>
        <v/>
      </c>
      <c r="I505" s="7">
        <f>IF($X505="","",H505*V505/100)</f>
        <v/>
      </c>
      <c r="J505">
        <f>IF($X505="","",INDEX('Per Line'!$W$2:$W$3001,$X505)&amp;"")</f>
        <v/>
      </c>
      <c r="K505">
        <f>IF($X505="","",INDEX('Per Line'!$AD$2:$AD$3001,$X505))</f>
        <v/>
      </c>
      <c r="L505">
        <f>IF($X505="","",IF(AND(ISNUMBER(K505),K505&gt;0),V505&gt;K505,FALSE))</f>
        <v/>
      </c>
      <c r="M505" s="7">
        <f>IF($X505="","",SUMIFS('Per Line'!$V$2:$V$3001,'Per Line'!$D$2:$D$3001,$B505,'Per Line'!$AN$2:$AN$3001,1))</f>
        <v/>
      </c>
      <c r="N505">
        <f>IF($X505="","",Settings!$C$7)</f>
        <v/>
      </c>
      <c r="O505" s="7">
        <f>IF($X505="","",SUMIFS('Per Line'!$V$2:$V$3001,'Per Line'!$D$2:$D$3001,$B505,'Per Line'!$AM$2:$AM$3001,0,'Per Line'!$AN$2:$AN$3001,0))</f>
        <v/>
      </c>
      <c r="P505" s="7">
        <f>IF($X505="","",O505*N505)</f>
        <v/>
      </c>
      <c r="Q505">
        <f>IF($X505="","",Settings!$C$6)</f>
        <v/>
      </c>
      <c r="R505" s="7">
        <f>IF($X505="","",SUMIFS('Per Line'!$V$2:$V$3001,'Per Line'!$D$2:$D$3001,$B505,'Per Line'!$AM$2:$AM$3001,1,'Per Line'!$AN$2:$AN$3001,0))</f>
        <v/>
      </c>
      <c r="S505" s="7">
        <f>IF($X505="","",R505*Q505)</f>
        <v/>
      </c>
      <c r="T505" s="7">
        <f>IF($X505="","",S505+P505)</f>
        <v/>
      </c>
      <c r="U505" s="7">
        <f>IF($X505="","",V505-T505)</f>
        <v/>
      </c>
      <c r="V505" s="7">
        <f>IF($X505="","",O505+R505+M505)</f>
        <v/>
      </c>
      <c r="W505" s="7">
        <f>IF($X505="","",V505-T505-I505)</f>
        <v/>
      </c>
      <c r="X505" s="13">
        <f>IF(ROWS($X$2:$X505)&lt;=MAX('Per Line'!$AL$2:$AL$3001),MATCH(ROWS($X$2:$X505),'Per Line'!$AL$2:$AL$3001,0),"")</f>
        <v/>
      </c>
    </row>
    <row r="506">
      <c r="A506" s="12" t="n"/>
      <c r="B506">
        <f>IF($X506="","",INDEX('Per Line'!$D$2:$D$3001,$X506)&amp;"")</f>
        <v/>
      </c>
      <c r="C506" s="11">
        <f>IF($X506="","",INDEX('Per Line'!$F$2:$F$3001,$X506))</f>
        <v/>
      </c>
      <c r="D506">
        <f>IF($X506="","",INDEX('Per Line'!$G$2:$G$3001,$X506)&amp;"")</f>
        <v/>
      </c>
      <c r="E506">
        <f>IF($X506="","",INDEX('Per Line'!$I$2:$I$3001,$X506)&amp;"")</f>
        <v/>
      </c>
      <c r="F506">
        <f>IF($X506="","",INDEX('Per Line'!$J$2:$J$3001,$X506)&amp;"")</f>
        <v/>
      </c>
      <c r="G506">
        <f>IF($X506="","",INDEX('Per Line'!$K$2:$K$3001,$X506)&amp;"")</f>
        <v/>
      </c>
      <c r="H506">
        <f>IF($X506="","",INDEX('Per Line'!$M$2:$M$3001,$X506))</f>
        <v/>
      </c>
      <c r="I506" s="7">
        <f>IF($X506="","",H506*V506/100)</f>
        <v/>
      </c>
      <c r="J506">
        <f>IF($X506="","",INDEX('Per Line'!$W$2:$W$3001,$X506)&amp;"")</f>
        <v/>
      </c>
      <c r="K506">
        <f>IF($X506="","",INDEX('Per Line'!$AD$2:$AD$3001,$X506))</f>
        <v/>
      </c>
      <c r="L506">
        <f>IF($X506="","",IF(AND(ISNUMBER(K506),K506&gt;0),V506&gt;K506,FALSE))</f>
        <v/>
      </c>
      <c r="M506" s="7">
        <f>IF($X506="","",SUMIFS('Per Line'!$V$2:$V$3001,'Per Line'!$D$2:$D$3001,$B506,'Per Line'!$AN$2:$AN$3001,1))</f>
        <v/>
      </c>
      <c r="N506">
        <f>IF($X506="","",Settings!$C$7)</f>
        <v/>
      </c>
      <c r="O506" s="7">
        <f>IF($X506="","",SUMIFS('Per Line'!$V$2:$V$3001,'Per Line'!$D$2:$D$3001,$B506,'Per Line'!$AM$2:$AM$3001,0,'Per Line'!$AN$2:$AN$3001,0))</f>
        <v/>
      </c>
      <c r="P506" s="7">
        <f>IF($X506="","",O506*N506)</f>
        <v/>
      </c>
      <c r="Q506">
        <f>IF($X506="","",Settings!$C$6)</f>
        <v/>
      </c>
      <c r="R506" s="7">
        <f>IF($X506="","",SUMIFS('Per Line'!$V$2:$V$3001,'Per Line'!$D$2:$D$3001,$B506,'Per Line'!$AM$2:$AM$3001,1,'Per Line'!$AN$2:$AN$3001,0))</f>
        <v/>
      </c>
      <c r="S506" s="7">
        <f>IF($X506="","",R506*Q506)</f>
        <v/>
      </c>
      <c r="T506" s="7">
        <f>IF($X506="","",S506+P506)</f>
        <v/>
      </c>
      <c r="U506" s="7">
        <f>IF($X506="","",V506-T506)</f>
        <v/>
      </c>
      <c r="V506" s="7">
        <f>IF($X506="","",O506+R506+M506)</f>
        <v/>
      </c>
      <c r="W506" s="7">
        <f>IF($X506="","",V506-T506-I506)</f>
        <v/>
      </c>
      <c r="X506" s="13">
        <f>IF(ROWS($X$2:$X506)&lt;=MAX('Per Line'!$AL$2:$AL$3001),MATCH(ROWS($X$2:$X506),'Per Line'!$AL$2:$AL$3001,0),"")</f>
        <v/>
      </c>
    </row>
    <row r="507">
      <c r="A507" s="12" t="n"/>
      <c r="B507">
        <f>IF($X507="","",INDEX('Per Line'!$D$2:$D$3001,$X507)&amp;"")</f>
        <v/>
      </c>
      <c r="C507" s="11">
        <f>IF($X507="","",INDEX('Per Line'!$F$2:$F$3001,$X507))</f>
        <v/>
      </c>
      <c r="D507">
        <f>IF($X507="","",INDEX('Per Line'!$G$2:$G$3001,$X507)&amp;"")</f>
        <v/>
      </c>
      <c r="E507">
        <f>IF($X507="","",INDEX('Per Line'!$I$2:$I$3001,$X507)&amp;"")</f>
        <v/>
      </c>
      <c r="F507">
        <f>IF($X507="","",INDEX('Per Line'!$J$2:$J$3001,$X507)&amp;"")</f>
        <v/>
      </c>
      <c r="G507">
        <f>IF($X507="","",INDEX('Per Line'!$K$2:$K$3001,$X507)&amp;"")</f>
        <v/>
      </c>
      <c r="H507">
        <f>IF($X507="","",INDEX('Per Line'!$M$2:$M$3001,$X507))</f>
        <v/>
      </c>
      <c r="I507" s="7">
        <f>IF($X507="","",H507*V507/100)</f>
        <v/>
      </c>
      <c r="J507">
        <f>IF($X507="","",INDEX('Per Line'!$W$2:$W$3001,$X507)&amp;"")</f>
        <v/>
      </c>
      <c r="K507">
        <f>IF($X507="","",INDEX('Per Line'!$AD$2:$AD$3001,$X507))</f>
        <v/>
      </c>
      <c r="L507">
        <f>IF($X507="","",IF(AND(ISNUMBER(K507),K507&gt;0),V507&gt;K507,FALSE))</f>
        <v/>
      </c>
      <c r="M507" s="7">
        <f>IF($X507="","",SUMIFS('Per Line'!$V$2:$V$3001,'Per Line'!$D$2:$D$3001,$B507,'Per Line'!$AN$2:$AN$3001,1))</f>
        <v/>
      </c>
      <c r="N507">
        <f>IF($X507="","",Settings!$C$7)</f>
        <v/>
      </c>
      <c r="O507" s="7">
        <f>IF($X507="","",SUMIFS('Per Line'!$V$2:$V$3001,'Per Line'!$D$2:$D$3001,$B507,'Per Line'!$AM$2:$AM$3001,0,'Per Line'!$AN$2:$AN$3001,0))</f>
        <v/>
      </c>
      <c r="P507" s="7">
        <f>IF($X507="","",O507*N507)</f>
        <v/>
      </c>
      <c r="Q507">
        <f>IF($X507="","",Settings!$C$6)</f>
        <v/>
      </c>
      <c r="R507" s="7">
        <f>IF($X507="","",SUMIFS('Per Line'!$V$2:$V$3001,'Per Line'!$D$2:$D$3001,$B507,'Per Line'!$AM$2:$AM$3001,1,'Per Line'!$AN$2:$AN$3001,0))</f>
        <v/>
      </c>
      <c r="S507" s="7">
        <f>IF($X507="","",R507*Q507)</f>
        <v/>
      </c>
      <c r="T507" s="7">
        <f>IF($X507="","",S507+P507)</f>
        <v/>
      </c>
      <c r="U507" s="7">
        <f>IF($X507="","",V507-T507)</f>
        <v/>
      </c>
      <c r="V507" s="7">
        <f>IF($X507="","",O507+R507+M507)</f>
        <v/>
      </c>
      <c r="W507" s="7">
        <f>IF($X507="","",V507-T507-I507)</f>
        <v/>
      </c>
      <c r="X507" s="13">
        <f>IF(ROWS($X$2:$X507)&lt;=MAX('Per Line'!$AL$2:$AL$3001),MATCH(ROWS($X$2:$X507),'Per Line'!$AL$2:$AL$3001,0),"")</f>
        <v/>
      </c>
    </row>
    <row r="508">
      <c r="A508" s="12" t="n"/>
      <c r="B508">
        <f>IF($X508="","",INDEX('Per Line'!$D$2:$D$3001,$X508)&amp;"")</f>
        <v/>
      </c>
      <c r="C508" s="11">
        <f>IF($X508="","",INDEX('Per Line'!$F$2:$F$3001,$X508))</f>
        <v/>
      </c>
      <c r="D508">
        <f>IF($X508="","",INDEX('Per Line'!$G$2:$G$3001,$X508)&amp;"")</f>
        <v/>
      </c>
      <c r="E508">
        <f>IF($X508="","",INDEX('Per Line'!$I$2:$I$3001,$X508)&amp;"")</f>
        <v/>
      </c>
      <c r="F508">
        <f>IF($X508="","",INDEX('Per Line'!$J$2:$J$3001,$X508)&amp;"")</f>
        <v/>
      </c>
      <c r="G508">
        <f>IF($X508="","",INDEX('Per Line'!$K$2:$K$3001,$X508)&amp;"")</f>
        <v/>
      </c>
      <c r="H508">
        <f>IF($X508="","",INDEX('Per Line'!$M$2:$M$3001,$X508))</f>
        <v/>
      </c>
      <c r="I508" s="7">
        <f>IF($X508="","",H508*V508/100)</f>
        <v/>
      </c>
      <c r="J508">
        <f>IF($X508="","",INDEX('Per Line'!$W$2:$W$3001,$X508)&amp;"")</f>
        <v/>
      </c>
      <c r="K508">
        <f>IF($X508="","",INDEX('Per Line'!$AD$2:$AD$3001,$X508))</f>
        <v/>
      </c>
      <c r="L508">
        <f>IF($X508="","",IF(AND(ISNUMBER(K508),K508&gt;0),V508&gt;K508,FALSE))</f>
        <v/>
      </c>
      <c r="M508" s="7">
        <f>IF($X508="","",SUMIFS('Per Line'!$V$2:$V$3001,'Per Line'!$D$2:$D$3001,$B508,'Per Line'!$AN$2:$AN$3001,1))</f>
        <v/>
      </c>
      <c r="N508">
        <f>IF($X508="","",Settings!$C$7)</f>
        <v/>
      </c>
      <c r="O508" s="7">
        <f>IF($X508="","",SUMIFS('Per Line'!$V$2:$V$3001,'Per Line'!$D$2:$D$3001,$B508,'Per Line'!$AM$2:$AM$3001,0,'Per Line'!$AN$2:$AN$3001,0))</f>
        <v/>
      </c>
      <c r="P508" s="7">
        <f>IF($X508="","",O508*N508)</f>
        <v/>
      </c>
      <c r="Q508">
        <f>IF($X508="","",Settings!$C$6)</f>
        <v/>
      </c>
      <c r="R508" s="7">
        <f>IF($X508="","",SUMIFS('Per Line'!$V$2:$V$3001,'Per Line'!$D$2:$D$3001,$B508,'Per Line'!$AM$2:$AM$3001,1,'Per Line'!$AN$2:$AN$3001,0))</f>
        <v/>
      </c>
      <c r="S508" s="7">
        <f>IF($X508="","",R508*Q508)</f>
        <v/>
      </c>
      <c r="T508" s="7">
        <f>IF($X508="","",S508+P508)</f>
        <v/>
      </c>
      <c r="U508" s="7">
        <f>IF($X508="","",V508-T508)</f>
        <v/>
      </c>
      <c r="V508" s="7">
        <f>IF($X508="","",O508+R508+M508)</f>
        <v/>
      </c>
      <c r="W508" s="7">
        <f>IF($X508="","",V508-T508-I508)</f>
        <v/>
      </c>
      <c r="X508" s="13">
        <f>IF(ROWS($X$2:$X508)&lt;=MAX('Per Line'!$AL$2:$AL$3001),MATCH(ROWS($X$2:$X508),'Per Line'!$AL$2:$AL$3001,0),"")</f>
        <v/>
      </c>
    </row>
    <row r="509">
      <c r="A509" s="12" t="n"/>
      <c r="B509">
        <f>IF($X509="","",INDEX('Per Line'!$D$2:$D$3001,$X509)&amp;"")</f>
        <v/>
      </c>
      <c r="C509" s="11">
        <f>IF($X509="","",INDEX('Per Line'!$F$2:$F$3001,$X509))</f>
        <v/>
      </c>
      <c r="D509">
        <f>IF($X509="","",INDEX('Per Line'!$G$2:$G$3001,$X509)&amp;"")</f>
        <v/>
      </c>
      <c r="E509">
        <f>IF($X509="","",INDEX('Per Line'!$I$2:$I$3001,$X509)&amp;"")</f>
        <v/>
      </c>
      <c r="F509">
        <f>IF($X509="","",INDEX('Per Line'!$J$2:$J$3001,$X509)&amp;"")</f>
        <v/>
      </c>
      <c r="G509">
        <f>IF($X509="","",INDEX('Per Line'!$K$2:$K$3001,$X509)&amp;"")</f>
        <v/>
      </c>
      <c r="H509">
        <f>IF($X509="","",INDEX('Per Line'!$M$2:$M$3001,$X509))</f>
        <v/>
      </c>
      <c r="I509" s="7">
        <f>IF($X509="","",H509*V509/100)</f>
        <v/>
      </c>
      <c r="J509">
        <f>IF($X509="","",INDEX('Per Line'!$W$2:$W$3001,$X509)&amp;"")</f>
        <v/>
      </c>
      <c r="K509">
        <f>IF($X509="","",INDEX('Per Line'!$AD$2:$AD$3001,$X509))</f>
        <v/>
      </c>
      <c r="L509">
        <f>IF($X509="","",IF(AND(ISNUMBER(K509),K509&gt;0),V509&gt;K509,FALSE))</f>
        <v/>
      </c>
      <c r="M509" s="7">
        <f>IF($X509="","",SUMIFS('Per Line'!$V$2:$V$3001,'Per Line'!$D$2:$D$3001,$B509,'Per Line'!$AN$2:$AN$3001,1))</f>
        <v/>
      </c>
      <c r="N509">
        <f>IF($X509="","",Settings!$C$7)</f>
        <v/>
      </c>
      <c r="O509" s="7">
        <f>IF($X509="","",SUMIFS('Per Line'!$V$2:$V$3001,'Per Line'!$D$2:$D$3001,$B509,'Per Line'!$AM$2:$AM$3001,0,'Per Line'!$AN$2:$AN$3001,0))</f>
        <v/>
      </c>
      <c r="P509" s="7">
        <f>IF($X509="","",O509*N509)</f>
        <v/>
      </c>
      <c r="Q509">
        <f>IF($X509="","",Settings!$C$6)</f>
        <v/>
      </c>
      <c r="R509" s="7">
        <f>IF($X509="","",SUMIFS('Per Line'!$V$2:$V$3001,'Per Line'!$D$2:$D$3001,$B509,'Per Line'!$AM$2:$AM$3001,1,'Per Line'!$AN$2:$AN$3001,0))</f>
        <v/>
      </c>
      <c r="S509" s="7">
        <f>IF($X509="","",R509*Q509)</f>
        <v/>
      </c>
      <c r="T509" s="7">
        <f>IF($X509="","",S509+P509)</f>
        <v/>
      </c>
      <c r="U509" s="7">
        <f>IF($X509="","",V509-T509)</f>
        <v/>
      </c>
      <c r="V509" s="7">
        <f>IF($X509="","",O509+R509+M509)</f>
        <v/>
      </c>
      <c r="W509" s="7">
        <f>IF($X509="","",V509-T509-I509)</f>
        <v/>
      </c>
      <c r="X509" s="13">
        <f>IF(ROWS($X$2:$X509)&lt;=MAX('Per Line'!$AL$2:$AL$3001),MATCH(ROWS($X$2:$X509),'Per Line'!$AL$2:$AL$3001,0),"")</f>
        <v/>
      </c>
    </row>
    <row r="510">
      <c r="A510" s="12" t="n"/>
      <c r="B510">
        <f>IF($X510="","",INDEX('Per Line'!$D$2:$D$3001,$X510)&amp;"")</f>
        <v/>
      </c>
      <c r="C510" s="11">
        <f>IF($X510="","",INDEX('Per Line'!$F$2:$F$3001,$X510))</f>
        <v/>
      </c>
      <c r="D510">
        <f>IF($X510="","",INDEX('Per Line'!$G$2:$G$3001,$X510)&amp;"")</f>
        <v/>
      </c>
      <c r="E510">
        <f>IF($X510="","",INDEX('Per Line'!$I$2:$I$3001,$X510)&amp;"")</f>
        <v/>
      </c>
      <c r="F510">
        <f>IF($X510="","",INDEX('Per Line'!$J$2:$J$3001,$X510)&amp;"")</f>
        <v/>
      </c>
      <c r="G510">
        <f>IF($X510="","",INDEX('Per Line'!$K$2:$K$3001,$X510)&amp;"")</f>
        <v/>
      </c>
      <c r="H510">
        <f>IF($X510="","",INDEX('Per Line'!$M$2:$M$3001,$X510))</f>
        <v/>
      </c>
      <c r="I510" s="7">
        <f>IF($X510="","",H510*V510/100)</f>
        <v/>
      </c>
      <c r="J510">
        <f>IF($X510="","",INDEX('Per Line'!$W$2:$W$3001,$X510)&amp;"")</f>
        <v/>
      </c>
      <c r="K510">
        <f>IF($X510="","",INDEX('Per Line'!$AD$2:$AD$3001,$X510))</f>
        <v/>
      </c>
      <c r="L510">
        <f>IF($X510="","",IF(AND(ISNUMBER(K510),K510&gt;0),V510&gt;K510,FALSE))</f>
        <v/>
      </c>
      <c r="M510" s="7">
        <f>IF($X510="","",SUMIFS('Per Line'!$V$2:$V$3001,'Per Line'!$D$2:$D$3001,$B510,'Per Line'!$AN$2:$AN$3001,1))</f>
        <v/>
      </c>
      <c r="N510">
        <f>IF($X510="","",Settings!$C$7)</f>
        <v/>
      </c>
      <c r="O510" s="7">
        <f>IF($X510="","",SUMIFS('Per Line'!$V$2:$V$3001,'Per Line'!$D$2:$D$3001,$B510,'Per Line'!$AM$2:$AM$3001,0,'Per Line'!$AN$2:$AN$3001,0))</f>
        <v/>
      </c>
      <c r="P510" s="7">
        <f>IF($X510="","",O510*N510)</f>
        <v/>
      </c>
      <c r="Q510">
        <f>IF($X510="","",Settings!$C$6)</f>
        <v/>
      </c>
      <c r="R510" s="7">
        <f>IF($X510="","",SUMIFS('Per Line'!$V$2:$V$3001,'Per Line'!$D$2:$D$3001,$B510,'Per Line'!$AM$2:$AM$3001,1,'Per Line'!$AN$2:$AN$3001,0))</f>
        <v/>
      </c>
      <c r="S510" s="7">
        <f>IF($X510="","",R510*Q510)</f>
        <v/>
      </c>
      <c r="T510" s="7">
        <f>IF($X510="","",S510+P510)</f>
        <v/>
      </c>
      <c r="U510" s="7">
        <f>IF($X510="","",V510-T510)</f>
        <v/>
      </c>
      <c r="V510" s="7">
        <f>IF($X510="","",O510+R510+M510)</f>
        <v/>
      </c>
      <c r="W510" s="7">
        <f>IF($X510="","",V510-T510-I510)</f>
        <v/>
      </c>
      <c r="X510" s="13">
        <f>IF(ROWS($X$2:$X510)&lt;=MAX('Per Line'!$AL$2:$AL$3001),MATCH(ROWS($X$2:$X510),'Per Line'!$AL$2:$AL$3001,0),"")</f>
        <v/>
      </c>
    </row>
    <row r="511">
      <c r="A511" s="12" t="n"/>
      <c r="B511">
        <f>IF($X511="","",INDEX('Per Line'!$D$2:$D$3001,$X511)&amp;"")</f>
        <v/>
      </c>
      <c r="C511" s="11">
        <f>IF($X511="","",INDEX('Per Line'!$F$2:$F$3001,$X511))</f>
        <v/>
      </c>
      <c r="D511">
        <f>IF($X511="","",INDEX('Per Line'!$G$2:$G$3001,$X511)&amp;"")</f>
        <v/>
      </c>
      <c r="E511">
        <f>IF($X511="","",INDEX('Per Line'!$I$2:$I$3001,$X511)&amp;"")</f>
        <v/>
      </c>
      <c r="F511">
        <f>IF($X511="","",INDEX('Per Line'!$J$2:$J$3001,$X511)&amp;"")</f>
        <v/>
      </c>
      <c r="G511">
        <f>IF($X511="","",INDEX('Per Line'!$K$2:$K$3001,$X511)&amp;"")</f>
        <v/>
      </c>
      <c r="H511">
        <f>IF($X511="","",INDEX('Per Line'!$M$2:$M$3001,$X511))</f>
        <v/>
      </c>
      <c r="I511" s="7">
        <f>IF($X511="","",H511*V511/100)</f>
        <v/>
      </c>
      <c r="J511">
        <f>IF($X511="","",INDEX('Per Line'!$W$2:$W$3001,$X511)&amp;"")</f>
        <v/>
      </c>
      <c r="K511">
        <f>IF($X511="","",INDEX('Per Line'!$AD$2:$AD$3001,$X511))</f>
        <v/>
      </c>
      <c r="L511">
        <f>IF($X511="","",IF(AND(ISNUMBER(K511),K511&gt;0),V511&gt;K511,FALSE))</f>
        <v/>
      </c>
      <c r="M511" s="7">
        <f>IF($X511="","",SUMIFS('Per Line'!$V$2:$V$3001,'Per Line'!$D$2:$D$3001,$B511,'Per Line'!$AN$2:$AN$3001,1))</f>
        <v/>
      </c>
      <c r="N511">
        <f>IF($X511="","",Settings!$C$7)</f>
        <v/>
      </c>
      <c r="O511" s="7">
        <f>IF($X511="","",SUMIFS('Per Line'!$V$2:$V$3001,'Per Line'!$D$2:$D$3001,$B511,'Per Line'!$AM$2:$AM$3001,0,'Per Line'!$AN$2:$AN$3001,0))</f>
        <v/>
      </c>
      <c r="P511" s="7">
        <f>IF($X511="","",O511*N511)</f>
        <v/>
      </c>
      <c r="Q511">
        <f>IF($X511="","",Settings!$C$6)</f>
        <v/>
      </c>
      <c r="R511" s="7">
        <f>IF($X511="","",SUMIFS('Per Line'!$V$2:$V$3001,'Per Line'!$D$2:$D$3001,$B511,'Per Line'!$AM$2:$AM$3001,1,'Per Line'!$AN$2:$AN$3001,0))</f>
        <v/>
      </c>
      <c r="S511" s="7">
        <f>IF($X511="","",R511*Q511)</f>
        <v/>
      </c>
      <c r="T511" s="7">
        <f>IF($X511="","",S511+P511)</f>
        <v/>
      </c>
      <c r="U511" s="7">
        <f>IF($X511="","",V511-T511)</f>
        <v/>
      </c>
      <c r="V511" s="7">
        <f>IF($X511="","",O511+R511+M511)</f>
        <v/>
      </c>
      <c r="W511" s="7">
        <f>IF($X511="","",V511-T511-I511)</f>
        <v/>
      </c>
      <c r="X511" s="13">
        <f>IF(ROWS($X$2:$X511)&lt;=MAX('Per Line'!$AL$2:$AL$3001),MATCH(ROWS($X$2:$X511),'Per Line'!$AL$2:$AL$3001,0),"")</f>
        <v/>
      </c>
    </row>
    <row r="512">
      <c r="A512" s="12" t="n"/>
      <c r="B512">
        <f>IF($X512="","",INDEX('Per Line'!$D$2:$D$3001,$X512)&amp;"")</f>
        <v/>
      </c>
      <c r="C512" s="11">
        <f>IF($X512="","",INDEX('Per Line'!$F$2:$F$3001,$X512))</f>
        <v/>
      </c>
      <c r="D512">
        <f>IF($X512="","",INDEX('Per Line'!$G$2:$G$3001,$X512)&amp;"")</f>
        <v/>
      </c>
      <c r="E512">
        <f>IF($X512="","",INDEX('Per Line'!$I$2:$I$3001,$X512)&amp;"")</f>
        <v/>
      </c>
      <c r="F512">
        <f>IF($X512="","",INDEX('Per Line'!$J$2:$J$3001,$X512)&amp;"")</f>
        <v/>
      </c>
      <c r="G512">
        <f>IF($X512="","",INDEX('Per Line'!$K$2:$K$3001,$X512)&amp;"")</f>
        <v/>
      </c>
      <c r="H512">
        <f>IF($X512="","",INDEX('Per Line'!$M$2:$M$3001,$X512))</f>
        <v/>
      </c>
      <c r="I512" s="7">
        <f>IF($X512="","",H512*V512/100)</f>
        <v/>
      </c>
      <c r="J512">
        <f>IF($X512="","",INDEX('Per Line'!$W$2:$W$3001,$X512)&amp;"")</f>
        <v/>
      </c>
      <c r="K512">
        <f>IF($X512="","",INDEX('Per Line'!$AD$2:$AD$3001,$X512))</f>
        <v/>
      </c>
      <c r="L512">
        <f>IF($X512="","",IF(AND(ISNUMBER(K512),K512&gt;0),V512&gt;K512,FALSE))</f>
        <v/>
      </c>
      <c r="M512" s="7">
        <f>IF($X512="","",SUMIFS('Per Line'!$V$2:$V$3001,'Per Line'!$D$2:$D$3001,$B512,'Per Line'!$AN$2:$AN$3001,1))</f>
        <v/>
      </c>
      <c r="N512">
        <f>IF($X512="","",Settings!$C$7)</f>
        <v/>
      </c>
      <c r="O512" s="7">
        <f>IF($X512="","",SUMIFS('Per Line'!$V$2:$V$3001,'Per Line'!$D$2:$D$3001,$B512,'Per Line'!$AM$2:$AM$3001,0,'Per Line'!$AN$2:$AN$3001,0))</f>
        <v/>
      </c>
      <c r="P512" s="7">
        <f>IF($X512="","",O512*N512)</f>
        <v/>
      </c>
      <c r="Q512">
        <f>IF($X512="","",Settings!$C$6)</f>
        <v/>
      </c>
      <c r="R512" s="7">
        <f>IF($X512="","",SUMIFS('Per Line'!$V$2:$V$3001,'Per Line'!$D$2:$D$3001,$B512,'Per Line'!$AM$2:$AM$3001,1,'Per Line'!$AN$2:$AN$3001,0))</f>
        <v/>
      </c>
      <c r="S512" s="7">
        <f>IF($X512="","",R512*Q512)</f>
        <v/>
      </c>
      <c r="T512" s="7">
        <f>IF($X512="","",S512+P512)</f>
        <v/>
      </c>
      <c r="U512" s="7">
        <f>IF($X512="","",V512-T512)</f>
        <v/>
      </c>
      <c r="V512" s="7">
        <f>IF($X512="","",O512+R512+M512)</f>
        <v/>
      </c>
      <c r="W512" s="7">
        <f>IF($X512="","",V512-T512-I512)</f>
        <v/>
      </c>
      <c r="X512" s="13">
        <f>IF(ROWS($X$2:$X512)&lt;=MAX('Per Line'!$AL$2:$AL$3001),MATCH(ROWS($X$2:$X512),'Per Line'!$AL$2:$AL$3001,0),"")</f>
        <v/>
      </c>
    </row>
    <row r="513">
      <c r="A513" s="12" t="n"/>
      <c r="B513">
        <f>IF($X513="","",INDEX('Per Line'!$D$2:$D$3001,$X513)&amp;"")</f>
        <v/>
      </c>
      <c r="C513" s="11">
        <f>IF($X513="","",INDEX('Per Line'!$F$2:$F$3001,$X513))</f>
        <v/>
      </c>
      <c r="D513">
        <f>IF($X513="","",INDEX('Per Line'!$G$2:$G$3001,$X513)&amp;"")</f>
        <v/>
      </c>
      <c r="E513">
        <f>IF($X513="","",INDEX('Per Line'!$I$2:$I$3001,$X513)&amp;"")</f>
        <v/>
      </c>
      <c r="F513">
        <f>IF($X513="","",INDEX('Per Line'!$J$2:$J$3001,$X513)&amp;"")</f>
        <v/>
      </c>
      <c r="G513">
        <f>IF($X513="","",INDEX('Per Line'!$K$2:$K$3001,$X513)&amp;"")</f>
        <v/>
      </c>
      <c r="H513">
        <f>IF($X513="","",INDEX('Per Line'!$M$2:$M$3001,$X513))</f>
        <v/>
      </c>
      <c r="I513" s="7">
        <f>IF($X513="","",H513*V513/100)</f>
        <v/>
      </c>
      <c r="J513">
        <f>IF($X513="","",INDEX('Per Line'!$W$2:$W$3001,$X513)&amp;"")</f>
        <v/>
      </c>
      <c r="K513">
        <f>IF($X513="","",INDEX('Per Line'!$AD$2:$AD$3001,$X513))</f>
        <v/>
      </c>
      <c r="L513">
        <f>IF($X513="","",IF(AND(ISNUMBER(K513),K513&gt;0),V513&gt;K513,FALSE))</f>
        <v/>
      </c>
      <c r="M513" s="7">
        <f>IF($X513="","",SUMIFS('Per Line'!$V$2:$V$3001,'Per Line'!$D$2:$D$3001,$B513,'Per Line'!$AN$2:$AN$3001,1))</f>
        <v/>
      </c>
      <c r="N513">
        <f>IF($X513="","",Settings!$C$7)</f>
        <v/>
      </c>
      <c r="O513" s="7">
        <f>IF($X513="","",SUMIFS('Per Line'!$V$2:$V$3001,'Per Line'!$D$2:$D$3001,$B513,'Per Line'!$AM$2:$AM$3001,0,'Per Line'!$AN$2:$AN$3001,0))</f>
        <v/>
      </c>
      <c r="P513" s="7">
        <f>IF($X513="","",O513*N513)</f>
        <v/>
      </c>
      <c r="Q513">
        <f>IF($X513="","",Settings!$C$6)</f>
        <v/>
      </c>
      <c r="R513" s="7">
        <f>IF($X513="","",SUMIFS('Per Line'!$V$2:$V$3001,'Per Line'!$D$2:$D$3001,$B513,'Per Line'!$AM$2:$AM$3001,1,'Per Line'!$AN$2:$AN$3001,0))</f>
        <v/>
      </c>
      <c r="S513" s="7">
        <f>IF($X513="","",R513*Q513)</f>
        <v/>
      </c>
      <c r="T513" s="7">
        <f>IF($X513="","",S513+P513)</f>
        <v/>
      </c>
      <c r="U513" s="7">
        <f>IF($X513="","",V513-T513)</f>
        <v/>
      </c>
      <c r="V513" s="7">
        <f>IF($X513="","",O513+R513+M513)</f>
        <v/>
      </c>
      <c r="W513" s="7">
        <f>IF($X513="","",V513-T513-I513)</f>
        <v/>
      </c>
      <c r="X513" s="13">
        <f>IF(ROWS($X$2:$X513)&lt;=MAX('Per Line'!$AL$2:$AL$3001),MATCH(ROWS($X$2:$X513),'Per Line'!$AL$2:$AL$3001,0),"")</f>
        <v/>
      </c>
    </row>
    <row r="514">
      <c r="A514" s="12" t="n"/>
      <c r="B514">
        <f>IF($X514="","",INDEX('Per Line'!$D$2:$D$3001,$X514)&amp;"")</f>
        <v/>
      </c>
      <c r="C514" s="11">
        <f>IF($X514="","",INDEX('Per Line'!$F$2:$F$3001,$X514))</f>
        <v/>
      </c>
      <c r="D514">
        <f>IF($X514="","",INDEX('Per Line'!$G$2:$G$3001,$X514)&amp;"")</f>
        <v/>
      </c>
      <c r="E514">
        <f>IF($X514="","",INDEX('Per Line'!$I$2:$I$3001,$X514)&amp;"")</f>
        <v/>
      </c>
      <c r="F514">
        <f>IF($X514="","",INDEX('Per Line'!$J$2:$J$3001,$X514)&amp;"")</f>
        <v/>
      </c>
      <c r="G514">
        <f>IF($X514="","",INDEX('Per Line'!$K$2:$K$3001,$X514)&amp;"")</f>
        <v/>
      </c>
      <c r="H514">
        <f>IF($X514="","",INDEX('Per Line'!$M$2:$M$3001,$X514))</f>
        <v/>
      </c>
      <c r="I514" s="7">
        <f>IF($X514="","",H514*V514/100)</f>
        <v/>
      </c>
      <c r="J514">
        <f>IF($X514="","",INDEX('Per Line'!$W$2:$W$3001,$X514)&amp;"")</f>
        <v/>
      </c>
      <c r="K514">
        <f>IF($X514="","",INDEX('Per Line'!$AD$2:$AD$3001,$X514))</f>
        <v/>
      </c>
      <c r="L514">
        <f>IF($X514="","",IF(AND(ISNUMBER(K514),K514&gt;0),V514&gt;K514,FALSE))</f>
        <v/>
      </c>
      <c r="M514" s="7">
        <f>IF($X514="","",SUMIFS('Per Line'!$V$2:$V$3001,'Per Line'!$D$2:$D$3001,$B514,'Per Line'!$AN$2:$AN$3001,1))</f>
        <v/>
      </c>
      <c r="N514">
        <f>IF($X514="","",Settings!$C$7)</f>
        <v/>
      </c>
      <c r="O514" s="7">
        <f>IF($X514="","",SUMIFS('Per Line'!$V$2:$V$3001,'Per Line'!$D$2:$D$3001,$B514,'Per Line'!$AM$2:$AM$3001,0,'Per Line'!$AN$2:$AN$3001,0))</f>
        <v/>
      </c>
      <c r="P514" s="7">
        <f>IF($X514="","",O514*N514)</f>
        <v/>
      </c>
      <c r="Q514">
        <f>IF($X514="","",Settings!$C$6)</f>
        <v/>
      </c>
      <c r="R514" s="7">
        <f>IF($X514="","",SUMIFS('Per Line'!$V$2:$V$3001,'Per Line'!$D$2:$D$3001,$B514,'Per Line'!$AM$2:$AM$3001,1,'Per Line'!$AN$2:$AN$3001,0))</f>
        <v/>
      </c>
      <c r="S514" s="7">
        <f>IF($X514="","",R514*Q514)</f>
        <v/>
      </c>
      <c r="T514" s="7">
        <f>IF($X514="","",S514+P514)</f>
        <v/>
      </c>
      <c r="U514" s="7">
        <f>IF($X514="","",V514-T514)</f>
        <v/>
      </c>
      <c r="V514" s="7">
        <f>IF($X514="","",O514+R514+M514)</f>
        <v/>
      </c>
      <c r="W514" s="7">
        <f>IF($X514="","",V514-T514-I514)</f>
        <v/>
      </c>
      <c r="X514" s="13">
        <f>IF(ROWS($X$2:$X514)&lt;=MAX('Per Line'!$AL$2:$AL$3001),MATCH(ROWS($X$2:$X514),'Per Line'!$AL$2:$AL$3001,0),"")</f>
        <v/>
      </c>
    </row>
    <row r="515">
      <c r="A515" s="12" t="n"/>
      <c r="B515">
        <f>IF($X515="","",INDEX('Per Line'!$D$2:$D$3001,$X515)&amp;"")</f>
        <v/>
      </c>
      <c r="C515" s="11">
        <f>IF($X515="","",INDEX('Per Line'!$F$2:$F$3001,$X515))</f>
        <v/>
      </c>
      <c r="D515">
        <f>IF($X515="","",INDEX('Per Line'!$G$2:$G$3001,$X515)&amp;"")</f>
        <v/>
      </c>
      <c r="E515">
        <f>IF($X515="","",INDEX('Per Line'!$I$2:$I$3001,$X515)&amp;"")</f>
        <v/>
      </c>
      <c r="F515">
        <f>IF($X515="","",INDEX('Per Line'!$J$2:$J$3001,$X515)&amp;"")</f>
        <v/>
      </c>
      <c r="G515">
        <f>IF($X515="","",INDEX('Per Line'!$K$2:$K$3001,$X515)&amp;"")</f>
        <v/>
      </c>
      <c r="H515">
        <f>IF($X515="","",INDEX('Per Line'!$M$2:$M$3001,$X515))</f>
        <v/>
      </c>
      <c r="I515" s="7">
        <f>IF($X515="","",H515*V515/100)</f>
        <v/>
      </c>
      <c r="J515">
        <f>IF($X515="","",INDEX('Per Line'!$W$2:$W$3001,$X515)&amp;"")</f>
        <v/>
      </c>
      <c r="K515">
        <f>IF($X515="","",INDEX('Per Line'!$AD$2:$AD$3001,$X515))</f>
        <v/>
      </c>
      <c r="L515">
        <f>IF($X515="","",IF(AND(ISNUMBER(K515),K515&gt;0),V515&gt;K515,FALSE))</f>
        <v/>
      </c>
      <c r="M515" s="7">
        <f>IF($X515="","",SUMIFS('Per Line'!$V$2:$V$3001,'Per Line'!$D$2:$D$3001,$B515,'Per Line'!$AN$2:$AN$3001,1))</f>
        <v/>
      </c>
      <c r="N515">
        <f>IF($X515="","",Settings!$C$7)</f>
        <v/>
      </c>
      <c r="O515" s="7">
        <f>IF($X515="","",SUMIFS('Per Line'!$V$2:$V$3001,'Per Line'!$D$2:$D$3001,$B515,'Per Line'!$AM$2:$AM$3001,0,'Per Line'!$AN$2:$AN$3001,0))</f>
        <v/>
      </c>
      <c r="P515" s="7">
        <f>IF($X515="","",O515*N515)</f>
        <v/>
      </c>
      <c r="Q515">
        <f>IF($X515="","",Settings!$C$6)</f>
        <v/>
      </c>
      <c r="R515" s="7">
        <f>IF($X515="","",SUMIFS('Per Line'!$V$2:$V$3001,'Per Line'!$D$2:$D$3001,$B515,'Per Line'!$AM$2:$AM$3001,1,'Per Line'!$AN$2:$AN$3001,0))</f>
        <v/>
      </c>
      <c r="S515" s="7">
        <f>IF($X515="","",R515*Q515)</f>
        <v/>
      </c>
      <c r="T515" s="7">
        <f>IF($X515="","",S515+P515)</f>
        <v/>
      </c>
      <c r="U515" s="7">
        <f>IF($X515="","",V515-T515)</f>
        <v/>
      </c>
      <c r="V515" s="7">
        <f>IF($X515="","",O515+R515+M515)</f>
        <v/>
      </c>
      <c r="W515" s="7">
        <f>IF($X515="","",V515-T515-I515)</f>
        <v/>
      </c>
      <c r="X515" s="13">
        <f>IF(ROWS($X$2:$X515)&lt;=MAX('Per Line'!$AL$2:$AL$3001),MATCH(ROWS($X$2:$X515),'Per Line'!$AL$2:$AL$3001,0),"")</f>
        <v/>
      </c>
    </row>
    <row r="516">
      <c r="A516" s="12" t="n"/>
      <c r="B516">
        <f>IF($X516="","",INDEX('Per Line'!$D$2:$D$3001,$X516)&amp;"")</f>
        <v/>
      </c>
      <c r="C516" s="11">
        <f>IF($X516="","",INDEX('Per Line'!$F$2:$F$3001,$X516))</f>
        <v/>
      </c>
      <c r="D516">
        <f>IF($X516="","",INDEX('Per Line'!$G$2:$G$3001,$X516)&amp;"")</f>
        <v/>
      </c>
      <c r="E516">
        <f>IF($X516="","",INDEX('Per Line'!$I$2:$I$3001,$X516)&amp;"")</f>
        <v/>
      </c>
      <c r="F516">
        <f>IF($X516="","",INDEX('Per Line'!$J$2:$J$3001,$X516)&amp;"")</f>
        <v/>
      </c>
      <c r="G516">
        <f>IF($X516="","",INDEX('Per Line'!$K$2:$K$3001,$X516)&amp;"")</f>
        <v/>
      </c>
      <c r="H516">
        <f>IF($X516="","",INDEX('Per Line'!$M$2:$M$3001,$X516))</f>
        <v/>
      </c>
      <c r="I516" s="7">
        <f>IF($X516="","",H516*V516/100)</f>
        <v/>
      </c>
      <c r="J516">
        <f>IF($X516="","",INDEX('Per Line'!$W$2:$W$3001,$X516)&amp;"")</f>
        <v/>
      </c>
      <c r="K516">
        <f>IF($X516="","",INDEX('Per Line'!$AD$2:$AD$3001,$X516))</f>
        <v/>
      </c>
      <c r="L516">
        <f>IF($X516="","",IF(AND(ISNUMBER(K516),K516&gt;0),V516&gt;K516,FALSE))</f>
        <v/>
      </c>
      <c r="M516" s="7">
        <f>IF($X516="","",SUMIFS('Per Line'!$V$2:$V$3001,'Per Line'!$D$2:$D$3001,$B516,'Per Line'!$AN$2:$AN$3001,1))</f>
        <v/>
      </c>
      <c r="N516">
        <f>IF($X516="","",Settings!$C$7)</f>
        <v/>
      </c>
      <c r="O516" s="7">
        <f>IF($X516="","",SUMIFS('Per Line'!$V$2:$V$3001,'Per Line'!$D$2:$D$3001,$B516,'Per Line'!$AM$2:$AM$3001,0,'Per Line'!$AN$2:$AN$3001,0))</f>
        <v/>
      </c>
      <c r="P516" s="7">
        <f>IF($X516="","",O516*N516)</f>
        <v/>
      </c>
      <c r="Q516">
        <f>IF($X516="","",Settings!$C$6)</f>
        <v/>
      </c>
      <c r="R516" s="7">
        <f>IF($X516="","",SUMIFS('Per Line'!$V$2:$V$3001,'Per Line'!$D$2:$D$3001,$B516,'Per Line'!$AM$2:$AM$3001,1,'Per Line'!$AN$2:$AN$3001,0))</f>
        <v/>
      </c>
      <c r="S516" s="7">
        <f>IF($X516="","",R516*Q516)</f>
        <v/>
      </c>
      <c r="T516" s="7">
        <f>IF($X516="","",S516+P516)</f>
        <v/>
      </c>
      <c r="U516" s="7">
        <f>IF($X516="","",V516-T516)</f>
        <v/>
      </c>
      <c r="V516" s="7">
        <f>IF($X516="","",O516+R516+M516)</f>
        <v/>
      </c>
      <c r="W516" s="7">
        <f>IF($X516="","",V516-T516-I516)</f>
        <v/>
      </c>
      <c r="X516" s="13">
        <f>IF(ROWS($X$2:$X516)&lt;=MAX('Per Line'!$AL$2:$AL$3001),MATCH(ROWS($X$2:$X516),'Per Line'!$AL$2:$AL$3001,0),"")</f>
        <v/>
      </c>
    </row>
    <row r="517">
      <c r="A517" s="12" t="n"/>
      <c r="B517">
        <f>IF($X517="","",INDEX('Per Line'!$D$2:$D$3001,$X517)&amp;"")</f>
        <v/>
      </c>
      <c r="C517" s="11">
        <f>IF($X517="","",INDEX('Per Line'!$F$2:$F$3001,$X517))</f>
        <v/>
      </c>
      <c r="D517">
        <f>IF($X517="","",INDEX('Per Line'!$G$2:$G$3001,$X517)&amp;"")</f>
        <v/>
      </c>
      <c r="E517">
        <f>IF($X517="","",INDEX('Per Line'!$I$2:$I$3001,$X517)&amp;"")</f>
        <v/>
      </c>
      <c r="F517">
        <f>IF($X517="","",INDEX('Per Line'!$J$2:$J$3001,$X517)&amp;"")</f>
        <v/>
      </c>
      <c r="G517">
        <f>IF($X517="","",INDEX('Per Line'!$K$2:$K$3001,$X517)&amp;"")</f>
        <v/>
      </c>
      <c r="H517">
        <f>IF($X517="","",INDEX('Per Line'!$M$2:$M$3001,$X517))</f>
        <v/>
      </c>
      <c r="I517" s="7">
        <f>IF($X517="","",H517*V517/100)</f>
        <v/>
      </c>
      <c r="J517">
        <f>IF($X517="","",INDEX('Per Line'!$W$2:$W$3001,$X517)&amp;"")</f>
        <v/>
      </c>
      <c r="K517">
        <f>IF($X517="","",INDEX('Per Line'!$AD$2:$AD$3001,$X517))</f>
        <v/>
      </c>
      <c r="L517">
        <f>IF($X517="","",IF(AND(ISNUMBER(K517),K517&gt;0),V517&gt;K517,FALSE))</f>
        <v/>
      </c>
      <c r="M517" s="7">
        <f>IF($X517="","",SUMIFS('Per Line'!$V$2:$V$3001,'Per Line'!$D$2:$D$3001,$B517,'Per Line'!$AN$2:$AN$3001,1))</f>
        <v/>
      </c>
      <c r="N517">
        <f>IF($X517="","",Settings!$C$7)</f>
        <v/>
      </c>
      <c r="O517" s="7">
        <f>IF($X517="","",SUMIFS('Per Line'!$V$2:$V$3001,'Per Line'!$D$2:$D$3001,$B517,'Per Line'!$AM$2:$AM$3001,0,'Per Line'!$AN$2:$AN$3001,0))</f>
        <v/>
      </c>
      <c r="P517" s="7">
        <f>IF($X517="","",O517*N517)</f>
        <v/>
      </c>
      <c r="Q517">
        <f>IF($X517="","",Settings!$C$6)</f>
        <v/>
      </c>
      <c r="R517" s="7">
        <f>IF($X517="","",SUMIFS('Per Line'!$V$2:$V$3001,'Per Line'!$D$2:$D$3001,$B517,'Per Line'!$AM$2:$AM$3001,1,'Per Line'!$AN$2:$AN$3001,0))</f>
        <v/>
      </c>
      <c r="S517" s="7">
        <f>IF($X517="","",R517*Q517)</f>
        <v/>
      </c>
      <c r="T517" s="7">
        <f>IF($X517="","",S517+P517)</f>
        <v/>
      </c>
      <c r="U517" s="7">
        <f>IF($X517="","",V517-T517)</f>
        <v/>
      </c>
      <c r="V517" s="7">
        <f>IF($X517="","",O517+R517+M517)</f>
        <v/>
      </c>
      <c r="W517" s="7">
        <f>IF($X517="","",V517-T517-I517)</f>
        <v/>
      </c>
      <c r="X517" s="13">
        <f>IF(ROWS($X$2:$X517)&lt;=MAX('Per Line'!$AL$2:$AL$3001),MATCH(ROWS($X$2:$X517),'Per Line'!$AL$2:$AL$3001,0),"")</f>
        <v/>
      </c>
    </row>
    <row r="518">
      <c r="A518" s="12" t="n"/>
      <c r="B518">
        <f>IF($X518="","",INDEX('Per Line'!$D$2:$D$3001,$X518)&amp;"")</f>
        <v/>
      </c>
      <c r="C518" s="11">
        <f>IF($X518="","",INDEX('Per Line'!$F$2:$F$3001,$X518))</f>
        <v/>
      </c>
      <c r="D518">
        <f>IF($X518="","",INDEX('Per Line'!$G$2:$G$3001,$X518)&amp;"")</f>
        <v/>
      </c>
      <c r="E518">
        <f>IF($X518="","",INDEX('Per Line'!$I$2:$I$3001,$X518)&amp;"")</f>
        <v/>
      </c>
      <c r="F518">
        <f>IF($X518="","",INDEX('Per Line'!$J$2:$J$3001,$X518)&amp;"")</f>
        <v/>
      </c>
      <c r="G518">
        <f>IF($X518="","",INDEX('Per Line'!$K$2:$K$3001,$X518)&amp;"")</f>
        <v/>
      </c>
      <c r="H518">
        <f>IF($X518="","",INDEX('Per Line'!$M$2:$M$3001,$X518))</f>
        <v/>
      </c>
      <c r="I518" s="7">
        <f>IF($X518="","",H518*V518/100)</f>
        <v/>
      </c>
      <c r="J518">
        <f>IF($X518="","",INDEX('Per Line'!$W$2:$W$3001,$X518)&amp;"")</f>
        <v/>
      </c>
      <c r="K518">
        <f>IF($X518="","",INDEX('Per Line'!$AD$2:$AD$3001,$X518))</f>
        <v/>
      </c>
      <c r="L518">
        <f>IF($X518="","",IF(AND(ISNUMBER(K518),K518&gt;0),V518&gt;K518,FALSE))</f>
        <v/>
      </c>
      <c r="M518" s="7">
        <f>IF($X518="","",SUMIFS('Per Line'!$V$2:$V$3001,'Per Line'!$D$2:$D$3001,$B518,'Per Line'!$AN$2:$AN$3001,1))</f>
        <v/>
      </c>
      <c r="N518">
        <f>IF($X518="","",Settings!$C$7)</f>
        <v/>
      </c>
      <c r="O518" s="7">
        <f>IF($X518="","",SUMIFS('Per Line'!$V$2:$V$3001,'Per Line'!$D$2:$D$3001,$B518,'Per Line'!$AM$2:$AM$3001,0,'Per Line'!$AN$2:$AN$3001,0))</f>
        <v/>
      </c>
      <c r="P518" s="7">
        <f>IF($X518="","",O518*N518)</f>
        <v/>
      </c>
      <c r="Q518">
        <f>IF($X518="","",Settings!$C$6)</f>
        <v/>
      </c>
      <c r="R518" s="7">
        <f>IF($X518="","",SUMIFS('Per Line'!$V$2:$V$3001,'Per Line'!$D$2:$D$3001,$B518,'Per Line'!$AM$2:$AM$3001,1,'Per Line'!$AN$2:$AN$3001,0))</f>
        <v/>
      </c>
      <c r="S518" s="7">
        <f>IF($X518="","",R518*Q518)</f>
        <v/>
      </c>
      <c r="T518" s="7">
        <f>IF($X518="","",S518+P518)</f>
        <v/>
      </c>
      <c r="U518" s="7">
        <f>IF($X518="","",V518-T518)</f>
        <v/>
      </c>
      <c r="V518" s="7">
        <f>IF($X518="","",O518+R518+M518)</f>
        <v/>
      </c>
      <c r="W518" s="7">
        <f>IF($X518="","",V518-T518-I518)</f>
        <v/>
      </c>
      <c r="X518" s="13">
        <f>IF(ROWS($X$2:$X518)&lt;=MAX('Per Line'!$AL$2:$AL$3001),MATCH(ROWS($X$2:$X518),'Per Line'!$AL$2:$AL$3001,0),"")</f>
        <v/>
      </c>
    </row>
    <row r="519">
      <c r="A519" s="12" t="n"/>
      <c r="B519">
        <f>IF($X519="","",INDEX('Per Line'!$D$2:$D$3001,$X519)&amp;"")</f>
        <v/>
      </c>
      <c r="C519" s="11">
        <f>IF($X519="","",INDEX('Per Line'!$F$2:$F$3001,$X519))</f>
        <v/>
      </c>
      <c r="D519">
        <f>IF($X519="","",INDEX('Per Line'!$G$2:$G$3001,$X519)&amp;"")</f>
        <v/>
      </c>
      <c r="E519">
        <f>IF($X519="","",INDEX('Per Line'!$I$2:$I$3001,$X519)&amp;"")</f>
        <v/>
      </c>
      <c r="F519">
        <f>IF($X519="","",INDEX('Per Line'!$J$2:$J$3001,$X519)&amp;"")</f>
        <v/>
      </c>
      <c r="G519">
        <f>IF($X519="","",INDEX('Per Line'!$K$2:$K$3001,$X519)&amp;"")</f>
        <v/>
      </c>
      <c r="H519">
        <f>IF($X519="","",INDEX('Per Line'!$M$2:$M$3001,$X519))</f>
        <v/>
      </c>
      <c r="I519" s="7">
        <f>IF($X519="","",H519*V519/100)</f>
        <v/>
      </c>
      <c r="J519">
        <f>IF($X519="","",INDEX('Per Line'!$W$2:$W$3001,$X519)&amp;"")</f>
        <v/>
      </c>
      <c r="K519">
        <f>IF($X519="","",INDEX('Per Line'!$AD$2:$AD$3001,$X519))</f>
        <v/>
      </c>
      <c r="L519">
        <f>IF($X519="","",IF(AND(ISNUMBER(K519),K519&gt;0),V519&gt;K519,FALSE))</f>
        <v/>
      </c>
      <c r="M519" s="7">
        <f>IF($X519="","",SUMIFS('Per Line'!$V$2:$V$3001,'Per Line'!$D$2:$D$3001,$B519,'Per Line'!$AN$2:$AN$3001,1))</f>
        <v/>
      </c>
      <c r="N519">
        <f>IF($X519="","",Settings!$C$7)</f>
        <v/>
      </c>
      <c r="O519" s="7">
        <f>IF($X519="","",SUMIFS('Per Line'!$V$2:$V$3001,'Per Line'!$D$2:$D$3001,$B519,'Per Line'!$AM$2:$AM$3001,0,'Per Line'!$AN$2:$AN$3001,0))</f>
        <v/>
      </c>
      <c r="P519" s="7">
        <f>IF($X519="","",O519*N519)</f>
        <v/>
      </c>
      <c r="Q519">
        <f>IF($X519="","",Settings!$C$6)</f>
        <v/>
      </c>
      <c r="R519" s="7">
        <f>IF($X519="","",SUMIFS('Per Line'!$V$2:$V$3001,'Per Line'!$D$2:$D$3001,$B519,'Per Line'!$AM$2:$AM$3001,1,'Per Line'!$AN$2:$AN$3001,0))</f>
        <v/>
      </c>
      <c r="S519" s="7">
        <f>IF($X519="","",R519*Q519)</f>
        <v/>
      </c>
      <c r="T519" s="7">
        <f>IF($X519="","",S519+P519)</f>
        <v/>
      </c>
      <c r="U519" s="7">
        <f>IF($X519="","",V519-T519)</f>
        <v/>
      </c>
      <c r="V519" s="7">
        <f>IF($X519="","",O519+R519+M519)</f>
        <v/>
      </c>
      <c r="W519" s="7">
        <f>IF($X519="","",V519-T519-I519)</f>
        <v/>
      </c>
      <c r="X519" s="13">
        <f>IF(ROWS($X$2:$X519)&lt;=MAX('Per Line'!$AL$2:$AL$3001),MATCH(ROWS($X$2:$X519),'Per Line'!$AL$2:$AL$3001,0),"")</f>
        <v/>
      </c>
    </row>
    <row r="520">
      <c r="A520" s="12" t="n"/>
      <c r="B520">
        <f>IF($X520="","",INDEX('Per Line'!$D$2:$D$3001,$X520)&amp;"")</f>
        <v/>
      </c>
      <c r="C520" s="11">
        <f>IF($X520="","",INDEX('Per Line'!$F$2:$F$3001,$X520))</f>
        <v/>
      </c>
      <c r="D520">
        <f>IF($X520="","",INDEX('Per Line'!$G$2:$G$3001,$X520)&amp;"")</f>
        <v/>
      </c>
      <c r="E520">
        <f>IF($X520="","",INDEX('Per Line'!$I$2:$I$3001,$X520)&amp;"")</f>
        <v/>
      </c>
      <c r="F520">
        <f>IF($X520="","",INDEX('Per Line'!$J$2:$J$3001,$X520)&amp;"")</f>
        <v/>
      </c>
      <c r="G520">
        <f>IF($X520="","",INDEX('Per Line'!$K$2:$K$3001,$X520)&amp;"")</f>
        <v/>
      </c>
      <c r="H520">
        <f>IF($X520="","",INDEX('Per Line'!$M$2:$M$3001,$X520))</f>
        <v/>
      </c>
      <c r="I520" s="7">
        <f>IF($X520="","",H520*V520/100)</f>
        <v/>
      </c>
      <c r="J520">
        <f>IF($X520="","",INDEX('Per Line'!$W$2:$W$3001,$X520)&amp;"")</f>
        <v/>
      </c>
      <c r="K520">
        <f>IF($X520="","",INDEX('Per Line'!$AD$2:$AD$3001,$X520))</f>
        <v/>
      </c>
      <c r="L520">
        <f>IF($X520="","",IF(AND(ISNUMBER(K520),K520&gt;0),V520&gt;K520,FALSE))</f>
        <v/>
      </c>
      <c r="M520" s="7">
        <f>IF($X520="","",SUMIFS('Per Line'!$V$2:$V$3001,'Per Line'!$D$2:$D$3001,$B520,'Per Line'!$AN$2:$AN$3001,1))</f>
        <v/>
      </c>
      <c r="N520">
        <f>IF($X520="","",Settings!$C$7)</f>
        <v/>
      </c>
      <c r="O520" s="7">
        <f>IF($X520="","",SUMIFS('Per Line'!$V$2:$V$3001,'Per Line'!$D$2:$D$3001,$B520,'Per Line'!$AM$2:$AM$3001,0,'Per Line'!$AN$2:$AN$3001,0))</f>
        <v/>
      </c>
      <c r="P520" s="7">
        <f>IF($X520="","",O520*N520)</f>
        <v/>
      </c>
      <c r="Q520">
        <f>IF($X520="","",Settings!$C$6)</f>
        <v/>
      </c>
      <c r="R520" s="7">
        <f>IF($X520="","",SUMIFS('Per Line'!$V$2:$V$3001,'Per Line'!$D$2:$D$3001,$B520,'Per Line'!$AM$2:$AM$3001,1,'Per Line'!$AN$2:$AN$3001,0))</f>
        <v/>
      </c>
      <c r="S520" s="7">
        <f>IF($X520="","",R520*Q520)</f>
        <v/>
      </c>
      <c r="T520" s="7">
        <f>IF($X520="","",S520+P520)</f>
        <v/>
      </c>
      <c r="U520" s="7">
        <f>IF($X520="","",V520-T520)</f>
        <v/>
      </c>
      <c r="V520" s="7">
        <f>IF($X520="","",O520+R520+M520)</f>
        <v/>
      </c>
      <c r="W520" s="7">
        <f>IF($X520="","",V520-T520-I520)</f>
        <v/>
      </c>
      <c r="X520" s="13">
        <f>IF(ROWS($X$2:$X520)&lt;=MAX('Per Line'!$AL$2:$AL$3001),MATCH(ROWS($X$2:$X520),'Per Line'!$AL$2:$AL$3001,0),"")</f>
        <v/>
      </c>
    </row>
    <row r="521">
      <c r="A521" s="12" t="n"/>
      <c r="B521">
        <f>IF($X521="","",INDEX('Per Line'!$D$2:$D$3001,$X521)&amp;"")</f>
        <v/>
      </c>
      <c r="C521" s="11">
        <f>IF($X521="","",INDEX('Per Line'!$F$2:$F$3001,$X521))</f>
        <v/>
      </c>
      <c r="D521">
        <f>IF($X521="","",INDEX('Per Line'!$G$2:$G$3001,$X521)&amp;"")</f>
        <v/>
      </c>
      <c r="E521">
        <f>IF($X521="","",INDEX('Per Line'!$I$2:$I$3001,$X521)&amp;"")</f>
        <v/>
      </c>
      <c r="F521">
        <f>IF($X521="","",INDEX('Per Line'!$J$2:$J$3001,$X521)&amp;"")</f>
        <v/>
      </c>
      <c r="G521">
        <f>IF($X521="","",INDEX('Per Line'!$K$2:$K$3001,$X521)&amp;"")</f>
        <v/>
      </c>
      <c r="H521">
        <f>IF($X521="","",INDEX('Per Line'!$M$2:$M$3001,$X521))</f>
        <v/>
      </c>
      <c r="I521" s="7">
        <f>IF($X521="","",H521*V521/100)</f>
        <v/>
      </c>
      <c r="J521">
        <f>IF($X521="","",INDEX('Per Line'!$W$2:$W$3001,$X521)&amp;"")</f>
        <v/>
      </c>
      <c r="K521">
        <f>IF($X521="","",INDEX('Per Line'!$AD$2:$AD$3001,$X521))</f>
        <v/>
      </c>
      <c r="L521">
        <f>IF($X521="","",IF(AND(ISNUMBER(K521),K521&gt;0),V521&gt;K521,FALSE))</f>
        <v/>
      </c>
      <c r="M521" s="7">
        <f>IF($X521="","",SUMIFS('Per Line'!$V$2:$V$3001,'Per Line'!$D$2:$D$3001,$B521,'Per Line'!$AN$2:$AN$3001,1))</f>
        <v/>
      </c>
      <c r="N521">
        <f>IF($X521="","",Settings!$C$7)</f>
        <v/>
      </c>
      <c r="O521" s="7">
        <f>IF($X521="","",SUMIFS('Per Line'!$V$2:$V$3001,'Per Line'!$D$2:$D$3001,$B521,'Per Line'!$AM$2:$AM$3001,0,'Per Line'!$AN$2:$AN$3001,0))</f>
        <v/>
      </c>
      <c r="P521" s="7">
        <f>IF($X521="","",O521*N521)</f>
        <v/>
      </c>
      <c r="Q521">
        <f>IF($X521="","",Settings!$C$6)</f>
        <v/>
      </c>
      <c r="R521" s="7">
        <f>IF($X521="","",SUMIFS('Per Line'!$V$2:$V$3001,'Per Line'!$D$2:$D$3001,$B521,'Per Line'!$AM$2:$AM$3001,1,'Per Line'!$AN$2:$AN$3001,0))</f>
        <v/>
      </c>
      <c r="S521" s="7">
        <f>IF($X521="","",R521*Q521)</f>
        <v/>
      </c>
      <c r="T521" s="7">
        <f>IF($X521="","",S521+P521)</f>
        <v/>
      </c>
      <c r="U521" s="7">
        <f>IF($X521="","",V521-T521)</f>
        <v/>
      </c>
      <c r="V521" s="7">
        <f>IF($X521="","",O521+R521+M521)</f>
        <v/>
      </c>
      <c r="W521" s="7">
        <f>IF($X521="","",V521-T521-I521)</f>
        <v/>
      </c>
      <c r="X521" s="13">
        <f>IF(ROWS($X$2:$X521)&lt;=MAX('Per Line'!$AL$2:$AL$3001),MATCH(ROWS($X$2:$X521),'Per Line'!$AL$2:$AL$3001,0),"")</f>
        <v/>
      </c>
    </row>
    <row r="522">
      <c r="A522" s="12" t="n"/>
      <c r="B522">
        <f>IF($X522="","",INDEX('Per Line'!$D$2:$D$3001,$X522)&amp;"")</f>
        <v/>
      </c>
      <c r="C522" s="11">
        <f>IF($X522="","",INDEX('Per Line'!$F$2:$F$3001,$X522))</f>
        <v/>
      </c>
      <c r="D522">
        <f>IF($X522="","",INDEX('Per Line'!$G$2:$G$3001,$X522)&amp;"")</f>
        <v/>
      </c>
      <c r="E522">
        <f>IF($X522="","",INDEX('Per Line'!$I$2:$I$3001,$X522)&amp;"")</f>
        <v/>
      </c>
      <c r="F522">
        <f>IF($X522="","",INDEX('Per Line'!$J$2:$J$3001,$X522)&amp;"")</f>
        <v/>
      </c>
      <c r="G522">
        <f>IF($X522="","",INDEX('Per Line'!$K$2:$K$3001,$X522)&amp;"")</f>
        <v/>
      </c>
      <c r="H522">
        <f>IF($X522="","",INDEX('Per Line'!$M$2:$M$3001,$X522))</f>
        <v/>
      </c>
      <c r="I522" s="7">
        <f>IF($X522="","",H522*V522/100)</f>
        <v/>
      </c>
      <c r="J522">
        <f>IF($X522="","",INDEX('Per Line'!$W$2:$W$3001,$X522)&amp;"")</f>
        <v/>
      </c>
      <c r="K522">
        <f>IF($X522="","",INDEX('Per Line'!$AD$2:$AD$3001,$X522))</f>
        <v/>
      </c>
      <c r="L522">
        <f>IF($X522="","",IF(AND(ISNUMBER(K522),K522&gt;0),V522&gt;K522,FALSE))</f>
        <v/>
      </c>
      <c r="M522" s="7">
        <f>IF($X522="","",SUMIFS('Per Line'!$V$2:$V$3001,'Per Line'!$D$2:$D$3001,$B522,'Per Line'!$AN$2:$AN$3001,1))</f>
        <v/>
      </c>
      <c r="N522">
        <f>IF($X522="","",Settings!$C$7)</f>
        <v/>
      </c>
      <c r="O522" s="7">
        <f>IF($X522="","",SUMIFS('Per Line'!$V$2:$V$3001,'Per Line'!$D$2:$D$3001,$B522,'Per Line'!$AM$2:$AM$3001,0,'Per Line'!$AN$2:$AN$3001,0))</f>
        <v/>
      </c>
      <c r="P522" s="7">
        <f>IF($X522="","",O522*N522)</f>
        <v/>
      </c>
      <c r="Q522">
        <f>IF($X522="","",Settings!$C$6)</f>
        <v/>
      </c>
      <c r="R522" s="7">
        <f>IF($X522="","",SUMIFS('Per Line'!$V$2:$V$3001,'Per Line'!$D$2:$D$3001,$B522,'Per Line'!$AM$2:$AM$3001,1,'Per Line'!$AN$2:$AN$3001,0))</f>
        <v/>
      </c>
      <c r="S522" s="7">
        <f>IF($X522="","",R522*Q522)</f>
        <v/>
      </c>
      <c r="T522" s="7">
        <f>IF($X522="","",S522+P522)</f>
        <v/>
      </c>
      <c r="U522" s="7">
        <f>IF($X522="","",V522-T522)</f>
        <v/>
      </c>
      <c r="V522" s="7">
        <f>IF($X522="","",O522+R522+M522)</f>
        <v/>
      </c>
      <c r="W522" s="7">
        <f>IF($X522="","",V522-T522-I522)</f>
        <v/>
      </c>
      <c r="X522" s="13">
        <f>IF(ROWS($X$2:$X522)&lt;=MAX('Per Line'!$AL$2:$AL$3001),MATCH(ROWS($X$2:$X522),'Per Line'!$AL$2:$AL$3001,0),"")</f>
        <v/>
      </c>
    </row>
    <row r="523">
      <c r="A523" s="12" t="n"/>
      <c r="B523">
        <f>IF($X523="","",INDEX('Per Line'!$D$2:$D$3001,$X523)&amp;"")</f>
        <v/>
      </c>
      <c r="C523" s="11">
        <f>IF($X523="","",INDEX('Per Line'!$F$2:$F$3001,$X523))</f>
        <v/>
      </c>
      <c r="D523">
        <f>IF($X523="","",INDEX('Per Line'!$G$2:$G$3001,$X523)&amp;"")</f>
        <v/>
      </c>
      <c r="E523">
        <f>IF($X523="","",INDEX('Per Line'!$I$2:$I$3001,$X523)&amp;"")</f>
        <v/>
      </c>
      <c r="F523">
        <f>IF($X523="","",INDEX('Per Line'!$J$2:$J$3001,$X523)&amp;"")</f>
        <v/>
      </c>
      <c r="G523">
        <f>IF($X523="","",INDEX('Per Line'!$K$2:$K$3001,$X523)&amp;"")</f>
        <v/>
      </c>
      <c r="H523">
        <f>IF($X523="","",INDEX('Per Line'!$M$2:$M$3001,$X523))</f>
        <v/>
      </c>
      <c r="I523" s="7">
        <f>IF($X523="","",H523*V523/100)</f>
        <v/>
      </c>
      <c r="J523">
        <f>IF($X523="","",INDEX('Per Line'!$W$2:$W$3001,$X523)&amp;"")</f>
        <v/>
      </c>
      <c r="K523">
        <f>IF($X523="","",INDEX('Per Line'!$AD$2:$AD$3001,$X523))</f>
        <v/>
      </c>
      <c r="L523">
        <f>IF($X523="","",IF(AND(ISNUMBER(K523),K523&gt;0),V523&gt;K523,FALSE))</f>
        <v/>
      </c>
      <c r="M523" s="7">
        <f>IF($X523="","",SUMIFS('Per Line'!$V$2:$V$3001,'Per Line'!$D$2:$D$3001,$B523,'Per Line'!$AN$2:$AN$3001,1))</f>
        <v/>
      </c>
      <c r="N523">
        <f>IF($X523="","",Settings!$C$7)</f>
        <v/>
      </c>
      <c r="O523" s="7">
        <f>IF($X523="","",SUMIFS('Per Line'!$V$2:$V$3001,'Per Line'!$D$2:$D$3001,$B523,'Per Line'!$AM$2:$AM$3001,0,'Per Line'!$AN$2:$AN$3001,0))</f>
        <v/>
      </c>
      <c r="P523" s="7">
        <f>IF($X523="","",O523*N523)</f>
        <v/>
      </c>
      <c r="Q523">
        <f>IF($X523="","",Settings!$C$6)</f>
        <v/>
      </c>
      <c r="R523" s="7">
        <f>IF($X523="","",SUMIFS('Per Line'!$V$2:$V$3001,'Per Line'!$D$2:$D$3001,$B523,'Per Line'!$AM$2:$AM$3001,1,'Per Line'!$AN$2:$AN$3001,0))</f>
        <v/>
      </c>
      <c r="S523" s="7">
        <f>IF($X523="","",R523*Q523)</f>
        <v/>
      </c>
      <c r="T523" s="7">
        <f>IF($X523="","",S523+P523)</f>
        <v/>
      </c>
      <c r="U523" s="7">
        <f>IF($X523="","",V523-T523)</f>
        <v/>
      </c>
      <c r="V523" s="7">
        <f>IF($X523="","",O523+R523+M523)</f>
        <v/>
      </c>
      <c r="W523" s="7">
        <f>IF($X523="","",V523-T523-I523)</f>
        <v/>
      </c>
      <c r="X523" s="13">
        <f>IF(ROWS($X$2:$X523)&lt;=MAX('Per Line'!$AL$2:$AL$3001),MATCH(ROWS($X$2:$X523),'Per Line'!$AL$2:$AL$3001,0),"")</f>
        <v/>
      </c>
    </row>
    <row r="524">
      <c r="A524" s="12" t="n"/>
      <c r="B524">
        <f>IF($X524="","",INDEX('Per Line'!$D$2:$D$3001,$X524)&amp;"")</f>
        <v/>
      </c>
      <c r="C524" s="11">
        <f>IF($X524="","",INDEX('Per Line'!$F$2:$F$3001,$X524))</f>
        <v/>
      </c>
      <c r="D524">
        <f>IF($X524="","",INDEX('Per Line'!$G$2:$G$3001,$X524)&amp;"")</f>
        <v/>
      </c>
      <c r="E524">
        <f>IF($X524="","",INDEX('Per Line'!$I$2:$I$3001,$X524)&amp;"")</f>
        <v/>
      </c>
      <c r="F524">
        <f>IF($X524="","",INDEX('Per Line'!$J$2:$J$3001,$X524)&amp;"")</f>
        <v/>
      </c>
      <c r="G524">
        <f>IF($X524="","",INDEX('Per Line'!$K$2:$K$3001,$X524)&amp;"")</f>
        <v/>
      </c>
      <c r="H524">
        <f>IF($X524="","",INDEX('Per Line'!$M$2:$M$3001,$X524))</f>
        <v/>
      </c>
      <c r="I524" s="7">
        <f>IF($X524="","",H524*V524/100)</f>
        <v/>
      </c>
      <c r="J524">
        <f>IF($X524="","",INDEX('Per Line'!$W$2:$W$3001,$X524)&amp;"")</f>
        <v/>
      </c>
      <c r="K524">
        <f>IF($X524="","",INDEX('Per Line'!$AD$2:$AD$3001,$X524))</f>
        <v/>
      </c>
      <c r="L524">
        <f>IF($X524="","",IF(AND(ISNUMBER(K524),K524&gt;0),V524&gt;K524,FALSE))</f>
        <v/>
      </c>
      <c r="M524" s="7">
        <f>IF($X524="","",SUMIFS('Per Line'!$V$2:$V$3001,'Per Line'!$D$2:$D$3001,$B524,'Per Line'!$AN$2:$AN$3001,1))</f>
        <v/>
      </c>
      <c r="N524">
        <f>IF($X524="","",Settings!$C$7)</f>
        <v/>
      </c>
      <c r="O524" s="7">
        <f>IF($X524="","",SUMIFS('Per Line'!$V$2:$V$3001,'Per Line'!$D$2:$D$3001,$B524,'Per Line'!$AM$2:$AM$3001,0,'Per Line'!$AN$2:$AN$3001,0))</f>
        <v/>
      </c>
      <c r="P524" s="7">
        <f>IF($X524="","",O524*N524)</f>
        <v/>
      </c>
      <c r="Q524">
        <f>IF($X524="","",Settings!$C$6)</f>
        <v/>
      </c>
      <c r="R524" s="7">
        <f>IF($X524="","",SUMIFS('Per Line'!$V$2:$V$3001,'Per Line'!$D$2:$D$3001,$B524,'Per Line'!$AM$2:$AM$3001,1,'Per Line'!$AN$2:$AN$3001,0))</f>
        <v/>
      </c>
      <c r="S524" s="7">
        <f>IF($X524="","",R524*Q524)</f>
        <v/>
      </c>
      <c r="T524" s="7">
        <f>IF($X524="","",S524+P524)</f>
        <v/>
      </c>
      <c r="U524" s="7">
        <f>IF($X524="","",V524-T524)</f>
        <v/>
      </c>
      <c r="V524" s="7">
        <f>IF($X524="","",O524+R524+M524)</f>
        <v/>
      </c>
      <c r="W524" s="7">
        <f>IF($X524="","",V524-T524-I524)</f>
        <v/>
      </c>
      <c r="X524" s="13">
        <f>IF(ROWS($X$2:$X524)&lt;=MAX('Per Line'!$AL$2:$AL$3001),MATCH(ROWS($X$2:$X524),'Per Line'!$AL$2:$AL$3001,0),"")</f>
        <v/>
      </c>
    </row>
    <row r="525">
      <c r="A525" s="12" t="n"/>
      <c r="B525">
        <f>IF($X525="","",INDEX('Per Line'!$D$2:$D$3001,$X525)&amp;"")</f>
        <v/>
      </c>
      <c r="C525" s="11">
        <f>IF($X525="","",INDEX('Per Line'!$F$2:$F$3001,$X525))</f>
        <v/>
      </c>
      <c r="D525">
        <f>IF($X525="","",INDEX('Per Line'!$G$2:$G$3001,$X525)&amp;"")</f>
        <v/>
      </c>
      <c r="E525">
        <f>IF($X525="","",INDEX('Per Line'!$I$2:$I$3001,$X525)&amp;"")</f>
        <v/>
      </c>
      <c r="F525">
        <f>IF($X525="","",INDEX('Per Line'!$J$2:$J$3001,$X525)&amp;"")</f>
        <v/>
      </c>
      <c r="G525">
        <f>IF($X525="","",INDEX('Per Line'!$K$2:$K$3001,$X525)&amp;"")</f>
        <v/>
      </c>
      <c r="H525">
        <f>IF($X525="","",INDEX('Per Line'!$M$2:$M$3001,$X525))</f>
        <v/>
      </c>
      <c r="I525" s="7">
        <f>IF($X525="","",H525*V525/100)</f>
        <v/>
      </c>
      <c r="J525">
        <f>IF($X525="","",INDEX('Per Line'!$W$2:$W$3001,$X525)&amp;"")</f>
        <v/>
      </c>
      <c r="K525">
        <f>IF($X525="","",INDEX('Per Line'!$AD$2:$AD$3001,$X525))</f>
        <v/>
      </c>
      <c r="L525">
        <f>IF($X525="","",IF(AND(ISNUMBER(K525),K525&gt;0),V525&gt;K525,FALSE))</f>
        <v/>
      </c>
      <c r="M525" s="7">
        <f>IF($X525="","",SUMIFS('Per Line'!$V$2:$V$3001,'Per Line'!$D$2:$D$3001,$B525,'Per Line'!$AN$2:$AN$3001,1))</f>
        <v/>
      </c>
      <c r="N525">
        <f>IF($X525="","",Settings!$C$7)</f>
        <v/>
      </c>
      <c r="O525" s="7">
        <f>IF($X525="","",SUMIFS('Per Line'!$V$2:$V$3001,'Per Line'!$D$2:$D$3001,$B525,'Per Line'!$AM$2:$AM$3001,0,'Per Line'!$AN$2:$AN$3001,0))</f>
        <v/>
      </c>
      <c r="P525" s="7">
        <f>IF($X525="","",O525*N525)</f>
        <v/>
      </c>
      <c r="Q525">
        <f>IF($X525="","",Settings!$C$6)</f>
        <v/>
      </c>
      <c r="R525" s="7">
        <f>IF($X525="","",SUMIFS('Per Line'!$V$2:$V$3001,'Per Line'!$D$2:$D$3001,$B525,'Per Line'!$AM$2:$AM$3001,1,'Per Line'!$AN$2:$AN$3001,0))</f>
        <v/>
      </c>
      <c r="S525" s="7">
        <f>IF($X525="","",R525*Q525)</f>
        <v/>
      </c>
      <c r="T525" s="7">
        <f>IF($X525="","",S525+P525)</f>
        <v/>
      </c>
      <c r="U525" s="7">
        <f>IF($X525="","",V525-T525)</f>
        <v/>
      </c>
      <c r="V525" s="7">
        <f>IF($X525="","",O525+R525+M525)</f>
        <v/>
      </c>
      <c r="W525" s="7">
        <f>IF($X525="","",V525-T525-I525)</f>
        <v/>
      </c>
      <c r="X525" s="13">
        <f>IF(ROWS($X$2:$X525)&lt;=MAX('Per Line'!$AL$2:$AL$3001),MATCH(ROWS($X$2:$X525),'Per Line'!$AL$2:$AL$3001,0),"")</f>
        <v/>
      </c>
    </row>
    <row r="526">
      <c r="A526" s="12" t="n"/>
      <c r="B526">
        <f>IF($X526="","",INDEX('Per Line'!$D$2:$D$3001,$X526)&amp;"")</f>
        <v/>
      </c>
      <c r="C526" s="11">
        <f>IF($X526="","",INDEX('Per Line'!$F$2:$F$3001,$X526))</f>
        <v/>
      </c>
      <c r="D526">
        <f>IF($X526="","",INDEX('Per Line'!$G$2:$G$3001,$X526)&amp;"")</f>
        <v/>
      </c>
      <c r="E526">
        <f>IF($X526="","",INDEX('Per Line'!$I$2:$I$3001,$X526)&amp;"")</f>
        <v/>
      </c>
      <c r="F526">
        <f>IF($X526="","",INDEX('Per Line'!$J$2:$J$3001,$X526)&amp;"")</f>
        <v/>
      </c>
      <c r="G526">
        <f>IF($X526="","",INDEX('Per Line'!$K$2:$K$3001,$X526)&amp;"")</f>
        <v/>
      </c>
      <c r="H526">
        <f>IF($X526="","",INDEX('Per Line'!$M$2:$M$3001,$X526))</f>
        <v/>
      </c>
      <c r="I526" s="7">
        <f>IF($X526="","",H526*V526/100)</f>
        <v/>
      </c>
      <c r="J526">
        <f>IF($X526="","",INDEX('Per Line'!$W$2:$W$3001,$X526)&amp;"")</f>
        <v/>
      </c>
      <c r="K526">
        <f>IF($X526="","",INDEX('Per Line'!$AD$2:$AD$3001,$X526))</f>
        <v/>
      </c>
      <c r="L526">
        <f>IF($X526="","",IF(AND(ISNUMBER(K526),K526&gt;0),V526&gt;K526,FALSE))</f>
        <v/>
      </c>
      <c r="M526" s="7">
        <f>IF($X526="","",SUMIFS('Per Line'!$V$2:$V$3001,'Per Line'!$D$2:$D$3001,$B526,'Per Line'!$AN$2:$AN$3001,1))</f>
        <v/>
      </c>
      <c r="N526">
        <f>IF($X526="","",Settings!$C$7)</f>
        <v/>
      </c>
      <c r="O526" s="7">
        <f>IF($X526="","",SUMIFS('Per Line'!$V$2:$V$3001,'Per Line'!$D$2:$D$3001,$B526,'Per Line'!$AM$2:$AM$3001,0,'Per Line'!$AN$2:$AN$3001,0))</f>
        <v/>
      </c>
      <c r="P526" s="7">
        <f>IF($X526="","",O526*N526)</f>
        <v/>
      </c>
      <c r="Q526">
        <f>IF($X526="","",Settings!$C$6)</f>
        <v/>
      </c>
      <c r="R526" s="7">
        <f>IF($X526="","",SUMIFS('Per Line'!$V$2:$V$3001,'Per Line'!$D$2:$D$3001,$B526,'Per Line'!$AM$2:$AM$3001,1,'Per Line'!$AN$2:$AN$3001,0))</f>
        <v/>
      </c>
      <c r="S526" s="7">
        <f>IF($X526="","",R526*Q526)</f>
        <v/>
      </c>
      <c r="T526" s="7">
        <f>IF($X526="","",S526+P526)</f>
        <v/>
      </c>
      <c r="U526" s="7">
        <f>IF($X526="","",V526-T526)</f>
        <v/>
      </c>
      <c r="V526" s="7">
        <f>IF($X526="","",O526+R526+M526)</f>
        <v/>
      </c>
      <c r="W526" s="7">
        <f>IF($X526="","",V526-T526-I526)</f>
        <v/>
      </c>
      <c r="X526" s="13">
        <f>IF(ROWS($X$2:$X526)&lt;=MAX('Per Line'!$AL$2:$AL$3001),MATCH(ROWS($X$2:$X526),'Per Line'!$AL$2:$AL$3001,0),"")</f>
        <v/>
      </c>
    </row>
    <row r="527">
      <c r="A527" s="12" t="n"/>
      <c r="B527">
        <f>IF($X527="","",INDEX('Per Line'!$D$2:$D$3001,$X527)&amp;"")</f>
        <v/>
      </c>
      <c r="C527" s="11">
        <f>IF($X527="","",INDEX('Per Line'!$F$2:$F$3001,$X527))</f>
        <v/>
      </c>
      <c r="D527">
        <f>IF($X527="","",INDEX('Per Line'!$G$2:$G$3001,$X527)&amp;"")</f>
        <v/>
      </c>
      <c r="E527">
        <f>IF($X527="","",INDEX('Per Line'!$I$2:$I$3001,$X527)&amp;"")</f>
        <v/>
      </c>
      <c r="F527">
        <f>IF($X527="","",INDEX('Per Line'!$J$2:$J$3001,$X527)&amp;"")</f>
        <v/>
      </c>
      <c r="G527">
        <f>IF($X527="","",INDEX('Per Line'!$K$2:$K$3001,$X527)&amp;"")</f>
        <v/>
      </c>
      <c r="H527">
        <f>IF($X527="","",INDEX('Per Line'!$M$2:$M$3001,$X527))</f>
        <v/>
      </c>
      <c r="I527" s="7">
        <f>IF($X527="","",H527*V527/100)</f>
        <v/>
      </c>
      <c r="J527">
        <f>IF($X527="","",INDEX('Per Line'!$W$2:$W$3001,$X527)&amp;"")</f>
        <v/>
      </c>
      <c r="K527">
        <f>IF($X527="","",INDEX('Per Line'!$AD$2:$AD$3001,$X527))</f>
        <v/>
      </c>
      <c r="L527">
        <f>IF($X527="","",IF(AND(ISNUMBER(K527),K527&gt;0),V527&gt;K527,FALSE))</f>
        <v/>
      </c>
      <c r="M527" s="7">
        <f>IF($X527="","",SUMIFS('Per Line'!$V$2:$V$3001,'Per Line'!$D$2:$D$3001,$B527,'Per Line'!$AN$2:$AN$3001,1))</f>
        <v/>
      </c>
      <c r="N527">
        <f>IF($X527="","",Settings!$C$7)</f>
        <v/>
      </c>
      <c r="O527" s="7">
        <f>IF($X527="","",SUMIFS('Per Line'!$V$2:$V$3001,'Per Line'!$D$2:$D$3001,$B527,'Per Line'!$AM$2:$AM$3001,0,'Per Line'!$AN$2:$AN$3001,0))</f>
        <v/>
      </c>
      <c r="P527" s="7">
        <f>IF($X527="","",O527*N527)</f>
        <v/>
      </c>
      <c r="Q527">
        <f>IF($X527="","",Settings!$C$6)</f>
        <v/>
      </c>
      <c r="R527" s="7">
        <f>IF($X527="","",SUMIFS('Per Line'!$V$2:$V$3001,'Per Line'!$D$2:$D$3001,$B527,'Per Line'!$AM$2:$AM$3001,1,'Per Line'!$AN$2:$AN$3001,0))</f>
        <v/>
      </c>
      <c r="S527" s="7">
        <f>IF($X527="","",R527*Q527)</f>
        <v/>
      </c>
      <c r="T527" s="7">
        <f>IF($X527="","",S527+P527)</f>
        <v/>
      </c>
      <c r="U527" s="7">
        <f>IF($X527="","",V527-T527)</f>
        <v/>
      </c>
      <c r="V527" s="7">
        <f>IF($X527="","",O527+R527+M527)</f>
        <v/>
      </c>
      <c r="W527" s="7">
        <f>IF($X527="","",V527-T527-I527)</f>
        <v/>
      </c>
      <c r="X527" s="13">
        <f>IF(ROWS($X$2:$X527)&lt;=MAX('Per Line'!$AL$2:$AL$3001),MATCH(ROWS($X$2:$X527),'Per Line'!$AL$2:$AL$3001,0),"")</f>
        <v/>
      </c>
    </row>
    <row r="528">
      <c r="A528" s="12" t="n"/>
      <c r="B528">
        <f>IF($X528="","",INDEX('Per Line'!$D$2:$D$3001,$X528)&amp;"")</f>
        <v/>
      </c>
      <c r="C528" s="11">
        <f>IF($X528="","",INDEX('Per Line'!$F$2:$F$3001,$X528))</f>
        <v/>
      </c>
      <c r="D528">
        <f>IF($X528="","",INDEX('Per Line'!$G$2:$G$3001,$X528)&amp;"")</f>
        <v/>
      </c>
      <c r="E528">
        <f>IF($X528="","",INDEX('Per Line'!$I$2:$I$3001,$X528)&amp;"")</f>
        <v/>
      </c>
      <c r="F528">
        <f>IF($X528="","",INDEX('Per Line'!$J$2:$J$3001,$X528)&amp;"")</f>
        <v/>
      </c>
      <c r="G528">
        <f>IF($X528="","",INDEX('Per Line'!$K$2:$K$3001,$X528)&amp;"")</f>
        <v/>
      </c>
      <c r="H528">
        <f>IF($X528="","",INDEX('Per Line'!$M$2:$M$3001,$X528))</f>
        <v/>
      </c>
      <c r="I528" s="7">
        <f>IF($X528="","",H528*V528/100)</f>
        <v/>
      </c>
      <c r="J528">
        <f>IF($X528="","",INDEX('Per Line'!$W$2:$W$3001,$X528)&amp;"")</f>
        <v/>
      </c>
      <c r="K528">
        <f>IF($X528="","",INDEX('Per Line'!$AD$2:$AD$3001,$X528))</f>
        <v/>
      </c>
      <c r="L528">
        <f>IF($X528="","",IF(AND(ISNUMBER(K528),K528&gt;0),V528&gt;K528,FALSE))</f>
        <v/>
      </c>
      <c r="M528" s="7">
        <f>IF($X528="","",SUMIFS('Per Line'!$V$2:$V$3001,'Per Line'!$D$2:$D$3001,$B528,'Per Line'!$AN$2:$AN$3001,1))</f>
        <v/>
      </c>
      <c r="N528">
        <f>IF($X528="","",Settings!$C$7)</f>
        <v/>
      </c>
      <c r="O528" s="7">
        <f>IF($X528="","",SUMIFS('Per Line'!$V$2:$V$3001,'Per Line'!$D$2:$D$3001,$B528,'Per Line'!$AM$2:$AM$3001,0,'Per Line'!$AN$2:$AN$3001,0))</f>
        <v/>
      </c>
      <c r="P528" s="7">
        <f>IF($X528="","",O528*N528)</f>
        <v/>
      </c>
      <c r="Q528">
        <f>IF($X528="","",Settings!$C$6)</f>
        <v/>
      </c>
      <c r="R528" s="7">
        <f>IF($X528="","",SUMIFS('Per Line'!$V$2:$V$3001,'Per Line'!$D$2:$D$3001,$B528,'Per Line'!$AM$2:$AM$3001,1,'Per Line'!$AN$2:$AN$3001,0))</f>
        <v/>
      </c>
      <c r="S528" s="7">
        <f>IF($X528="","",R528*Q528)</f>
        <v/>
      </c>
      <c r="T528" s="7">
        <f>IF($X528="","",S528+P528)</f>
        <v/>
      </c>
      <c r="U528" s="7">
        <f>IF($X528="","",V528-T528)</f>
        <v/>
      </c>
      <c r="V528" s="7">
        <f>IF($X528="","",O528+R528+M528)</f>
        <v/>
      </c>
      <c r="W528" s="7">
        <f>IF($X528="","",V528-T528-I528)</f>
        <v/>
      </c>
      <c r="X528" s="13">
        <f>IF(ROWS($X$2:$X528)&lt;=MAX('Per Line'!$AL$2:$AL$3001),MATCH(ROWS($X$2:$X528),'Per Line'!$AL$2:$AL$3001,0),"")</f>
        <v/>
      </c>
    </row>
    <row r="529">
      <c r="A529" s="12" t="n"/>
      <c r="B529">
        <f>IF($X529="","",INDEX('Per Line'!$D$2:$D$3001,$X529)&amp;"")</f>
        <v/>
      </c>
      <c r="C529" s="11">
        <f>IF($X529="","",INDEX('Per Line'!$F$2:$F$3001,$X529))</f>
        <v/>
      </c>
      <c r="D529">
        <f>IF($X529="","",INDEX('Per Line'!$G$2:$G$3001,$X529)&amp;"")</f>
        <v/>
      </c>
      <c r="E529">
        <f>IF($X529="","",INDEX('Per Line'!$I$2:$I$3001,$X529)&amp;"")</f>
        <v/>
      </c>
      <c r="F529">
        <f>IF($X529="","",INDEX('Per Line'!$J$2:$J$3001,$X529)&amp;"")</f>
        <v/>
      </c>
      <c r="G529">
        <f>IF($X529="","",INDEX('Per Line'!$K$2:$K$3001,$X529)&amp;"")</f>
        <v/>
      </c>
      <c r="H529">
        <f>IF($X529="","",INDEX('Per Line'!$M$2:$M$3001,$X529))</f>
        <v/>
      </c>
      <c r="I529" s="7">
        <f>IF($X529="","",H529*V529/100)</f>
        <v/>
      </c>
      <c r="J529">
        <f>IF($X529="","",INDEX('Per Line'!$W$2:$W$3001,$X529)&amp;"")</f>
        <v/>
      </c>
      <c r="K529">
        <f>IF($X529="","",INDEX('Per Line'!$AD$2:$AD$3001,$X529))</f>
        <v/>
      </c>
      <c r="L529">
        <f>IF($X529="","",IF(AND(ISNUMBER(K529),K529&gt;0),V529&gt;K529,FALSE))</f>
        <v/>
      </c>
      <c r="M529" s="7">
        <f>IF($X529="","",SUMIFS('Per Line'!$V$2:$V$3001,'Per Line'!$D$2:$D$3001,$B529,'Per Line'!$AN$2:$AN$3001,1))</f>
        <v/>
      </c>
      <c r="N529">
        <f>IF($X529="","",Settings!$C$7)</f>
        <v/>
      </c>
      <c r="O529" s="7">
        <f>IF($X529="","",SUMIFS('Per Line'!$V$2:$V$3001,'Per Line'!$D$2:$D$3001,$B529,'Per Line'!$AM$2:$AM$3001,0,'Per Line'!$AN$2:$AN$3001,0))</f>
        <v/>
      </c>
      <c r="P529" s="7">
        <f>IF($X529="","",O529*N529)</f>
        <v/>
      </c>
      <c r="Q529">
        <f>IF($X529="","",Settings!$C$6)</f>
        <v/>
      </c>
      <c r="R529" s="7">
        <f>IF($X529="","",SUMIFS('Per Line'!$V$2:$V$3001,'Per Line'!$D$2:$D$3001,$B529,'Per Line'!$AM$2:$AM$3001,1,'Per Line'!$AN$2:$AN$3001,0))</f>
        <v/>
      </c>
      <c r="S529" s="7">
        <f>IF($X529="","",R529*Q529)</f>
        <v/>
      </c>
      <c r="T529" s="7">
        <f>IF($X529="","",S529+P529)</f>
        <v/>
      </c>
      <c r="U529" s="7">
        <f>IF($X529="","",V529-T529)</f>
        <v/>
      </c>
      <c r="V529" s="7">
        <f>IF($X529="","",O529+R529+M529)</f>
        <v/>
      </c>
      <c r="W529" s="7">
        <f>IF($X529="","",V529-T529-I529)</f>
        <v/>
      </c>
      <c r="X529" s="13">
        <f>IF(ROWS($X$2:$X529)&lt;=MAX('Per Line'!$AL$2:$AL$3001),MATCH(ROWS($X$2:$X529),'Per Line'!$AL$2:$AL$3001,0),"")</f>
        <v/>
      </c>
    </row>
    <row r="530">
      <c r="A530" s="12" t="n"/>
      <c r="B530">
        <f>IF($X530="","",INDEX('Per Line'!$D$2:$D$3001,$X530)&amp;"")</f>
        <v/>
      </c>
      <c r="C530" s="11">
        <f>IF($X530="","",INDEX('Per Line'!$F$2:$F$3001,$X530))</f>
        <v/>
      </c>
      <c r="D530">
        <f>IF($X530="","",INDEX('Per Line'!$G$2:$G$3001,$X530)&amp;"")</f>
        <v/>
      </c>
      <c r="E530">
        <f>IF($X530="","",INDEX('Per Line'!$I$2:$I$3001,$X530)&amp;"")</f>
        <v/>
      </c>
      <c r="F530">
        <f>IF($X530="","",INDEX('Per Line'!$J$2:$J$3001,$X530)&amp;"")</f>
        <v/>
      </c>
      <c r="G530">
        <f>IF($X530="","",INDEX('Per Line'!$K$2:$K$3001,$X530)&amp;"")</f>
        <v/>
      </c>
      <c r="H530">
        <f>IF($X530="","",INDEX('Per Line'!$M$2:$M$3001,$X530))</f>
        <v/>
      </c>
      <c r="I530" s="7">
        <f>IF($X530="","",H530*V530/100)</f>
        <v/>
      </c>
      <c r="J530">
        <f>IF($X530="","",INDEX('Per Line'!$W$2:$W$3001,$X530)&amp;"")</f>
        <v/>
      </c>
      <c r="K530">
        <f>IF($X530="","",INDEX('Per Line'!$AD$2:$AD$3001,$X530))</f>
        <v/>
      </c>
      <c r="L530">
        <f>IF($X530="","",IF(AND(ISNUMBER(K530),K530&gt;0),V530&gt;K530,FALSE))</f>
        <v/>
      </c>
      <c r="M530" s="7">
        <f>IF($X530="","",SUMIFS('Per Line'!$V$2:$V$3001,'Per Line'!$D$2:$D$3001,$B530,'Per Line'!$AN$2:$AN$3001,1))</f>
        <v/>
      </c>
      <c r="N530">
        <f>IF($X530="","",Settings!$C$7)</f>
        <v/>
      </c>
      <c r="O530" s="7">
        <f>IF($X530="","",SUMIFS('Per Line'!$V$2:$V$3001,'Per Line'!$D$2:$D$3001,$B530,'Per Line'!$AM$2:$AM$3001,0,'Per Line'!$AN$2:$AN$3001,0))</f>
        <v/>
      </c>
      <c r="P530" s="7">
        <f>IF($X530="","",O530*N530)</f>
        <v/>
      </c>
      <c r="Q530">
        <f>IF($X530="","",Settings!$C$6)</f>
        <v/>
      </c>
      <c r="R530" s="7">
        <f>IF($X530="","",SUMIFS('Per Line'!$V$2:$V$3001,'Per Line'!$D$2:$D$3001,$B530,'Per Line'!$AM$2:$AM$3001,1,'Per Line'!$AN$2:$AN$3001,0))</f>
        <v/>
      </c>
      <c r="S530" s="7">
        <f>IF($X530="","",R530*Q530)</f>
        <v/>
      </c>
      <c r="T530" s="7">
        <f>IF($X530="","",S530+P530)</f>
        <v/>
      </c>
      <c r="U530" s="7">
        <f>IF($X530="","",V530-T530)</f>
        <v/>
      </c>
      <c r="V530" s="7">
        <f>IF($X530="","",O530+R530+M530)</f>
        <v/>
      </c>
      <c r="W530" s="7">
        <f>IF($X530="","",V530-T530-I530)</f>
        <v/>
      </c>
      <c r="X530" s="13">
        <f>IF(ROWS($X$2:$X530)&lt;=MAX('Per Line'!$AL$2:$AL$3001),MATCH(ROWS($X$2:$X530),'Per Line'!$AL$2:$AL$3001,0),"")</f>
        <v/>
      </c>
    </row>
    <row r="531">
      <c r="A531" s="12" t="n"/>
      <c r="B531">
        <f>IF($X531="","",INDEX('Per Line'!$D$2:$D$3001,$X531)&amp;"")</f>
        <v/>
      </c>
      <c r="C531" s="11">
        <f>IF($X531="","",INDEX('Per Line'!$F$2:$F$3001,$X531))</f>
        <v/>
      </c>
      <c r="D531">
        <f>IF($X531="","",INDEX('Per Line'!$G$2:$G$3001,$X531)&amp;"")</f>
        <v/>
      </c>
      <c r="E531">
        <f>IF($X531="","",INDEX('Per Line'!$I$2:$I$3001,$X531)&amp;"")</f>
        <v/>
      </c>
      <c r="F531">
        <f>IF($X531="","",INDEX('Per Line'!$J$2:$J$3001,$X531)&amp;"")</f>
        <v/>
      </c>
      <c r="G531">
        <f>IF($X531="","",INDEX('Per Line'!$K$2:$K$3001,$X531)&amp;"")</f>
        <v/>
      </c>
      <c r="H531">
        <f>IF($X531="","",INDEX('Per Line'!$M$2:$M$3001,$X531))</f>
        <v/>
      </c>
      <c r="I531" s="7">
        <f>IF($X531="","",H531*V531/100)</f>
        <v/>
      </c>
      <c r="J531">
        <f>IF($X531="","",INDEX('Per Line'!$W$2:$W$3001,$X531)&amp;"")</f>
        <v/>
      </c>
      <c r="K531">
        <f>IF($X531="","",INDEX('Per Line'!$AD$2:$AD$3001,$X531))</f>
        <v/>
      </c>
      <c r="L531">
        <f>IF($X531="","",IF(AND(ISNUMBER(K531),K531&gt;0),V531&gt;K531,FALSE))</f>
        <v/>
      </c>
      <c r="M531" s="7">
        <f>IF($X531="","",SUMIFS('Per Line'!$V$2:$V$3001,'Per Line'!$D$2:$D$3001,$B531,'Per Line'!$AN$2:$AN$3001,1))</f>
        <v/>
      </c>
      <c r="N531">
        <f>IF($X531="","",Settings!$C$7)</f>
        <v/>
      </c>
      <c r="O531" s="7">
        <f>IF($X531="","",SUMIFS('Per Line'!$V$2:$V$3001,'Per Line'!$D$2:$D$3001,$B531,'Per Line'!$AM$2:$AM$3001,0,'Per Line'!$AN$2:$AN$3001,0))</f>
        <v/>
      </c>
      <c r="P531" s="7">
        <f>IF($X531="","",O531*N531)</f>
        <v/>
      </c>
      <c r="Q531">
        <f>IF($X531="","",Settings!$C$6)</f>
        <v/>
      </c>
      <c r="R531" s="7">
        <f>IF($X531="","",SUMIFS('Per Line'!$V$2:$V$3001,'Per Line'!$D$2:$D$3001,$B531,'Per Line'!$AM$2:$AM$3001,1,'Per Line'!$AN$2:$AN$3001,0))</f>
        <v/>
      </c>
      <c r="S531" s="7">
        <f>IF($X531="","",R531*Q531)</f>
        <v/>
      </c>
      <c r="T531" s="7">
        <f>IF($X531="","",S531+P531)</f>
        <v/>
      </c>
      <c r="U531" s="7">
        <f>IF($X531="","",V531-T531)</f>
        <v/>
      </c>
      <c r="V531" s="7">
        <f>IF($X531="","",O531+R531+M531)</f>
        <v/>
      </c>
      <c r="W531" s="7">
        <f>IF($X531="","",V531-T531-I531)</f>
        <v/>
      </c>
      <c r="X531" s="13">
        <f>IF(ROWS($X$2:$X531)&lt;=MAX('Per Line'!$AL$2:$AL$3001),MATCH(ROWS($X$2:$X531),'Per Line'!$AL$2:$AL$3001,0),"")</f>
        <v/>
      </c>
    </row>
    <row r="532">
      <c r="A532" s="12" t="n"/>
      <c r="B532">
        <f>IF($X532="","",INDEX('Per Line'!$D$2:$D$3001,$X532)&amp;"")</f>
        <v/>
      </c>
      <c r="C532" s="11">
        <f>IF($X532="","",INDEX('Per Line'!$F$2:$F$3001,$X532))</f>
        <v/>
      </c>
      <c r="D532">
        <f>IF($X532="","",INDEX('Per Line'!$G$2:$G$3001,$X532)&amp;"")</f>
        <v/>
      </c>
      <c r="E532">
        <f>IF($X532="","",INDEX('Per Line'!$I$2:$I$3001,$X532)&amp;"")</f>
        <v/>
      </c>
      <c r="F532">
        <f>IF($X532="","",INDEX('Per Line'!$J$2:$J$3001,$X532)&amp;"")</f>
        <v/>
      </c>
      <c r="G532">
        <f>IF($X532="","",INDEX('Per Line'!$K$2:$K$3001,$X532)&amp;"")</f>
        <v/>
      </c>
      <c r="H532">
        <f>IF($X532="","",INDEX('Per Line'!$M$2:$M$3001,$X532))</f>
        <v/>
      </c>
      <c r="I532" s="7">
        <f>IF($X532="","",H532*V532/100)</f>
        <v/>
      </c>
      <c r="J532">
        <f>IF($X532="","",INDEX('Per Line'!$W$2:$W$3001,$X532)&amp;"")</f>
        <v/>
      </c>
      <c r="K532">
        <f>IF($X532="","",INDEX('Per Line'!$AD$2:$AD$3001,$X532))</f>
        <v/>
      </c>
      <c r="L532">
        <f>IF($X532="","",IF(AND(ISNUMBER(K532),K532&gt;0),V532&gt;K532,FALSE))</f>
        <v/>
      </c>
      <c r="M532" s="7">
        <f>IF($X532="","",SUMIFS('Per Line'!$V$2:$V$3001,'Per Line'!$D$2:$D$3001,$B532,'Per Line'!$AN$2:$AN$3001,1))</f>
        <v/>
      </c>
      <c r="N532">
        <f>IF($X532="","",Settings!$C$7)</f>
        <v/>
      </c>
      <c r="O532" s="7">
        <f>IF($X532="","",SUMIFS('Per Line'!$V$2:$V$3001,'Per Line'!$D$2:$D$3001,$B532,'Per Line'!$AM$2:$AM$3001,0,'Per Line'!$AN$2:$AN$3001,0))</f>
        <v/>
      </c>
      <c r="P532" s="7">
        <f>IF($X532="","",O532*N532)</f>
        <v/>
      </c>
      <c r="Q532">
        <f>IF($X532="","",Settings!$C$6)</f>
        <v/>
      </c>
      <c r="R532" s="7">
        <f>IF($X532="","",SUMIFS('Per Line'!$V$2:$V$3001,'Per Line'!$D$2:$D$3001,$B532,'Per Line'!$AM$2:$AM$3001,1,'Per Line'!$AN$2:$AN$3001,0))</f>
        <v/>
      </c>
      <c r="S532" s="7">
        <f>IF($X532="","",R532*Q532)</f>
        <v/>
      </c>
      <c r="T532" s="7">
        <f>IF($X532="","",S532+P532)</f>
        <v/>
      </c>
      <c r="U532" s="7">
        <f>IF($X532="","",V532-T532)</f>
        <v/>
      </c>
      <c r="V532" s="7">
        <f>IF($X532="","",O532+R532+M532)</f>
        <v/>
      </c>
      <c r="W532" s="7">
        <f>IF($X532="","",V532-T532-I532)</f>
        <v/>
      </c>
      <c r="X532" s="13">
        <f>IF(ROWS($X$2:$X532)&lt;=MAX('Per Line'!$AL$2:$AL$3001),MATCH(ROWS($X$2:$X532),'Per Line'!$AL$2:$AL$3001,0),"")</f>
        <v/>
      </c>
    </row>
    <row r="533">
      <c r="A533" s="12" t="n"/>
      <c r="B533">
        <f>IF($X533="","",INDEX('Per Line'!$D$2:$D$3001,$X533)&amp;"")</f>
        <v/>
      </c>
      <c r="C533" s="11">
        <f>IF($X533="","",INDEX('Per Line'!$F$2:$F$3001,$X533))</f>
        <v/>
      </c>
      <c r="D533">
        <f>IF($X533="","",INDEX('Per Line'!$G$2:$G$3001,$X533)&amp;"")</f>
        <v/>
      </c>
      <c r="E533">
        <f>IF($X533="","",INDEX('Per Line'!$I$2:$I$3001,$X533)&amp;"")</f>
        <v/>
      </c>
      <c r="F533">
        <f>IF($X533="","",INDEX('Per Line'!$J$2:$J$3001,$X533)&amp;"")</f>
        <v/>
      </c>
      <c r="G533">
        <f>IF($X533="","",INDEX('Per Line'!$K$2:$K$3001,$X533)&amp;"")</f>
        <v/>
      </c>
      <c r="H533">
        <f>IF($X533="","",INDEX('Per Line'!$M$2:$M$3001,$X533))</f>
        <v/>
      </c>
      <c r="I533" s="7">
        <f>IF($X533="","",H533*V533/100)</f>
        <v/>
      </c>
      <c r="J533">
        <f>IF($X533="","",INDEX('Per Line'!$W$2:$W$3001,$X533)&amp;"")</f>
        <v/>
      </c>
      <c r="K533">
        <f>IF($X533="","",INDEX('Per Line'!$AD$2:$AD$3001,$X533))</f>
        <v/>
      </c>
      <c r="L533">
        <f>IF($X533="","",IF(AND(ISNUMBER(K533),K533&gt;0),V533&gt;K533,FALSE))</f>
        <v/>
      </c>
      <c r="M533" s="7">
        <f>IF($X533="","",SUMIFS('Per Line'!$V$2:$V$3001,'Per Line'!$D$2:$D$3001,$B533,'Per Line'!$AN$2:$AN$3001,1))</f>
        <v/>
      </c>
      <c r="N533">
        <f>IF($X533="","",Settings!$C$7)</f>
        <v/>
      </c>
      <c r="O533" s="7">
        <f>IF($X533="","",SUMIFS('Per Line'!$V$2:$V$3001,'Per Line'!$D$2:$D$3001,$B533,'Per Line'!$AM$2:$AM$3001,0,'Per Line'!$AN$2:$AN$3001,0))</f>
        <v/>
      </c>
      <c r="P533" s="7">
        <f>IF($X533="","",O533*N533)</f>
        <v/>
      </c>
      <c r="Q533">
        <f>IF($X533="","",Settings!$C$6)</f>
        <v/>
      </c>
      <c r="R533" s="7">
        <f>IF($X533="","",SUMIFS('Per Line'!$V$2:$V$3001,'Per Line'!$D$2:$D$3001,$B533,'Per Line'!$AM$2:$AM$3001,1,'Per Line'!$AN$2:$AN$3001,0))</f>
        <v/>
      </c>
      <c r="S533" s="7">
        <f>IF($X533="","",R533*Q533)</f>
        <v/>
      </c>
      <c r="T533" s="7">
        <f>IF($X533="","",S533+P533)</f>
        <v/>
      </c>
      <c r="U533" s="7">
        <f>IF($X533="","",V533-T533)</f>
        <v/>
      </c>
      <c r="V533" s="7">
        <f>IF($X533="","",O533+R533+M533)</f>
        <v/>
      </c>
      <c r="W533" s="7">
        <f>IF($X533="","",V533-T533-I533)</f>
        <v/>
      </c>
      <c r="X533" s="13">
        <f>IF(ROWS($X$2:$X533)&lt;=MAX('Per Line'!$AL$2:$AL$3001),MATCH(ROWS($X$2:$X533),'Per Line'!$AL$2:$AL$3001,0),"")</f>
        <v/>
      </c>
    </row>
    <row r="534">
      <c r="A534" s="12" t="n"/>
      <c r="B534">
        <f>IF($X534="","",INDEX('Per Line'!$D$2:$D$3001,$X534)&amp;"")</f>
        <v/>
      </c>
      <c r="C534" s="11">
        <f>IF($X534="","",INDEX('Per Line'!$F$2:$F$3001,$X534))</f>
        <v/>
      </c>
      <c r="D534">
        <f>IF($X534="","",INDEX('Per Line'!$G$2:$G$3001,$X534)&amp;"")</f>
        <v/>
      </c>
      <c r="E534">
        <f>IF($X534="","",INDEX('Per Line'!$I$2:$I$3001,$X534)&amp;"")</f>
        <v/>
      </c>
      <c r="F534">
        <f>IF($X534="","",INDEX('Per Line'!$J$2:$J$3001,$X534)&amp;"")</f>
        <v/>
      </c>
      <c r="G534">
        <f>IF($X534="","",INDEX('Per Line'!$K$2:$K$3001,$X534)&amp;"")</f>
        <v/>
      </c>
      <c r="H534">
        <f>IF($X534="","",INDEX('Per Line'!$M$2:$M$3001,$X534))</f>
        <v/>
      </c>
      <c r="I534" s="7">
        <f>IF($X534="","",H534*V534/100)</f>
        <v/>
      </c>
      <c r="J534">
        <f>IF($X534="","",INDEX('Per Line'!$W$2:$W$3001,$X534)&amp;"")</f>
        <v/>
      </c>
      <c r="K534">
        <f>IF($X534="","",INDEX('Per Line'!$AD$2:$AD$3001,$X534))</f>
        <v/>
      </c>
      <c r="L534">
        <f>IF($X534="","",IF(AND(ISNUMBER(K534),K534&gt;0),V534&gt;K534,FALSE))</f>
        <v/>
      </c>
      <c r="M534" s="7">
        <f>IF($X534="","",SUMIFS('Per Line'!$V$2:$V$3001,'Per Line'!$D$2:$D$3001,$B534,'Per Line'!$AN$2:$AN$3001,1))</f>
        <v/>
      </c>
      <c r="N534">
        <f>IF($X534="","",Settings!$C$7)</f>
        <v/>
      </c>
      <c r="O534" s="7">
        <f>IF($X534="","",SUMIFS('Per Line'!$V$2:$V$3001,'Per Line'!$D$2:$D$3001,$B534,'Per Line'!$AM$2:$AM$3001,0,'Per Line'!$AN$2:$AN$3001,0))</f>
        <v/>
      </c>
      <c r="P534" s="7">
        <f>IF($X534="","",O534*N534)</f>
        <v/>
      </c>
      <c r="Q534">
        <f>IF($X534="","",Settings!$C$6)</f>
        <v/>
      </c>
      <c r="R534" s="7">
        <f>IF($X534="","",SUMIFS('Per Line'!$V$2:$V$3001,'Per Line'!$D$2:$D$3001,$B534,'Per Line'!$AM$2:$AM$3001,1,'Per Line'!$AN$2:$AN$3001,0))</f>
        <v/>
      </c>
      <c r="S534" s="7">
        <f>IF($X534="","",R534*Q534)</f>
        <v/>
      </c>
      <c r="T534" s="7">
        <f>IF($X534="","",S534+P534)</f>
        <v/>
      </c>
      <c r="U534" s="7">
        <f>IF($X534="","",V534-T534)</f>
        <v/>
      </c>
      <c r="V534" s="7">
        <f>IF($X534="","",O534+R534+M534)</f>
        <v/>
      </c>
      <c r="W534" s="7">
        <f>IF($X534="","",V534-T534-I534)</f>
        <v/>
      </c>
      <c r="X534" s="13">
        <f>IF(ROWS($X$2:$X534)&lt;=MAX('Per Line'!$AL$2:$AL$3001),MATCH(ROWS($X$2:$X534),'Per Line'!$AL$2:$AL$3001,0),"")</f>
        <v/>
      </c>
    </row>
    <row r="535">
      <c r="A535" s="12" t="n"/>
      <c r="B535">
        <f>IF($X535="","",INDEX('Per Line'!$D$2:$D$3001,$X535)&amp;"")</f>
        <v/>
      </c>
      <c r="C535" s="11">
        <f>IF($X535="","",INDEX('Per Line'!$F$2:$F$3001,$X535))</f>
        <v/>
      </c>
      <c r="D535">
        <f>IF($X535="","",INDEX('Per Line'!$G$2:$G$3001,$X535)&amp;"")</f>
        <v/>
      </c>
      <c r="E535">
        <f>IF($X535="","",INDEX('Per Line'!$I$2:$I$3001,$X535)&amp;"")</f>
        <v/>
      </c>
      <c r="F535">
        <f>IF($X535="","",INDEX('Per Line'!$J$2:$J$3001,$X535)&amp;"")</f>
        <v/>
      </c>
      <c r="G535">
        <f>IF($X535="","",INDEX('Per Line'!$K$2:$K$3001,$X535)&amp;"")</f>
        <v/>
      </c>
      <c r="H535">
        <f>IF($X535="","",INDEX('Per Line'!$M$2:$M$3001,$X535))</f>
        <v/>
      </c>
      <c r="I535" s="7">
        <f>IF($X535="","",H535*V535/100)</f>
        <v/>
      </c>
      <c r="J535">
        <f>IF($X535="","",INDEX('Per Line'!$W$2:$W$3001,$X535)&amp;"")</f>
        <v/>
      </c>
      <c r="K535">
        <f>IF($X535="","",INDEX('Per Line'!$AD$2:$AD$3001,$X535))</f>
        <v/>
      </c>
      <c r="L535">
        <f>IF($X535="","",IF(AND(ISNUMBER(K535),K535&gt;0),V535&gt;K535,FALSE))</f>
        <v/>
      </c>
      <c r="M535" s="7">
        <f>IF($X535="","",SUMIFS('Per Line'!$V$2:$V$3001,'Per Line'!$D$2:$D$3001,$B535,'Per Line'!$AN$2:$AN$3001,1))</f>
        <v/>
      </c>
      <c r="N535">
        <f>IF($X535="","",Settings!$C$7)</f>
        <v/>
      </c>
      <c r="O535" s="7">
        <f>IF($X535="","",SUMIFS('Per Line'!$V$2:$V$3001,'Per Line'!$D$2:$D$3001,$B535,'Per Line'!$AM$2:$AM$3001,0,'Per Line'!$AN$2:$AN$3001,0))</f>
        <v/>
      </c>
      <c r="P535" s="7">
        <f>IF($X535="","",O535*N535)</f>
        <v/>
      </c>
      <c r="Q535">
        <f>IF($X535="","",Settings!$C$6)</f>
        <v/>
      </c>
      <c r="R535" s="7">
        <f>IF($X535="","",SUMIFS('Per Line'!$V$2:$V$3001,'Per Line'!$D$2:$D$3001,$B535,'Per Line'!$AM$2:$AM$3001,1,'Per Line'!$AN$2:$AN$3001,0))</f>
        <v/>
      </c>
      <c r="S535" s="7">
        <f>IF($X535="","",R535*Q535)</f>
        <v/>
      </c>
      <c r="T535" s="7">
        <f>IF($X535="","",S535+P535)</f>
        <v/>
      </c>
      <c r="U535" s="7">
        <f>IF($X535="","",V535-T535)</f>
        <v/>
      </c>
      <c r="V535" s="7">
        <f>IF($X535="","",O535+R535+M535)</f>
        <v/>
      </c>
      <c r="W535" s="7">
        <f>IF($X535="","",V535-T535-I535)</f>
        <v/>
      </c>
      <c r="X535" s="13">
        <f>IF(ROWS($X$2:$X535)&lt;=MAX('Per Line'!$AL$2:$AL$3001),MATCH(ROWS($X$2:$X535),'Per Line'!$AL$2:$AL$3001,0),"")</f>
        <v/>
      </c>
    </row>
    <row r="536">
      <c r="A536" s="12" t="n"/>
      <c r="B536">
        <f>IF($X536="","",INDEX('Per Line'!$D$2:$D$3001,$X536)&amp;"")</f>
        <v/>
      </c>
      <c r="C536" s="11">
        <f>IF($X536="","",INDEX('Per Line'!$F$2:$F$3001,$X536))</f>
        <v/>
      </c>
      <c r="D536">
        <f>IF($X536="","",INDEX('Per Line'!$G$2:$G$3001,$X536)&amp;"")</f>
        <v/>
      </c>
      <c r="E536">
        <f>IF($X536="","",INDEX('Per Line'!$I$2:$I$3001,$X536)&amp;"")</f>
        <v/>
      </c>
      <c r="F536">
        <f>IF($X536="","",INDEX('Per Line'!$J$2:$J$3001,$X536)&amp;"")</f>
        <v/>
      </c>
      <c r="G536">
        <f>IF($X536="","",INDEX('Per Line'!$K$2:$K$3001,$X536)&amp;"")</f>
        <v/>
      </c>
      <c r="H536">
        <f>IF($X536="","",INDEX('Per Line'!$M$2:$M$3001,$X536))</f>
        <v/>
      </c>
      <c r="I536" s="7">
        <f>IF($X536="","",H536*V536/100)</f>
        <v/>
      </c>
      <c r="J536">
        <f>IF($X536="","",INDEX('Per Line'!$W$2:$W$3001,$X536)&amp;"")</f>
        <v/>
      </c>
      <c r="K536">
        <f>IF($X536="","",INDEX('Per Line'!$AD$2:$AD$3001,$X536))</f>
        <v/>
      </c>
      <c r="L536">
        <f>IF($X536="","",IF(AND(ISNUMBER(K536),K536&gt;0),V536&gt;K536,FALSE))</f>
        <v/>
      </c>
      <c r="M536" s="7">
        <f>IF($X536="","",SUMIFS('Per Line'!$V$2:$V$3001,'Per Line'!$D$2:$D$3001,$B536,'Per Line'!$AN$2:$AN$3001,1))</f>
        <v/>
      </c>
      <c r="N536">
        <f>IF($X536="","",Settings!$C$7)</f>
        <v/>
      </c>
      <c r="O536" s="7">
        <f>IF($X536="","",SUMIFS('Per Line'!$V$2:$V$3001,'Per Line'!$D$2:$D$3001,$B536,'Per Line'!$AM$2:$AM$3001,0,'Per Line'!$AN$2:$AN$3001,0))</f>
        <v/>
      </c>
      <c r="P536" s="7">
        <f>IF($X536="","",O536*N536)</f>
        <v/>
      </c>
      <c r="Q536">
        <f>IF($X536="","",Settings!$C$6)</f>
        <v/>
      </c>
      <c r="R536" s="7">
        <f>IF($X536="","",SUMIFS('Per Line'!$V$2:$V$3001,'Per Line'!$D$2:$D$3001,$B536,'Per Line'!$AM$2:$AM$3001,1,'Per Line'!$AN$2:$AN$3001,0))</f>
        <v/>
      </c>
      <c r="S536" s="7">
        <f>IF($X536="","",R536*Q536)</f>
        <v/>
      </c>
      <c r="T536" s="7">
        <f>IF($X536="","",S536+P536)</f>
        <v/>
      </c>
      <c r="U536" s="7">
        <f>IF($X536="","",V536-T536)</f>
        <v/>
      </c>
      <c r="V536" s="7">
        <f>IF($X536="","",O536+R536+M536)</f>
        <v/>
      </c>
      <c r="W536" s="7">
        <f>IF($X536="","",V536-T536-I536)</f>
        <v/>
      </c>
      <c r="X536" s="13">
        <f>IF(ROWS($X$2:$X536)&lt;=MAX('Per Line'!$AL$2:$AL$3001),MATCH(ROWS($X$2:$X536),'Per Line'!$AL$2:$AL$3001,0),"")</f>
        <v/>
      </c>
    </row>
    <row r="537">
      <c r="A537" s="12" t="n"/>
      <c r="B537">
        <f>IF($X537="","",INDEX('Per Line'!$D$2:$D$3001,$X537)&amp;"")</f>
        <v/>
      </c>
      <c r="C537" s="11">
        <f>IF($X537="","",INDEX('Per Line'!$F$2:$F$3001,$X537))</f>
        <v/>
      </c>
      <c r="D537">
        <f>IF($X537="","",INDEX('Per Line'!$G$2:$G$3001,$X537)&amp;"")</f>
        <v/>
      </c>
      <c r="E537">
        <f>IF($X537="","",INDEX('Per Line'!$I$2:$I$3001,$X537)&amp;"")</f>
        <v/>
      </c>
      <c r="F537">
        <f>IF($X537="","",INDEX('Per Line'!$J$2:$J$3001,$X537)&amp;"")</f>
        <v/>
      </c>
      <c r="G537">
        <f>IF($X537="","",INDEX('Per Line'!$K$2:$K$3001,$X537)&amp;"")</f>
        <v/>
      </c>
      <c r="H537">
        <f>IF($X537="","",INDEX('Per Line'!$M$2:$M$3001,$X537))</f>
        <v/>
      </c>
      <c r="I537" s="7">
        <f>IF($X537="","",H537*V537/100)</f>
        <v/>
      </c>
      <c r="J537">
        <f>IF($X537="","",INDEX('Per Line'!$W$2:$W$3001,$X537)&amp;"")</f>
        <v/>
      </c>
      <c r="K537">
        <f>IF($X537="","",INDEX('Per Line'!$AD$2:$AD$3001,$X537))</f>
        <v/>
      </c>
      <c r="L537">
        <f>IF($X537="","",IF(AND(ISNUMBER(K537),K537&gt;0),V537&gt;K537,FALSE))</f>
        <v/>
      </c>
      <c r="M537" s="7">
        <f>IF($X537="","",SUMIFS('Per Line'!$V$2:$V$3001,'Per Line'!$D$2:$D$3001,$B537,'Per Line'!$AN$2:$AN$3001,1))</f>
        <v/>
      </c>
      <c r="N537">
        <f>IF($X537="","",Settings!$C$7)</f>
        <v/>
      </c>
      <c r="O537" s="7">
        <f>IF($X537="","",SUMIFS('Per Line'!$V$2:$V$3001,'Per Line'!$D$2:$D$3001,$B537,'Per Line'!$AM$2:$AM$3001,0,'Per Line'!$AN$2:$AN$3001,0))</f>
        <v/>
      </c>
      <c r="P537" s="7">
        <f>IF($X537="","",O537*N537)</f>
        <v/>
      </c>
      <c r="Q537">
        <f>IF($X537="","",Settings!$C$6)</f>
        <v/>
      </c>
      <c r="R537" s="7">
        <f>IF($X537="","",SUMIFS('Per Line'!$V$2:$V$3001,'Per Line'!$D$2:$D$3001,$B537,'Per Line'!$AM$2:$AM$3001,1,'Per Line'!$AN$2:$AN$3001,0))</f>
        <v/>
      </c>
      <c r="S537" s="7">
        <f>IF($X537="","",R537*Q537)</f>
        <v/>
      </c>
      <c r="T537" s="7">
        <f>IF($X537="","",S537+P537)</f>
        <v/>
      </c>
      <c r="U537" s="7">
        <f>IF($X537="","",V537-T537)</f>
        <v/>
      </c>
      <c r="V537" s="7">
        <f>IF($X537="","",O537+R537+M537)</f>
        <v/>
      </c>
      <c r="W537" s="7">
        <f>IF($X537="","",V537-T537-I537)</f>
        <v/>
      </c>
      <c r="X537" s="13">
        <f>IF(ROWS($X$2:$X537)&lt;=MAX('Per Line'!$AL$2:$AL$3001),MATCH(ROWS($X$2:$X537),'Per Line'!$AL$2:$AL$3001,0),"")</f>
        <v/>
      </c>
    </row>
    <row r="538">
      <c r="A538" s="12" t="n"/>
      <c r="B538">
        <f>IF($X538="","",INDEX('Per Line'!$D$2:$D$3001,$X538)&amp;"")</f>
        <v/>
      </c>
      <c r="C538" s="11">
        <f>IF($X538="","",INDEX('Per Line'!$F$2:$F$3001,$X538))</f>
        <v/>
      </c>
      <c r="D538">
        <f>IF($X538="","",INDEX('Per Line'!$G$2:$G$3001,$X538)&amp;"")</f>
        <v/>
      </c>
      <c r="E538">
        <f>IF($X538="","",INDEX('Per Line'!$I$2:$I$3001,$X538)&amp;"")</f>
        <v/>
      </c>
      <c r="F538">
        <f>IF($X538="","",INDEX('Per Line'!$J$2:$J$3001,$X538)&amp;"")</f>
        <v/>
      </c>
      <c r="G538">
        <f>IF($X538="","",INDEX('Per Line'!$K$2:$K$3001,$X538)&amp;"")</f>
        <v/>
      </c>
      <c r="H538">
        <f>IF($X538="","",INDEX('Per Line'!$M$2:$M$3001,$X538))</f>
        <v/>
      </c>
      <c r="I538" s="7">
        <f>IF($X538="","",H538*V538/100)</f>
        <v/>
      </c>
      <c r="J538">
        <f>IF($X538="","",INDEX('Per Line'!$W$2:$W$3001,$X538)&amp;"")</f>
        <v/>
      </c>
      <c r="K538">
        <f>IF($X538="","",INDEX('Per Line'!$AD$2:$AD$3001,$X538))</f>
        <v/>
      </c>
      <c r="L538">
        <f>IF($X538="","",IF(AND(ISNUMBER(K538),K538&gt;0),V538&gt;K538,FALSE))</f>
        <v/>
      </c>
      <c r="M538" s="7">
        <f>IF($X538="","",SUMIFS('Per Line'!$V$2:$V$3001,'Per Line'!$D$2:$D$3001,$B538,'Per Line'!$AN$2:$AN$3001,1))</f>
        <v/>
      </c>
      <c r="N538">
        <f>IF($X538="","",Settings!$C$7)</f>
        <v/>
      </c>
      <c r="O538" s="7">
        <f>IF($X538="","",SUMIFS('Per Line'!$V$2:$V$3001,'Per Line'!$D$2:$D$3001,$B538,'Per Line'!$AM$2:$AM$3001,0,'Per Line'!$AN$2:$AN$3001,0))</f>
        <v/>
      </c>
      <c r="P538" s="7">
        <f>IF($X538="","",O538*N538)</f>
        <v/>
      </c>
      <c r="Q538">
        <f>IF($X538="","",Settings!$C$6)</f>
        <v/>
      </c>
      <c r="R538" s="7">
        <f>IF($X538="","",SUMIFS('Per Line'!$V$2:$V$3001,'Per Line'!$D$2:$D$3001,$B538,'Per Line'!$AM$2:$AM$3001,1,'Per Line'!$AN$2:$AN$3001,0))</f>
        <v/>
      </c>
      <c r="S538" s="7">
        <f>IF($X538="","",R538*Q538)</f>
        <v/>
      </c>
      <c r="T538" s="7">
        <f>IF($X538="","",S538+P538)</f>
        <v/>
      </c>
      <c r="U538" s="7">
        <f>IF($X538="","",V538-T538)</f>
        <v/>
      </c>
      <c r="V538" s="7">
        <f>IF($X538="","",O538+R538+M538)</f>
        <v/>
      </c>
      <c r="W538" s="7">
        <f>IF($X538="","",V538-T538-I538)</f>
        <v/>
      </c>
      <c r="X538" s="13">
        <f>IF(ROWS($X$2:$X538)&lt;=MAX('Per Line'!$AL$2:$AL$3001),MATCH(ROWS($X$2:$X538),'Per Line'!$AL$2:$AL$3001,0),"")</f>
        <v/>
      </c>
    </row>
    <row r="539">
      <c r="A539" s="12" t="n"/>
      <c r="B539">
        <f>IF($X539="","",INDEX('Per Line'!$D$2:$D$3001,$X539)&amp;"")</f>
        <v/>
      </c>
      <c r="C539" s="11">
        <f>IF($X539="","",INDEX('Per Line'!$F$2:$F$3001,$X539))</f>
        <v/>
      </c>
      <c r="D539">
        <f>IF($X539="","",INDEX('Per Line'!$G$2:$G$3001,$X539)&amp;"")</f>
        <v/>
      </c>
      <c r="E539">
        <f>IF($X539="","",INDEX('Per Line'!$I$2:$I$3001,$X539)&amp;"")</f>
        <v/>
      </c>
      <c r="F539">
        <f>IF($X539="","",INDEX('Per Line'!$J$2:$J$3001,$X539)&amp;"")</f>
        <v/>
      </c>
      <c r="G539">
        <f>IF($X539="","",INDEX('Per Line'!$K$2:$K$3001,$X539)&amp;"")</f>
        <v/>
      </c>
      <c r="H539">
        <f>IF($X539="","",INDEX('Per Line'!$M$2:$M$3001,$X539))</f>
        <v/>
      </c>
      <c r="I539" s="7">
        <f>IF($X539="","",H539*V539/100)</f>
        <v/>
      </c>
      <c r="J539">
        <f>IF($X539="","",INDEX('Per Line'!$W$2:$W$3001,$X539)&amp;"")</f>
        <v/>
      </c>
      <c r="K539">
        <f>IF($X539="","",INDEX('Per Line'!$AD$2:$AD$3001,$X539))</f>
        <v/>
      </c>
      <c r="L539">
        <f>IF($X539="","",IF(AND(ISNUMBER(K539),K539&gt;0),V539&gt;K539,FALSE))</f>
        <v/>
      </c>
      <c r="M539" s="7">
        <f>IF($X539="","",SUMIFS('Per Line'!$V$2:$V$3001,'Per Line'!$D$2:$D$3001,$B539,'Per Line'!$AN$2:$AN$3001,1))</f>
        <v/>
      </c>
      <c r="N539">
        <f>IF($X539="","",Settings!$C$7)</f>
        <v/>
      </c>
      <c r="O539" s="7">
        <f>IF($X539="","",SUMIFS('Per Line'!$V$2:$V$3001,'Per Line'!$D$2:$D$3001,$B539,'Per Line'!$AM$2:$AM$3001,0,'Per Line'!$AN$2:$AN$3001,0))</f>
        <v/>
      </c>
      <c r="P539" s="7">
        <f>IF($X539="","",O539*N539)</f>
        <v/>
      </c>
      <c r="Q539">
        <f>IF($X539="","",Settings!$C$6)</f>
        <v/>
      </c>
      <c r="R539" s="7">
        <f>IF($X539="","",SUMIFS('Per Line'!$V$2:$V$3001,'Per Line'!$D$2:$D$3001,$B539,'Per Line'!$AM$2:$AM$3001,1,'Per Line'!$AN$2:$AN$3001,0))</f>
        <v/>
      </c>
      <c r="S539" s="7">
        <f>IF($X539="","",R539*Q539)</f>
        <v/>
      </c>
      <c r="T539" s="7">
        <f>IF($X539="","",S539+P539)</f>
        <v/>
      </c>
      <c r="U539" s="7">
        <f>IF($X539="","",V539-T539)</f>
        <v/>
      </c>
      <c r="V539" s="7">
        <f>IF($X539="","",O539+R539+M539)</f>
        <v/>
      </c>
      <c r="W539" s="7">
        <f>IF($X539="","",V539-T539-I539)</f>
        <v/>
      </c>
      <c r="X539" s="13">
        <f>IF(ROWS($X$2:$X539)&lt;=MAX('Per Line'!$AL$2:$AL$3001),MATCH(ROWS($X$2:$X539),'Per Line'!$AL$2:$AL$3001,0),"")</f>
        <v/>
      </c>
    </row>
    <row r="540">
      <c r="A540" s="12" t="n"/>
      <c r="B540">
        <f>IF($X540="","",INDEX('Per Line'!$D$2:$D$3001,$X540)&amp;"")</f>
        <v/>
      </c>
      <c r="C540" s="11">
        <f>IF($X540="","",INDEX('Per Line'!$F$2:$F$3001,$X540))</f>
        <v/>
      </c>
      <c r="D540">
        <f>IF($X540="","",INDEX('Per Line'!$G$2:$G$3001,$X540)&amp;"")</f>
        <v/>
      </c>
      <c r="E540">
        <f>IF($X540="","",INDEX('Per Line'!$I$2:$I$3001,$X540)&amp;"")</f>
        <v/>
      </c>
      <c r="F540">
        <f>IF($X540="","",INDEX('Per Line'!$J$2:$J$3001,$X540)&amp;"")</f>
        <v/>
      </c>
      <c r="G540">
        <f>IF($X540="","",INDEX('Per Line'!$K$2:$K$3001,$X540)&amp;"")</f>
        <v/>
      </c>
      <c r="H540">
        <f>IF($X540="","",INDEX('Per Line'!$M$2:$M$3001,$X540))</f>
        <v/>
      </c>
      <c r="I540" s="7">
        <f>IF($X540="","",H540*V540/100)</f>
        <v/>
      </c>
      <c r="J540">
        <f>IF($X540="","",INDEX('Per Line'!$W$2:$W$3001,$X540)&amp;"")</f>
        <v/>
      </c>
      <c r="K540">
        <f>IF($X540="","",INDEX('Per Line'!$AD$2:$AD$3001,$X540))</f>
        <v/>
      </c>
      <c r="L540">
        <f>IF($X540="","",IF(AND(ISNUMBER(K540),K540&gt;0),V540&gt;K540,FALSE))</f>
        <v/>
      </c>
      <c r="M540" s="7">
        <f>IF($X540="","",SUMIFS('Per Line'!$V$2:$V$3001,'Per Line'!$D$2:$D$3001,$B540,'Per Line'!$AN$2:$AN$3001,1))</f>
        <v/>
      </c>
      <c r="N540">
        <f>IF($X540="","",Settings!$C$7)</f>
        <v/>
      </c>
      <c r="O540" s="7">
        <f>IF($X540="","",SUMIFS('Per Line'!$V$2:$V$3001,'Per Line'!$D$2:$D$3001,$B540,'Per Line'!$AM$2:$AM$3001,0,'Per Line'!$AN$2:$AN$3001,0))</f>
        <v/>
      </c>
      <c r="P540" s="7">
        <f>IF($X540="","",O540*N540)</f>
        <v/>
      </c>
      <c r="Q540">
        <f>IF($X540="","",Settings!$C$6)</f>
        <v/>
      </c>
      <c r="R540" s="7">
        <f>IF($X540="","",SUMIFS('Per Line'!$V$2:$V$3001,'Per Line'!$D$2:$D$3001,$B540,'Per Line'!$AM$2:$AM$3001,1,'Per Line'!$AN$2:$AN$3001,0))</f>
        <v/>
      </c>
      <c r="S540" s="7">
        <f>IF($X540="","",R540*Q540)</f>
        <v/>
      </c>
      <c r="T540" s="7">
        <f>IF($X540="","",S540+P540)</f>
        <v/>
      </c>
      <c r="U540" s="7">
        <f>IF($X540="","",V540-T540)</f>
        <v/>
      </c>
      <c r="V540" s="7">
        <f>IF($X540="","",O540+R540+M540)</f>
        <v/>
      </c>
      <c r="W540" s="7">
        <f>IF($X540="","",V540-T540-I540)</f>
        <v/>
      </c>
      <c r="X540" s="13">
        <f>IF(ROWS($X$2:$X540)&lt;=MAX('Per Line'!$AL$2:$AL$3001),MATCH(ROWS($X$2:$X540),'Per Line'!$AL$2:$AL$3001,0),"")</f>
        <v/>
      </c>
    </row>
    <row r="541">
      <c r="A541" s="12" t="n"/>
      <c r="B541">
        <f>IF($X541="","",INDEX('Per Line'!$D$2:$D$3001,$X541)&amp;"")</f>
        <v/>
      </c>
      <c r="C541" s="11">
        <f>IF($X541="","",INDEX('Per Line'!$F$2:$F$3001,$X541))</f>
        <v/>
      </c>
      <c r="D541">
        <f>IF($X541="","",INDEX('Per Line'!$G$2:$G$3001,$X541)&amp;"")</f>
        <v/>
      </c>
      <c r="E541">
        <f>IF($X541="","",INDEX('Per Line'!$I$2:$I$3001,$X541)&amp;"")</f>
        <v/>
      </c>
      <c r="F541">
        <f>IF($X541="","",INDEX('Per Line'!$J$2:$J$3001,$X541)&amp;"")</f>
        <v/>
      </c>
      <c r="G541">
        <f>IF($X541="","",INDEX('Per Line'!$K$2:$K$3001,$X541)&amp;"")</f>
        <v/>
      </c>
      <c r="H541">
        <f>IF($X541="","",INDEX('Per Line'!$M$2:$M$3001,$X541))</f>
        <v/>
      </c>
      <c r="I541" s="7">
        <f>IF($X541="","",H541*V541/100)</f>
        <v/>
      </c>
      <c r="J541">
        <f>IF($X541="","",INDEX('Per Line'!$W$2:$W$3001,$X541)&amp;"")</f>
        <v/>
      </c>
      <c r="K541">
        <f>IF($X541="","",INDEX('Per Line'!$AD$2:$AD$3001,$X541))</f>
        <v/>
      </c>
      <c r="L541">
        <f>IF($X541="","",IF(AND(ISNUMBER(K541),K541&gt;0),V541&gt;K541,FALSE))</f>
        <v/>
      </c>
      <c r="M541" s="7">
        <f>IF($X541="","",SUMIFS('Per Line'!$V$2:$V$3001,'Per Line'!$D$2:$D$3001,$B541,'Per Line'!$AN$2:$AN$3001,1))</f>
        <v/>
      </c>
      <c r="N541">
        <f>IF($X541="","",Settings!$C$7)</f>
        <v/>
      </c>
      <c r="O541" s="7">
        <f>IF($X541="","",SUMIFS('Per Line'!$V$2:$V$3001,'Per Line'!$D$2:$D$3001,$B541,'Per Line'!$AM$2:$AM$3001,0,'Per Line'!$AN$2:$AN$3001,0))</f>
        <v/>
      </c>
      <c r="P541" s="7">
        <f>IF($X541="","",O541*N541)</f>
        <v/>
      </c>
      <c r="Q541">
        <f>IF($X541="","",Settings!$C$6)</f>
        <v/>
      </c>
      <c r="R541" s="7">
        <f>IF($X541="","",SUMIFS('Per Line'!$V$2:$V$3001,'Per Line'!$D$2:$D$3001,$B541,'Per Line'!$AM$2:$AM$3001,1,'Per Line'!$AN$2:$AN$3001,0))</f>
        <v/>
      </c>
      <c r="S541" s="7">
        <f>IF($X541="","",R541*Q541)</f>
        <v/>
      </c>
      <c r="T541" s="7">
        <f>IF($X541="","",S541+P541)</f>
        <v/>
      </c>
      <c r="U541" s="7">
        <f>IF($X541="","",V541-T541)</f>
        <v/>
      </c>
      <c r="V541" s="7">
        <f>IF($X541="","",O541+R541+M541)</f>
        <v/>
      </c>
      <c r="W541" s="7">
        <f>IF($X541="","",V541-T541-I541)</f>
        <v/>
      </c>
      <c r="X541" s="13">
        <f>IF(ROWS($X$2:$X541)&lt;=MAX('Per Line'!$AL$2:$AL$3001),MATCH(ROWS($X$2:$X541),'Per Line'!$AL$2:$AL$3001,0),"")</f>
        <v/>
      </c>
    </row>
    <row r="542">
      <c r="A542" s="12" t="n"/>
      <c r="B542">
        <f>IF($X542="","",INDEX('Per Line'!$D$2:$D$3001,$X542)&amp;"")</f>
        <v/>
      </c>
      <c r="C542" s="11">
        <f>IF($X542="","",INDEX('Per Line'!$F$2:$F$3001,$X542))</f>
        <v/>
      </c>
      <c r="D542">
        <f>IF($X542="","",INDEX('Per Line'!$G$2:$G$3001,$X542)&amp;"")</f>
        <v/>
      </c>
      <c r="E542">
        <f>IF($X542="","",INDEX('Per Line'!$I$2:$I$3001,$X542)&amp;"")</f>
        <v/>
      </c>
      <c r="F542">
        <f>IF($X542="","",INDEX('Per Line'!$J$2:$J$3001,$X542)&amp;"")</f>
        <v/>
      </c>
      <c r="G542">
        <f>IF($X542="","",INDEX('Per Line'!$K$2:$K$3001,$X542)&amp;"")</f>
        <v/>
      </c>
      <c r="H542">
        <f>IF($X542="","",INDEX('Per Line'!$M$2:$M$3001,$X542))</f>
        <v/>
      </c>
      <c r="I542" s="7">
        <f>IF($X542="","",H542*V542/100)</f>
        <v/>
      </c>
      <c r="J542">
        <f>IF($X542="","",INDEX('Per Line'!$W$2:$W$3001,$X542)&amp;"")</f>
        <v/>
      </c>
      <c r="K542">
        <f>IF($X542="","",INDEX('Per Line'!$AD$2:$AD$3001,$X542))</f>
        <v/>
      </c>
      <c r="L542">
        <f>IF($X542="","",IF(AND(ISNUMBER(K542),K542&gt;0),V542&gt;K542,FALSE))</f>
        <v/>
      </c>
      <c r="M542" s="7">
        <f>IF($X542="","",SUMIFS('Per Line'!$V$2:$V$3001,'Per Line'!$D$2:$D$3001,$B542,'Per Line'!$AN$2:$AN$3001,1))</f>
        <v/>
      </c>
      <c r="N542">
        <f>IF($X542="","",Settings!$C$7)</f>
        <v/>
      </c>
      <c r="O542" s="7">
        <f>IF($X542="","",SUMIFS('Per Line'!$V$2:$V$3001,'Per Line'!$D$2:$D$3001,$B542,'Per Line'!$AM$2:$AM$3001,0,'Per Line'!$AN$2:$AN$3001,0))</f>
        <v/>
      </c>
      <c r="P542" s="7">
        <f>IF($X542="","",O542*N542)</f>
        <v/>
      </c>
      <c r="Q542">
        <f>IF($X542="","",Settings!$C$6)</f>
        <v/>
      </c>
      <c r="R542" s="7">
        <f>IF($X542="","",SUMIFS('Per Line'!$V$2:$V$3001,'Per Line'!$D$2:$D$3001,$B542,'Per Line'!$AM$2:$AM$3001,1,'Per Line'!$AN$2:$AN$3001,0))</f>
        <v/>
      </c>
      <c r="S542" s="7">
        <f>IF($X542="","",R542*Q542)</f>
        <v/>
      </c>
      <c r="T542" s="7">
        <f>IF($X542="","",S542+P542)</f>
        <v/>
      </c>
      <c r="U542" s="7">
        <f>IF($X542="","",V542-T542)</f>
        <v/>
      </c>
      <c r="V542" s="7">
        <f>IF($X542="","",O542+R542+M542)</f>
        <v/>
      </c>
      <c r="W542" s="7">
        <f>IF($X542="","",V542-T542-I542)</f>
        <v/>
      </c>
      <c r="X542" s="13">
        <f>IF(ROWS($X$2:$X542)&lt;=MAX('Per Line'!$AL$2:$AL$3001),MATCH(ROWS($X$2:$X542),'Per Line'!$AL$2:$AL$3001,0),"")</f>
        <v/>
      </c>
    </row>
    <row r="543">
      <c r="A543" s="12" t="n"/>
      <c r="B543">
        <f>IF($X543="","",INDEX('Per Line'!$D$2:$D$3001,$X543)&amp;"")</f>
        <v/>
      </c>
      <c r="C543" s="11">
        <f>IF($X543="","",INDEX('Per Line'!$F$2:$F$3001,$X543))</f>
        <v/>
      </c>
      <c r="D543">
        <f>IF($X543="","",INDEX('Per Line'!$G$2:$G$3001,$X543)&amp;"")</f>
        <v/>
      </c>
      <c r="E543">
        <f>IF($X543="","",INDEX('Per Line'!$I$2:$I$3001,$X543)&amp;"")</f>
        <v/>
      </c>
      <c r="F543">
        <f>IF($X543="","",INDEX('Per Line'!$J$2:$J$3001,$X543)&amp;"")</f>
        <v/>
      </c>
      <c r="G543">
        <f>IF($X543="","",INDEX('Per Line'!$K$2:$K$3001,$X543)&amp;"")</f>
        <v/>
      </c>
      <c r="H543">
        <f>IF($X543="","",INDEX('Per Line'!$M$2:$M$3001,$X543))</f>
        <v/>
      </c>
      <c r="I543" s="7">
        <f>IF($X543="","",H543*V543/100)</f>
        <v/>
      </c>
      <c r="J543">
        <f>IF($X543="","",INDEX('Per Line'!$W$2:$W$3001,$X543)&amp;"")</f>
        <v/>
      </c>
      <c r="K543">
        <f>IF($X543="","",INDEX('Per Line'!$AD$2:$AD$3001,$X543))</f>
        <v/>
      </c>
      <c r="L543">
        <f>IF($X543="","",IF(AND(ISNUMBER(K543),K543&gt;0),V543&gt;K543,FALSE))</f>
        <v/>
      </c>
      <c r="M543" s="7">
        <f>IF($X543="","",SUMIFS('Per Line'!$V$2:$V$3001,'Per Line'!$D$2:$D$3001,$B543,'Per Line'!$AN$2:$AN$3001,1))</f>
        <v/>
      </c>
      <c r="N543">
        <f>IF($X543="","",Settings!$C$7)</f>
        <v/>
      </c>
      <c r="O543" s="7">
        <f>IF($X543="","",SUMIFS('Per Line'!$V$2:$V$3001,'Per Line'!$D$2:$D$3001,$B543,'Per Line'!$AM$2:$AM$3001,0,'Per Line'!$AN$2:$AN$3001,0))</f>
        <v/>
      </c>
      <c r="P543" s="7">
        <f>IF($X543="","",O543*N543)</f>
        <v/>
      </c>
      <c r="Q543">
        <f>IF($X543="","",Settings!$C$6)</f>
        <v/>
      </c>
      <c r="R543" s="7">
        <f>IF($X543="","",SUMIFS('Per Line'!$V$2:$V$3001,'Per Line'!$D$2:$D$3001,$B543,'Per Line'!$AM$2:$AM$3001,1,'Per Line'!$AN$2:$AN$3001,0))</f>
        <v/>
      </c>
      <c r="S543" s="7">
        <f>IF($X543="","",R543*Q543)</f>
        <v/>
      </c>
      <c r="T543" s="7">
        <f>IF($X543="","",S543+P543)</f>
        <v/>
      </c>
      <c r="U543" s="7">
        <f>IF($X543="","",V543-T543)</f>
        <v/>
      </c>
      <c r="V543" s="7">
        <f>IF($X543="","",O543+R543+M543)</f>
        <v/>
      </c>
      <c r="W543" s="7">
        <f>IF($X543="","",V543-T543-I543)</f>
        <v/>
      </c>
      <c r="X543" s="13">
        <f>IF(ROWS($X$2:$X543)&lt;=MAX('Per Line'!$AL$2:$AL$3001),MATCH(ROWS($X$2:$X543),'Per Line'!$AL$2:$AL$3001,0),"")</f>
        <v/>
      </c>
    </row>
    <row r="544">
      <c r="A544" s="12" t="n"/>
      <c r="B544">
        <f>IF($X544="","",INDEX('Per Line'!$D$2:$D$3001,$X544)&amp;"")</f>
        <v/>
      </c>
      <c r="C544" s="11">
        <f>IF($X544="","",INDEX('Per Line'!$F$2:$F$3001,$X544))</f>
        <v/>
      </c>
      <c r="D544">
        <f>IF($X544="","",INDEX('Per Line'!$G$2:$G$3001,$X544)&amp;"")</f>
        <v/>
      </c>
      <c r="E544">
        <f>IF($X544="","",INDEX('Per Line'!$I$2:$I$3001,$X544)&amp;"")</f>
        <v/>
      </c>
      <c r="F544">
        <f>IF($X544="","",INDEX('Per Line'!$J$2:$J$3001,$X544)&amp;"")</f>
        <v/>
      </c>
      <c r="G544">
        <f>IF($X544="","",INDEX('Per Line'!$K$2:$K$3001,$X544)&amp;"")</f>
        <v/>
      </c>
      <c r="H544">
        <f>IF($X544="","",INDEX('Per Line'!$M$2:$M$3001,$X544))</f>
        <v/>
      </c>
      <c r="I544" s="7">
        <f>IF($X544="","",H544*V544/100)</f>
        <v/>
      </c>
      <c r="J544">
        <f>IF($X544="","",INDEX('Per Line'!$W$2:$W$3001,$X544)&amp;"")</f>
        <v/>
      </c>
      <c r="K544">
        <f>IF($X544="","",INDEX('Per Line'!$AD$2:$AD$3001,$X544))</f>
        <v/>
      </c>
      <c r="L544">
        <f>IF($X544="","",IF(AND(ISNUMBER(K544),K544&gt;0),V544&gt;K544,FALSE))</f>
        <v/>
      </c>
      <c r="M544" s="7">
        <f>IF($X544="","",SUMIFS('Per Line'!$V$2:$V$3001,'Per Line'!$D$2:$D$3001,$B544,'Per Line'!$AN$2:$AN$3001,1))</f>
        <v/>
      </c>
      <c r="N544">
        <f>IF($X544="","",Settings!$C$7)</f>
        <v/>
      </c>
      <c r="O544" s="7">
        <f>IF($X544="","",SUMIFS('Per Line'!$V$2:$V$3001,'Per Line'!$D$2:$D$3001,$B544,'Per Line'!$AM$2:$AM$3001,0,'Per Line'!$AN$2:$AN$3001,0))</f>
        <v/>
      </c>
      <c r="P544" s="7">
        <f>IF($X544="","",O544*N544)</f>
        <v/>
      </c>
      <c r="Q544">
        <f>IF($X544="","",Settings!$C$6)</f>
        <v/>
      </c>
      <c r="R544" s="7">
        <f>IF($X544="","",SUMIFS('Per Line'!$V$2:$V$3001,'Per Line'!$D$2:$D$3001,$B544,'Per Line'!$AM$2:$AM$3001,1,'Per Line'!$AN$2:$AN$3001,0))</f>
        <v/>
      </c>
      <c r="S544" s="7">
        <f>IF($X544="","",R544*Q544)</f>
        <v/>
      </c>
      <c r="T544" s="7">
        <f>IF($X544="","",S544+P544)</f>
        <v/>
      </c>
      <c r="U544" s="7">
        <f>IF($X544="","",V544-T544)</f>
        <v/>
      </c>
      <c r="V544" s="7">
        <f>IF($X544="","",O544+R544+M544)</f>
        <v/>
      </c>
      <c r="W544" s="7">
        <f>IF($X544="","",V544-T544-I544)</f>
        <v/>
      </c>
      <c r="X544" s="13">
        <f>IF(ROWS($X$2:$X544)&lt;=MAX('Per Line'!$AL$2:$AL$3001),MATCH(ROWS($X$2:$X544),'Per Line'!$AL$2:$AL$3001,0),"")</f>
        <v/>
      </c>
    </row>
    <row r="545">
      <c r="A545" s="12" t="n"/>
      <c r="B545">
        <f>IF($X545="","",INDEX('Per Line'!$D$2:$D$3001,$X545)&amp;"")</f>
        <v/>
      </c>
      <c r="C545" s="11">
        <f>IF($X545="","",INDEX('Per Line'!$F$2:$F$3001,$X545))</f>
        <v/>
      </c>
      <c r="D545">
        <f>IF($X545="","",INDEX('Per Line'!$G$2:$G$3001,$X545)&amp;"")</f>
        <v/>
      </c>
      <c r="E545">
        <f>IF($X545="","",INDEX('Per Line'!$I$2:$I$3001,$X545)&amp;"")</f>
        <v/>
      </c>
      <c r="F545">
        <f>IF($X545="","",INDEX('Per Line'!$J$2:$J$3001,$X545)&amp;"")</f>
        <v/>
      </c>
      <c r="G545">
        <f>IF($X545="","",INDEX('Per Line'!$K$2:$K$3001,$X545)&amp;"")</f>
        <v/>
      </c>
      <c r="H545">
        <f>IF($X545="","",INDEX('Per Line'!$M$2:$M$3001,$X545))</f>
        <v/>
      </c>
      <c r="I545" s="7">
        <f>IF($X545="","",H545*V545/100)</f>
        <v/>
      </c>
      <c r="J545">
        <f>IF($X545="","",INDEX('Per Line'!$W$2:$W$3001,$X545)&amp;"")</f>
        <v/>
      </c>
      <c r="K545">
        <f>IF($X545="","",INDEX('Per Line'!$AD$2:$AD$3001,$X545))</f>
        <v/>
      </c>
      <c r="L545">
        <f>IF($X545="","",IF(AND(ISNUMBER(K545),K545&gt;0),V545&gt;K545,FALSE))</f>
        <v/>
      </c>
      <c r="M545" s="7">
        <f>IF($X545="","",SUMIFS('Per Line'!$V$2:$V$3001,'Per Line'!$D$2:$D$3001,$B545,'Per Line'!$AN$2:$AN$3001,1))</f>
        <v/>
      </c>
      <c r="N545">
        <f>IF($X545="","",Settings!$C$7)</f>
        <v/>
      </c>
      <c r="O545" s="7">
        <f>IF($X545="","",SUMIFS('Per Line'!$V$2:$V$3001,'Per Line'!$D$2:$D$3001,$B545,'Per Line'!$AM$2:$AM$3001,0,'Per Line'!$AN$2:$AN$3001,0))</f>
        <v/>
      </c>
      <c r="P545" s="7">
        <f>IF($X545="","",O545*N545)</f>
        <v/>
      </c>
      <c r="Q545">
        <f>IF($X545="","",Settings!$C$6)</f>
        <v/>
      </c>
      <c r="R545" s="7">
        <f>IF($X545="","",SUMIFS('Per Line'!$V$2:$V$3001,'Per Line'!$D$2:$D$3001,$B545,'Per Line'!$AM$2:$AM$3001,1,'Per Line'!$AN$2:$AN$3001,0))</f>
        <v/>
      </c>
      <c r="S545" s="7">
        <f>IF($X545="","",R545*Q545)</f>
        <v/>
      </c>
      <c r="T545" s="7">
        <f>IF($X545="","",S545+P545)</f>
        <v/>
      </c>
      <c r="U545" s="7">
        <f>IF($X545="","",V545-T545)</f>
        <v/>
      </c>
      <c r="V545" s="7">
        <f>IF($X545="","",O545+R545+M545)</f>
        <v/>
      </c>
      <c r="W545" s="7">
        <f>IF($X545="","",V545-T545-I545)</f>
        <v/>
      </c>
      <c r="X545" s="13">
        <f>IF(ROWS($X$2:$X545)&lt;=MAX('Per Line'!$AL$2:$AL$3001),MATCH(ROWS($X$2:$X545),'Per Line'!$AL$2:$AL$3001,0),"")</f>
        <v/>
      </c>
    </row>
    <row r="546">
      <c r="A546" s="12" t="n"/>
      <c r="B546">
        <f>IF($X546="","",INDEX('Per Line'!$D$2:$D$3001,$X546)&amp;"")</f>
        <v/>
      </c>
      <c r="C546" s="11">
        <f>IF($X546="","",INDEX('Per Line'!$F$2:$F$3001,$X546))</f>
        <v/>
      </c>
      <c r="D546">
        <f>IF($X546="","",INDEX('Per Line'!$G$2:$G$3001,$X546)&amp;"")</f>
        <v/>
      </c>
      <c r="E546">
        <f>IF($X546="","",INDEX('Per Line'!$I$2:$I$3001,$X546)&amp;"")</f>
        <v/>
      </c>
      <c r="F546">
        <f>IF($X546="","",INDEX('Per Line'!$J$2:$J$3001,$X546)&amp;"")</f>
        <v/>
      </c>
      <c r="G546">
        <f>IF($X546="","",INDEX('Per Line'!$K$2:$K$3001,$X546)&amp;"")</f>
        <v/>
      </c>
      <c r="H546">
        <f>IF($X546="","",INDEX('Per Line'!$M$2:$M$3001,$X546))</f>
        <v/>
      </c>
      <c r="I546" s="7">
        <f>IF($X546="","",H546*V546/100)</f>
        <v/>
      </c>
      <c r="J546">
        <f>IF($X546="","",INDEX('Per Line'!$W$2:$W$3001,$X546)&amp;"")</f>
        <v/>
      </c>
      <c r="K546">
        <f>IF($X546="","",INDEX('Per Line'!$AD$2:$AD$3001,$X546))</f>
        <v/>
      </c>
      <c r="L546">
        <f>IF($X546="","",IF(AND(ISNUMBER(K546),K546&gt;0),V546&gt;K546,FALSE))</f>
        <v/>
      </c>
      <c r="M546" s="7">
        <f>IF($X546="","",SUMIFS('Per Line'!$V$2:$V$3001,'Per Line'!$D$2:$D$3001,$B546,'Per Line'!$AN$2:$AN$3001,1))</f>
        <v/>
      </c>
      <c r="N546">
        <f>IF($X546="","",Settings!$C$7)</f>
        <v/>
      </c>
      <c r="O546" s="7">
        <f>IF($X546="","",SUMIFS('Per Line'!$V$2:$V$3001,'Per Line'!$D$2:$D$3001,$B546,'Per Line'!$AM$2:$AM$3001,0,'Per Line'!$AN$2:$AN$3001,0))</f>
        <v/>
      </c>
      <c r="P546" s="7">
        <f>IF($X546="","",O546*N546)</f>
        <v/>
      </c>
      <c r="Q546">
        <f>IF($X546="","",Settings!$C$6)</f>
        <v/>
      </c>
      <c r="R546" s="7">
        <f>IF($X546="","",SUMIFS('Per Line'!$V$2:$V$3001,'Per Line'!$D$2:$D$3001,$B546,'Per Line'!$AM$2:$AM$3001,1,'Per Line'!$AN$2:$AN$3001,0))</f>
        <v/>
      </c>
      <c r="S546" s="7">
        <f>IF($X546="","",R546*Q546)</f>
        <v/>
      </c>
      <c r="T546" s="7">
        <f>IF($X546="","",S546+P546)</f>
        <v/>
      </c>
      <c r="U546" s="7">
        <f>IF($X546="","",V546-T546)</f>
        <v/>
      </c>
      <c r="V546" s="7">
        <f>IF($X546="","",O546+R546+M546)</f>
        <v/>
      </c>
      <c r="W546" s="7">
        <f>IF($X546="","",V546-T546-I546)</f>
        <v/>
      </c>
      <c r="X546" s="13">
        <f>IF(ROWS($X$2:$X546)&lt;=MAX('Per Line'!$AL$2:$AL$3001),MATCH(ROWS($X$2:$X546),'Per Line'!$AL$2:$AL$3001,0),"")</f>
        <v/>
      </c>
    </row>
    <row r="547">
      <c r="A547" s="12" t="n"/>
      <c r="B547">
        <f>IF($X547="","",INDEX('Per Line'!$D$2:$D$3001,$X547)&amp;"")</f>
        <v/>
      </c>
      <c r="C547" s="11">
        <f>IF($X547="","",INDEX('Per Line'!$F$2:$F$3001,$X547))</f>
        <v/>
      </c>
      <c r="D547">
        <f>IF($X547="","",INDEX('Per Line'!$G$2:$G$3001,$X547)&amp;"")</f>
        <v/>
      </c>
      <c r="E547">
        <f>IF($X547="","",INDEX('Per Line'!$I$2:$I$3001,$X547)&amp;"")</f>
        <v/>
      </c>
      <c r="F547">
        <f>IF($X547="","",INDEX('Per Line'!$J$2:$J$3001,$X547)&amp;"")</f>
        <v/>
      </c>
      <c r="G547">
        <f>IF($X547="","",INDEX('Per Line'!$K$2:$K$3001,$X547)&amp;"")</f>
        <v/>
      </c>
      <c r="H547">
        <f>IF($X547="","",INDEX('Per Line'!$M$2:$M$3001,$X547))</f>
        <v/>
      </c>
      <c r="I547" s="7">
        <f>IF($X547="","",H547*V547/100)</f>
        <v/>
      </c>
      <c r="J547">
        <f>IF($X547="","",INDEX('Per Line'!$W$2:$W$3001,$X547)&amp;"")</f>
        <v/>
      </c>
      <c r="K547">
        <f>IF($X547="","",INDEX('Per Line'!$AD$2:$AD$3001,$X547))</f>
        <v/>
      </c>
      <c r="L547">
        <f>IF($X547="","",IF(AND(ISNUMBER(K547),K547&gt;0),V547&gt;K547,FALSE))</f>
        <v/>
      </c>
      <c r="M547" s="7">
        <f>IF($X547="","",SUMIFS('Per Line'!$V$2:$V$3001,'Per Line'!$D$2:$D$3001,$B547,'Per Line'!$AN$2:$AN$3001,1))</f>
        <v/>
      </c>
      <c r="N547">
        <f>IF($X547="","",Settings!$C$7)</f>
        <v/>
      </c>
      <c r="O547" s="7">
        <f>IF($X547="","",SUMIFS('Per Line'!$V$2:$V$3001,'Per Line'!$D$2:$D$3001,$B547,'Per Line'!$AM$2:$AM$3001,0,'Per Line'!$AN$2:$AN$3001,0))</f>
        <v/>
      </c>
      <c r="P547" s="7">
        <f>IF($X547="","",O547*N547)</f>
        <v/>
      </c>
      <c r="Q547">
        <f>IF($X547="","",Settings!$C$6)</f>
        <v/>
      </c>
      <c r="R547" s="7">
        <f>IF($X547="","",SUMIFS('Per Line'!$V$2:$V$3001,'Per Line'!$D$2:$D$3001,$B547,'Per Line'!$AM$2:$AM$3001,1,'Per Line'!$AN$2:$AN$3001,0))</f>
        <v/>
      </c>
      <c r="S547" s="7">
        <f>IF($X547="","",R547*Q547)</f>
        <v/>
      </c>
      <c r="T547" s="7">
        <f>IF($X547="","",S547+P547)</f>
        <v/>
      </c>
      <c r="U547" s="7">
        <f>IF($X547="","",V547-T547)</f>
        <v/>
      </c>
      <c r="V547" s="7">
        <f>IF($X547="","",O547+R547+M547)</f>
        <v/>
      </c>
      <c r="W547" s="7">
        <f>IF($X547="","",V547-T547-I547)</f>
        <v/>
      </c>
      <c r="X547" s="13">
        <f>IF(ROWS($X$2:$X547)&lt;=MAX('Per Line'!$AL$2:$AL$3001),MATCH(ROWS($X$2:$X547),'Per Line'!$AL$2:$AL$3001,0),"")</f>
        <v/>
      </c>
    </row>
    <row r="548">
      <c r="A548" s="12" t="n"/>
      <c r="B548">
        <f>IF($X548="","",INDEX('Per Line'!$D$2:$D$3001,$X548)&amp;"")</f>
        <v/>
      </c>
      <c r="C548" s="11">
        <f>IF($X548="","",INDEX('Per Line'!$F$2:$F$3001,$X548))</f>
        <v/>
      </c>
      <c r="D548">
        <f>IF($X548="","",INDEX('Per Line'!$G$2:$G$3001,$X548)&amp;"")</f>
        <v/>
      </c>
      <c r="E548">
        <f>IF($X548="","",INDEX('Per Line'!$I$2:$I$3001,$X548)&amp;"")</f>
        <v/>
      </c>
      <c r="F548">
        <f>IF($X548="","",INDEX('Per Line'!$J$2:$J$3001,$X548)&amp;"")</f>
        <v/>
      </c>
      <c r="G548">
        <f>IF($X548="","",INDEX('Per Line'!$K$2:$K$3001,$X548)&amp;"")</f>
        <v/>
      </c>
      <c r="H548">
        <f>IF($X548="","",INDEX('Per Line'!$M$2:$M$3001,$X548))</f>
        <v/>
      </c>
      <c r="I548" s="7">
        <f>IF($X548="","",H548*V548/100)</f>
        <v/>
      </c>
      <c r="J548">
        <f>IF($X548="","",INDEX('Per Line'!$W$2:$W$3001,$X548)&amp;"")</f>
        <v/>
      </c>
      <c r="K548">
        <f>IF($X548="","",INDEX('Per Line'!$AD$2:$AD$3001,$X548))</f>
        <v/>
      </c>
      <c r="L548">
        <f>IF($X548="","",IF(AND(ISNUMBER(K548),K548&gt;0),V548&gt;K548,FALSE))</f>
        <v/>
      </c>
      <c r="M548" s="7">
        <f>IF($X548="","",SUMIFS('Per Line'!$V$2:$V$3001,'Per Line'!$D$2:$D$3001,$B548,'Per Line'!$AN$2:$AN$3001,1))</f>
        <v/>
      </c>
      <c r="N548">
        <f>IF($X548="","",Settings!$C$7)</f>
        <v/>
      </c>
      <c r="O548" s="7">
        <f>IF($X548="","",SUMIFS('Per Line'!$V$2:$V$3001,'Per Line'!$D$2:$D$3001,$B548,'Per Line'!$AM$2:$AM$3001,0,'Per Line'!$AN$2:$AN$3001,0))</f>
        <v/>
      </c>
      <c r="P548" s="7">
        <f>IF($X548="","",O548*N548)</f>
        <v/>
      </c>
      <c r="Q548">
        <f>IF($X548="","",Settings!$C$6)</f>
        <v/>
      </c>
      <c r="R548" s="7">
        <f>IF($X548="","",SUMIFS('Per Line'!$V$2:$V$3001,'Per Line'!$D$2:$D$3001,$B548,'Per Line'!$AM$2:$AM$3001,1,'Per Line'!$AN$2:$AN$3001,0))</f>
        <v/>
      </c>
      <c r="S548" s="7">
        <f>IF($X548="","",R548*Q548)</f>
        <v/>
      </c>
      <c r="T548" s="7">
        <f>IF($X548="","",S548+P548)</f>
        <v/>
      </c>
      <c r="U548" s="7">
        <f>IF($X548="","",V548-T548)</f>
        <v/>
      </c>
      <c r="V548" s="7">
        <f>IF($X548="","",O548+R548+M548)</f>
        <v/>
      </c>
      <c r="W548" s="7">
        <f>IF($X548="","",V548-T548-I548)</f>
        <v/>
      </c>
      <c r="X548" s="13">
        <f>IF(ROWS($X$2:$X548)&lt;=MAX('Per Line'!$AL$2:$AL$3001),MATCH(ROWS($X$2:$X548),'Per Line'!$AL$2:$AL$3001,0),"")</f>
        <v/>
      </c>
    </row>
    <row r="549">
      <c r="A549" s="12" t="n"/>
      <c r="B549">
        <f>IF($X549="","",INDEX('Per Line'!$D$2:$D$3001,$X549)&amp;"")</f>
        <v/>
      </c>
      <c r="C549" s="11">
        <f>IF($X549="","",INDEX('Per Line'!$F$2:$F$3001,$X549))</f>
        <v/>
      </c>
      <c r="D549">
        <f>IF($X549="","",INDEX('Per Line'!$G$2:$G$3001,$X549)&amp;"")</f>
        <v/>
      </c>
      <c r="E549">
        <f>IF($X549="","",INDEX('Per Line'!$I$2:$I$3001,$X549)&amp;"")</f>
        <v/>
      </c>
      <c r="F549">
        <f>IF($X549="","",INDEX('Per Line'!$J$2:$J$3001,$X549)&amp;"")</f>
        <v/>
      </c>
      <c r="G549">
        <f>IF($X549="","",INDEX('Per Line'!$K$2:$K$3001,$X549)&amp;"")</f>
        <v/>
      </c>
      <c r="H549">
        <f>IF($X549="","",INDEX('Per Line'!$M$2:$M$3001,$X549))</f>
        <v/>
      </c>
      <c r="I549" s="7">
        <f>IF($X549="","",H549*V549/100)</f>
        <v/>
      </c>
      <c r="J549">
        <f>IF($X549="","",INDEX('Per Line'!$W$2:$W$3001,$X549)&amp;"")</f>
        <v/>
      </c>
      <c r="K549">
        <f>IF($X549="","",INDEX('Per Line'!$AD$2:$AD$3001,$X549))</f>
        <v/>
      </c>
      <c r="L549">
        <f>IF($X549="","",IF(AND(ISNUMBER(K549),K549&gt;0),V549&gt;K549,FALSE))</f>
        <v/>
      </c>
      <c r="M549" s="7">
        <f>IF($X549="","",SUMIFS('Per Line'!$V$2:$V$3001,'Per Line'!$D$2:$D$3001,$B549,'Per Line'!$AN$2:$AN$3001,1))</f>
        <v/>
      </c>
      <c r="N549">
        <f>IF($X549="","",Settings!$C$7)</f>
        <v/>
      </c>
      <c r="O549" s="7">
        <f>IF($X549="","",SUMIFS('Per Line'!$V$2:$V$3001,'Per Line'!$D$2:$D$3001,$B549,'Per Line'!$AM$2:$AM$3001,0,'Per Line'!$AN$2:$AN$3001,0))</f>
        <v/>
      </c>
      <c r="P549" s="7">
        <f>IF($X549="","",O549*N549)</f>
        <v/>
      </c>
      <c r="Q549">
        <f>IF($X549="","",Settings!$C$6)</f>
        <v/>
      </c>
      <c r="R549" s="7">
        <f>IF($X549="","",SUMIFS('Per Line'!$V$2:$V$3001,'Per Line'!$D$2:$D$3001,$B549,'Per Line'!$AM$2:$AM$3001,1,'Per Line'!$AN$2:$AN$3001,0))</f>
        <v/>
      </c>
      <c r="S549" s="7">
        <f>IF($X549="","",R549*Q549)</f>
        <v/>
      </c>
      <c r="T549" s="7">
        <f>IF($X549="","",S549+P549)</f>
        <v/>
      </c>
      <c r="U549" s="7">
        <f>IF($X549="","",V549-T549)</f>
        <v/>
      </c>
      <c r="V549" s="7">
        <f>IF($X549="","",O549+R549+M549)</f>
        <v/>
      </c>
      <c r="W549" s="7">
        <f>IF($X549="","",V549-T549-I549)</f>
        <v/>
      </c>
      <c r="X549" s="13">
        <f>IF(ROWS($X$2:$X549)&lt;=MAX('Per Line'!$AL$2:$AL$3001),MATCH(ROWS($X$2:$X549),'Per Line'!$AL$2:$AL$3001,0),"")</f>
        <v/>
      </c>
    </row>
    <row r="550">
      <c r="A550" s="12" t="n"/>
      <c r="B550">
        <f>IF($X550="","",INDEX('Per Line'!$D$2:$D$3001,$X550)&amp;"")</f>
        <v/>
      </c>
      <c r="C550" s="11">
        <f>IF($X550="","",INDEX('Per Line'!$F$2:$F$3001,$X550))</f>
        <v/>
      </c>
      <c r="D550">
        <f>IF($X550="","",INDEX('Per Line'!$G$2:$G$3001,$X550)&amp;"")</f>
        <v/>
      </c>
      <c r="E550">
        <f>IF($X550="","",INDEX('Per Line'!$I$2:$I$3001,$X550)&amp;"")</f>
        <v/>
      </c>
      <c r="F550">
        <f>IF($X550="","",INDEX('Per Line'!$J$2:$J$3001,$X550)&amp;"")</f>
        <v/>
      </c>
      <c r="G550">
        <f>IF($X550="","",INDEX('Per Line'!$K$2:$K$3001,$X550)&amp;"")</f>
        <v/>
      </c>
      <c r="H550">
        <f>IF($X550="","",INDEX('Per Line'!$M$2:$M$3001,$X550))</f>
        <v/>
      </c>
      <c r="I550" s="7">
        <f>IF($X550="","",H550*V550/100)</f>
        <v/>
      </c>
      <c r="J550">
        <f>IF($X550="","",INDEX('Per Line'!$W$2:$W$3001,$X550)&amp;"")</f>
        <v/>
      </c>
      <c r="K550">
        <f>IF($X550="","",INDEX('Per Line'!$AD$2:$AD$3001,$X550))</f>
        <v/>
      </c>
      <c r="L550">
        <f>IF($X550="","",IF(AND(ISNUMBER(K550),K550&gt;0),V550&gt;K550,FALSE))</f>
        <v/>
      </c>
      <c r="M550" s="7">
        <f>IF($X550="","",SUMIFS('Per Line'!$V$2:$V$3001,'Per Line'!$D$2:$D$3001,$B550,'Per Line'!$AN$2:$AN$3001,1))</f>
        <v/>
      </c>
      <c r="N550">
        <f>IF($X550="","",Settings!$C$7)</f>
        <v/>
      </c>
      <c r="O550" s="7">
        <f>IF($X550="","",SUMIFS('Per Line'!$V$2:$V$3001,'Per Line'!$D$2:$D$3001,$B550,'Per Line'!$AM$2:$AM$3001,0,'Per Line'!$AN$2:$AN$3001,0))</f>
        <v/>
      </c>
      <c r="P550" s="7">
        <f>IF($X550="","",O550*N550)</f>
        <v/>
      </c>
      <c r="Q550">
        <f>IF($X550="","",Settings!$C$6)</f>
        <v/>
      </c>
      <c r="R550" s="7">
        <f>IF($X550="","",SUMIFS('Per Line'!$V$2:$V$3001,'Per Line'!$D$2:$D$3001,$B550,'Per Line'!$AM$2:$AM$3001,1,'Per Line'!$AN$2:$AN$3001,0))</f>
        <v/>
      </c>
      <c r="S550" s="7">
        <f>IF($X550="","",R550*Q550)</f>
        <v/>
      </c>
      <c r="T550" s="7">
        <f>IF($X550="","",S550+P550)</f>
        <v/>
      </c>
      <c r="U550" s="7">
        <f>IF($X550="","",V550-T550)</f>
        <v/>
      </c>
      <c r="V550" s="7">
        <f>IF($X550="","",O550+R550+M550)</f>
        <v/>
      </c>
      <c r="W550" s="7">
        <f>IF($X550="","",V550-T550-I550)</f>
        <v/>
      </c>
      <c r="X550" s="13">
        <f>IF(ROWS($X$2:$X550)&lt;=MAX('Per Line'!$AL$2:$AL$3001),MATCH(ROWS($X$2:$X550),'Per Line'!$AL$2:$AL$3001,0),"")</f>
        <v/>
      </c>
    </row>
    <row r="551">
      <c r="A551" s="12" t="n"/>
      <c r="B551">
        <f>IF($X551="","",INDEX('Per Line'!$D$2:$D$3001,$X551)&amp;"")</f>
        <v/>
      </c>
      <c r="C551" s="11">
        <f>IF($X551="","",INDEX('Per Line'!$F$2:$F$3001,$X551))</f>
        <v/>
      </c>
      <c r="D551">
        <f>IF($X551="","",INDEX('Per Line'!$G$2:$G$3001,$X551)&amp;"")</f>
        <v/>
      </c>
      <c r="E551">
        <f>IF($X551="","",INDEX('Per Line'!$I$2:$I$3001,$X551)&amp;"")</f>
        <v/>
      </c>
      <c r="F551">
        <f>IF($X551="","",INDEX('Per Line'!$J$2:$J$3001,$X551)&amp;"")</f>
        <v/>
      </c>
      <c r="G551">
        <f>IF($X551="","",INDEX('Per Line'!$K$2:$K$3001,$X551)&amp;"")</f>
        <v/>
      </c>
      <c r="H551">
        <f>IF($X551="","",INDEX('Per Line'!$M$2:$M$3001,$X551))</f>
        <v/>
      </c>
      <c r="I551" s="7">
        <f>IF($X551="","",H551*V551/100)</f>
        <v/>
      </c>
      <c r="J551">
        <f>IF($X551="","",INDEX('Per Line'!$W$2:$W$3001,$X551)&amp;"")</f>
        <v/>
      </c>
      <c r="K551">
        <f>IF($X551="","",INDEX('Per Line'!$AD$2:$AD$3001,$X551))</f>
        <v/>
      </c>
      <c r="L551">
        <f>IF($X551="","",IF(AND(ISNUMBER(K551),K551&gt;0),V551&gt;K551,FALSE))</f>
        <v/>
      </c>
      <c r="M551" s="7">
        <f>IF($X551="","",SUMIFS('Per Line'!$V$2:$V$3001,'Per Line'!$D$2:$D$3001,$B551,'Per Line'!$AN$2:$AN$3001,1))</f>
        <v/>
      </c>
      <c r="N551">
        <f>IF($X551="","",Settings!$C$7)</f>
        <v/>
      </c>
      <c r="O551" s="7">
        <f>IF($X551="","",SUMIFS('Per Line'!$V$2:$V$3001,'Per Line'!$D$2:$D$3001,$B551,'Per Line'!$AM$2:$AM$3001,0,'Per Line'!$AN$2:$AN$3001,0))</f>
        <v/>
      </c>
      <c r="P551" s="7">
        <f>IF($X551="","",O551*N551)</f>
        <v/>
      </c>
      <c r="Q551">
        <f>IF($X551="","",Settings!$C$6)</f>
        <v/>
      </c>
      <c r="R551" s="7">
        <f>IF($X551="","",SUMIFS('Per Line'!$V$2:$V$3001,'Per Line'!$D$2:$D$3001,$B551,'Per Line'!$AM$2:$AM$3001,1,'Per Line'!$AN$2:$AN$3001,0))</f>
        <v/>
      </c>
      <c r="S551" s="7">
        <f>IF($X551="","",R551*Q551)</f>
        <v/>
      </c>
      <c r="T551" s="7">
        <f>IF($X551="","",S551+P551)</f>
        <v/>
      </c>
      <c r="U551" s="7">
        <f>IF($X551="","",V551-T551)</f>
        <v/>
      </c>
      <c r="V551" s="7">
        <f>IF($X551="","",O551+R551+M551)</f>
        <v/>
      </c>
      <c r="W551" s="7">
        <f>IF($X551="","",V551-T551-I551)</f>
        <v/>
      </c>
      <c r="X551" s="13">
        <f>IF(ROWS($X$2:$X551)&lt;=MAX('Per Line'!$AL$2:$AL$3001),MATCH(ROWS($X$2:$X551),'Per Line'!$AL$2:$AL$3001,0),"")</f>
        <v/>
      </c>
    </row>
    <row r="552">
      <c r="A552" s="12" t="n"/>
      <c r="B552">
        <f>IF($X552="","",INDEX('Per Line'!$D$2:$D$3001,$X552)&amp;"")</f>
        <v/>
      </c>
      <c r="C552" s="11">
        <f>IF($X552="","",INDEX('Per Line'!$F$2:$F$3001,$X552))</f>
        <v/>
      </c>
      <c r="D552">
        <f>IF($X552="","",INDEX('Per Line'!$G$2:$G$3001,$X552)&amp;"")</f>
        <v/>
      </c>
      <c r="E552">
        <f>IF($X552="","",INDEX('Per Line'!$I$2:$I$3001,$X552)&amp;"")</f>
        <v/>
      </c>
      <c r="F552">
        <f>IF($X552="","",INDEX('Per Line'!$J$2:$J$3001,$X552)&amp;"")</f>
        <v/>
      </c>
      <c r="G552">
        <f>IF($X552="","",INDEX('Per Line'!$K$2:$K$3001,$X552)&amp;"")</f>
        <v/>
      </c>
      <c r="H552">
        <f>IF($X552="","",INDEX('Per Line'!$M$2:$M$3001,$X552))</f>
        <v/>
      </c>
      <c r="I552" s="7">
        <f>IF($X552="","",H552*V552/100)</f>
        <v/>
      </c>
      <c r="J552">
        <f>IF($X552="","",INDEX('Per Line'!$W$2:$W$3001,$X552)&amp;"")</f>
        <v/>
      </c>
      <c r="K552">
        <f>IF($X552="","",INDEX('Per Line'!$AD$2:$AD$3001,$X552))</f>
        <v/>
      </c>
      <c r="L552">
        <f>IF($X552="","",IF(AND(ISNUMBER(K552),K552&gt;0),V552&gt;K552,FALSE))</f>
        <v/>
      </c>
      <c r="M552" s="7">
        <f>IF($X552="","",SUMIFS('Per Line'!$V$2:$V$3001,'Per Line'!$D$2:$D$3001,$B552,'Per Line'!$AN$2:$AN$3001,1))</f>
        <v/>
      </c>
      <c r="N552">
        <f>IF($X552="","",Settings!$C$7)</f>
        <v/>
      </c>
      <c r="O552" s="7">
        <f>IF($X552="","",SUMIFS('Per Line'!$V$2:$V$3001,'Per Line'!$D$2:$D$3001,$B552,'Per Line'!$AM$2:$AM$3001,0,'Per Line'!$AN$2:$AN$3001,0))</f>
        <v/>
      </c>
      <c r="P552" s="7">
        <f>IF($X552="","",O552*N552)</f>
        <v/>
      </c>
      <c r="Q552">
        <f>IF($X552="","",Settings!$C$6)</f>
        <v/>
      </c>
      <c r="R552" s="7">
        <f>IF($X552="","",SUMIFS('Per Line'!$V$2:$V$3001,'Per Line'!$D$2:$D$3001,$B552,'Per Line'!$AM$2:$AM$3001,1,'Per Line'!$AN$2:$AN$3001,0))</f>
        <v/>
      </c>
      <c r="S552" s="7">
        <f>IF($X552="","",R552*Q552)</f>
        <v/>
      </c>
      <c r="T552" s="7">
        <f>IF($X552="","",S552+P552)</f>
        <v/>
      </c>
      <c r="U552" s="7">
        <f>IF($X552="","",V552-T552)</f>
        <v/>
      </c>
      <c r="V552" s="7">
        <f>IF($X552="","",O552+R552+M552)</f>
        <v/>
      </c>
      <c r="W552" s="7">
        <f>IF($X552="","",V552-T552-I552)</f>
        <v/>
      </c>
      <c r="X552" s="13">
        <f>IF(ROWS($X$2:$X552)&lt;=MAX('Per Line'!$AL$2:$AL$3001),MATCH(ROWS($X$2:$X552),'Per Line'!$AL$2:$AL$3001,0),"")</f>
        <v/>
      </c>
    </row>
    <row r="553">
      <c r="A553" s="12" t="n"/>
      <c r="B553">
        <f>IF($X553="","",INDEX('Per Line'!$D$2:$D$3001,$X553)&amp;"")</f>
        <v/>
      </c>
      <c r="C553" s="11">
        <f>IF($X553="","",INDEX('Per Line'!$F$2:$F$3001,$X553))</f>
        <v/>
      </c>
      <c r="D553">
        <f>IF($X553="","",INDEX('Per Line'!$G$2:$G$3001,$X553)&amp;"")</f>
        <v/>
      </c>
      <c r="E553">
        <f>IF($X553="","",INDEX('Per Line'!$I$2:$I$3001,$X553)&amp;"")</f>
        <v/>
      </c>
      <c r="F553">
        <f>IF($X553="","",INDEX('Per Line'!$J$2:$J$3001,$X553)&amp;"")</f>
        <v/>
      </c>
      <c r="G553">
        <f>IF($X553="","",INDEX('Per Line'!$K$2:$K$3001,$X553)&amp;"")</f>
        <v/>
      </c>
      <c r="H553">
        <f>IF($X553="","",INDEX('Per Line'!$M$2:$M$3001,$X553))</f>
        <v/>
      </c>
      <c r="I553" s="7">
        <f>IF($X553="","",H553*V553/100)</f>
        <v/>
      </c>
      <c r="J553">
        <f>IF($X553="","",INDEX('Per Line'!$W$2:$W$3001,$X553)&amp;"")</f>
        <v/>
      </c>
      <c r="K553">
        <f>IF($X553="","",INDEX('Per Line'!$AD$2:$AD$3001,$X553))</f>
        <v/>
      </c>
      <c r="L553">
        <f>IF($X553="","",IF(AND(ISNUMBER(K553),K553&gt;0),V553&gt;K553,FALSE))</f>
        <v/>
      </c>
      <c r="M553" s="7">
        <f>IF($X553="","",SUMIFS('Per Line'!$V$2:$V$3001,'Per Line'!$D$2:$D$3001,$B553,'Per Line'!$AN$2:$AN$3001,1))</f>
        <v/>
      </c>
      <c r="N553">
        <f>IF($X553="","",Settings!$C$7)</f>
        <v/>
      </c>
      <c r="O553" s="7">
        <f>IF($X553="","",SUMIFS('Per Line'!$V$2:$V$3001,'Per Line'!$D$2:$D$3001,$B553,'Per Line'!$AM$2:$AM$3001,0,'Per Line'!$AN$2:$AN$3001,0))</f>
        <v/>
      </c>
      <c r="P553" s="7">
        <f>IF($X553="","",O553*N553)</f>
        <v/>
      </c>
      <c r="Q553">
        <f>IF($X553="","",Settings!$C$6)</f>
        <v/>
      </c>
      <c r="R553" s="7">
        <f>IF($X553="","",SUMIFS('Per Line'!$V$2:$V$3001,'Per Line'!$D$2:$D$3001,$B553,'Per Line'!$AM$2:$AM$3001,1,'Per Line'!$AN$2:$AN$3001,0))</f>
        <v/>
      </c>
      <c r="S553" s="7">
        <f>IF($X553="","",R553*Q553)</f>
        <v/>
      </c>
      <c r="T553" s="7">
        <f>IF($X553="","",S553+P553)</f>
        <v/>
      </c>
      <c r="U553" s="7">
        <f>IF($X553="","",V553-T553)</f>
        <v/>
      </c>
      <c r="V553" s="7">
        <f>IF($X553="","",O553+R553+M553)</f>
        <v/>
      </c>
      <c r="W553" s="7">
        <f>IF($X553="","",V553-T553-I553)</f>
        <v/>
      </c>
      <c r="X553" s="13">
        <f>IF(ROWS($X$2:$X553)&lt;=MAX('Per Line'!$AL$2:$AL$3001),MATCH(ROWS($X$2:$X553),'Per Line'!$AL$2:$AL$3001,0),"")</f>
        <v/>
      </c>
    </row>
    <row r="554">
      <c r="A554" s="12" t="n"/>
      <c r="B554">
        <f>IF($X554="","",INDEX('Per Line'!$D$2:$D$3001,$X554)&amp;"")</f>
        <v/>
      </c>
      <c r="C554" s="11">
        <f>IF($X554="","",INDEX('Per Line'!$F$2:$F$3001,$X554))</f>
        <v/>
      </c>
      <c r="D554">
        <f>IF($X554="","",INDEX('Per Line'!$G$2:$G$3001,$X554)&amp;"")</f>
        <v/>
      </c>
      <c r="E554">
        <f>IF($X554="","",INDEX('Per Line'!$I$2:$I$3001,$X554)&amp;"")</f>
        <v/>
      </c>
      <c r="F554">
        <f>IF($X554="","",INDEX('Per Line'!$J$2:$J$3001,$X554)&amp;"")</f>
        <v/>
      </c>
      <c r="G554">
        <f>IF($X554="","",INDEX('Per Line'!$K$2:$K$3001,$X554)&amp;"")</f>
        <v/>
      </c>
      <c r="H554">
        <f>IF($X554="","",INDEX('Per Line'!$M$2:$M$3001,$X554))</f>
        <v/>
      </c>
      <c r="I554" s="7">
        <f>IF($X554="","",H554*V554/100)</f>
        <v/>
      </c>
      <c r="J554">
        <f>IF($X554="","",INDEX('Per Line'!$W$2:$W$3001,$X554)&amp;"")</f>
        <v/>
      </c>
      <c r="K554">
        <f>IF($X554="","",INDEX('Per Line'!$AD$2:$AD$3001,$X554))</f>
        <v/>
      </c>
      <c r="L554">
        <f>IF($X554="","",IF(AND(ISNUMBER(K554),K554&gt;0),V554&gt;K554,FALSE))</f>
        <v/>
      </c>
      <c r="M554" s="7">
        <f>IF($X554="","",SUMIFS('Per Line'!$V$2:$V$3001,'Per Line'!$D$2:$D$3001,$B554,'Per Line'!$AN$2:$AN$3001,1))</f>
        <v/>
      </c>
      <c r="N554">
        <f>IF($X554="","",Settings!$C$7)</f>
        <v/>
      </c>
      <c r="O554" s="7">
        <f>IF($X554="","",SUMIFS('Per Line'!$V$2:$V$3001,'Per Line'!$D$2:$D$3001,$B554,'Per Line'!$AM$2:$AM$3001,0,'Per Line'!$AN$2:$AN$3001,0))</f>
        <v/>
      </c>
      <c r="P554" s="7">
        <f>IF($X554="","",O554*N554)</f>
        <v/>
      </c>
      <c r="Q554">
        <f>IF($X554="","",Settings!$C$6)</f>
        <v/>
      </c>
      <c r="R554" s="7">
        <f>IF($X554="","",SUMIFS('Per Line'!$V$2:$V$3001,'Per Line'!$D$2:$D$3001,$B554,'Per Line'!$AM$2:$AM$3001,1,'Per Line'!$AN$2:$AN$3001,0))</f>
        <v/>
      </c>
      <c r="S554" s="7">
        <f>IF($X554="","",R554*Q554)</f>
        <v/>
      </c>
      <c r="T554" s="7">
        <f>IF($X554="","",S554+P554)</f>
        <v/>
      </c>
      <c r="U554" s="7">
        <f>IF($X554="","",V554-T554)</f>
        <v/>
      </c>
      <c r="V554" s="7">
        <f>IF($X554="","",O554+R554+M554)</f>
        <v/>
      </c>
      <c r="W554" s="7">
        <f>IF($X554="","",V554-T554-I554)</f>
        <v/>
      </c>
      <c r="X554" s="13">
        <f>IF(ROWS($X$2:$X554)&lt;=MAX('Per Line'!$AL$2:$AL$3001),MATCH(ROWS($X$2:$X554),'Per Line'!$AL$2:$AL$3001,0),"")</f>
        <v/>
      </c>
    </row>
    <row r="555">
      <c r="A555" s="12" t="n"/>
      <c r="B555">
        <f>IF($X555="","",INDEX('Per Line'!$D$2:$D$3001,$X555)&amp;"")</f>
        <v/>
      </c>
      <c r="C555" s="11">
        <f>IF($X555="","",INDEX('Per Line'!$F$2:$F$3001,$X555))</f>
        <v/>
      </c>
      <c r="D555">
        <f>IF($X555="","",INDEX('Per Line'!$G$2:$G$3001,$X555)&amp;"")</f>
        <v/>
      </c>
      <c r="E555">
        <f>IF($X555="","",INDEX('Per Line'!$I$2:$I$3001,$X555)&amp;"")</f>
        <v/>
      </c>
      <c r="F555">
        <f>IF($X555="","",INDEX('Per Line'!$J$2:$J$3001,$X555)&amp;"")</f>
        <v/>
      </c>
      <c r="G555">
        <f>IF($X555="","",INDEX('Per Line'!$K$2:$K$3001,$X555)&amp;"")</f>
        <v/>
      </c>
      <c r="H555">
        <f>IF($X555="","",INDEX('Per Line'!$M$2:$M$3001,$X555))</f>
        <v/>
      </c>
      <c r="I555" s="7">
        <f>IF($X555="","",H555*V555/100)</f>
        <v/>
      </c>
      <c r="J555">
        <f>IF($X555="","",INDEX('Per Line'!$W$2:$W$3001,$X555)&amp;"")</f>
        <v/>
      </c>
      <c r="K555">
        <f>IF($X555="","",INDEX('Per Line'!$AD$2:$AD$3001,$X555))</f>
        <v/>
      </c>
      <c r="L555">
        <f>IF($X555="","",IF(AND(ISNUMBER(K555),K555&gt;0),V555&gt;K555,FALSE))</f>
        <v/>
      </c>
      <c r="M555" s="7">
        <f>IF($X555="","",SUMIFS('Per Line'!$V$2:$V$3001,'Per Line'!$D$2:$D$3001,$B555,'Per Line'!$AN$2:$AN$3001,1))</f>
        <v/>
      </c>
      <c r="N555">
        <f>IF($X555="","",Settings!$C$7)</f>
        <v/>
      </c>
      <c r="O555" s="7">
        <f>IF($X555="","",SUMIFS('Per Line'!$V$2:$V$3001,'Per Line'!$D$2:$D$3001,$B555,'Per Line'!$AM$2:$AM$3001,0,'Per Line'!$AN$2:$AN$3001,0))</f>
        <v/>
      </c>
      <c r="P555" s="7">
        <f>IF($X555="","",O555*N555)</f>
        <v/>
      </c>
      <c r="Q555">
        <f>IF($X555="","",Settings!$C$6)</f>
        <v/>
      </c>
      <c r="R555" s="7">
        <f>IF($X555="","",SUMIFS('Per Line'!$V$2:$V$3001,'Per Line'!$D$2:$D$3001,$B555,'Per Line'!$AM$2:$AM$3001,1,'Per Line'!$AN$2:$AN$3001,0))</f>
        <v/>
      </c>
      <c r="S555" s="7">
        <f>IF($X555="","",R555*Q555)</f>
        <v/>
      </c>
      <c r="T555" s="7">
        <f>IF($X555="","",S555+P555)</f>
        <v/>
      </c>
      <c r="U555" s="7">
        <f>IF($X555="","",V555-T555)</f>
        <v/>
      </c>
      <c r="V555" s="7">
        <f>IF($X555="","",O555+R555+M555)</f>
        <v/>
      </c>
      <c r="W555" s="7">
        <f>IF($X555="","",V555-T555-I555)</f>
        <v/>
      </c>
      <c r="X555" s="13">
        <f>IF(ROWS($X$2:$X555)&lt;=MAX('Per Line'!$AL$2:$AL$3001),MATCH(ROWS($X$2:$X555),'Per Line'!$AL$2:$AL$3001,0),"")</f>
        <v/>
      </c>
    </row>
    <row r="556">
      <c r="A556" s="12" t="n"/>
      <c r="B556">
        <f>IF($X556="","",INDEX('Per Line'!$D$2:$D$3001,$X556)&amp;"")</f>
        <v/>
      </c>
      <c r="C556" s="11">
        <f>IF($X556="","",INDEX('Per Line'!$F$2:$F$3001,$X556))</f>
        <v/>
      </c>
      <c r="D556">
        <f>IF($X556="","",INDEX('Per Line'!$G$2:$G$3001,$X556)&amp;"")</f>
        <v/>
      </c>
      <c r="E556">
        <f>IF($X556="","",INDEX('Per Line'!$I$2:$I$3001,$X556)&amp;"")</f>
        <v/>
      </c>
      <c r="F556">
        <f>IF($X556="","",INDEX('Per Line'!$J$2:$J$3001,$X556)&amp;"")</f>
        <v/>
      </c>
      <c r="G556">
        <f>IF($X556="","",INDEX('Per Line'!$K$2:$K$3001,$X556)&amp;"")</f>
        <v/>
      </c>
      <c r="H556">
        <f>IF($X556="","",INDEX('Per Line'!$M$2:$M$3001,$X556))</f>
        <v/>
      </c>
      <c r="I556" s="7">
        <f>IF($X556="","",H556*V556/100)</f>
        <v/>
      </c>
      <c r="J556">
        <f>IF($X556="","",INDEX('Per Line'!$W$2:$W$3001,$X556)&amp;"")</f>
        <v/>
      </c>
      <c r="K556">
        <f>IF($X556="","",INDEX('Per Line'!$AD$2:$AD$3001,$X556))</f>
        <v/>
      </c>
      <c r="L556">
        <f>IF($X556="","",IF(AND(ISNUMBER(K556),K556&gt;0),V556&gt;K556,FALSE))</f>
        <v/>
      </c>
      <c r="M556" s="7">
        <f>IF($X556="","",SUMIFS('Per Line'!$V$2:$V$3001,'Per Line'!$D$2:$D$3001,$B556,'Per Line'!$AN$2:$AN$3001,1))</f>
        <v/>
      </c>
      <c r="N556">
        <f>IF($X556="","",Settings!$C$7)</f>
        <v/>
      </c>
      <c r="O556" s="7">
        <f>IF($X556="","",SUMIFS('Per Line'!$V$2:$V$3001,'Per Line'!$D$2:$D$3001,$B556,'Per Line'!$AM$2:$AM$3001,0,'Per Line'!$AN$2:$AN$3001,0))</f>
        <v/>
      </c>
      <c r="P556" s="7">
        <f>IF($X556="","",O556*N556)</f>
        <v/>
      </c>
      <c r="Q556">
        <f>IF($X556="","",Settings!$C$6)</f>
        <v/>
      </c>
      <c r="R556" s="7">
        <f>IF($X556="","",SUMIFS('Per Line'!$V$2:$V$3001,'Per Line'!$D$2:$D$3001,$B556,'Per Line'!$AM$2:$AM$3001,1,'Per Line'!$AN$2:$AN$3001,0))</f>
        <v/>
      </c>
      <c r="S556" s="7">
        <f>IF($X556="","",R556*Q556)</f>
        <v/>
      </c>
      <c r="T556" s="7">
        <f>IF($X556="","",S556+P556)</f>
        <v/>
      </c>
      <c r="U556" s="7">
        <f>IF($X556="","",V556-T556)</f>
        <v/>
      </c>
      <c r="V556" s="7">
        <f>IF($X556="","",O556+R556+M556)</f>
        <v/>
      </c>
      <c r="W556" s="7">
        <f>IF($X556="","",V556-T556-I556)</f>
        <v/>
      </c>
      <c r="X556" s="13">
        <f>IF(ROWS($X$2:$X556)&lt;=MAX('Per Line'!$AL$2:$AL$3001),MATCH(ROWS($X$2:$X556),'Per Line'!$AL$2:$AL$3001,0),"")</f>
        <v/>
      </c>
    </row>
    <row r="557">
      <c r="A557" s="12" t="n"/>
      <c r="B557">
        <f>IF($X557="","",INDEX('Per Line'!$D$2:$D$3001,$X557)&amp;"")</f>
        <v/>
      </c>
      <c r="C557" s="11">
        <f>IF($X557="","",INDEX('Per Line'!$F$2:$F$3001,$X557))</f>
        <v/>
      </c>
      <c r="D557">
        <f>IF($X557="","",INDEX('Per Line'!$G$2:$G$3001,$X557)&amp;"")</f>
        <v/>
      </c>
      <c r="E557">
        <f>IF($X557="","",INDEX('Per Line'!$I$2:$I$3001,$X557)&amp;"")</f>
        <v/>
      </c>
      <c r="F557">
        <f>IF($X557="","",INDEX('Per Line'!$J$2:$J$3001,$X557)&amp;"")</f>
        <v/>
      </c>
      <c r="G557">
        <f>IF($X557="","",INDEX('Per Line'!$K$2:$K$3001,$X557)&amp;"")</f>
        <v/>
      </c>
      <c r="H557">
        <f>IF($X557="","",INDEX('Per Line'!$M$2:$M$3001,$X557))</f>
        <v/>
      </c>
      <c r="I557" s="7">
        <f>IF($X557="","",H557*V557/100)</f>
        <v/>
      </c>
      <c r="J557">
        <f>IF($X557="","",INDEX('Per Line'!$W$2:$W$3001,$X557)&amp;"")</f>
        <v/>
      </c>
      <c r="K557">
        <f>IF($X557="","",INDEX('Per Line'!$AD$2:$AD$3001,$X557))</f>
        <v/>
      </c>
      <c r="L557">
        <f>IF($X557="","",IF(AND(ISNUMBER(K557),K557&gt;0),V557&gt;K557,FALSE))</f>
        <v/>
      </c>
      <c r="M557" s="7">
        <f>IF($X557="","",SUMIFS('Per Line'!$V$2:$V$3001,'Per Line'!$D$2:$D$3001,$B557,'Per Line'!$AN$2:$AN$3001,1))</f>
        <v/>
      </c>
      <c r="N557">
        <f>IF($X557="","",Settings!$C$7)</f>
        <v/>
      </c>
      <c r="O557" s="7">
        <f>IF($X557="","",SUMIFS('Per Line'!$V$2:$V$3001,'Per Line'!$D$2:$D$3001,$B557,'Per Line'!$AM$2:$AM$3001,0,'Per Line'!$AN$2:$AN$3001,0))</f>
        <v/>
      </c>
      <c r="P557" s="7">
        <f>IF($X557="","",O557*N557)</f>
        <v/>
      </c>
      <c r="Q557">
        <f>IF($X557="","",Settings!$C$6)</f>
        <v/>
      </c>
      <c r="R557" s="7">
        <f>IF($X557="","",SUMIFS('Per Line'!$V$2:$V$3001,'Per Line'!$D$2:$D$3001,$B557,'Per Line'!$AM$2:$AM$3001,1,'Per Line'!$AN$2:$AN$3001,0))</f>
        <v/>
      </c>
      <c r="S557" s="7">
        <f>IF($X557="","",R557*Q557)</f>
        <v/>
      </c>
      <c r="T557" s="7">
        <f>IF($X557="","",S557+P557)</f>
        <v/>
      </c>
      <c r="U557" s="7">
        <f>IF($X557="","",V557-T557)</f>
        <v/>
      </c>
      <c r="V557" s="7">
        <f>IF($X557="","",O557+R557+M557)</f>
        <v/>
      </c>
      <c r="W557" s="7">
        <f>IF($X557="","",V557-T557-I557)</f>
        <v/>
      </c>
      <c r="X557" s="13">
        <f>IF(ROWS($X$2:$X557)&lt;=MAX('Per Line'!$AL$2:$AL$3001),MATCH(ROWS($X$2:$X557),'Per Line'!$AL$2:$AL$3001,0),"")</f>
        <v/>
      </c>
    </row>
    <row r="558">
      <c r="A558" s="12" t="n"/>
      <c r="B558">
        <f>IF($X558="","",INDEX('Per Line'!$D$2:$D$3001,$X558)&amp;"")</f>
        <v/>
      </c>
      <c r="C558" s="11">
        <f>IF($X558="","",INDEX('Per Line'!$F$2:$F$3001,$X558))</f>
        <v/>
      </c>
      <c r="D558">
        <f>IF($X558="","",INDEX('Per Line'!$G$2:$G$3001,$X558)&amp;"")</f>
        <v/>
      </c>
      <c r="E558">
        <f>IF($X558="","",INDEX('Per Line'!$I$2:$I$3001,$X558)&amp;"")</f>
        <v/>
      </c>
      <c r="F558">
        <f>IF($X558="","",INDEX('Per Line'!$J$2:$J$3001,$X558)&amp;"")</f>
        <v/>
      </c>
      <c r="G558">
        <f>IF($X558="","",INDEX('Per Line'!$K$2:$K$3001,$X558)&amp;"")</f>
        <v/>
      </c>
      <c r="H558">
        <f>IF($X558="","",INDEX('Per Line'!$M$2:$M$3001,$X558))</f>
        <v/>
      </c>
      <c r="I558" s="7">
        <f>IF($X558="","",H558*V558/100)</f>
        <v/>
      </c>
      <c r="J558">
        <f>IF($X558="","",INDEX('Per Line'!$W$2:$W$3001,$X558)&amp;"")</f>
        <v/>
      </c>
      <c r="K558">
        <f>IF($X558="","",INDEX('Per Line'!$AD$2:$AD$3001,$X558))</f>
        <v/>
      </c>
      <c r="L558">
        <f>IF($X558="","",IF(AND(ISNUMBER(K558),K558&gt;0),V558&gt;K558,FALSE))</f>
        <v/>
      </c>
      <c r="M558" s="7">
        <f>IF($X558="","",SUMIFS('Per Line'!$V$2:$V$3001,'Per Line'!$D$2:$D$3001,$B558,'Per Line'!$AN$2:$AN$3001,1))</f>
        <v/>
      </c>
      <c r="N558">
        <f>IF($X558="","",Settings!$C$7)</f>
        <v/>
      </c>
      <c r="O558" s="7">
        <f>IF($X558="","",SUMIFS('Per Line'!$V$2:$V$3001,'Per Line'!$D$2:$D$3001,$B558,'Per Line'!$AM$2:$AM$3001,0,'Per Line'!$AN$2:$AN$3001,0))</f>
        <v/>
      </c>
      <c r="P558" s="7">
        <f>IF($X558="","",O558*N558)</f>
        <v/>
      </c>
      <c r="Q558">
        <f>IF($X558="","",Settings!$C$6)</f>
        <v/>
      </c>
      <c r="R558" s="7">
        <f>IF($X558="","",SUMIFS('Per Line'!$V$2:$V$3001,'Per Line'!$D$2:$D$3001,$B558,'Per Line'!$AM$2:$AM$3001,1,'Per Line'!$AN$2:$AN$3001,0))</f>
        <v/>
      </c>
      <c r="S558" s="7">
        <f>IF($X558="","",R558*Q558)</f>
        <v/>
      </c>
      <c r="T558" s="7">
        <f>IF($X558="","",S558+P558)</f>
        <v/>
      </c>
      <c r="U558" s="7">
        <f>IF($X558="","",V558-T558)</f>
        <v/>
      </c>
      <c r="V558" s="7">
        <f>IF($X558="","",O558+R558+M558)</f>
        <v/>
      </c>
      <c r="W558" s="7">
        <f>IF($X558="","",V558-T558-I558)</f>
        <v/>
      </c>
      <c r="X558" s="13">
        <f>IF(ROWS($X$2:$X558)&lt;=MAX('Per Line'!$AL$2:$AL$3001),MATCH(ROWS($X$2:$X558),'Per Line'!$AL$2:$AL$3001,0),"")</f>
        <v/>
      </c>
    </row>
    <row r="559">
      <c r="A559" s="12" t="n"/>
      <c r="B559">
        <f>IF($X559="","",INDEX('Per Line'!$D$2:$D$3001,$X559)&amp;"")</f>
        <v/>
      </c>
      <c r="C559" s="11">
        <f>IF($X559="","",INDEX('Per Line'!$F$2:$F$3001,$X559))</f>
        <v/>
      </c>
      <c r="D559">
        <f>IF($X559="","",INDEX('Per Line'!$G$2:$G$3001,$X559)&amp;"")</f>
        <v/>
      </c>
      <c r="E559">
        <f>IF($X559="","",INDEX('Per Line'!$I$2:$I$3001,$X559)&amp;"")</f>
        <v/>
      </c>
      <c r="F559">
        <f>IF($X559="","",INDEX('Per Line'!$J$2:$J$3001,$X559)&amp;"")</f>
        <v/>
      </c>
      <c r="G559">
        <f>IF($X559="","",INDEX('Per Line'!$K$2:$K$3001,$X559)&amp;"")</f>
        <v/>
      </c>
      <c r="H559">
        <f>IF($X559="","",INDEX('Per Line'!$M$2:$M$3001,$X559))</f>
        <v/>
      </c>
      <c r="I559" s="7">
        <f>IF($X559="","",H559*V559/100)</f>
        <v/>
      </c>
      <c r="J559">
        <f>IF($X559="","",INDEX('Per Line'!$W$2:$W$3001,$X559)&amp;"")</f>
        <v/>
      </c>
      <c r="K559">
        <f>IF($X559="","",INDEX('Per Line'!$AD$2:$AD$3001,$X559))</f>
        <v/>
      </c>
      <c r="L559">
        <f>IF($X559="","",IF(AND(ISNUMBER(K559),K559&gt;0),V559&gt;K559,FALSE))</f>
        <v/>
      </c>
      <c r="M559" s="7">
        <f>IF($X559="","",SUMIFS('Per Line'!$V$2:$V$3001,'Per Line'!$D$2:$D$3001,$B559,'Per Line'!$AN$2:$AN$3001,1))</f>
        <v/>
      </c>
      <c r="N559">
        <f>IF($X559="","",Settings!$C$7)</f>
        <v/>
      </c>
      <c r="O559" s="7">
        <f>IF($X559="","",SUMIFS('Per Line'!$V$2:$V$3001,'Per Line'!$D$2:$D$3001,$B559,'Per Line'!$AM$2:$AM$3001,0,'Per Line'!$AN$2:$AN$3001,0))</f>
        <v/>
      </c>
      <c r="P559" s="7">
        <f>IF($X559="","",O559*N559)</f>
        <v/>
      </c>
      <c r="Q559">
        <f>IF($X559="","",Settings!$C$6)</f>
        <v/>
      </c>
      <c r="R559" s="7">
        <f>IF($X559="","",SUMIFS('Per Line'!$V$2:$V$3001,'Per Line'!$D$2:$D$3001,$B559,'Per Line'!$AM$2:$AM$3001,1,'Per Line'!$AN$2:$AN$3001,0))</f>
        <v/>
      </c>
      <c r="S559" s="7">
        <f>IF($X559="","",R559*Q559)</f>
        <v/>
      </c>
      <c r="T559" s="7">
        <f>IF($X559="","",S559+P559)</f>
        <v/>
      </c>
      <c r="U559" s="7">
        <f>IF($X559="","",V559-T559)</f>
        <v/>
      </c>
      <c r="V559" s="7">
        <f>IF($X559="","",O559+R559+M559)</f>
        <v/>
      </c>
      <c r="W559" s="7">
        <f>IF($X559="","",V559-T559-I559)</f>
        <v/>
      </c>
      <c r="X559" s="13">
        <f>IF(ROWS($X$2:$X559)&lt;=MAX('Per Line'!$AL$2:$AL$3001),MATCH(ROWS($X$2:$X559),'Per Line'!$AL$2:$AL$3001,0),"")</f>
        <v/>
      </c>
    </row>
    <row r="560">
      <c r="A560" s="12" t="n"/>
      <c r="B560">
        <f>IF($X560="","",INDEX('Per Line'!$D$2:$D$3001,$X560)&amp;"")</f>
        <v/>
      </c>
      <c r="C560" s="11">
        <f>IF($X560="","",INDEX('Per Line'!$F$2:$F$3001,$X560))</f>
        <v/>
      </c>
      <c r="D560">
        <f>IF($X560="","",INDEX('Per Line'!$G$2:$G$3001,$X560)&amp;"")</f>
        <v/>
      </c>
      <c r="E560">
        <f>IF($X560="","",INDEX('Per Line'!$I$2:$I$3001,$X560)&amp;"")</f>
        <v/>
      </c>
      <c r="F560">
        <f>IF($X560="","",INDEX('Per Line'!$J$2:$J$3001,$X560)&amp;"")</f>
        <v/>
      </c>
      <c r="G560">
        <f>IF($X560="","",INDEX('Per Line'!$K$2:$K$3001,$X560)&amp;"")</f>
        <v/>
      </c>
      <c r="H560">
        <f>IF($X560="","",INDEX('Per Line'!$M$2:$M$3001,$X560))</f>
        <v/>
      </c>
      <c r="I560" s="7">
        <f>IF($X560="","",H560*V560/100)</f>
        <v/>
      </c>
      <c r="J560">
        <f>IF($X560="","",INDEX('Per Line'!$W$2:$W$3001,$X560)&amp;"")</f>
        <v/>
      </c>
      <c r="K560">
        <f>IF($X560="","",INDEX('Per Line'!$AD$2:$AD$3001,$X560))</f>
        <v/>
      </c>
      <c r="L560">
        <f>IF($X560="","",IF(AND(ISNUMBER(K560),K560&gt;0),V560&gt;K560,FALSE))</f>
        <v/>
      </c>
      <c r="M560" s="7">
        <f>IF($X560="","",SUMIFS('Per Line'!$V$2:$V$3001,'Per Line'!$D$2:$D$3001,$B560,'Per Line'!$AN$2:$AN$3001,1))</f>
        <v/>
      </c>
      <c r="N560">
        <f>IF($X560="","",Settings!$C$7)</f>
        <v/>
      </c>
      <c r="O560" s="7">
        <f>IF($X560="","",SUMIFS('Per Line'!$V$2:$V$3001,'Per Line'!$D$2:$D$3001,$B560,'Per Line'!$AM$2:$AM$3001,0,'Per Line'!$AN$2:$AN$3001,0))</f>
        <v/>
      </c>
      <c r="P560" s="7">
        <f>IF($X560="","",O560*N560)</f>
        <v/>
      </c>
      <c r="Q560">
        <f>IF($X560="","",Settings!$C$6)</f>
        <v/>
      </c>
      <c r="R560" s="7">
        <f>IF($X560="","",SUMIFS('Per Line'!$V$2:$V$3001,'Per Line'!$D$2:$D$3001,$B560,'Per Line'!$AM$2:$AM$3001,1,'Per Line'!$AN$2:$AN$3001,0))</f>
        <v/>
      </c>
      <c r="S560" s="7">
        <f>IF($X560="","",R560*Q560)</f>
        <v/>
      </c>
      <c r="T560" s="7">
        <f>IF($X560="","",S560+P560)</f>
        <v/>
      </c>
      <c r="U560" s="7">
        <f>IF($X560="","",V560-T560)</f>
        <v/>
      </c>
      <c r="V560" s="7">
        <f>IF($X560="","",O560+R560+M560)</f>
        <v/>
      </c>
      <c r="W560" s="7">
        <f>IF($X560="","",V560-T560-I560)</f>
        <v/>
      </c>
      <c r="X560" s="13">
        <f>IF(ROWS($X$2:$X560)&lt;=MAX('Per Line'!$AL$2:$AL$3001),MATCH(ROWS($X$2:$X560),'Per Line'!$AL$2:$AL$3001,0),"")</f>
        <v/>
      </c>
    </row>
    <row r="561">
      <c r="A561" s="12" t="n"/>
      <c r="B561">
        <f>IF($X561="","",INDEX('Per Line'!$D$2:$D$3001,$X561)&amp;"")</f>
        <v/>
      </c>
      <c r="C561" s="11">
        <f>IF($X561="","",INDEX('Per Line'!$F$2:$F$3001,$X561))</f>
        <v/>
      </c>
      <c r="D561">
        <f>IF($X561="","",INDEX('Per Line'!$G$2:$G$3001,$X561)&amp;"")</f>
        <v/>
      </c>
      <c r="E561">
        <f>IF($X561="","",INDEX('Per Line'!$I$2:$I$3001,$X561)&amp;"")</f>
        <v/>
      </c>
      <c r="F561">
        <f>IF($X561="","",INDEX('Per Line'!$J$2:$J$3001,$X561)&amp;"")</f>
        <v/>
      </c>
      <c r="G561">
        <f>IF($X561="","",INDEX('Per Line'!$K$2:$K$3001,$X561)&amp;"")</f>
        <v/>
      </c>
      <c r="H561">
        <f>IF($X561="","",INDEX('Per Line'!$M$2:$M$3001,$X561))</f>
        <v/>
      </c>
      <c r="I561" s="7">
        <f>IF($X561="","",H561*V561/100)</f>
        <v/>
      </c>
      <c r="J561">
        <f>IF($X561="","",INDEX('Per Line'!$W$2:$W$3001,$X561)&amp;"")</f>
        <v/>
      </c>
      <c r="K561">
        <f>IF($X561="","",INDEX('Per Line'!$AD$2:$AD$3001,$X561))</f>
        <v/>
      </c>
      <c r="L561">
        <f>IF($X561="","",IF(AND(ISNUMBER(K561),K561&gt;0),V561&gt;K561,FALSE))</f>
        <v/>
      </c>
      <c r="M561" s="7">
        <f>IF($X561="","",SUMIFS('Per Line'!$V$2:$V$3001,'Per Line'!$D$2:$D$3001,$B561,'Per Line'!$AN$2:$AN$3001,1))</f>
        <v/>
      </c>
      <c r="N561">
        <f>IF($X561="","",Settings!$C$7)</f>
        <v/>
      </c>
      <c r="O561" s="7">
        <f>IF($X561="","",SUMIFS('Per Line'!$V$2:$V$3001,'Per Line'!$D$2:$D$3001,$B561,'Per Line'!$AM$2:$AM$3001,0,'Per Line'!$AN$2:$AN$3001,0))</f>
        <v/>
      </c>
      <c r="P561" s="7">
        <f>IF($X561="","",O561*N561)</f>
        <v/>
      </c>
      <c r="Q561">
        <f>IF($X561="","",Settings!$C$6)</f>
        <v/>
      </c>
      <c r="R561" s="7">
        <f>IF($X561="","",SUMIFS('Per Line'!$V$2:$V$3001,'Per Line'!$D$2:$D$3001,$B561,'Per Line'!$AM$2:$AM$3001,1,'Per Line'!$AN$2:$AN$3001,0))</f>
        <v/>
      </c>
      <c r="S561" s="7">
        <f>IF($X561="","",R561*Q561)</f>
        <v/>
      </c>
      <c r="T561" s="7">
        <f>IF($X561="","",S561+P561)</f>
        <v/>
      </c>
      <c r="U561" s="7">
        <f>IF($X561="","",V561-T561)</f>
        <v/>
      </c>
      <c r="V561" s="7">
        <f>IF($X561="","",O561+R561+M561)</f>
        <v/>
      </c>
      <c r="W561" s="7">
        <f>IF($X561="","",V561-T561-I561)</f>
        <v/>
      </c>
      <c r="X561" s="13">
        <f>IF(ROWS($X$2:$X561)&lt;=MAX('Per Line'!$AL$2:$AL$3001),MATCH(ROWS($X$2:$X561),'Per Line'!$AL$2:$AL$3001,0),"")</f>
        <v/>
      </c>
    </row>
    <row r="562">
      <c r="A562" s="12" t="n"/>
      <c r="B562">
        <f>IF($X562="","",INDEX('Per Line'!$D$2:$D$3001,$X562)&amp;"")</f>
        <v/>
      </c>
      <c r="C562" s="11">
        <f>IF($X562="","",INDEX('Per Line'!$F$2:$F$3001,$X562))</f>
        <v/>
      </c>
      <c r="D562">
        <f>IF($X562="","",INDEX('Per Line'!$G$2:$G$3001,$X562)&amp;"")</f>
        <v/>
      </c>
      <c r="E562">
        <f>IF($X562="","",INDEX('Per Line'!$I$2:$I$3001,$X562)&amp;"")</f>
        <v/>
      </c>
      <c r="F562">
        <f>IF($X562="","",INDEX('Per Line'!$J$2:$J$3001,$X562)&amp;"")</f>
        <v/>
      </c>
      <c r="G562">
        <f>IF($X562="","",INDEX('Per Line'!$K$2:$K$3001,$X562)&amp;"")</f>
        <v/>
      </c>
      <c r="H562">
        <f>IF($X562="","",INDEX('Per Line'!$M$2:$M$3001,$X562))</f>
        <v/>
      </c>
      <c r="I562" s="7">
        <f>IF($X562="","",H562*V562/100)</f>
        <v/>
      </c>
      <c r="J562">
        <f>IF($X562="","",INDEX('Per Line'!$W$2:$W$3001,$X562)&amp;"")</f>
        <v/>
      </c>
      <c r="K562">
        <f>IF($X562="","",INDEX('Per Line'!$AD$2:$AD$3001,$X562))</f>
        <v/>
      </c>
      <c r="L562">
        <f>IF($X562="","",IF(AND(ISNUMBER(K562),K562&gt;0),V562&gt;K562,FALSE))</f>
        <v/>
      </c>
      <c r="M562" s="7">
        <f>IF($X562="","",SUMIFS('Per Line'!$V$2:$V$3001,'Per Line'!$D$2:$D$3001,$B562,'Per Line'!$AN$2:$AN$3001,1))</f>
        <v/>
      </c>
      <c r="N562">
        <f>IF($X562="","",Settings!$C$7)</f>
        <v/>
      </c>
      <c r="O562" s="7">
        <f>IF($X562="","",SUMIFS('Per Line'!$V$2:$V$3001,'Per Line'!$D$2:$D$3001,$B562,'Per Line'!$AM$2:$AM$3001,0,'Per Line'!$AN$2:$AN$3001,0))</f>
        <v/>
      </c>
      <c r="P562" s="7">
        <f>IF($X562="","",O562*N562)</f>
        <v/>
      </c>
      <c r="Q562">
        <f>IF($X562="","",Settings!$C$6)</f>
        <v/>
      </c>
      <c r="R562" s="7">
        <f>IF($X562="","",SUMIFS('Per Line'!$V$2:$V$3001,'Per Line'!$D$2:$D$3001,$B562,'Per Line'!$AM$2:$AM$3001,1,'Per Line'!$AN$2:$AN$3001,0))</f>
        <v/>
      </c>
      <c r="S562" s="7">
        <f>IF($X562="","",R562*Q562)</f>
        <v/>
      </c>
      <c r="T562" s="7">
        <f>IF($X562="","",S562+P562)</f>
        <v/>
      </c>
      <c r="U562" s="7">
        <f>IF($X562="","",V562-T562)</f>
        <v/>
      </c>
      <c r="V562" s="7">
        <f>IF($X562="","",O562+R562+M562)</f>
        <v/>
      </c>
      <c r="W562" s="7">
        <f>IF($X562="","",V562-T562-I562)</f>
        <v/>
      </c>
      <c r="X562" s="13">
        <f>IF(ROWS($X$2:$X562)&lt;=MAX('Per Line'!$AL$2:$AL$3001),MATCH(ROWS($X$2:$X562),'Per Line'!$AL$2:$AL$3001,0),"")</f>
        <v/>
      </c>
    </row>
    <row r="563">
      <c r="A563" s="12" t="n"/>
      <c r="B563">
        <f>IF($X563="","",INDEX('Per Line'!$D$2:$D$3001,$X563)&amp;"")</f>
        <v/>
      </c>
      <c r="C563" s="11">
        <f>IF($X563="","",INDEX('Per Line'!$F$2:$F$3001,$X563))</f>
        <v/>
      </c>
      <c r="D563">
        <f>IF($X563="","",INDEX('Per Line'!$G$2:$G$3001,$X563)&amp;"")</f>
        <v/>
      </c>
      <c r="E563">
        <f>IF($X563="","",INDEX('Per Line'!$I$2:$I$3001,$X563)&amp;"")</f>
        <v/>
      </c>
      <c r="F563">
        <f>IF($X563="","",INDEX('Per Line'!$J$2:$J$3001,$X563)&amp;"")</f>
        <v/>
      </c>
      <c r="G563">
        <f>IF($X563="","",INDEX('Per Line'!$K$2:$K$3001,$X563)&amp;"")</f>
        <v/>
      </c>
      <c r="H563">
        <f>IF($X563="","",INDEX('Per Line'!$M$2:$M$3001,$X563))</f>
        <v/>
      </c>
      <c r="I563" s="7">
        <f>IF($X563="","",H563*V563/100)</f>
        <v/>
      </c>
      <c r="J563">
        <f>IF($X563="","",INDEX('Per Line'!$W$2:$W$3001,$X563)&amp;"")</f>
        <v/>
      </c>
      <c r="K563">
        <f>IF($X563="","",INDEX('Per Line'!$AD$2:$AD$3001,$X563))</f>
        <v/>
      </c>
      <c r="L563">
        <f>IF($X563="","",IF(AND(ISNUMBER(K563),K563&gt;0),V563&gt;K563,FALSE))</f>
        <v/>
      </c>
      <c r="M563" s="7">
        <f>IF($X563="","",SUMIFS('Per Line'!$V$2:$V$3001,'Per Line'!$D$2:$D$3001,$B563,'Per Line'!$AN$2:$AN$3001,1))</f>
        <v/>
      </c>
      <c r="N563">
        <f>IF($X563="","",Settings!$C$7)</f>
        <v/>
      </c>
      <c r="O563" s="7">
        <f>IF($X563="","",SUMIFS('Per Line'!$V$2:$V$3001,'Per Line'!$D$2:$D$3001,$B563,'Per Line'!$AM$2:$AM$3001,0,'Per Line'!$AN$2:$AN$3001,0))</f>
        <v/>
      </c>
      <c r="P563" s="7">
        <f>IF($X563="","",O563*N563)</f>
        <v/>
      </c>
      <c r="Q563">
        <f>IF($X563="","",Settings!$C$6)</f>
        <v/>
      </c>
      <c r="R563" s="7">
        <f>IF($X563="","",SUMIFS('Per Line'!$V$2:$V$3001,'Per Line'!$D$2:$D$3001,$B563,'Per Line'!$AM$2:$AM$3001,1,'Per Line'!$AN$2:$AN$3001,0))</f>
        <v/>
      </c>
      <c r="S563" s="7">
        <f>IF($X563="","",R563*Q563)</f>
        <v/>
      </c>
      <c r="T563" s="7">
        <f>IF($X563="","",S563+P563)</f>
        <v/>
      </c>
      <c r="U563" s="7">
        <f>IF($X563="","",V563-T563)</f>
        <v/>
      </c>
      <c r="V563" s="7">
        <f>IF($X563="","",O563+R563+M563)</f>
        <v/>
      </c>
      <c r="W563" s="7">
        <f>IF($X563="","",V563-T563-I563)</f>
        <v/>
      </c>
      <c r="X563" s="13">
        <f>IF(ROWS($X$2:$X563)&lt;=MAX('Per Line'!$AL$2:$AL$3001),MATCH(ROWS($X$2:$X563),'Per Line'!$AL$2:$AL$3001,0),"")</f>
        <v/>
      </c>
    </row>
    <row r="564">
      <c r="A564" s="12" t="n"/>
      <c r="B564">
        <f>IF($X564="","",INDEX('Per Line'!$D$2:$D$3001,$X564)&amp;"")</f>
        <v/>
      </c>
      <c r="C564" s="11">
        <f>IF($X564="","",INDEX('Per Line'!$F$2:$F$3001,$X564))</f>
        <v/>
      </c>
      <c r="D564">
        <f>IF($X564="","",INDEX('Per Line'!$G$2:$G$3001,$X564)&amp;"")</f>
        <v/>
      </c>
      <c r="E564">
        <f>IF($X564="","",INDEX('Per Line'!$I$2:$I$3001,$X564)&amp;"")</f>
        <v/>
      </c>
      <c r="F564">
        <f>IF($X564="","",INDEX('Per Line'!$J$2:$J$3001,$X564)&amp;"")</f>
        <v/>
      </c>
      <c r="G564">
        <f>IF($X564="","",INDEX('Per Line'!$K$2:$K$3001,$X564)&amp;"")</f>
        <v/>
      </c>
      <c r="H564">
        <f>IF($X564="","",INDEX('Per Line'!$M$2:$M$3001,$X564))</f>
        <v/>
      </c>
      <c r="I564" s="7">
        <f>IF($X564="","",H564*V564/100)</f>
        <v/>
      </c>
      <c r="J564">
        <f>IF($X564="","",INDEX('Per Line'!$W$2:$W$3001,$X564)&amp;"")</f>
        <v/>
      </c>
      <c r="K564">
        <f>IF($X564="","",INDEX('Per Line'!$AD$2:$AD$3001,$X564))</f>
        <v/>
      </c>
      <c r="L564">
        <f>IF($X564="","",IF(AND(ISNUMBER(K564),K564&gt;0),V564&gt;K564,FALSE))</f>
        <v/>
      </c>
      <c r="M564" s="7">
        <f>IF($X564="","",SUMIFS('Per Line'!$V$2:$V$3001,'Per Line'!$D$2:$D$3001,$B564,'Per Line'!$AN$2:$AN$3001,1))</f>
        <v/>
      </c>
      <c r="N564">
        <f>IF($X564="","",Settings!$C$7)</f>
        <v/>
      </c>
      <c r="O564" s="7">
        <f>IF($X564="","",SUMIFS('Per Line'!$V$2:$V$3001,'Per Line'!$D$2:$D$3001,$B564,'Per Line'!$AM$2:$AM$3001,0,'Per Line'!$AN$2:$AN$3001,0))</f>
        <v/>
      </c>
      <c r="P564" s="7">
        <f>IF($X564="","",O564*N564)</f>
        <v/>
      </c>
      <c r="Q564">
        <f>IF($X564="","",Settings!$C$6)</f>
        <v/>
      </c>
      <c r="R564" s="7">
        <f>IF($X564="","",SUMIFS('Per Line'!$V$2:$V$3001,'Per Line'!$D$2:$D$3001,$B564,'Per Line'!$AM$2:$AM$3001,1,'Per Line'!$AN$2:$AN$3001,0))</f>
        <v/>
      </c>
      <c r="S564" s="7">
        <f>IF($X564="","",R564*Q564)</f>
        <v/>
      </c>
      <c r="T564" s="7">
        <f>IF($X564="","",S564+P564)</f>
        <v/>
      </c>
      <c r="U564" s="7">
        <f>IF($X564="","",V564-T564)</f>
        <v/>
      </c>
      <c r="V564" s="7">
        <f>IF($X564="","",O564+R564+M564)</f>
        <v/>
      </c>
      <c r="W564" s="7">
        <f>IF($X564="","",V564-T564-I564)</f>
        <v/>
      </c>
      <c r="X564" s="13">
        <f>IF(ROWS($X$2:$X564)&lt;=MAX('Per Line'!$AL$2:$AL$3001),MATCH(ROWS($X$2:$X564),'Per Line'!$AL$2:$AL$3001,0),"")</f>
        <v/>
      </c>
    </row>
    <row r="565">
      <c r="A565" s="12" t="n"/>
      <c r="B565">
        <f>IF($X565="","",INDEX('Per Line'!$D$2:$D$3001,$X565)&amp;"")</f>
        <v/>
      </c>
      <c r="C565" s="11">
        <f>IF($X565="","",INDEX('Per Line'!$F$2:$F$3001,$X565))</f>
        <v/>
      </c>
      <c r="D565">
        <f>IF($X565="","",INDEX('Per Line'!$G$2:$G$3001,$X565)&amp;"")</f>
        <v/>
      </c>
      <c r="E565">
        <f>IF($X565="","",INDEX('Per Line'!$I$2:$I$3001,$X565)&amp;"")</f>
        <v/>
      </c>
      <c r="F565">
        <f>IF($X565="","",INDEX('Per Line'!$J$2:$J$3001,$X565)&amp;"")</f>
        <v/>
      </c>
      <c r="G565">
        <f>IF($X565="","",INDEX('Per Line'!$K$2:$K$3001,$X565)&amp;"")</f>
        <v/>
      </c>
      <c r="H565">
        <f>IF($X565="","",INDEX('Per Line'!$M$2:$M$3001,$X565))</f>
        <v/>
      </c>
      <c r="I565" s="7">
        <f>IF($X565="","",H565*V565/100)</f>
        <v/>
      </c>
      <c r="J565">
        <f>IF($X565="","",INDEX('Per Line'!$W$2:$W$3001,$X565)&amp;"")</f>
        <v/>
      </c>
      <c r="K565">
        <f>IF($X565="","",INDEX('Per Line'!$AD$2:$AD$3001,$X565))</f>
        <v/>
      </c>
      <c r="L565">
        <f>IF($X565="","",IF(AND(ISNUMBER(K565),K565&gt;0),V565&gt;K565,FALSE))</f>
        <v/>
      </c>
      <c r="M565" s="7">
        <f>IF($X565="","",SUMIFS('Per Line'!$V$2:$V$3001,'Per Line'!$D$2:$D$3001,$B565,'Per Line'!$AN$2:$AN$3001,1))</f>
        <v/>
      </c>
      <c r="N565">
        <f>IF($X565="","",Settings!$C$7)</f>
        <v/>
      </c>
      <c r="O565" s="7">
        <f>IF($X565="","",SUMIFS('Per Line'!$V$2:$V$3001,'Per Line'!$D$2:$D$3001,$B565,'Per Line'!$AM$2:$AM$3001,0,'Per Line'!$AN$2:$AN$3001,0))</f>
        <v/>
      </c>
      <c r="P565" s="7">
        <f>IF($X565="","",O565*N565)</f>
        <v/>
      </c>
      <c r="Q565">
        <f>IF($X565="","",Settings!$C$6)</f>
        <v/>
      </c>
      <c r="R565" s="7">
        <f>IF($X565="","",SUMIFS('Per Line'!$V$2:$V$3001,'Per Line'!$D$2:$D$3001,$B565,'Per Line'!$AM$2:$AM$3001,1,'Per Line'!$AN$2:$AN$3001,0))</f>
        <v/>
      </c>
      <c r="S565" s="7">
        <f>IF($X565="","",R565*Q565)</f>
        <v/>
      </c>
      <c r="T565" s="7">
        <f>IF($X565="","",S565+P565)</f>
        <v/>
      </c>
      <c r="U565" s="7">
        <f>IF($X565="","",V565-T565)</f>
        <v/>
      </c>
      <c r="V565" s="7">
        <f>IF($X565="","",O565+R565+M565)</f>
        <v/>
      </c>
      <c r="W565" s="7">
        <f>IF($X565="","",V565-T565-I565)</f>
        <v/>
      </c>
      <c r="X565" s="13">
        <f>IF(ROWS($X$2:$X565)&lt;=MAX('Per Line'!$AL$2:$AL$3001),MATCH(ROWS($X$2:$X565),'Per Line'!$AL$2:$AL$3001,0),"")</f>
        <v/>
      </c>
    </row>
    <row r="566">
      <c r="A566" s="12" t="n"/>
      <c r="B566">
        <f>IF($X566="","",INDEX('Per Line'!$D$2:$D$3001,$X566)&amp;"")</f>
        <v/>
      </c>
      <c r="C566" s="11">
        <f>IF($X566="","",INDEX('Per Line'!$F$2:$F$3001,$X566))</f>
        <v/>
      </c>
      <c r="D566">
        <f>IF($X566="","",INDEX('Per Line'!$G$2:$G$3001,$X566)&amp;"")</f>
        <v/>
      </c>
      <c r="E566">
        <f>IF($X566="","",INDEX('Per Line'!$I$2:$I$3001,$X566)&amp;"")</f>
        <v/>
      </c>
      <c r="F566">
        <f>IF($X566="","",INDEX('Per Line'!$J$2:$J$3001,$X566)&amp;"")</f>
        <v/>
      </c>
      <c r="G566">
        <f>IF($X566="","",INDEX('Per Line'!$K$2:$K$3001,$X566)&amp;"")</f>
        <v/>
      </c>
      <c r="H566">
        <f>IF($X566="","",INDEX('Per Line'!$M$2:$M$3001,$X566))</f>
        <v/>
      </c>
      <c r="I566" s="7">
        <f>IF($X566="","",H566*V566/100)</f>
        <v/>
      </c>
      <c r="J566">
        <f>IF($X566="","",INDEX('Per Line'!$W$2:$W$3001,$X566)&amp;"")</f>
        <v/>
      </c>
      <c r="K566">
        <f>IF($X566="","",INDEX('Per Line'!$AD$2:$AD$3001,$X566))</f>
        <v/>
      </c>
      <c r="L566">
        <f>IF($X566="","",IF(AND(ISNUMBER(K566),K566&gt;0),V566&gt;K566,FALSE))</f>
        <v/>
      </c>
      <c r="M566" s="7">
        <f>IF($X566="","",SUMIFS('Per Line'!$V$2:$V$3001,'Per Line'!$D$2:$D$3001,$B566,'Per Line'!$AN$2:$AN$3001,1))</f>
        <v/>
      </c>
      <c r="N566">
        <f>IF($X566="","",Settings!$C$7)</f>
        <v/>
      </c>
      <c r="O566" s="7">
        <f>IF($X566="","",SUMIFS('Per Line'!$V$2:$V$3001,'Per Line'!$D$2:$D$3001,$B566,'Per Line'!$AM$2:$AM$3001,0,'Per Line'!$AN$2:$AN$3001,0))</f>
        <v/>
      </c>
      <c r="P566" s="7">
        <f>IF($X566="","",O566*N566)</f>
        <v/>
      </c>
      <c r="Q566">
        <f>IF($X566="","",Settings!$C$6)</f>
        <v/>
      </c>
      <c r="R566" s="7">
        <f>IF($X566="","",SUMIFS('Per Line'!$V$2:$V$3001,'Per Line'!$D$2:$D$3001,$B566,'Per Line'!$AM$2:$AM$3001,1,'Per Line'!$AN$2:$AN$3001,0))</f>
        <v/>
      </c>
      <c r="S566" s="7">
        <f>IF($X566="","",R566*Q566)</f>
        <v/>
      </c>
      <c r="T566" s="7">
        <f>IF($X566="","",S566+P566)</f>
        <v/>
      </c>
      <c r="U566" s="7">
        <f>IF($X566="","",V566-T566)</f>
        <v/>
      </c>
      <c r="V566" s="7">
        <f>IF($X566="","",O566+R566+M566)</f>
        <v/>
      </c>
      <c r="W566" s="7">
        <f>IF($X566="","",V566-T566-I566)</f>
        <v/>
      </c>
      <c r="X566" s="13">
        <f>IF(ROWS($X$2:$X566)&lt;=MAX('Per Line'!$AL$2:$AL$3001),MATCH(ROWS($X$2:$X566),'Per Line'!$AL$2:$AL$3001,0),"")</f>
        <v/>
      </c>
    </row>
    <row r="567">
      <c r="A567" s="12" t="n"/>
      <c r="B567">
        <f>IF($X567="","",INDEX('Per Line'!$D$2:$D$3001,$X567)&amp;"")</f>
        <v/>
      </c>
      <c r="C567" s="11">
        <f>IF($X567="","",INDEX('Per Line'!$F$2:$F$3001,$X567))</f>
        <v/>
      </c>
      <c r="D567">
        <f>IF($X567="","",INDEX('Per Line'!$G$2:$G$3001,$X567)&amp;"")</f>
        <v/>
      </c>
      <c r="E567">
        <f>IF($X567="","",INDEX('Per Line'!$I$2:$I$3001,$X567)&amp;"")</f>
        <v/>
      </c>
      <c r="F567">
        <f>IF($X567="","",INDEX('Per Line'!$J$2:$J$3001,$X567)&amp;"")</f>
        <v/>
      </c>
      <c r="G567">
        <f>IF($X567="","",INDEX('Per Line'!$K$2:$K$3001,$X567)&amp;"")</f>
        <v/>
      </c>
      <c r="H567">
        <f>IF($X567="","",INDEX('Per Line'!$M$2:$M$3001,$X567))</f>
        <v/>
      </c>
      <c r="I567" s="7">
        <f>IF($X567="","",H567*V567/100)</f>
        <v/>
      </c>
      <c r="J567">
        <f>IF($X567="","",INDEX('Per Line'!$W$2:$W$3001,$X567)&amp;"")</f>
        <v/>
      </c>
      <c r="K567">
        <f>IF($X567="","",INDEX('Per Line'!$AD$2:$AD$3001,$X567))</f>
        <v/>
      </c>
      <c r="L567">
        <f>IF($X567="","",IF(AND(ISNUMBER(K567),K567&gt;0),V567&gt;K567,FALSE))</f>
        <v/>
      </c>
      <c r="M567" s="7">
        <f>IF($X567="","",SUMIFS('Per Line'!$V$2:$V$3001,'Per Line'!$D$2:$D$3001,$B567,'Per Line'!$AN$2:$AN$3001,1))</f>
        <v/>
      </c>
      <c r="N567">
        <f>IF($X567="","",Settings!$C$7)</f>
        <v/>
      </c>
      <c r="O567" s="7">
        <f>IF($X567="","",SUMIFS('Per Line'!$V$2:$V$3001,'Per Line'!$D$2:$D$3001,$B567,'Per Line'!$AM$2:$AM$3001,0,'Per Line'!$AN$2:$AN$3001,0))</f>
        <v/>
      </c>
      <c r="P567" s="7">
        <f>IF($X567="","",O567*N567)</f>
        <v/>
      </c>
      <c r="Q567">
        <f>IF($X567="","",Settings!$C$6)</f>
        <v/>
      </c>
      <c r="R567" s="7">
        <f>IF($X567="","",SUMIFS('Per Line'!$V$2:$V$3001,'Per Line'!$D$2:$D$3001,$B567,'Per Line'!$AM$2:$AM$3001,1,'Per Line'!$AN$2:$AN$3001,0))</f>
        <v/>
      </c>
      <c r="S567" s="7">
        <f>IF($X567="","",R567*Q567)</f>
        <v/>
      </c>
      <c r="T567" s="7">
        <f>IF($X567="","",S567+P567)</f>
        <v/>
      </c>
      <c r="U567" s="7">
        <f>IF($X567="","",V567-T567)</f>
        <v/>
      </c>
      <c r="V567" s="7">
        <f>IF($X567="","",O567+R567+M567)</f>
        <v/>
      </c>
      <c r="W567" s="7">
        <f>IF($X567="","",V567-T567-I567)</f>
        <v/>
      </c>
      <c r="X567" s="13">
        <f>IF(ROWS($X$2:$X567)&lt;=MAX('Per Line'!$AL$2:$AL$3001),MATCH(ROWS($X$2:$X567),'Per Line'!$AL$2:$AL$3001,0),"")</f>
        <v/>
      </c>
    </row>
    <row r="568">
      <c r="A568" s="12" t="n"/>
      <c r="B568">
        <f>IF($X568="","",INDEX('Per Line'!$D$2:$D$3001,$X568)&amp;"")</f>
        <v/>
      </c>
      <c r="C568" s="11">
        <f>IF($X568="","",INDEX('Per Line'!$F$2:$F$3001,$X568))</f>
        <v/>
      </c>
      <c r="D568">
        <f>IF($X568="","",INDEX('Per Line'!$G$2:$G$3001,$X568)&amp;"")</f>
        <v/>
      </c>
      <c r="E568">
        <f>IF($X568="","",INDEX('Per Line'!$I$2:$I$3001,$X568)&amp;"")</f>
        <v/>
      </c>
      <c r="F568">
        <f>IF($X568="","",INDEX('Per Line'!$J$2:$J$3001,$X568)&amp;"")</f>
        <v/>
      </c>
      <c r="G568">
        <f>IF($X568="","",INDEX('Per Line'!$K$2:$K$3001,$X568)&amp;"")</f>
        <v/>
      </c>
      <c r="H568">
        <f>IF($X568="","",INDEX('Per Line'!$M$2:$M$3001,$X568))</f>
        <v/>
      </c>
      <c r="I568" s="7">
        <f>IF($X568="","",H568*V568/100)</f>
        <v/>
      </c>
      <c r="J568">
        <f>IF($X568="","",INDEX('Per Line'!$W$2:$W$3001,$X568)&amp;"")</f>
        <v/>
      </c>
      <c r="K568">
        <f>IF($X568="","",INDEX('Per Line'!$AD$2:$AD$3001,$X568))</f>
        <v/>
      </c>
      <c r="L568">
        <f>IF($X568="","",IF(AND(ISNUMBER(K568),K568&gt;0),V568&gt;K568,FALSE))</f>
        <v/>
      </c>
      <c r="M568" s="7">
        <f>IF($X568="","",SUMIFS('Per Line'!$V$2:$V$3001,'Per Line'!$D$2:$D$3001,$B568,'Per Line'!$AN$2:$AN$3001,1))</f>
        <v/>
      </c>
      <c r="N568">
        <f>IF($X568="","",Settings!$C$7)</f>
        <v/>
      </c>
      <c r="O568" s="7">
        <f>IF($X568="","",SUMIFS('Per Line'!$V$2:$V$3001,'Per Line'!$D$2:$D$3001,$B568,'Per Line'!$AM$2:$AM$3001,0,'Per Line'!$AN$2:$AN$3001,0))</f>
        <v/>
      </c>
      <c r="P568" s="7">
        <f>IF($X568="","",O568*N568)</f>
        <v/>
      </c>
      <c r="Q568">
        <f>IF($X568="","",Settings!$C$6)</f>
        <v/>
      </c>
      <c r="R568" s="7">
        <f>IF($X568="","",SUMIFS('Per Line'!$V$2:$V$3001,'Per Line'!$D$2:$D$3001,$B568,'Per Line'!$AM$2:$AM$3001,1,'Per Line'!$AN$2:$AN$3001,0))</f>
        <v/>
      </c>
      <c r="S568" s="7">
        <f>IF($X568="","",R568*Q568)</f>
        <v/>
      </c>
      <c r="T568" s="7">
        <f>IF($X568="","",S568+P568)</f>
        <v/>
      </c>
      <c r="U568" s="7">
        <f>IF($X568="","",V568-T568)</f>
        <v/>
      </c>
      <c r="V568" s="7">
        <f>IF($X568="","",O568+R568+M568)</f>
        <v/>
      </c>
      <c r="W568" s="7">
        <f>IF($X568="","",V568-T568-I568)</f>
        <v/>
      </c>
      <c r="X568" s="13">
        <f>IF(ROWS($X$2:$X568)&lt;=MAX('Per Line'!$AL$2:$AL$3001),MATCH(ROWS($X$2:$X568),'Per Line'!$AL$2:$AL$3001,0),"")</f>
        <v/>
      </c>
    </row>
    <row r="569">
      <c r="A569" s="12" t="n"/>
      <c r="B569">
        <f>IF($X569="","",INDEX('Per Line'!$D$2:$D$3001,$X569)&amp;"")</f>
        <v/>
      </c>
      <c r="C569" s="11">
        <f>IF($X569="","",INDEX('Per Line'!$F$2:$F$3001,$X569))</f>
        <v/>
      </c>
      <c r="D569">
        <f>IF($X569="","",INDEX('Per Line'!$G$2:$G$3001,$X569)&amp;"")</f>
        <v/>
      </c>
      <c r="E569">
        <f>IF($X569="","",INDEX('Per Line'!$I$2:$I$3001,$X569)&amp;"")</f>
        <v/>
      </c>
      <c r="F569">
        <f>IF($X569="","",INDEX('Per Line'!$J$2:$J$3001,$X569)&amp;"")</f>
        <v/>
      </c>
      <c r="G569">
        <f>IF($X569="","",INDEX('Per Line'!$K$2:$K$3001,$X569)&amp;"")</f>
        <v/>
      </c>
      <c r="H569">
        <f>IF($X569="","",INDEX('Per Line'!$M$2:$M$3001,$X569))</f>
        <v/>
      </c>
      <c r="I569" s="7">
        <f>IF($X569="","",H569*V569/100)</f>
        <v/>
      </c>
      <c r="J569">
        <f>IF($X569="","",INDEX('Per Line'!$W$2:$W$3001,$X569)&amp;"")</f>
        <v/>
      </c>
      <c r="K569">
        <f>IF($X569="","",INDEX('Per Line'!$AD$2:$AD$3001,$X569))</f>
        <v/>
      </c>
      <c r="L569">
        <f>IF($X569="","",IF(AND(ISNUMBER(K569),K569&gt;0),V569&gt;K569,FALSE))</f>
        <v/>
      </c>
      <c r="M569" s="7">
        <f>IF($X569="","",SUMIFS('Per Line'!$V$2:$V$3001,'Per Line'!$D$2:$D$3001,$B569,'Per Line'!$AN$2:$AN$3001,1))</f>
        <v/>
      </c>
      <c r="N569">
        <f>IF($X569="","",Settings!$C$7)</f>
        <v/>
      </c>
      <c r="O569" s="7">
        <f>IF($X569="","",SUMIFS('Per Line'!$V$2:$V$3001,'Per Line'!$D$2:$D$3001,$B569,'Per Line'!$AM$2:$AM$3001,0,'Per Line'!$AN$2:$AN$3001,0))</f>
        <v/>
      </c>
      <c r="P569" s="7">
        <f>IF($X569="","",O569*N569)</f>
        <v/>
      </c>
      <c r="Q569">
        <f>IF($X569="","",Settings!$C$6)</f>
        <v/>
      </c>
      <c r="R569" s="7">
        <f>IF($X569="","",SUMIFS('Per Line'!$V$2:$V$3001,'Per Line'!$D$2:$D$3001,$B569,'Per Line'!$AM$2:$AM$3001,1,'Per Line'!$AN$2:$AN$3001,0))</f>
        <v/>
      </c>
      <c r="S569" s="7">
        <f>IF($X569="","",R569*Q569)</f>
        <v/>
      </c>
      <c r="T569" s="7">
        <f>IF($X569="","",S569+P569)</f>
        <v/>
      </c>
      <c r="U569" s="7">
        <f>IF($X569="","",V569-T569)</f>
        <v/>
      </c>
      <c r="V569" s="7">
        <f>IF($X569="","",O569+R569+M569)</f>
        <v/>
      </c>
      <c r="W569" s="7">
        <f>IF($X569="","",V569-T569-I569)</f>
        <v/>
      </c>
      <c r="X569" s="13">
        <f>IF(ROWS($X$2:$X569)&lt;=MAX('Per Line'!$AL$2:$AL$3001),MATCH(ROWS($X$2:$X569),'Per Line'!$AL$2:$AL$3001,0),"")</f>
        <v/>
      </c>
    </row>
    <row r="570">
      <c r="A570" s="12" t="n"/>
      <c r="B570">
        <f>IF($X570="","",INDEX('Per Line'!$D$2:$D$3001,$X570)&amp;"")</f>
        <v/>
      </c>
      <c r="C570" s="11">
        <f>IF($X570="","",INDEX('Per Line'!$F$2:$F$3001,$X570))</f>
        <v/>
      </c>
      <c r="D570">
        <f>IF($X570="","",INDEX('Per Line'!$G$2:$G$3001,$X570)&amp;"")</f>
        <v/>
      </c>
      <c r="E570">
        <f>IF($X570="","",INDEX('Per Line'!$I$2:$I$3001,$X570)&amp;"")</f>
        <v/>
      </c>
      <c r="F570">
        <f>IF($X570="","",INDEX('Per Line'!$J$2:$J$3001,$X570)&amp;"")</f>
        <v/>
      </c>
      <c r="G570">
        <f>IF($X570="","",INDEX('Per Line'!$K$2:$K$3001,$X570)&amp;"")</f>
        <v/>
      </c>
      <c r="H570">
        <f>IF($X570="","",INDEX('Per Line'!$M$2:$M$3001,$X570))</f>
        <v/>
      </c>
      <c r="I570" s="7">
        <f>IF($X570="","",H570*V570/100)</f>
        <v/>
      </c>
      <c r="J570">
        <f>IF($X570="","",INDEX('Per Line'!$W$2:$W$3001,$X570)&amp;"")</f>
        <v/>
      </c>
      <c r="K570">
        <f>IF($X570="","",INDEX('Per Line'!$AD$2:$AD$3001,$X570))</f>
        <v/>
      </c>
      <c r="L570">
        <f>IF($X570="","",IF(AND(ISNUMBER(K570),K570&gt;0),V570&gt;K570,FALSE))</f>
        <v/>
      </c>
      <c r="M570" s="7">
        <f>IF($X570="","",SUMIFS('Per Line'!$V$2:$V$3001,'Per Line'!$D$2:$D$3001,$B570,'Per Line'!$AN$2:$AN$3001,1))</f>
        <v/>
      </c>
      <c r="N570">
        <f>IF($X570="","",Settings!$C$7)</f>
        <v/>
      </c>
      <c r="O570" s="7">
        <f>IF($X570="","",SUMIFS('Per Line'!$V$2:$V$3001,'Per Line'!$D$2:$D$3001,$B570,'Per Line'!$AM$2:$AM$3001,0,'Per Line'!$AN$2:$AN$3001,0))</f>
        <v/>
      </c>
      <c r="P570" s="7">
        <f>IF($X570="","",O570*N570)</f>
        <v/>
      </c>
      <c r="Q570">
        <f>IF($X570="","",Settings!$C$6)</f>
        <v/>
      </c>
      <c r="R570" s="7">
        <f>IF($X570="","",SUMIFS('Per Line'!$V$2:$V$3001,'Per Line'!$D$2:$D$3001,$B570,'Per Line'!$AM$2:$AM$3001,1,'Per Line'!$AN$2:$AN$3001,0))</f>
        <v/>
      </c>
      <c r="S570" s="7">
        <f>IF($X570="","",R570*Q570)</f>
        <v/>
      </c>
      <c r="T570" s="7">
        <f>IF($X570="","",S570+P570)</f>
        <v/>
      </c>
      <c r="U570" s="7">
        <f>IF($X570="","",V570-T570)</f>
        <v/>
      </c>
      <c r="V570" s="7">
        <f>IF($X570="","",O570+R570+M570)</f>
        <v/>
      </c>
      <c r="W570" s="7">
        <f>IF($X570="","",V570-T570-I570)</f>
        <v/>
      </c>
      <c r="X570" s="13">
        <f>IF(ROWS($X$2:$X570)&lt;=MAX('Per Line'!$AL$2:$AL$3001),MATCH(ROWS($X$2:$X570),'Per Line'!$AL$2:$AL$3001,0),"")</f>
        <v/>
      </c>
    </row>
    <row r="571">
      <c r="A571" s="12" t="n"/>
      <c r="B571">
        <f>IF($X571="","",INDEX('Per Line'!$D$2:$D$3001,$X571)&amp;"")</f>
        <v/>
      </c>
      <c r="C571" s="11">
        <f>IF($X571="","",INDEX('Per Line'!$F$2:$F$3001,$X571))</f>
        <v/>
      </c>
      <c r="D571">
        <f>IF($X571="","",INDEX('Per Line'!$G$2:$G$3001,$X571)&amp;"")</f>
        <v/>
      </c>
      <c r="E571">
        <f>IF($X571="","",INDEX('Per Line'!$I$2:$I$3001,$X571)&amp;"")</f>
        <v/>
      </c>
      <c r="F571">
        <f>IF($X571="","",INDEX('Per Line'!$J$2:$J$3001,$X571)&amp;"")</f>
        <v/>
      </c>
      <c r="G571">
        <f>IF($X571="","",INDEX('Per Line'!$K$2:$K$3001,$X571)&amp;"")</f>
        <v/>
      </c>
      <c r="H571">
        <f>IF($X571="","",INDEX('Per Line'!$M$2:$M$3001,$X571))</f>
        <v/>
      </c>
      <c r="I571" s="7">
        <f>IF($X571="","",H571*V571/100)</f>
        <v/>
      </c>
      <c r="J571">
        <f>IF($X571="","",INDEX('Per Line'!$W$2:$W$3001,$X571)&amp;"")</f>
        <v/>
      </c>
      <c r="K571">
        <f>IF($X571="","",INDEX('Per Line'!$AD$2:$AD$3001,$X571))</f>
        <v/>
      </c>
      <c r="L571">
        <f>IF($X571="","",IF(AND(ISNUMBER(K571),K571&gt;0),V571&gt;K571,FALSE))</f>
        <v/>
      </c>
      <c r="M571" s="7">
        <f>IF($X571="","",SUMIFS('Per Line'!$V$2:$V$3001,'Per Line'!$D$2:$D$3001,$B571,'Per Line'!$AN$2:$AN$3001,1))</f>
        <v/>
      </c>
      <c r="N571">
        <f>IF($X571="","",Settings!$C$7)</f>
        <v/>
      </c>
      <c r="O571" s="7">
        <f>IF($X571="","",SUMIFS('Per Line'!$V$2:$V$3001,'Per Line'!$D$2:$D$3001,$B571,'Per Line'!$AM$2:$AM$3001,0,'Per Line'!$AN$2:$AN$3001,0))</f>
        <v/>
      </c>
      <c r="P571" s="7">
        <f>IF($X571="","",O571*N571)</f>
        <v/>
      </c>
      <c r="Q571">
        <f>IF($X571="","",Settings!$C$6)</f>
        <v/>
      </c>
      <c r="R571" s="7">
        <f>IF($X571="","",SUMIFS('Per Line'!$V$2:$V$3001,'Per Line'!$D$2:$D$3001,$B571,'Per Line'!$AM$2:$AM$3001,1,'Per Line'!$AN$2:$AN$3001,0))</f>
        <v/>
      </c>
      <c r="S571" s="7">
        <f>IF($X571="","",R571*Q571)</f>
        <v/>
      </c>
      <c r="T571" s="7">
        <f>IF($X571="","",S571+P571)</f>
        <v/>
      </c>
      <c r="U571" s="7">
        <f>IF($X571="","",V571-T571)</f>
        <v/>
      </c>
      <c r="V571" s="7">
        <f>IF($X571="","",O571+R571+M571)</f>
        <v/>
      </c>
      <c r="W571" s="7">
        <f>IF($X571="","",V571-T571-I571)</f>
        <v/>
      </c>
      <c r="X571" s="13">
        <f>IF(ROWS($X$2:$X571)&lt;=MAX('Per Line'!$AL$2:$AL$3001),MATCH(ROWS($X$2:$X571),'Per Line'!$AL$2:$AL$3001,0),"")</f>
        <v/>
      </c>
    </row>
    <row r="572">
      <c r="A572" s="12" t="n"/>
      <c r="B572">
        <f>IF($X572="","",INDEX('Per Line'!$D$2:$D$3001,$X572)&amp;"")</f>
        <v/>
      </c>
      <c r="C572" s="11">
        <f>IF($X572="","",INDEX('Per Line'!$F$2:$F$3001,$X572))</f>
        <v/>
      </c>
      <c r="D572">
        <f>IF($X572="","",INDEX('Per Line'!$G$2:$G$3001,$X572)&amp;"")</f>
        <v/>
      </c>
      <c r="E572">
        <f>IF($X572="","",INDEX('Per Line'!$I$2:$I$3001,$X572)&amp;"")</f>
        <v/>
      </c>
      <c r="F572">
        <f>IF($X572="","",INDEX('Per Line'!$J$2:$J$3001,$X572)&amp;"")</f>
        <v/>
      </c>
      <c r="G572">
        <f>IF($X572="","",INDEX('Per Line'!$K$2:$K$3001,$X572)&amp;"")</f>
        <v/>
      </c>
      <c r="H572">
        <f>IF($X572="","",INDEX('Per Line'!$M$2:$M$3001,$X572))</f>
        <v/>
      </c>
      <c r="I572" s="7">
        <f>IF($X572="","",H572*V572/100)</f>
        <v/>
      </c>
      <c r="J572">
        <f>IF($X572="","",INDEX('Per Line'!$W$2:$W$3001,$X572)&amp;"")</f>
        <v/>
      </c>
      <c r="K572">
        <f>IF($X572="","",INDEX('Per Line'!$AD$2:$AD$3001,$X572))</f>
        <v/>
      </c>
      <c r="L572">
        <f>IF($X572="","",IF(AND(ISNUMBER(K572),K572&gt;0),V572&gt;K572,FALSE))</f>
        <v/>
      </c>
      <c r="M572" s="7">
        <f>IF($X572="","",SUMIFS('Per Line'!$V$2:$V$3001,'Per Line'!$D$2:$D$3001,$B572,'Per Line'!$AN$2:$AN$3001,1))</f>
        <v/>
      </c>
      <c r="N572">
        <f>IF($X572="","",Settings!$C$7)</f>
        <v/>
      </c>
      <c r="O572" s="7">
        <f>IF($X572="","",SUMIFS('Per Line'!$V$2:$V$3001,'Per Line'!$D$2:$D$3001,$B572,'Per Line'!$AM$2:$AM$3001,0,'Per Line'!$AN$2:$AN$3001,0))</f>
        <v/>
      </c>
      <c r="P572" s="7">
        <f>IF($X572="","",O572*N572)</f>
        <v/>
      </c>
      <c r="Q572">
        <f>IF($X572="","",Settings!$C$6)</f>
        <v/>
      </c>
      <c r="R572" s="7">
        <f>IF($X572="","",SUMIFS('Per Line'!$V$2:$V$3001,'Per Line'!$D$2:$D$3001,$B572,'Per Line'!$AM$2:$AM$3001,1,'Per Line'!$AN$2:$AN$3001,0))</f>
        <v/>
      </c>
      <c r="S572" s="7">
        <f>IF($X572="","",R572*Q572)</f>
        <v/>
      </c>
      <c r="T572" s="7">
        <f>IF($X572="","",S572+P572)</f>
        <v/>
      </c>
      <c r="U572" s="7">
        <f>IF($X572="","",V572-T572)</f>
        <v/>
      </c>
      <c r="V572" s="7">
        <f>IF($X572="","",O572+R572+M572)</f>
        <v/>
      </c>
      <c r="W572" s="7">
        <f>IF($X572="","",V572-T572-I572)</f>
        <v/>
      </c>
      <c r="X572" s="13">
        <f>IF(ROWS($X$2:$X572)&lt;=MAX('Per Line'!$AL$2:$AL$3001),MATCH(ROWS($X$2:$X572),'Per Line'!$AL$2:$AL$3001,0),"")</f>
        <v/>
      </c>
    </row>
    <row r="573">
      <c r="A573" s="12" t="n"/>
      <c r="B573">
        <f>IF($X573="","",INDEX('Per Line'!$D$2:$D$3001,$X573)&amp;"")</f>
        <v/>
      </c>
      <c r="C573" s="11">
        <f>IF($X573="","",INDEX('Per Line'!$F$2:$F$3001,$X573))</f>
        <v/>
      </c>
      <c r="D573">
        <f>IF($X573="","",INDEX('Per Line'!$G$2:$G$3001,$X573)&amp;"")</f>
        <v/>
      </c>
      <c r="E573">
        <f>IF($X573="","",INDEX('Per Line'!$I$2:$I$3001,$X573)&amp;"")</f>
        <v/>
      </c>
      <c r="F573">
        <f>IF($X573="","",INDEX('Per Line'!$J$2:$J$3001,$X573)&amp;"")</f>
        <v/>
      </c>
      <c r="G573">
        <f>IF($X573="","",INDEX('Per Line'!$K$2:$K$3001,$X573)&amp;"")</f>
        <v/>
      </c>
      <c r="H573">
        <f>IF($X573="","",INDEX('Per Line'!$M$2:$M$3001,$X573))</f>
        <v/>
      </c>
      <c r="I573" s="7">
        <f>IF($X573="","",H573*V573/100)</f>
        <v/>
      </c>
      <c r="J573">
        <f>IF($X573="","",INDEX('Per Line'!$W$2:$W$3001,$X573)&amp;"")</f>
        <v/>
      </c>
      <c r="K573">
        <f>IF($X573="","",INDEX('Per Line'!$AD$2:$AD$3001,$X573))</f>
        <v/>
      </c>
      <c r="L573">
        <f>IF($X573="","",IF(AND(ISNUMBER(K573),K573&gt;0),V573&gt;K573,FALSE))</f>
        <v/>
      </c>
      <c r="M573" s="7">
        <f>IF($X573="","",SUMIFS('Per Line'!$V$2:$V$3001,'Per Line'!$D$2:$D$3001,$B573,'Per Line'!$AN$2:$AN$3001,1))</f>
        <v/>
      </c>
      <c r="N573">
        <f>IF($X573="","",Settings!$C$7)</f>
        <v/>
      </c>
      <c r="O573" s="7">
        <f>IF($X573="","",SUMIFS('Per Line'!$V$2:$V$3001,'Per Line'!$D$2:$D$3001,$B573,'Per Line'!$AM$2:$AM$3001,0,'Per Line'!$AN$2:$AN$3001,0))</f>
        <v/>
      </c>
      <c r="P573" s="7">
        <f>IF($X573="","",O573*N573)</f>
        <v/>
      </c>
      <c r="Q573">
        <f>IF($X573="","",Settings!$C$6)</f>
        <v/>
      </c>
      <c r="R573" s="7">
        <f>IF($X573="","",SUMIFS('Per Line'!$V$2:$V$3001,'Per Line'!$D$2:$D$3001,$B573,'Per Line'!$AM$2:$AM$3001,1,'Per Line'!$AN$2:$AN$3001,0))</f>
        <v/>
      </c>
      <c r="S573" s="7">
        <f>IF($X573="","",R573*Q573)</f>
        <v/>
      </c>
      <c r="T573" s="7">
        <f>IF($X573="","",S573+P573)</f>
        <v/>
      </c>
      <c r="U573" s="7">
        <f>IF($X573="","",V573-T573)</f>
        <v/>
      </c>
      <c r="V573" s="7">
        <f>IF($X573="","",O573+R573+M573)</f>
        <v/>
      </c>
      <c r="W573" s="7">
        <f>IF($X573="","",V573-T573-I573)</f>
        <v/>
      </c>
      <c r="X573" s="13">
        <f>IF(ROWS($X$2:$X573)&lt;=MAX('Per Line'!$AL$2:$AL$3001),MATCH(ROWS($X$2:$X573),'Per Line'!$AL$2:$AL$3001,0),"")</f>
        <v/>
      </c>
    </row>
    <row r="574">
      <c r="A574" s="12" t="n"/>
      <c r="B574">
        <f>IF($X574="","",INDEX('Per Line'!$D$2:$D$3001,$X574)&amp;"")</f>
        <v/>
      </c>
      <c r="C574" s="11">
        <f>IF($X574="","",INDEX('Per Line'!$F$2:$F$3001,$X574))</f>
        <v/>
      </c>
      <c r="D574">
        <f>IF($X574="","",INDEX('Per Line'!$G$2:$G$3001,$X574)&amp;"")</f>
        <v/>
      </c>
      <c r="E574">
        <f>IF($X574="","",INDEX('Per Line'!$I$2:$I$3001,$X574)&amp;"")</f>
        <v/>
      </c>
      <c r="F574">
        <f>IF($X574="","",INDEX('Per Line'!$J$2:$J$3001,$X574)&amp;"")</f>
        <v/>
      </c>
      <c r="G574">
        <f>IF($X574="","",INDEX('Per Line'!$K$2:$K$3001,$X574)&amp;"")</f>
        <v/>
      </c>
      <c r="H574">
        <f>IF($X574="","",INDEX('Per Line'!$M$2:$M$3001,$X574))</f>
        <v/>
      </c>
      <c r="I574" s="7">
        <f>IF($X574="","",H574*V574/100)</f>
        <v/>
      </c>
      <c r="J574">
        <f>IF($X574="","",INDEX('Per Line'!$W$2:$W$3001,$X574)&amp;"")</f>
        <v/>
      </c>
      <c r="K574">
        <f>IF($X574="","",INDEX('Per Line'!$AD$2:$AD$3001,$X574))</f>
        <v/>
      </c>
      <c r="L574">
        <f>IF($X574="","",IF(AND(ISNUMBER(K574),K574&gt;0),V574&gt;K574,FALSE))</f>
        <v/>
      </c>
      <c r="M574" s="7">
        <f>IF($X574="","",SUMIFS('Per Line'!$V$2:$V$3001,'Per Line'!$D$2:$D$3001,$B574,'Per Line'!$AN$2:$AN$3001,1))</f>
        <v/>
      </c>
      <c r="N574">
        <f>IF($X574="","",Settings!$C$7)</f>
        <v/>
      </c>
      <c r="O574" s="7">
        <f>IF($X574="","",SUMIFS('Per Line'!$V$2:$V$3001,'Per Line'!$D$2:$D$3001,$B574,'Per Line'!$AM$2:$AM$3001,0,'Per Line'!$AN$2:$AN$3001,0))</f>
        <v/>
      </c>
      <c r="P574" s="7">
        <f>IF($X574="","",O574*N574)</f>
        <v/>
      </c>
      <c r="Q574">
        <f>IF($X574="","",Settings!$C$6)</f>
        <v/>
      </c>
      <c r="R574" s="7">
        <f>IF($X574="","",SUMIFS('Per Line'!$V$2:$V$3001,'Per Line'!$D$2:$D$3001,$B574,'Per Line'!$AM$2:$AM$3001,1,'Per Line'!$AN$2:$AN$3001,0))</f>
        <v/>
      </c>
      <c r="S574" s="7">
        <f>IF($X574="","",R574*Q574)</f>
        <v/>
      </c>
      <c r="T574" s="7">
        <f>IF($X574="","",S574+P574)</f>
        <v/>
      </c>
      <c r="U574" s="7">
        <f>IF($X574="","",V574-T574)</f>
        <v/>
      </c>
      <c r="V574" s="7">
        <f>IF($X574="","",O574+R574+M574)</f>
        <v/>
      </c>
      <c r="W574" s="7">
        <f>IF($X574="","",V574-T574-I574)</f>
        <v/>
      </c>
      <c r="X574" s="13">
        <f>IF(ROWS($X$2:$X574)&lt;=MAX('Per Line'!$AL$2:$AL$3001),MATCH(ROWS($X$2:$X574),'Per Line'!$AL$2:$AL$3001,0),"")</f>
        <v/>
      </c>
    </row>
    <row r="575">
      <c r="A575" s="12" t="n"/>
      <c r="B575">
        <f>IF($X575="","",INDEX('Per Line'!$D$2:$D$3001,$X575)&amp;"")</f>
        <v/>
      </c>
      <c r="C575" s="11">
        <f>IF($X575="","",INDEX('Per Line'!$F$2:$F$3001,$X575))</f>
        <v/>
      </c>
      <c r="D575">
        <f>IF($X575="","",INDEX('Per Line'!$G$2:$G$3001,$X575)&amp;"")</f>
        <v/>
      </c>
      <c r="E575">
        <f>IF($X575="","",INDEX('Per Line'!$I$2:$I$3001,$X575)&amp;"")</f>
        <v/>
      </c>
      <c r="F575">
        <f>IF($X575="","",INDEX('Per Line'!$J$2:$J$3001,$X575)&amp;"")</f>
        <v/>
      </c>
      <c r="G575">
        <f>IF($X575="","",INDEX('Per Line'!$K$2:$K$3001,$X575)&amp;"")</f>
        <v/>
      </c>
      <c r="H575">
        <f>IF($X575="","",INDEX('Per Line'!$M$2:$M$3001,$X575))</f>
        <v/>
      </c>
      <c r="I575" s="7">
        <f>IF($X575="","",H575*V575/100)</f>
        <v/>
      </c>
      <c r="J575">
        <f>IF($X575="","",INDEX('Per Line'!$W$2:$W$3001,$X575)&amp;"")</f>
        <v/>
      </c>
      <c r="K575">
        <f>IF($X575="","",INDEX('Per Line'!$AD$2:$AD$3001,$X575))</f>
        <v/>
      </c>
      <c r="L575">
        <f>IF($X575="","",IF(AND(ISNUMBER(K575),K575&gt;0),V575&gt;K575,FALSE))</f>
        <v/>
      </c>
      <c r="M575" s="7">
        <f>IF($X575="","",SUMIFS('Per Line'!$V$2:$V$3001,'Per Line'!$D$2:$D$3001,$B575,'Per Line'!$AN$2:$AN$3001,1))</f>
        <v/>
      </c>
      <c r="N575">
        <f>IF($X575="","",Settings!$C$7)</f>
        <v/>
      </c>
      <c r="O575" s="7">
        <f>IF($X575="","",SUMIFS('Per Line'!$V$2:$V$3001,'Per Line'!$D$2:$D$3001,$B575,'Per Line'!$AM$2:$AM$3001,0,'Per Line'!$AN$2:$AN$3001,0))</f>
        <v/>
      </c>
      <c r="P575" s="7">
        <f>IF($X575="","",O575*N575)</f>
        <v/>
      </c>
      <c r="Q575">
        <f>IF($X575="","",Settings!$C$6)</f>
        <v/>
      </c>
      <c r="R575" s="7">
        <f>IF($X575="","",SUMIFS('Per Line'!$V$2:$V$3001,'Per Line'!$D$2:$D$3001,$B575,'Per Line'!$AM$2:$AM$3001,1,'Per Line'!$AN$2:$AN$3001,0))</f>
        <v/>
      </c>
      <c r="S575" s="7">
        <f>IF($X575="","",R575*Q575)</f>
        <v/>
      </c>
      <c r="T575" s="7">
        <f>IF($X575="","",S575+P575)</f>
        <v/>
      </c>
      <c r="U575" s="7">
        <f>IF($X575="","",V575-T575)</f>
        <v/>
      </c>
      <c r="V575" s="7">
        <f>IF($X575="","",O575+R575+M575)</f>
        <v/>
      </c>
      <c r="W575" s="7">
        <f>IF($X575="","",V575-T575-I575)</f>
        <v/>
      </c>
      <c r="X575" s="13">
        <f>IF(ROWS($X$2:$X575)&lt;=MAX('Per Line'!$AL$2:$AL$3001),MATCH(ROWS($X$2:$X575),'Per Line'!$AL$2:$AL$3001,0),"")</f>
        <v/>
      </c>
    </row>
    <row r="576">
      <c r="A576" s="12" t="n"/>
      <c r="B576">
        <f>IF($X576="","",INDEX('Per Line'!$D$2:$D$3001,$X576)&amp;"")</f>
        <v/>
      </c>
      <c r="C576" s="11">
        <f>IF($X576="","",INDEX('Per Line'!$F$2:$F$3001,$X576))</f>
        <v/>
      </c>
      <c r="D576">
        <f>IF($X576="","",INDEX('Per Line'!$G$2:$G$3001,$X576)&amp;"")</f>
        <v/>
      </c>
      <c r="E576">
        <f>IF($X576="","",INDEX('Per Line'!$I$2:$I$3001,$X576)&amp;"")</f>
        <v/>
      </c>
      <c r="F576">
        <f>IF($X576="","",INDEX('Per Line'!$J$2:$J$3001,$X576)&amp;"")</f>
        <v/>
      </c>
      <c r="G576">
        <f>IF($X576="","",INDEX('Per Line'!$K$2:$K$3001,$X576)&amp;"")</f>
        <v/>
      </c>
      <c r="H576">
        <f>IF($X576="","",INDEX('Per Line'!$M$2:$M$3001,$X576))</f>
        <v/>
      </c>
      <c r="I576" s="7">
        <f>IF($X576="","",H576*V576/100)</f>
        <v/>
      </c>
      <c r="J576">
        <f>IF($X576="","",INDEX('Per Line'!$W$2:$W$3001,$X576)&amp;"")</f>
        <v/>
      </c>
      <c r="K576">
        <f>IF($X576="","",INDEX('Per Line'!$AD$2:$AD$3001,$X576))</f>
        <v/>
      </c>
      <c r="L576">
        <f>IF($X576="","",IF(AND(ISNUMBER(K576),K576&gt;0),V576&gt;K576,FALSE))</f>
        <v/>
      </c>
      <c r="M576" s="7">
        <f>IF($X576="","",SUMIFS('Per Line'!$V$2:$V$3001,'Per Line'!$D$2:$D$3001,$B576,'Per Line'!$AN$2:$AN$3001,1))</f>
        <v/>
      </c>
      <c r="N576">
        <f>IF($X576="","",Settings!$C$7)</f>
        <v/>
      </c>
      <c r="O576" s="7">
        <f>IF($X576="","",SUMIFS('Per Line'!$V$2:$V$3001,'Per Line'!$D$2:$D$3001,$B576,'Per Line'!$AM$2:$AM$3001,0,'Per Line'!$AN$2:$AN$3001,0))</f>
        <v/>
      </c>
      <c r="P576" s="7">
        <f>IF($X576="","",O576*N576)</f>
        <v/>
      </c>
      <c r="Q576">
        <f>IF($X576="","",Settings!$C$6)</f>
        <v/>
      </c>
      <c r="R576" s="7">
        <f>IF($X576="","",SUMIFS('Per Line'!$V$2:$V$3001,'Per Line'!$D$2:$D$3001,$B576,'Per Line'!$AM$2:$AM$3001,1,'Per Line'!$AN$2:$AN$3001,0))</f>
        <v/>
      </c>
      <c r="S576" s="7">
        <f>IF($X576="","",R576*Q576)</f>
        <v/>
      </c>
      <c r="T576" s="7">
        <f>IF($X576="","",S576+P576)</f>
        <v/>
      </c>
      <c r="U576" s="7">
        <f>IF($X576="","",V576-T576)</f>
        <v/>
      </c>
      <c r="V576" s="7">
        <f>IF($X576="","",O576+R576+M576)</f>
        <v/>
      </c>
      <c r="W576" s="7">
        <f>IF($X576="","",V576-T576-I576)</f>
        <v/>
      </c>
      <c r="X576" s="13">
        <f>IF(ROWS($X$2:$X576)&lt;=MAX('Per Line'!$AL$2:$AL$3001),MATCH(ROWS($X$2:$X576),'Per Line'!$AL$2:$AL$3001,0),"")</f>
        <v/>
      </c>
    </row>
    <row r="577">
      <c r="A577" s="12" t="n"/>
      <c r="B577">
        <f>IF($X577="","",INDEX('Per Line'!$D$2:$D$3001,$X577)&amp;"")</f>
        <v/>
      </c>
      <c r="C577" s="11">
        <f>IF($X577="","",INDEX('Per Line'!$F$2:$F$3001,$X577))</f>
        <v/>
      </c>
      <c r="D577">
        <f>IF($X577="","",INDEX('Per Line'!$G$2:$G$3001,$X577)&amp;"")</f>
        <v/>
      </c>
      <c r="E577">
        <f>IF($X577="","",INDEX('Per Line'!$I$2:$I$3001,$X577)&amp;"")</f>
        <v/>
      </c>
      <c r="F577">
        <f>IF($X577="","",INDEX('Per Line'!$J$2:$J$3001,$X577)&amp;"")</f>
        <v/>
      </c>
      <c r="G577">
        <f>IF($X577="","",INDEX('Per Line'!$K$2:$K$3001,$X577)&amp;"")</f>
        <v/>
      </c>
      <c r="H577">
        <f>IF($X577="","",INDEX('Per Line'!$M$2:$M$3001,$X577))</f>
        <v/>
      </c>
      <c r="I577" s="7">
        <f>IF($X577="","",H577*V577/100)</f>
        <v/>
      </c>
      <c r="J577">
        <f>IF($X577="","",INDEX('Per Line'!$W$2:$W$3001,$X577)&amp;"")</f>
        <v/>
      </c>
      <c r="K577">
        <f>IF($X577="","",INDEX('Per Line'!$AD$2:$AD$3001,$X577))</f>
        <v/>
      </c>
      <c r="L577">
        <f>IF($X577="","",IF(AND(ISNUMBER(K577),K577&gt;0),V577&gt;K577,FALSE))</f>
        <v/>
      </c>
      <c r="M577" s="7">
        <f>IF($X577="","",SUMIFS('Per Line'!$V$2:$V$3001,'Per Line'!$D$2:$D$3001,$B577,'Per Line'!$AN$2:$AN$3001,1))</f>
        <v/>
      </c>
      <c r="N577">
        <f>IF($X577="","",Settings!$C$7)</f>
        <v/>
      </c>
      <c r="O577" s="7">
        <f>IF($X577="","",SUMIFS('Per Line'!$V$2:$V$3001,'Per Line'!$D$2:$D$3001,$B577,'Per Line'!$AM$2:$AM$3001,0,'Per Line'!$AN$2:$AN$3001,0))</f>
        <v/>
      </c>
      <c r="P577" s="7">
        <f>IF($X577="","",O577*N577)</f>
        <v/>
      </c>
      <c r="Q577">
        <f>IF($X577="","",Settings!$C$6)</f>
        <v/>
      </c>
      <c r="R577" s="7">
        <f>IF($X577="","",SUMIFS('Per Line'!$V$2:$V$3001,'Per Line'!$D$2:$D$3001,$B577,'Per Line'!$AM$2:$AM$3001,1,'Per Line'!$AN$2:$AN$3001,0))</f>
        <v/>
      </c>
      <c r="S577" s="7">
        <f>IF($X577="","",R577*Q577)</f>
        <v/>
      </c>
      <c r="T577" s="7">
        <f>IF($X577="","",S577+P577)</f>
        <v/>
      </c>
      <c r="U577" s="7">
        <f>IF($X577="","",V577-T577)</f>
        <v/>
      </c>
      <c r="V577" s="7">
        <f>IF($X577="","",O577+R577+M577)</f>
        <v/>
      </c>
      <c r="W577" s="7">
        <f>IF($X577="","",V577-T577-I577)</f>
        <v/>
      </c>
      <c r="X577" s="13">
        <f>IF(ROWS($X$2:$X577)&lt;=MAX('Per Line'!$AL$2:$AL$3001),MATCH(ROWS($X$2:$X577),'Per Line'!$AL$2:$AL$3001,0),"")</f>
        <v/>
      </c>
    </row>
    <row r="578">
      <c r="A578" s="12" t="n"/>
      <c r="B578">
        <f>IF($X578="","",INDEX('Per Line'!$D$2:$D$3001,$X578)&amp;"")</f>
        <v/>
      </c>
      <c r="C578" s="11">
        <f>IF($X578="","",INDEX('Per Line'!$F$2:$F$3001,$X578))</f>
        <v/>
      </c>
      <c r="D578">
        <f>IF($X578="","",INDEX('Per Line'!$G$2:$G$3001,$X578)&amp;"")</f>
        <v/>
      </c>
      <c r="E578">
        <f>IF($X578="","",INDEX('Per Line'!$I$2:$I$3001,$X578)&amp;"")</f>
        <v/>
      </c>
      <c r="F578">
        <f>IF($X578="","",INDEX('Per Line'!$J$2:$J$3001,$X578)&amp;"")</f>
        <v/>
      </c>
      <c r="G578">
        <f>IF($X578="","",INDEX('Per Line'!$K$2:$K$3001,$X578)&amp;"")</f>
        <v/>
      </c>
      <c r="H578">
        <f>IF($X578="","",INDEX('Per Line'!$M$2:$M$3001,$X578))</f>
        <v/>
      </c>
      <c r="I578" s="7">
        <f>IF($X578="","",H578*V578/100)</f>
        <v/>
      </c>
      <c r="J578">
        <f>IF($X578="","",INDEX('Per Line'!$W$2:$W$3001,$X578)&amp;"")</f>
        <v/>
      </c>
      <c r="K578">
        <f>IF($X578="","",INDEX('Per Line'!$AD$2:$AD$3001,$X578))</f>
        <v/>
      </c>
      <c r="L578">
        <f>IF($X578="","",IF(AND(ISNUMBER(K578),K578&gt;0),V578&gt;K578,FALSE))</f>
        <v/>
      </c>
      <c r="M578" s="7">
        <f>IF($X578="","",SUMIFS('Per Line'!$V$2:$V$3001,'Per Line'!$D$2:$D$3001,$B578,'Per Line'!$AN$2:$AN$3001,1))</f>
        <v/>
      </c>
      <c r="N578">
        <f>IF($X578="","",Settings!$C$7)</f>
        <v/>
      </c>
      <c r="O578" s="7">
        <f>IF($X578="","",SUMIFS('Per Line'!$V$2:$V$3001,'Per Line'!$D$2:$D$3001,$B578,'Per Line'!$AM$2:$AM$3001,0,'Per Line'!$AN$2:$AN$3001,0))</f>
        <v/>
      </c>
      <c r="P578" s="7">
        <f>IF($X578="","",O578*N578)</f>
        <v/>
      </c>
      <c r="Q578">
        <f>IF($X578="","",Settings!$C$6)</f>
        <v/>
      </c>
      <c r="R578" s="7">
        <f>IF($X578="","",SUMIFS('Per Line'!$V$2:$V$3001,'Per Line'!$D$2:$D$3001,$B578,'Per Line'!$AM$2:$AM$3001,1,'Per Line'!$AN$2:$AN$3001,0))</f>
        <v/>
      </c>
      <c r="S578" s="7">
        <f>IF($X578="","",R578*Q578)</f>
        <v/>
      </c>
      <c r="T578" s="7">
        <f>IF($X578="","",S578+P578)</f>
        <v/>
      </c>
      <c r="U578" s="7">
        <f>IF($X578="","",V578-T578)</f>
        <v/>
      </c>
      <c r="V578" s="7">
        <f>IF($X578="","",O578+R578+M578)</f>
        <v/>
      </c>
      <c r="W578" s="7">
        <f>IF($X578="","",V578-T578-I578)</f>
        <v/>
      </c>
      <c r="X578" s="13">
        <f>IF(ROWS($X$2:$X578)&lt;=MAX('Per Line'!$AL$2:$AL$3001),MATCH(ROWS($X$2:$X578),'Per Line'!$AL$2:$AL$3001,0),"")</f>
        <v/>
      </c>
    </row>
    <row r="579">
      <c r="A579" s="12" t="n"/>
      <c r="B579">
        <f>IF($X579="","",INDEX('Per Line'!$D$2:$D$3001,$X579)&amp;"")</f>
        <v/>
      </c>
      <c r="C579" s="11">
        <f>IF($X579="","",INDEX('Per Line'!$F$2:$F$3001,$X579))</f>
        <v/>
      </c>
      <c r="D579">
        <f>IF($X579="","",INDEX('Per Line'!$G$2:$G$3001,$X579)&amp;"")</f>
        <v/>
      </c>
      <c r="E579">
        <f>IF($X579="","",INDEX('Per Line'!$I$2:$I$3001,$X579)&amp;"")</f>
        <v/>
      </c>
      <c r="F579">
        <f>IF($X579="","",INDEX('Per Line'!$J$2:$J$3001,$X579)&amp;"")</f>
        <v/>
      </c>
      <c r="G579">
        <f>IF($X579="","",INDEX('Per Line'!$K$2:$K$3001,$X579)&amp;"")</f>
        <v/>
      </c>
      <c r="H579">
        <f>IF($X579="","",INDEX('Per Line'!$M$2:$M$3001,$X579))</f>
        <v/>
      </c>
      <c r="I579" s="7">
        <f>IF($X579="","",H579*V579/100)</f>
        <v/>
      </c>
      <c r="J579">
        <f>IF($X579="","",INDEX('Per Line'!$W$2:$W$3001,$X579)&amp;"")</f>
        <v/>
      </c>
      <c r="K579">
        <f>IF($X579="","",INDEX('Per Line'!$AD$2:$AD$3001,$X579))</f>
        <v/>
      </c>
      <c r="L579">
        <f>IF($X579="","",IF(AND(ISNUMBER(K579),K579&gt;0),V579&gt;K579,FALSE))</f>
        <v/>
      </c>
      <c r="M579" s="7">
        <f>IF($X579="","",SUMIFS('Per Line'!$V$2:$V$3001,'Per Line'!$D$2:$D$3001,$B579,'Per Line'!$AN$2:$AN$3001,1))</f>
        <v/>
      </c>
      <c r="N579">
        <f>IF($X579="","",Settings!$C$7)</f>
        <v/>
      </c>
      <c r="O579" s="7">
        <f>IF($X579="","",SUMIFS('Per Line'!$V$2:$V$3001,'Per Line'!$D$2:$D$3001,$B579,'Per Line'!$AM$2:$AM$3001,0,'Per Line'!$AN$2:$AN$3001,0))</f>
        <v/>
      </c>
      <c r="P579" s="7">
        <f>IF($X579="","",O579*N579)</f>
        <v/>
      </c>
      <c r="Q579">
        <f>IF($X579="","",Settings!$C$6)</f>
        <v/>
      </c>
      <c r="R579" s="7">
        <f>IF($X579="","",SUMIFS('Per Line'!$V$2:$V$3001,'Per Line'!$D$2:$D$3001,$B579,'Per Line'!$AM$2:$AM$3001,1,'Per Line'!$AN$2:$AN$3001,0))</f>
        <v/>
      </c>
      <c r="S579" s="7">
        <f>IF($X579="","",R579*Q579)</f>
        <v/>
      </c>
      <c r="T579" s="7">
        <f>IF($X579="","",S579+P579)</f>
        <v/>
      </c>
      <c r="U579" s="7">
        <f>IF($X579="","",V579-T579)</f>
        <v/>
      </c>
      <c r="V579" s="7">
        <f>IF($X579="","",O579+R579+M579)</f>
        <v/>
      </c>
      <c r="W579" s="7">
        <f>IF($X579="","",V579-T579-I579)</f>
        <v/>
      </c>
      <c r="X579" s="13">
        <f>IF(ROWS($X$2:$X579)&lt;=MAX('Per Line'!$AL$2:$AL$3001),MATCH(ROWS($X$2:$X579),'Per Line'!$AL$2:$AL$3001,0),"")</f>
        <v/>
      </c>
    </row>
    <row r="580">
      <c r="A580" s="12" t="n"/>
      <c r="B580">
        <f>IF($X580="","",INDEX('Per Line'!$D$2:$D$3001,$X580)&amp;"")</f>
        <v/>
      </c>
      <c r="C580" s="11">
        <f>IF($X580="","",INDEX('Per Line'!$F$2:$F$3001,$X580))</f>
        <v/>
      </c>
      <c r="D580">
        <f>IF($X580="","",INDEX('Per Line'!$G$2:$G$3001,$X580)&amp;"")</f>
        <v/>
      </c>
      <c r="E580">
        <f>IF($X580="","",INDEX('Per Line'!$I$2:$I$3001,$X580)&amp;"")</f>
        <v/>
      </c>
      <c r="F580">
        <f>IF($X580="","",INDEX('Per Line'!$J$2:$J$3001,$X580)&amp;"")</f>
        <v/>
      </c>
      <c r="G580">
        <f>IF($X580="","",INDEX('Per Line'!$K$2:$K$3001,$X580)&amp;"")</f>
        <v/>
      </c>
      <c r="H580">
        <f>IF($X580="","",INDEX('Per Line'!$M$2:$M$3001,$X580))</f>
        <v/>
      </c>
      <c r="I580" s="7">
        <f>IF($X580="","",H580*V580/100)</f>
        <v/>
      </c>
      <c r="J580">
        <f>IF($X580="","",INDEX('Per Line'!$W$2:$W$3001,$X580)&amp;"")</f>
        <v/>
      </c>
      <c r="K580">
        <f>IF($X580="","",INDEX('Per Line'!$AD$2:$AD$3001,$X580))</f>
        <v/>
      </c>
      <c r="L580">
        <f>IF($X580="","",IF(AND(ISNUMBER(K580),K580&gt;0),V580&gt;K580,FALSE))</f>
        <v/>
      </c>
      <c r="M580" s="7">
        <f>IF($X580="","",SUMIFS('Per Line'!$V$2:$V$3001,'Per Line'!$D$2:$D$3001,$B580,'Per Line'!$AN$2:$AN$3001,1))</f>
        <v/>
      </c>
      <c r="N580">
        <f>IF($X580="","",Settings!$C$7)</f>
        <v/>
      </c>
      <c r="O580" s="7">
        <f>IF($X580="","",SUMIFS('Per Line'!$V$2:$V$3001,'Per Line'!$D$2:$D$3001,$B580,'Per Line'!$AM$2:$AM$3001,0,'Per Line'!$AN$2:$AN$3001,0))</f>
        <v/>
      </c>
      <c r="P580" s="7">
        <f>IF($X580="","",O580*N580)</f>
        <v/>
      </c>
      <c r="Q580">
        <f>IF($X580="","",Settings!$C$6)</f>
        <v/>
      </c>
      <c r="R580" s="7">
        <f>IF($X580="","",SUMIFS('Per Line'!$V$2:$V$3001,'Per Line'!$D$2:$D$3001,$B580,'Per Line'!$AM$2:$AM$3001,1,'Per Line'!$AN$2:$AN$3001,0))</f>
        <v/>
      </c>
      <c r="S580" s="7">
        <f>IF($X580="","",R580*Q580)</f>
        <v/>
      </c>
      <c r="T580" s="7">
        <f>IF($X580="","",S580+P580)</f>
        <v/>
      </c>
      <c r="U580" s="7">
        <f>IF($X580="","",V580-T580)</f>
        <v/>
      </c>
      <c r="V580" s="7">
        <f>IF($X580="","",O580+R580+M580)</f>
        <v/>
      </c>
      <c r="W580" s="7">
        <f>IF($X580="","",V580-T580-I580)</f>
        <v/>
      </c>
      <c r="X580" s="13">
        <f>IF(ROWS($X$2:$X580)&lt;=MAX('Per Line'!$AL$2:$AL$3001),MATCH(ROWS($X$2:$X580),'Per Line'!$AL$2:$AL$3001,0),"")</f>
        <v/>
      </c>
    </row>
    <row r="581">
      <c r="A581" s="12" t="n"/>
      <c r="B581">
        <f>IF($X581="","",INDEX('Per Line'!$D$2:$D$3001,$X581)&amp;"")</f>
        <v/>
      </c>
      <c r="C581" s="11">
        <f>IF($X581="","",INDEX('Per Line'!$F$2:$F$3001,$X581))</f>
        <v/>
      </c>
      <c r="D581">
        <f>IF($X581="","",INDEX('Per Line'!$G$2:$G$3001,$X581)&amp;"")</f>
        <v/>
      </c>
      <c r="E581">
        <f>IF($X581="","",INDEX('Per Line'!$I$2:$I$3001,$X581)&amp;"")</f>
        <v/>
      </c>
      <c r="F581">
        <f>IF($X581="","",INDEX('Per Line'!$J$2:$J$3001,$X581)&amp;"")</f>
        <v/>
      </c>
      <c r="G581">
        <f>IF($X581="","",INDEX('Per Line'!$K$2:$K$3001,$X581)&amp;"")</f>
        <v/>
      </c>
      <c r="H581">
        <f>IF($X581="","",INDEX('Per Line'!$M$2:$M$3001,$X581))</f>
        <v/>
      </c>
      <c r="I581" s="7">
        <f>IF($X581="","",H581*V581/100)</f>
        <v/>
      </c>
      <c r="J581">
        <f>IF($X581="","",INDEX('Per Line'!$W$2:$W$3001,$X581)&amp;"")</f>
        <v/>
      </c>
      <c r="K581">
        <f>IF($X581="","",INDEX('Per Line'!$AD$2:$AD$3001,$X581))</f>
        <v/>
      </c>
      <c r="L581">
        <f>IF($X581="","",IF(AND(ISNUMBER(K581),K581&gt;0),V581&gt;K581,FALSE))</f>
        <v/>
      </c>
      <c r="M581" s="7">
        <f>IF($X581="","",SUMIFS('Per Line'!$V$2:$V$3001,'Per Line'!$D$2:$D$3001,$B581,'Per Line'!$AN$2:$AN$3001,1))</f>
        <v/>
      </c>
      <c r="N581">
        <f>IF($X581="","",Settings!$C$7)</f>
        <v/>
      </c>
      <c r="O581" s="7">
        <f>IF($X581="","",SUMIFS('Per Line'!$V$2:$V$3001,'Per Line'!$D$2:$D$3001,$B581,'Per Line'!$AM$2:$AM$3001,0,'Per Line'!$AN$2:$AN$3001,0))</f>
        <v/>
      </c>
      <c r="P581" s="7">
        <f>IF($X581="","",O581*N581)</f>
        <v/>
      </c>
      <c r="Q581">
        <f>IF($X581="","",Settings!$C$6)</f>
        <v/>
      </c>
      <c r="R581" s="7">
        <f>IF($X581="","",SUMIFS('Per Line'!$V$2:$V$3001,'Per Line'!$D$2:$D$3001,$B581,'Per Line'!$AM$2:$AM$3001,1,'Per Line'!$AN$2:$AN$3001,0))</f>
        <v/>
      </c>
      <c r="S581" s="7">
        <f>IF($X581="","",R581*Q581)</f>
        <v/>
      </c>
      <c r="T581" s="7">
        <f>IF($X581="","",S581+P581)</f>
        <v/>
      </c>
      <c r="U581" s="7">
        <f>IF($X581="","",V581-T581)</f>
        <v/>
      </c>
      <c r="V581" s="7">
        <f>IF($X581="","",O581+R581+M581)</f>
        <v/>
      </c>
      <c r="W581" s="7">
        <f>IF($X581="","",V581-T581-I581)</f>
        <v/>
      </c>
      <c r="X581" s="13">
        <f>IF(ROWS($X$2:$X581)&lt;=MAX('Per Line'!$AL$2:$AL$3001),MATCH(ROWS($X$2:$X581),'Per Line'!$AL$2:$AL$3001,0),"")</f>
        <v/>
      </c>
    </row>
    <row r="582">
      <c r="A582" s="12" t="n"/>
      <c r="B582">
        <f>IF($X582="","",INDEX('Per Line'!$D$2:$D$3001,$X582)&amp;"")</f>
        <v/>
      </c>
      <c r="C582" s="11">
        <f>IF($X582="","",INDEX('Per Line'!$F$2:$F$3001,$X582))</f>
        <v/>
      </c>
      <c r="D582">
        <f>IF($X582="","",INDEX('Per Line'!$G$2:$G$3001,$X582)&amp;"")</f>
        <v/>
      </c>
      <c r="E582">
        <f>IF($X582="","",INDEX('Per Line'!$I$2:$I$3001,$X582)&amp;"")</f>
        <v/>
      </c>
      <c r="F582">
        <f>IF($X582="","",INDEX('Per Line'!$J$2:$J$3001,$X582)&amp;"")</f>
        <v/>
      </c>
      <c r="G582">
        <f>IF($X582="","",INDEX('Per Line'!$K$2:$K$3001,$X582)&amp;"")</f>
        <v/>
      </c>
      <c r="H582">
        <f>IF($X582="","",INDEX('Per Line'!$M$2:$M$3001,$X582))</f>
        <v/>
      </c>
      <c r="I582" s="7">
        <f>IF($X582="","",H582*V582/100)</f>
        <v/>
      </c>
      <c r="J582">
        <f>IF($X582="","",INDEX('Per Line'!$W$2:$W$3001,$X582)&amp;"")</f>
        <v/>
      </c>
      <c r="K582">
        <f>IF($X582="","",INDEX('Per Line'!$AD$2:$AD$3001,$X582))</f>
        <v/>
      </c>
      <c r="L582">
        <f>IF($X582="","",IF(AND(ISNUMBER(K582),K582&gt;0),V582&gt;K582,FALSE))</f>
        <v/>
      </c>
      <c r="M582" s="7">
        <f>IF($X582="","",SUMIFS('Per Line'!$V$2:$V$3001,'Per Line'!$D$2:$D$3001,$B582,'Per Line'!$AN$2:$AN$3001,1))</f>
        <v/>
      </c>
      <c r="N582">
        <f>IF($X582="","",Settings!$C$7)</f>
        <v/>
      </c>
      <c r="O582" s="7">
        <f>IF($X582="","",SUMIFS('Per Line'!$V$2:$V$3001,'Per Line'!$D$2:$D$3001,$B582,'Per Line'!$AM$2:$AM$3001,0,'Per Line'!$AN$2:$AN$3001,0))</f>
        <v/>
      </c>
      <c r="P582" s="7">
        <f>IF($X582="","",O582*N582)</f>
        <v/>
      </c>
      <c r="Q582">
        <f>IF($X582="","",Settings!$C$6)</f>
        <v/>
      </c>
      <c r="R582" s="7">
        <f>IF($X582="","",SUMIFS('Per Line'!$V$2:$V$3001,'Per Line'!$D$2:$D$3001,$B582,'Per Line'!$AM$2:$AM$3001,1,'Per Line'!$AN$2:$AN$3001,0))</f>
        <v/>
      </c>
      <c r="S582" s="7">
        <f>IF($X582="","",R582*Q582)</f>
        <v/>
      </c>
      <c r="T582" s="7">
        <f>IF($X582="","",S582+P582)</f>
        <v/>
      </c>
      <c r="U582" s="7">
        <f>IF($X582="","",V582-T582)</f>
        <v/>
      </c>
      <c r="V582" s="7">
        <f>IF($X582="","",O582+R582+M582)</f>
        <v/>
      </c>
      <c r="W582" s="7">
        <f>IF($X582="","",V582-T582-I582)</f>
        <v/>
      </c>
      <c r="X582" s="13">
        <f>IF(ROWS($X$2:$X582)&lt;=MAX('Per Line'!$AL$2:$AL$3001),MATCH(ROWS($X$2:$X582),'Per Line'!$AL$2:$AL$3001,0),"")</f>
        <v/>
      </c>
    </row>
    <row r="583">
      <c r="A583" s="12" t="n"/>
      <c r="B583">
        <f>IF($X583="","",INDEX('Per Line'!$D$2:$D$3001,$X583)&amp;"")</f>
        <v/>
      </c>
      <c r="C583" s="11">
        <f>IF($X583="","",INDEX('Per Line'!$F$2:$F$3001,$X583))</f>
        <v/>
      </c>
      <c r="D583">
        <f>IF($X583="","",INDEX('Per Line'!$G$2:$G$3001,$X583)&amp;"")</f>
        <v/>
      </c>
      <c r="E583">
        <f>IF($X583="","",INDEX('Per Line'!$I$2:$I$3001,$X583)&amp;"")</f>
        <v/>
      </c>
      <c r="F583">
        <f>IF($X583="","",INDEX('Per Line'!$J$2:$J$3001,$X583)&amp;"")</f>
        <v/>
      </c>
      <c r="G583">
        <f>IF($X583="","",INDEX('Per Line'!$K$2:$K$3001,$X583)&amp;"")</f>
        <v/>
      </c>
      <c r="H583">
        <f>IF($X583="","",INDEX('Per Line'!$M$2:$M$3001,$X583))</f>
        <v/>
      </c>
      <c r="I583" s="7">
        <f>IF($X583="","",H583*V583/100)</f>
        <v/>
      </c>
      <c r="J583">
        <f>IF($X583="","",INDEX('Per Line'!$W$2:$W$3001,$X583)&amp;"")</f>
        <v/>
      </c>
      <c r="K583">
        <f>IF($X583="","",INDEX('Per Line'!$AD$2:$AD$3001,$X583))</f>
        <v/>
      </c>
      <c r="L583">
        <f>IF($X583="","",IF(AND(ISNUMBER(K583),K583&gt;0),V583&gt;K583,FALSE))</f>
        <v/>
      </c>
      <c r="M583" s="7">
        <f>IF($X583="","",SUMIFS('Per Line'!$V$2:$V$3001,'Per Line'!$D$2:$D$3001,$B583,'Per Line'!$AN$2:$AN$3001,1))</f>
        <v/>
      </c>
      <c r="N583">
        <f>IF($X583="","",Settings!$C$7)</f>
        <v/>
      </c>
      <c r="O583" s="7">
        <f>IF($X583="","",SUMIFS('Per Line'!$V$2:$V$3001,'Per Line'!$D$2:$D$3001,$B583,'Per Line'!$AM$2:$AM$3001,0,'Per Line'!$AN$2:$AN$3001,0))</f>
        <v/>
      </c>
      <c r="P583" s="7">
        <f>IF($X583="","",O583*N583)</f>
        <v/>
      </c>
      <c r="Q583">
        <f>IF($X583="","",Settings!$C$6)</f>
        <v/>
      </c>
      <c r="R583" s="7">
        <f>IF($X583="","",SUMIFS('Per Line'!$V$2:$V$3001,'Per Line'!$D$2:$D$3001,$B583,'Per Line'!$AM$2:$AM$3001,1,'Per Line'!$AN$2:$AN$3001,0))</f>
        <v/>
      </c>
      <c r="S583" s="7">
        <f>IF($X583="","",R583*Q583)</f>
        <v/>
      </c>
      <c r="T583" s="7">
        <f>IF($X583="","",S583+P583)</f>
        <v/>
      </c>
      <c r="U583" s="7">
        <f>IF($X583="","",V583-T583)</f>
        <v/>
      </c>
      <c r="V583" s="7">
        <f>IF($X583="","",O583+R583+M583)</f>
        <v/>
      </c>
      <c r="W583" s="7">
        <f>IF($X583="","",V583-T583-I583)</f>
        <v/>
      </c>
      <c r="X583" s="13">
        <f>IF(ROWS($X$2:$X583)&lt;=MAX('Per Line'!$AL$2:$AL$3001),MATCH(ROWS($X$2:$X583),'Per Line'!$AL$2:$AL$3001,0),"")</f>
        <v/>
      </c>
    </row>
    <row r="584">
      <c r="A584" s="12" t="n"/>
      <c r="B584">
        <f>IF($X584="","",INDEX('Per Line'!$D$2:$D$3001,$X584)&amp;"")</f>
        <v/>
      </c>
      <c r="C584" s="11">
        <f>IF($X584="","",INDEX('Per Line'!$F$2:$F$3001,$X584))</f>
        <v/>
      </c>
      <c r="D584">
        <f>IF($X584="","",INDEX('Per Line'!$G$2:$G$3001,$X584)&amp;"")</f>
        <v/>
      </c>
      <c r="E584">
        <f>IF($X584="","",INDEX('Per Line'!$I$2:$I$3001,$X584)&amp;"")</f>
        <v/>
      </c>
      <c r="F584">
        <f>IF($X584="","",INDEX('Per Line'!$J$2:$J$3001,$X584)&amp;"")</f>
        <v/>
      </c>
      <c r="G584">
        <f>IF($X584="","",INDEX('Per Line'!$K$2:$K$3001,$X584)&amp;"")</f>
        <v/>
      </c>
      <c r="H584">
        <f>IF($X584="","",INDEX('Per Line'!$M$2:$M$3001,$X584))</f>
        <v/>
      </c>
      <c r="I584" s="7">
        <f>IF($X584="","",H584*V584/100)</f>
        <v/>
      </c>
      <c r="J584">
        <f>IF($X584="","",INDEX('Per Line'!$W$2:$W$3001,$X584)&amp;"")</f>
        <v/>
      </c>
      <c r="K584">
        <f>IF($X584="","",INDEX('Per Line'!$AD$2:$AD$3001,$X584))</f>
        <v/>
      </c>
      <c r="L584">
        <f>IF($X584="","",IF(AND(ISNUMBER(K584),K584&gt;0),V584&gt;K584,FALSE))</f>
        <v/>
      </c>
      <c r="M584" s="7">
        <f>IF($X584="","",SUMIFS('Per Line'!$V$2:$V$3001,'Per Line'!$D$2:$D$3001,$B584,'Per Line'!$AN$2:$AN$3001,1))</f>
        <v/>
      </c>
      <c r="N584">
        <f>IF($X584="","",Settings!$C$7)</f>
        <v/>
      </c>
      <c r="O584" s="7">
        <f>IF($X584="","",SUMIFS('Per Line'!$V$2:$V$3001,'Per Line'!$D$2:$D$3001,$B584,'Per Line'!$AM$2:$AM$3001,0,'Per Line'!$AN$2:$AN$3001,0))</f>
        <v/>
      </c>
      <c r="P584" s="7">
        <f>IF($X584="","",O584*N584)</f>
        <v/>
      </c>
      <c r="Q584">
        <f>IF($X584="","",Settings!$C$6)</f>
        <v/>
      </c>
      <c r="R584" s="7">
        <f>IF($X584="","",SUMIFS('Per Line'!$V$2:$V$3001,'Per Line'!$D$2:$D$3001,$B584,'Per Line'!$AM$2:$AM$3001,1,'Per Line'!$AN$2:$AN$3001,0))</f>
        <v/>
      </c>
      <c r="S584" s="7">
        <f>IF($X584="","",R584*Q584)</f>
        <v/>
      </c>
      <c r="T584" s="7">
        <f>IF($X584="","",S584+P584)</f>
        <v/>
      </c>
      <c r="U584" s="7">
        <f>IF($X584="","",V584-T584)</f>
        <v/>
      </c>
      <c r="V584" s="7">
        <f>IF($X584="","",O584+R584+M584)</f>
        <v/>
      </c>
      <c r="W584" s="7">
        <f>IF($X584="","",V584-T584-I584)</f>
        <v/>
      </c>
      <c r="X584" s="13">
        <f>IF(ROWS($X$2:$X584)&lt;=MAX('Per Line'!$AL$2:$AL$3001),MATCH(ROWS($X$2:$X584),'Per Line'!$AL$2:$AL$3001,0),"")</f>
        <v/>
      </c>
    </row>
    <row r="585">
      <c r="A585" s="12" t="n"/>
      <c r="B585">
        <f>IF($X585="","",INDEX('Per Line'!$D$2:$D$3001,$X585)&amp;"")</f>
        <v/>
      </c>
      <c r="C585" s="11">
        <f>IF($X585="","",INDEX('Per Line'!$F$2:$F$3001,$X585))</f>
        <v/>
      </c>
      <c r="D585">
        <f>IF($X585="","",INDEX('Per Line'!$G$2:$G$3001,$X585)&amp;"")</f>
        <v/>
      </c>
      <c r="E585">
        <f>IF($X585="","",INDEX('Per Line'!$I$2:$I$3001,$X585)&amp;"")</f>
        <v/>
      </c>
      <c r="F585">
        <f>IF($X585="","",INDEX('Per Line'!$J$2:$J$3001,$X585)&amp;"")</f>
        <v/>
      </c>
      <c r="G585">
        <f>IF($X585="","",INDEX('Per Line'!$K$2:$K$3001,$X585)&amp;"")</f>
        <v/>
      </c>
      <c r="H585">
        <f>IF($X585="","",INDEX('Per Line'!$M$2:$M$3001,$X585))</f>
        <v/>
      </c>
      <c r="I585" s="7">
        <f>IF($X585="","",H585*V585/100)</f>
        <v/>
      </c>
      <c r="J585">
        <f>IF($X585="","",INDEX('Per Line'!$W$2:$W$3001,$X585)&amp;"")</f>
        <v/>
      </c>
      <c r="K585">
        <f>IF($X585="","",INDEX('Per Line'!$AD$2:$AD$3001,$X585))</f>
        <v/>
      </c>
      <c r="L585">
        <f>IF($X585="","",IF(AND(ISNUMBER(K585),K585&gt;0),V585&gt;K585,FALSE))</f>
        <v/>
      </c>
      <c r="M585" s="7">
        <f>IF($X585="","",SUMIFS('Per Line'!$V$2:$V$3001,'Per Line'!$D$2:$D$3001,$B585,'Per Line'!$AN$2:$AN$3001,1))</f>
        <v/>
      </c>
      <c r="N585">
        <f>IF($X585="","",Settings!$C$7)</f>
        <v/>
      </c>
      <c r="O585" s="7">
        <f>IF($X585="","",SUMIFS('Per Line'!$V$2:$V$3001,'Per Line'!$D$2:$D$3001,$B585,'Per Line'!$AM$2:$AM$3001,0,'Per Line'!$AN$2:$AN$3001,0))</f>
        <v/>
      </c>
      <c r="P585" s="7">
        <f>IF($X585="","",O585*N585)</f>
        <v/>
      </c>
      <c r="Q585">
        <f>IF($X585="","",Settings!$C$6)</f>
        <v/>
      </c>
      <c r="R585" s="7">
        <f>IF($X585="","",SUMIFS('Per Line'!$V$2:$V$3001,'Per Line'!$D$2:$D$3001,$B585,'Per Line'!$AM$2:$AM$3001,1,'Per Line'!$AN$2:$AN$3001,0))</f>
        <v/>
      </c>
      <c r="S585" s="7">
        <f>IF($X585="","",R585*Q585)</f>
        <v/>
      </c>
      <c r="T585" s="7">
        <f>IF($X585="","",S585+P585)</f>
        <v/>
      </c>
      <c r="U585" s="7">
        <f>IF($X585="","",V585-T585)</f>
        <v/>
      </c>
      <c r="V585" s="7">
        <f>IF($X585="","",O585+R585+M585)</f>
        <v/>
      </c>
      <c r="W585" s="7">
        <f>IF($X585="","",V585-T585-I585)</f>
        <v/>
      </c>
      <c r="X585" s="13">
        <f>IF(ROWS($X$2:$X585)&lt;=MAX('Per Line'!$AL$2:$AL$3001),MATCH(ROWS($X$2:$X585),'Per Line'!$AL$2:$AL$3001,0),"")</f>
        <v/>
      </c>
    </row>
    <row r="586">
      <c r="A586" s="12" t="n"/>
      <c r="B586">
        <f>IF($X586="","",INDEX('Per Line'!$D$2:$D$3001,$X586)&amp;"")</f>
        <v/>
      </c>
      <c r="C586" s="11">
        <f>IF($X586="","",INDEX('Per Line'!$F$2:$F$3001,$X586))</f>
        <v/>
      </c>
      <c r="D586">
        <f>IF($X586="","",INDEX('Per Line'!$G$2:$G$3001,$X586)&amp;"")</f>
        <v/>
      </c>
      <c r="E586">
        <f>IF($X586="","",INDEX('Per Line'!$I$2:$I$3001,$X586)&amp;"")</f>
        <v/>
      </c>
      <c r="F586">
        <f>IF($X586="","",INDEX('Per Line'!$J$2:$J$3001,$X586)&amp;"")</f>
        <v/>
      </c>
      <c r="G586">
        <f>IF($X586="","",INDEX('Per Line'!$K$2:$K$3001,$X586)&amp;"")</f>
        <v/>
      </c>
      <c r="H586">
        <f>IF($X586="","",INDEX('Per Line'!$M$2:$M$3001,$X586))</f>
        <v/>
      </c>
      <c r="I586" s="7">
        <f>IF($X586="","",H586*V586/100)</f>
        <v/>
      </c>
      <c r="J586">
        <f>IF($X586="","",INDEX('Per Line'!$W$2:$W$3001,$X586)&amp;"")</f>
        <v/>
      </c>
      <c r="K586">
        <f>IF($X586="","",INDEX('Per Line'!$AD$2:$AD$3001,$X586))</f>
        <v/>
      </c>
      <c r="L586">
        <f>IF($X586="","",IF(AND(ISNUMBER(K586),K586&gt;0),V586&gt;K586,FALSE))</f>
        <v/>
      </c>
      <c r="M586" s="7">
        <f>IF($X586="","",SUMIFS('Per Line'!$V$2:$V$3001,'Per Line'!$D$2:$D$3001,$B586,'Per Line'!$AN$2:$AN$3001,1))</f>
        <v/>
      </c>
      <c r="N586">
        <f>IF($X586="","",Settings!$C$7)</f>
        <v/>
      </c>
      <c r="O586" s="7">
        <f>IF($X586="","",SUMIFS('Per Line'!$V$2:$V$3001,'Per Line'!$D$2:$D$3001,$B586,'Per Line'!$AM$2:$AM$3001,0,'Per Line'!$AN$2:$AN$3001,0))</f>
        <v/>
      </c>
      <c r="P586" s="7">
        <f>IF($X586="","",O586*N586)</f>
        <v/>
      </c>
      <c r="Q586">
        <f>IF($X586="","",Settings!$C$6)</f>
        <v/>
      </c>
      <c r="R586" s="7">
        <f>IF($X586="","",SUMIFS('Per Line'!$V$2:$V$3001,'Per Line'!$D$2:$D$3001,$B586,'Per Line'!$AM$2:$AM$3001,1,'Per Line'!$AN$2:$AN$3001,0))</f>
        <v/>
      </c>
      <c r="S586" s="7">
        <f>IF($X586="","",R586*Q586)</f>
        <v/>
      </c>
      <c r="T586" s="7">
        <f>IF($X586="","",S586+P586)</f>
        <v/>
      </c>
      <c r="U586" s="7">
        <f>IF($X586="","",V586-T586)</f>
        <v/>
      </c>
      <c r="V586" s="7">
        <f>IF($X586="","",O586+R586+M586)</f>
        <v/>
      </c>
      <c r="W586" s="7">
        <f>IF($X586="","",V586-T586-I586)</f>
        <v/>
      </c>
      <c r="X586" s="13">
        <f>IF(ROWS($X$2:$X586)&lt;=MAX('Per Line'!$AL$2:$AL$3001),MATCH(ROWS($X$2:$X586),'Per Line'!$AL$2:$AL$3001,0),"")</f>
        <v/>
      </c>
    </row>
    <row r="587">
      <c r="A587" s="12" t="n"/>
      <c r="B587">
        <f>IF($X587="","",INDEX('Per Line'!$D$2:$D$3001,$X587)&amp;"")</f>
        <v/>
      </c>
      <c r="C587" s="11">
        <f>IF($X587="","",INDEX('Per Line'!$F$2:$F$3001,$X587))</f>
        <v/>
      </c>
      <c r="D587">
        <f>IF($X587="","",INDEX('Per Line'!$G$2:$G$3001,$X587)&amp;"")</f>
        <v/>
      </c>
      <c r="E587">
        <f>IF($X587="","",INDEX('Per Line'!$I$2:$I$3001,$X587)&amp;"")</f>
        <v/>
      </c>
      <c r="F587">
        <f>IF($X587="","",INDEX('Per Line'!$J$2:$J$3001,$X587)&amp;"")</f>
        <v/>
      </c>
      <c r="G587">
        <f>IF($X587="","",INDEX('Per Line'!$K$2:$K$3001,$X587)&amp;"")</f>
        <v/>
      </c>
      <c r="H587">
        <f>IF($X587="","",INDEX('Per Line'!$M$2:$M$3001,$X587))</f>
        <v/>
      </c>
      <c r="I587" s="7">
        <f>IF($X587="","",H587*V587/100)</f>
        <v/>
      </c>
      <c r="J587">
        <f>IF($X587="","",INDEX('Per Line'!$W$2:$W$3001,$X587)&amp;"")</f>
        <v/>
      </c>
      <c r="K587">
        <f>IF($X587="","",INDEX('Per Line'!$AD$2:$AD$3001,$X587))</f>
        <v/>
      </c>
      <c r="L587">
        <f>IF($X587="","",IF(AND(ISNUMBER(K587),K587&gt;0),V587&gt;K587,FALSE))</f>
        <v/>
      </c>
      <c r="M587" s="7">
        <f>IF($X587="","",SUMIFS('Per Line'!$V$2:$V$3001,'Per Line'!$D$2:$D$3001,$B587,'Per Line'!$AN$2:$AN$3001,1))</f>
        <v/>
      </c>
      <c r="N587">
        <f>IF($X587="","",Settings!$C$7)</f>
        <v/>
      </c>
      <c r="O587" s="7">
        <f>IF($X587="","",SUMIFS('Per Line'!$V$2:$V$3001,'Per Line'!$D$2:$D$3001,$B587,'Per Line'!$AM$2:$AM$3001,0,'Per Line'!$AN$2:$AN$3001,0))</f>
        <v/>
      </c>
      <c r="P587" s="7">
        <f>IF($X587="","",O587*N587)</f>
        <v/>
      </c>
      <c r="Q587">
        <f>IF($X587="","",Settings!$C$6)</f>
        <v/>
      </c>
      <c r="R587" s="7">
        <f>IF($X587="","",SUMIFS('Per Line'!$V$2:$V$3001,'Per Line'!$D$2:$D$3001,$B587,'Per Line'!$AM$2:$AM$3001,1,'Per Line'!$AN$2:$AN$3001,0))</f>
        <v/>
      </c>
      <c r="S587" s="7">
        <f>IF($X587="","",R587*Q587)</f>
        <v/>
      </c>
      <c r="T587" s="7">
        <f>IF($X587="","",S587+P587)</f>
        <v/>
      </c>
      <c r="U587" s="7">
        <f>IF($X587="","",V587-T587)</f>
        <v/>
      </c>
      <c r="V587" s="7">
        <f>IF($X587="","",O587+R587+M587)</f>
        <v/>
      </c>
      <c r="W587" s="7">
        <f>IF($X587="","",V587-T587-I587)</f>
        <v/>
      </c>
      <c r="X587" s="13">
        <f>IF(ROWS($X$2:$X587)&lt;=MAX('Per Line'!$AL$2:$AL$3001),MATCH(ROWS($X$2:$X587),'Per Line'!$AL$2:$AL$3001,0),"")</f>
        <v/>
      </c>
    </row>
    <row r="588">
      <c r="A588" s="12" t="n"/>
      <c r="B588">
        <f>IF($X588="","",INDEX('Per Line'!$D$2:$D$3001,$X588)&amp;"")</f>
        <v/>
      </c>
      <c r="C588" s="11">
        <f>IF($X588="","",INDEX('Per Line'!$F$2:$F$3001,$X588))</f>
        <v/>
      </c>
      <c r="D588">
        <f>IF($X588="","",INDEX('Per Line'!$G$2:$G$3001,$X588)&amp;"")</f>
        <v/>
      </c>
      <c r="E588">
        <f>IF($X588="","",INDEX('Per Line'!$I$2:$I$3001,$X588)&amp;"")</f>
        <v/>
      </c>
      <c r="F588">
        <f>IF($X588="","",INDEX('Per Line'!$J$2:$J$3001,$X588)&amp;"")</f>
        <v/>
      </c>
      <c r="G588">
        <f>IF($X588="","",INDEX('Per Line'!$K$2:$K$3001,$X588)&amp;"")</f>
        <v/>
      </c>
      <c r="H588">
        <f>IF($X588="","",INDEX('Per Line'!$M$2:$M$3001,$X588))</f>
        <v/>
      </c>
      <c r="I588" s="7">
        <f>IF($X588="","",H588*V588/100)</f>
        <v/>
      </c>
      <c r="J588">
        <f>IF($X588="","",INDEX('Per Line'!$W$2:$W$3001,$X588)&amp;"")</f>
        <v/>
      </c>
      <c r="K588">
        <f>IF($X588="","",INDEX('Per Line'!$AD$2:$AD$3001,$X588))</f>
        <v/>
      </c>
      <c r="L588">
        <f>IF($X588="","",IF(AND(ISNUMBER(K588),K588&gt;0),V588&gt;K588,FALSE))</f>
        <v/>
      </c>
      <c r="M588" s="7">
        <f>IF($X588="","",SUMIFS('Per Line'!$V$2:$V$3001,'Per Line'!$D$2:$D$3001,$B588,'Per Line'!$AN$2:$AN$3001,1))</f>
        <v/>
      </c>
      <c r="N588">
        <f>IF($X588="","",Settings!$C$7)</f>
        <v/>
      </c>
      <c r="O588" s="7">
        <f>IF($X588="","",SUMIFS('Per Line'!$V$2:$V$3001,'Per Line'!$D$2:$D$3001,$B588,'Per Line'!$AM$2:$AM$3001,0,'Per Line'!$AN$2:$AN$3001,0))</f>
        <v/>
      </c>
      <c r="P588" s="7">
        <f>IF($X588="","",O588*N588)</f>
        <v/>
      </c>
      <c r="Q588">
        <f>IF($X588="","",Settings!$C$6)</f>
        <v/>
      </c>
      <c r="R588" s="7">
        <f>IF($X588="","",SUMIFS('Per Line'!$V$2:$V$3001,'Per Line'!$D$2:$D$3001,$B588,'Per Line'!$AM$2:$AM$3001,1,'Per Line'!$AN$2:$AN$3001,0))</f>
        <v/>
      </c>
      <c r="S588" s="7">
        <f>IF($X588="","",R588*Q588)</f>
        <v/>
      </c>
      <c r="T588" s="7">
        <f>IF($X588="","",S588+P588)</f>
        <v/>
      </c>
      <c r="U588" s="7">
        <f>IF($X588="","",V588-T588)</f>
        <v/>
      </c>
      <c r="V588" s="7">
        <f>IF($X588="","",O588+R588+M588)</f>
        <v/>
      </c>
      <c r="W588" s="7">
        <f>IF($X588="","",V588-T588-I588)</f>
        <v/>
      </c>
      <c r="X588" s="13">
        <f>IF(ROWS($X$2:$X588)&lt;=MAX('Per Line'!$AL$2:$AL$3001),MATCH(ROWS($X$2:$X588),'Per Line'!$AL$2:$AL$3001,0),"")</f>
        <v/>
      </c>
    </row>
    <row r="589">
      <c r="A589" s="12" t="n"/>
      <c r="B589">
        <f>IF($X589="","",INDEX('Per Line'!$D$2:$D$3001,$X589)&amp;"")</f>
        <v/>
      </c>
      <c r="C589" s="11">
        <f>IF($X589="","",INDEX('Per Line'!$F$2:$F$3001,$X589))</f>
        <v/>
      </c>
      <c r="D589">
        <f>IF($X589="","",INDEX('Per Line'!$G$2:$G$3001,$X589)&amp;"")</f>
        <v/>
      </c>
      <c r="E589">
        <f>IF($X589="","",INDEX('Per Line'!$I$2:$I$3001,$X589)&amp;"")</f>
        <v/>
      </c>
      <c r="F589">
        <f>IF($X589="","",INDEX('Per Line'!$J$2:$J$3001,$X589)&amp;"")</f>
        <v/>
      </c>
      <c r="G589">
        <f>IF($X589="","",INDEX('Per Line'!$K$2:$K$3001,$X589)&amp;"")</f>
        <v/>
      </c>
      <c r="H589">
        <f>IF($X589="","",INDEX('Per Line'!$M$2:$M$3001,$X589))</f>
        <v/>
      </c>
      <c r="I589" s="7">
        <f>IF($X589="","",H589*V589/100)</f>
        <v/>
      </c>
      <c r="J589">
        <f>IF($X589="","",INDEX('Per Line'!$W$2:$W$3001,$X589)&amp;"")</f>
        <v/>
      </c>
      <c r="K589">
        <f>IF($X589="","",INDEX('Per Line'!$AD$2:$AD$3001,$X589))</f>
        <v/>
      </c>
      <c r="L589">
        <f>IF($X589="","",IF(AND(ISNUMBER(K589),K589&gt;0),V589&gt;K589,FALSE))</f>
        <v/>
      </c>
      <c r="M589" s="7">
        <f>IF($X589="","",SUMIFS('Per Line'!$V$2:$V$3001,'Per Line'!$D$2:$D$3001,$B589,'Per Line'!$AN$2:$AN$3001,1))</f>
        <v/>
      </c>
      <c r="N589">
        <f>IF($X589="","",Settings!$C$7)</f>
        <v/>
      </c>
      <c r="O589" s="7">
        <f>IF($X589="","",SUMIFS('Per Line'!$V$2:$V$3001,'Per Line'!$D$2:$D$3001,$B589,'Per Line'!$AM$2:$AM$3001,0,'Per Line'!$AN$2:$AN$3001,0))</f>
        <v/>
      </c>
      <c r="P589" s="7">
        <f>IF($X589="","",O589*N589)</f>
        <v/>
      </c>
      <c r="Q589">
        <f>IF($X589="","",Settings!$C$6)</f>
        <v/>
      </c>
      <c r="R589" s="7">
        <f>IF($X589="","",SUMIFS('Per Line'!$V$2:$V$3001,'Per Line'!$D$2:$D$3001,$B589,'Per Line'!$AM$2:$AM$3001,1,'Per Line'!$AN$2:$AN$3001,0))</f>
        <v/>
      </c>
      <c r="S589" s="7">
        <f>IF($X589="","",R589*Q589)</f>
        <v/>
      </c>
      <c r="T589" s="7">
        <f>IF($X589="","",S589+P589)</f>
        <v/>
      </c>
      <c r="U589" s="7">
        <f>IF($X589="","",V589-T589)</f>
        <v/>
      </c>
      <c r="V589" s="7">
        <f>IF($X589="","",O589+R589+M589)</f>
        <v/>
      </c>
      <c r="W589" s="7">
        <f>IF($X589="","",V589-T589-I589)</f>
        <v/>
      </c>
      <c r="X589" s="13">
        <f>IF(ROWS($X$2:$X589)&lt;=MAX('Per Line'!$AL$2:$AL$3001),MATCH(ROWS($X$2:$X589),'Per Line'!$AL$2:$AL$3001,0),"")</f>
        <v/>
      </c>
    </row>
    <row r="590">
      <c r="A590" s="12" t="n"/>
      <c r="B590">
        <f>IF($X590="","",INDEX('Per Line'!$D$2:$D$3001,$X590)&amp;"")</f>
        <v/>
      </c>
      <c r="C590" s="11">
        <f>IF($X590="","",INDEX('Per Line'!$F$2:$F$3001,$X590))</f>
        <v/>
      </c>
      <c r="D590">
        <f>IF($X590="","",INDEX('Per Line'!$G$2:$G$3001,$X590)&amp;"")</f>
        <v/>
      </c>
      <c r="E590">
        <f>IF($X590="","",INDEX('Per Line'!$I$2:$I$3001,$X590)&amp;"")</f>
        <v/>
      </c>
      <c r="F590">
        <f>IF($X590="","",INDEX('Per Line'!$J$2:$J$3001,$X590)&amp;"")</f>
        <v/>
      </c>
      <c r="G590">
        <f>IF($X590="","",INDEX('Per Line'!$K$2:$K$3001,$X590)&amp;"")</f>
        <v/>
      </c>
      <c r="H590">
        <f>IF($X590="","",INDEX('Per Line'!$M$2:$M$3001,$X590))</f>
        <v/>
      </c>
      <c r="I590" s="7">
        <f>IF($X590="","",H590*V590/100)</f>
        <v/>
      </c>
      <c r="J590">
        <f>IF($X590="","",INDEX('Per Line'!$W$2:$W$3001,$X590)&amp;"")</f>
        <v/>
      </c>
      <c r="K590">
        <f>IF($X590="","",INDEX('Per Line'!$AD$2:$AD$3001,$X590))</f>
        <v/>
      </c>
      <c r="L590">
        <f>IF($X590="","",IF(AND(ISNUMBER(K590),K590&gt;0),V590&gt;K590,FALSE))</f>
        <v/>
      </c>
      <c r="M590" s="7">
        <f>IF($X590="","",SUMIFS('Per Line'!$V$2:$V$3001,'Per Line'!$D$2:$D$3001,$B590,'Per Line'!$AN$2:$AN$3001,1))</f>
        <v/>
      </c>
      <c r="N590">
        <f>IF($X590="","",Settings!$C$7)</f>
        <v/>
      </c>
      <c r="O590" s="7">
        <f>IF($X590="","",SUMIFS('Per Line'!$V$2:$V$3001,'Per Line'!$D$2:$D$3001,$B590,'Per Line'!$AM$2:$AM$3001,0,'Per Line'!$AN$2:$AN$3001,0))</f>
        <v/>
      </c>
      <c r="P590" s="7">
        <f>IF($X590="","",O590*N590)</f>
        <v/>
      </c>
      <c r="Q590">
        <f>IF($X590="","",Settings!$C$6)</f>
        <v/>
      </c>
      <c r="R590" s="7">
        <f>IF($X590="","",SUMIFS('Per Line'!$V$2:$V$3001,'Per Line'!$D$2:$D$3001,$B590,'Per Line'!$AM$2:$AM$3001,1,'Per Line'!$AN$2:$AN$3001,0))</f>
        <v/>
      </c>
      <c r="S590" s="7">
        <f>IF($X590="","",R590*Q590)</f>
        <v/>
      </c>
      <c r="T590" s="7">
        <f>IF($X590="","",S590+P590)</f>
        <v/>
      </c>
      <c r="U590" s="7">
        <f>IF($X590="","",V590-T590)</f>
        <v/>
      </c>
      <c r="V590" s="7">
        <f>IF($X590="","",O590+R590+M590)</f>
        <v/>
      </c>
      <c r="W590" s="7">
        <f>IF($X590="","",V590-T590-I590)</f>
        <v/>
      </c>
      <c r="X590" s="13">
        <f>IF(ROWS($X$2:$X590)&lt;=MAX('Per Line'!$AL$2:$AL$3001),MATCH(ROWS($X$2:$X590),'Per Line'!$AL$2:$AL$3001,0),"")</f>
        <v/>
      </c>
    </row>
    <row r="591">
      <c r="A591" s="12" t="n"/>
      <c r="B591">
        <f>IF($X591="","",INDEX('Per Line'!$D$2:$D$3001,$X591)&amp;"")</f>
        <v/>
      </c>
      <c r="C591" s="11">
        <f>IF($X591="","",INDEX('Per Line'!$F$2:$F$3001,$X591))</f>
        <v/>
      </c>
      <c r="D591">
        <f>IF($X591="","",INDEX('Per Line'!$G$2:$G$3001,$X591)&amp;"")</f>
        <v/>
      </c>
      <c r="E591">
        <f>IF($X591="","",INDEX('Per Line'!$I$2:$I$3001,$X591)&amp;"")</f>
        <v/>
      </c>
      <c r="F591">
        <f>IF($X591="","",INDEX('Per Line'!$J$2:$J$3001,$X591)&amp;"")</f>
        <v/>
      </c>
      <c r="G591">
        <f>IF($X591="","",INDEX('Per Line'!$K$2:$K$3001,$X591)&amp;"")</f>
        <v/>
      </c>
      <c r="H591">
        <f>IF($X591="","",INDEX('Per Line'!$M$2:$M$3001,$X591))</f>
        <v/>
      </c>
      <c r="I591" s="7">
        <f>IF($X591="","",H591*V591/100)</f>
        <v/>
      </c>
      <c r="J591">
        <f>IF($X591="","",INDEX('Per Line'!$W$2:$W$3001,$X591)&amp;"")</f>
        <v/>
      </c>
      <c r="K591">
        <f>IF($X591="","",INDEX('Per Line'!$AD$2:$AD$3001,$X591))</f>
        <v/>
      </c>
      <c r="L591">
        <f>IF($X591="","",IF(AND(ISNUMBER(K591),K591&gt;0),V591&gt;K591,FALSE))</f>
        <v/>
      </c>
      <c r="M591" s="7">
        <f>IF($X591="","",SUMIFS('Per Line'!$V$2:$V$3001,'Per Line'!$D$2:$D$3001,$B591,'Per Line'!$AN$2:$AN$3001,1))</f>
        <v/>
      </c>
      <c r="N591">
        <f>IF($X591="","",Settings!$C$7)</f>
        <v/>
      </c>
      <c r="O591" s="7">
        <f>IF($X591="","",SUMIFS('Per Line'!$V$2:$V$3001,'Per Line'!$D$2:$D$3001,$B591,'Per Line'!$AM$2:$AM$3001,0,'Per Line'!$AN$2:$AN$3001,0))</f>
        <v/>
      </c>
      <c r="P591" s="7">
        <f>IF($X591="","",O591*N591)</f>
        <v/>
      </c>
      <c r="Q591">
        <f>IF($X591="","",Settings!$C$6)</f>
        <v/>
      </c>
      <c r="R591" s="7">
        <f>IF($X591="","",SUMIFS('Per Line'!$V$2:$V$3001,'Per Line'!$D$2:$D$3001,$B591,'Per Line'!$AM$2:$AM$3001,1,'Per Line'!$AN$2:$AN$3001,0))</f>
        <v/>
      </c>
      <c r="S591" s="7">
        <f>IF($X591="","",R591*Q591)</f>
        <v/>
      </c>
      <c r="T591" s="7">
        <f>IF($X591="","",S591+P591)</f>
        <v/>
      </c>
      <c r="U591" s="7">
        <f>IF($X591="","",V591-T591)</f>
        <v/>
      </c>
      <c r="V591" s="7">
        <f>IF($X591="","",O591+R591+M591)</f>
        <v/>
      </c>
      <c r="W591" s="7">
        <f>IF($X591="","",V591-T591-I591)</f>
        <v/>
      </c>
      <c r="X591" s="13">
        <f>IF(ROWS($X$2:$X591)&lt;=MAX('Per Line'!$AL$2:$AL$3001),MATCH(ROWS($X$2:$X591),'Per Line'!$AL$2:$AL$3001,0),"")</f>
        <v/>
      </c>
    </row>
    <row r="592">
      <c r="A592" s="12" t="n"/>
      <c r="B592">
        <f>IF($X592="","",INDEX('Per Line'!$D$2:$D$3001,$X592)&amp;"")</f>
        <v/>
      </c>
      <c r="C592" s="11">
        <f>IF($X592="","",INDEX('Per Line'!$F$2:$F$3001,$X592))</f>
        <v/>
      </c>
      <c r="D592">
        <f>IF($X592="","",INDEX('Per Line'!$G$2:$G$3001,$X592)&amp;"")</f>
        <v/>
      </c>
      <c r="E592">
        <f>IF($X592="","",INDEX('Per Line'!$I$2:$I$3001,$X592)&amp;"")</f>
        <v/>
      </c>
      <c r="F592">
        <f>IF($X592="","",INDEX('Per Line'!$J$2:$J$3001,$X592)&amp;"")</f>
        <v/>
      </c>
      <c r="G592">
        <f>IF($X592="","",INDEX('Per Line'!$K$2:$K$3001,$X592)&amp;"")</f>
        <v/>
      </c>
      <c r="H592">
        <f>IF($X592="","",INDEX('Per Line'!$M$2:$M$3001,$X592))</f>
        <v/>
      </c>
      <c r="I592" s="7">
        <f>IF($X592="","",H592*V592/100)</f>
        <v/>
      </c>
      <c r="J592">
        <f>IF($X592="","",INDEX('Per Line'!$W$2:$W$3001,$X592)&amp;"")</f>
        <v/>
      </c>
      <c r="K592">
        <f>IF($X592="","",INDEX('Per Line'!$AD$2:$AD$3001,$X592))</f>
        <v/>
      </c>
      <c r="L592">
        <f>IF($X592="","",IF(AND(ISNUMBER(K592),K592&gt;0),V592&gt;K592,FALSE))</f>
        <v/>
      </c>
      <c r="M592" s="7">
        <f>IF($X592="","",SUMIFS('Per Line'!$V$2:$V$3001,'Per Line'!$D$2:$D$3001,$B592,'Per Line'!$AN$2:$AN$3001,1))</f>
        <v/>
      </c>
      <c r="N592">
        <f>IF($X592="","",Settings!$C$7)</f>
        <v/>
      </c>
      <c r="O592" s="7">
        <f>IF($X592="","",SUMIFS('Per Line'!$V$2:$V$3001,'Per Line'!$D$2:$D$3001,$B592,'Per Line'!$AM$2:$AM$3001,0,'Per Line'!$AN$2:$AN$3001,0))</f>
        <v/>
      </c>
      <c r="P592" s="7">
        <f>IF($X592="","",O592*N592)</f>
        <v/>
      </c>
      <c r="Q592">
        <f>IF($X592="","",Settings!$C$6)</f>
        <v/>
      </c>
      <c r="R592" s="7">
        <f>IF($X592="","",SUMIFS('Per Line'!$V$2:$V$3001,'Per Line'!$D$2:$D$3001,$B592,'Per Line'!$AM$2:$AM$3001,1,'Per Line'!$AN$2:$AN$3001,0))</f>
        <v/>
      </c>
      <c r="S592" s="7">
        <f>IF($X592="","",R592*Q592)</f>
        <v/>
      </c>
      <c r="T592" s="7">
        <f>IF($X592="","",S592+P592)</f>
        <v/>
      </c>
      <c r="U592" s="7">
        <f>IF($X592="","",V592-T592)</f>
        <v/>
      </c>
      <c r="V592" s="7">
        <f>IF($X592="","",O592+R592+M592)</f>
        <v/>
      </c>
      <c r="W592" s="7">
        <f>IF($X592="","",V592-T592-I592)</f>
        <v/>
      </c>
      <c r="X592" s="13">
        <f>IF(ROWS($X$2:$X592)&lt;=MAX('Per Line'!$AL$2:$AL$3001),MATCH(ROWS($X$2:$X592),'Per Line'!$AL$2:$AL$3001,0),"")</f>
        <v/>
      </c>
    </row>
    <row r="593">
      <c r="A593" s="12" t="n"/>
      <c r="B593">
        <f>IF($X593="","",INDEX('Per Line'!$D$2:$D$3001,$X593)&amp;"")</f>
        <v/>
      </c>
      <c r="C593" s="11">
        <f>IF($X593="","",INDEX('Per Line'!$F$2:$F$3001,$X593))</f>
        <v/>
      </c>
      <c r="D593">
        <f>IF($X593="","",INDEX('Per Line'!$G$2:$G$3001,$X593)&amp;"")</f>
        <v/>
      </c>
      <c r="E593">
        <f>IF($X593="","",INDEX('Per Line'!$I$2:$I$3001,$X593)&amp;"")</f>
        <v/>
      </c>
      <c r="F593">
        <f>IF($X593="","",INDEX('Per Line'!$J$2:$J$3001,$X593)&amp;"")</f>
        <v/>
      </c>
      <c r="G593">
        <f>IF($X593="","",INDEX('Per Line'!$K$2:$K$3001,$X593)&amp;"")</f>
        <v/>
      </c>
      <c r="H593">
        <f>IF($X593="","",INDEX('Per Line'!$M$2:$M$3001,$X593))</f>
        <v/>
      </c>
      <c r="I593" s="7">
        <f>IF($X593="","",H593*V593/100)</f>
        <v/>
      </c>
      <c r="J593">
        <f>IF($X593="","",INDEX('Per Line'!$W$2:$W$3001,$X593)&amp;"")</f>
        <v/>
      </c>
      <c r="K593">
        <f>IF($X593="","",INDEX('Per Line'!$AD$2:$AD$3001,$X593))</f>
        <v/>
      </c>
      <c r="L593">
        <f>IF($X593="","",IF(AND(ISNUMBER(K593),K593&gt;0),V593&gt;K593,FALSE))</f>
        <v/>
      </c>
      <c r="M593" s="7">
        <f>IF($X593="","",SUMIFS('Per Line'!$V$2:$V$3001,'Per Line'!$D$2:$D$3001,$B593,'Per Line'!$AN$2:$AN$3001,1))</f>
        <v/>
      </c>
      <c r="N593">
        <f>IF($X593="","",Settings!$C$7)</f>
        <v/>
      </c>
      <c r="O593" s="7">
        <f>IF($X593="","",SUMIFS('Per Line'!$V$2:$V$3001,'Per Line'!$D$2:$D$3001,$B593,'Per Line'!$AM$2:$AM$3001,0,'Per Line'!$AN$2:$AN$3001,0))</f>
        <v/>
      </c>
      <c r="P593" s="7">
        <f>IF($X593="","",O593*N593)</f>
        <v/>
      </c>
      <c r="Q593">
        <f>IF($X593="","",Settings!$C$6)</f>
        <v/>
      </c>
      <c r="R593" s="7">
        <f>IF($X593="","",SUMIFS('Per Line'!$V$2:$V$3001,'Per Line'!$D$2:$D$3001,$B593,'Per Line'!$AM$2:$AM$3001,1,'Per Line'!$AN$2:$AN$3001,0))</f>
        <v/>
      </c>
      <c r="S593" s="7">
        <f>IF($X593="","",R593*Q593)</f>
        <v/>
      </c>
      <c r="T593" s="7">
        <f>IF($X593="","",S593+P593)</f>
        <v/>
      </c>
      <c r="U593" s="7">
        <f>IF($X593="","",V593-T593)</f>
        <v/>
      </c>
      <c r="V593" s="7">
        <f>IF($X593="","",O593+R593+M593)</f>
        <v/>
      </c>
      <c r="W593" s="7">
        <f>IF($X593="","",V593-T593-I593)</f>
        <v/>
      </c>
      <c r="X593" s="13">
        <f>IF(ROWS($X$2:$X593)&lt;=MAX('Per Line'!$AL$2:$AL$3001),MATCH(ROWS($X$2:$X593),'Per Line'!$AL$2:$AL$3001,0),"")</f>
        <v/>
      </c>
    </row>
    <row r="594">
      <c r="A594" s="12" t="n"/>
      <c r="B594">
        <f>IF($X594="","",INDEX('Per Line'!$D$2:$D$3001,$X594)&amp;"")</f>
        <v/>
      </c>
      <c r="C594" s="11">
        <f>IF($X594="","",INDEX('Per Line'!$F$2:$F$3001,$X594))</f>
        <v/>
      </c>
      <c r="D594">
        <f>IF($X594="","",INDEX('Per Line'!$G$2:$G$3001,$X594)&amp;"")</f>
        <v/>
      </c>
      <c r="E594">
        <f>IF($X594="","",INDEX('Per Line'!$I$2:$I$3001,$X594)&amp;"")</f>
        <v/>
      </c>
      <c r="F594">
        <f>IF($X594="","",INDEX('Per Line'!$J$2:$J$3001,$X594)&amp;"")</f>
        <v/>
      </c>
      <c r="G594">
        <f>IF($X594="","",INDEX('Per Line'!$K$2:$K$3001,$X594)&amp;"")</f>
        <v/>
      </c>
      <c r="H594">
        <f>IF($X594="","",INDEX('Per Line'!$M$2:$M$3001,$X594))</f>
        <v/>
      </c>
      <c r="I594" s="7">
        <f>IF($X594="","",H594*V594/100)</f>
        <v/>
      </c>
      <c r="J594">
        <f>IF($X594="","",INDEX('Per Line'!$W$2:$W$3001,$X594)&amp;"")</f>
        <v/>
      </c>
      <c r="K594">
        <f>IF($X594="","",INDEX('Per Line'!$AD$2:$AD$3001,$X594))</f>
        <v/>
      </c>
      <c r="L594">
        <f>IF($X594="","",IF(AND(ISNUMBER(K594),K594&gt;0),V594&gt;K594,FALSE))</f>
        <v/>
      </c>
      <c r="M594" s="7">
        <f>IF($X594="","",SUMIFS('Per Line'!$V$2:$V$3001,'Per Line'!$D$2:$D$3001,$B594,'Per Line'!$AN$2:$AN$3001,1))</f>
        <v/>
      </c>
      <c r="N594">
        <f>IF($X594="","",Settings!$C$7)</f>
        <v/>
      </c>
      <c r="O594" s="7">
        <f>IF($X594="","",SUMIFS('Per Line'!$V$2:$V$3001,'Per Line'!$D$2:$D$3001,$B594,'Per Line'!$AM$2:$AM$3001,0,'Per Line'!$AN$2:$AN$3001,0))</f>
        <v/>
      </c>
      <c r="P594" s="7">
        <f>IF($X594="","",O594*N594)</f>
        <v/>
      </c>
      <c r="Q594">
        <f>IF($X594="","",Settings!$C$6)</f>
        <v/>
      </c>
      <c r="R594" s="7">
        <f>IF($X594="","",SUMIFS('Per Line'!$V$2:$V$3001,'Per Line'!$D$2:$D$3001,$B594,'Per Line'!$AM$2:$AM$3001,1,'Per Line'!$AN$2:$AN$3001,0))</f>
        <v/>
      </c>
      <c r="S594" s="7">
        <f>IF($X594="","",R594*Q594)</f>
        <v/>
      </c>
      <c r="T594" s="7">
        <f>IF($X594="","",S594+P594)</f>
        <v/>
      </c>
      <c r="U594" s="7">
        <f>IF($X594="","",V594-T594)</f>
        <v/>
      </c>
      <c r="V594" s="7">
        <f>IF($X594="","",O594+R594+M594)</f>
        <v/>
      </c>
      <c r="W594" s="7">
        <f>IF($X594="","",V594-T594-I594)</f>
        <v/>
      </c>
      <c r="X594" s="13">
        <f>IF(ROWS($X$2:$X594)&lt;=MAX('Per Line'!$AL$2:$AL$3001),MATCH(ROWS($X$2:$X594),'Per Line'!$AL$2:$AL$3001,0),"")</f>
        <v/>
      </c>
    </row>
    <row r="595">
      <c r="A595" s="12" t="n"/>
      <c r="B595">
        <f>IF($X595="","",INDEX('Per Line'!$D$2:$D$3001,$X595)&amp;"")</f>
        <v/>
      </c>
      <c r="C595" s="11">
        <f>IF($X595="","",INDEX('Per Line'!$F$2:$F$3001,$X595))</f>
        <v/>
      </c>
      <c r="D595">
        <f>IF($X595="","",INDEX('Per Line'!$G$2:$G$3001,$X595)&amp;"")</f>
        <v/>
      </c>
      <c r="E595">
        <f>IF($X595="","",INDEX('Per Line'!$I$2:$I$3001,$X595)&amp;"")</f>
        <v/>
      </c>
      <c r="F595">
        <f>IF($X595="","",INDEX('Per Line'!$J$2:$J$3001,$X595)&amp;"")</f>
        <v/>
      </c>
      <c r="G595">
        <f>IF($X595="","",INDEX('Per Line'!$K$2:$K$3001,$X595)&amp;"")</f>
        <v/>
      </c>
      <c r="H595">
        <f>IF($X595="","",INDEX('Per Line'!$M$2:$M$3001,$X595))</f>
        <v/>
      </c>
      <c r="I595" s="7">
        <f>IF($X595="","",H595*V595/100)</f>
        <v/>
      </c>
      <c r="J595">
        <f>IF($X595="","",INDEX('Per Line'!$W$2:$W$3001,$X595)&amp;"")</f>
        <v/>
      </c>
      <c r="K595">
        <f>IF($X595="","",INDEX('Per Line'!$AD$2:$AD$3001,$X595))</f>
        <v/>
      </c>
      <c r="L595">
        <f>IF($X595="","",IF(AND(ISNUMBER(K595),K595&gt;0),V595&gt;K595,FALSE))</f>
        <v/>
      </c>
      <c r="M595" s="7">
        <f>IF($X595="","",SUMIFS('Per Line'!$V$2:$V$3001,'Per Line'!$D$2:$D$3001,$B595,'Per Line'!$AN$2:$AN$3001,1))</f>
        <v/>
      </c>
      <c r="N595">
        <f>IF($X595="","",Settings!$C$7)</f>
        <v/>
      </c>
      <c r="O595" s="7">
        <f>IF($X595="","",SUMIFS('Per Line'!$V$2:$V$3001,'Per Line'!$D$2:$D$3001,$B595,'Per Line'!$AM$2:$AM$3001,0,'Per Line'!$AN$2:$AN$3001,0))</f>
        <v/>
      </c>
      <c r="P595" s="7">
        <f>IF($X595="","",O595*N595)</f>
        <v/>
      </c>
      <c r="Q595">
        <f>IF($X595="","",Settings!$C$6)</f>
        <v/>
      </c>
      <c r="R595" s="7">
        <f>IF($X595="","",SUMIFS('Per Line'!$V$2:$V$3001,'Per Line'!$D$2:$D$3001,$B595,'Per Line'!$AM$2:$AM$3001,1,'Per Line'!$AN$2:$AN$3001,0))</f>
        <v/>
      </c>
      <c r="S595" s="7">
        <f>IF($X595="","",R595*Q595)</f>
        <v/>
      </c>
      <c r="T595" s="7">
        <f>IF($X595="","",S595+P595)</f>
        <v/>
      </c>
      <c r="U595" s="7">
        <f>IF($X595="","",V595-T595)</f>
        <v/>
      </c>
      <c r="V595" s="7">
        <f>IF($X595="","",O595+R595+M595)</f>
        <v/>
      </c>
      <c r="W595" s="7">
        <f>IF($X595="","",V595-T595-I595)</f>
        <v/>
      </c>
      <c r="X595" s="13">
        <f>IF(ROWS($X$2:$X595)&lt;=MAX('Per Line'!$AL$2:$AL$3001),MATCH(ROWS($X$2:$X595),'Per Line'!$AL$2:$AL$3001,0),"")</f>
        <v/>
      </c>
    </row>
    <row r="596">
      <c r="A596" s="12" t="n"/>
      <c r="B596">
        <f>IF($X596="","",INDEX('Per Line'!$D$2:$D$3001,$X596)&amp;"")</f>
        <v/>
      </c>
      <c r="C596" s="11">
        <f>IF($X596="","",INDEX('Per Line'!$F$2:$F$3001,$X596))</f>
        <v/>
      </c>
      <c r="D596">
        <f>IF($X596="","",INDEX('Per Line'!$G$2:$G$3001,$X596)&amp;"")</f>
        <v/>
      </c>
      <c r="E596">
        <f>IF($X596="","",INDEX('Per Line'!$I$2:$I$3001,$X596)&amp;"")</f>
        <v/>
      </c>
      <c r="F596">
        <f>IF($X596="","",INDEX('Per Line'!$J$2:$J$3001,$X596)&amp;"")</f>
        <v/>
      </c>
      <c r="G596">
        <f>IF($X596="","",INDEX('Per Line'!$K$2:$K$3001,$X596)&amp;"")</f>
        <v/>
      </c>
      <c r="H596">
        <f>IF($X596="","",INDEX('Per Line'!$M$2:$M$3001,$X596))</f>
        <v/>
      </c>
      <c r="I596" s="7">
        <f>IF($X596="","",H596*V596/100)</f>
        <v/>
      </c>
      <c r="J596">
        <f>IF($X596="","",INDEX('Per Line'!$W$2:$W$3001,$X596)&amp;"")</f>
        <v/>
      </c>
      <c r="K596">
        <f>IF($X596="","",INDEX('Per Line'!$AD$2:$AD$3001,$X596))</f>
        <v/>
      </c>
      <c r="L596">
        <f>IF($X596="","",IF(AND(ISNUMBER(K596),K596&gt;0),V596&gt;K596,FALSE))</f>
        <v/>
      </c>
      <c r="M596" s="7">
        <f>IF($X596="","",SUMIFS('Per Line'!$V$2:$V$3001,'Per Line'!$D$2:$D$3001,$B596,'Per Line'!$AN$2:$AN$3001,1))</f>
        <v/>
      </c>
      <c r="N596">
        <f>IF($X596="","",Settings!$C$7)</f>
        <v/>
      </c>
      <c r="O596" s="7">
        <f>IF($X596="","",SUMIFS('Per Line'!$V$2:$V$3001,'Per Line'!$D$2:$D$3001,$B596,'Per Line'!$AM$2:$AM$3001,0,'Per Line'!$AN$2:$AN$3001,0))</f>
        <v/>
      </c>
      <c r="P596" s="7">
        <f>IF($X596="","",O596*N596)</f>
        <v/>
      </c>
      <c r="Q596">
        <f>IF($X596="","",Settings!$C$6)</f>
        <v/>
      </c>
      <c r="R596" s="7">
        <f>IF($X596="","",SUMIFS('Per Line'!$V$2:$V$3001,'Per Line'!$D$2:$D$3001,$B596,'Per Line'!$AM$2:$AM$3001,1,'Per Line'!$AN$2:$AN$3001,0))</f>
        <v/>
      </c>
      <c r="S596" s="7">
        <f>IF($X596="","",R596*Q596)</f>
        <v/>
      </c>
      <c r="T596" s="7">
        <f>IF($X596="","",S596+P596)</f>
        <v/>
      </c>
      <c r="U596" s="7">
        <f>IF($X596="","",V596-T596)</f>
        <v/>
      </c>
      <c r="V596" s="7">
        <f>IF($X596="","",O596+R596+M596)</f>
        <v/>
      </c>
      <c r="W596" s="7">
        <f>IF($X596="","",V596-T596-I596)</f>
        <v/>
      </c>
      <c r="X596" s="13">
        <f>IF(ROWS($X$2:$X596)&lt;=MAX('Per Line'!$AL$2:$AL$3001),MATCH(ROWS($X$2:$X596),'Per Line'!$AL$2:$AL$3001,0),"")</f>
        <v/>
      </c>
    </row>
    <row r="597">
      <c r="A597" s="12" t="n"/>
      <c r="B597">
        <f>IF($X597="","",INDEX('Per Line'!$D$2:$D$3001,$X597)&amp;"")</f>
        <v/>
      </c>
      <c r="C597" s="11">
        <f>IF($X597="","",INDEX('Per Line'!$F$2:$F$3001,$X597))</f>
        <v/>
      </c>
      <c r="D597">
        <f>IF($X597="","",INDEX('Per Line'!$G$2:$G$3001,$X597)&amp;"")</f>
        <v/>
      </c>
      <c r="E597">
        <f>IF($X597="","",INDEX('Per Line'!$I$2:$I$3001,$X597)&amp;"")</f>
        <v/>
      </c>
      <c r="F597">
        <f>IF($X597="","",INDEX('Per Line'!$J$2:$J$3001,$X597)&amp;"")</f>
        <v/>
      </c>
      <c r="G597">
        <f>IF($X597="","",INDEX('Per Line'!$K$2:$K$3001,$X597)&amp;"")</f>
        <v/>
      </c>
      <c r="H597">
        <f>IF($X597="","",INDEX('Per Line'!$M$2:$M$3001,$X597))</f>
        <v/>
      </c>
      <c r="I597" s="7">
        <f>IF($X597="","",H597*V597/100)</f>
        <v/>
      </c>
      <c r="J597">
        <f>IF($X597="","",INDEX('Per Line'!$W$2:$W$3001,$X597)&amp;"")</f>
        <v/>
      </c>
      <c r="K597">
        <f>IF($X597="","",INDEX('Per Line'!$AD$2:$AD$3001,$X597))</f>
        <v/>
      </c>
      <c r="L597">
        <f>IF($X597="","",IF(AND(ISNUMBER(K597),K597&gt;0),V597&gt;K597,FALSE))</f>
        <v/>
      </c>
      <c r="M597" s="7">
        <f>IF($X597="","",SUMIFS('Per Line'!$V$2:$V$3001,'Per Line'!$D$2:$D$3001,$B597,'Per Line'!$AN$2:$AN$3001,1))</f>
        <v/>
      </c>
      <c r="N597">
        <f>IF($X597="","",Settings!$C$7)</f>
        <v/>
      </c>
      <c r="O597" s="7">
        <f>IF($X597="","",SUMIFS('Per Line'!$V$2:$V$3001,'Per Line'!$D$2:$D$3001,$B597,'Per Line'!$AM$2:$AM$3001,0,'Per Line'!$AN$2:$AN$3001,0))</f>
        <v/>
      </c>
      <c r="P597" s="7">
        <f>IF($X597="","",O597*N597)</f>
        <v/>
      </c>
      <c r="Q597">
        <f>IF($X597="","",Settings!$C$6)</f>
        <v/>
      </c>
      <c r="R597" s="7">
        <f>IF($X597="","",SUMIFS('Per Line'!$V$2:$V$3001,'Per Line'!$D$2:$D$3001,$B597,'Per Line'!$AM$2:$AM$3001,1,'Per Line'!$AN$2:$AN$3001,0))</f>
        <v/>
      </c>
      <c r="S597" s="7">
        <f>IF($X597="","",R597*Q597)</f>
        <v/>
      </c>
      <c r="T597" s="7">
        <f>IF($X597="","",S597+P597)</f>
        <v/>
      </c>
      <c r="U597" s="7">
        <f>IF($X597="","",V597-T597)</f>
        <v/>
      </c>
      <c r="V597" s="7">
        <f>IF($X597="","",O597+R597+M597)</f>
        <v/>
      </c>
      <c r="W597" s="7">
        <f>IF($X597="","",V597-T597-I597)</f>
        <v/>
      </c>
      <c r="X597" s="13">
        <f>IF(ROWS($X$2:$X597)&lt;=MAX('Per Line'!$AL$2:$AL$3001),MATCH(ROWS($X$2:$X597),'Per Line'!$AL$2:$AL$3001,0),"")</f>
        <v/>
      </c>
    </row>
    <row r="598">
      <c r="A598" s="12" t="n"/>
      <c r="B598">
        <f>IF($X598="","",INDEX('Per Line'!$D$2:$D$3001,$X598)&amp;"")</f>
        <v/>
      </c>
      <c r="C598" s="11">
        <f>IF($X598="","",INDEX('Per Line'!$F$2:$F$3001,$X598))</f>
        <v/>
      </c>
      <c r="D598">
        <f>IF($X598="","",INDEX('Per Line'!$G$2:$G$3001,$X598)&amp;"")</f>
        <v/>
      </c>
      <c r="E598">
        <f>IF($X598="","",INDEX('Per Line'!$I$2:$I$3001,$X598)&amp;"")</f>
        <v/>
      </c>
      <c r="F598">
        <f>IF($X598="","",INDEX('Per Line'!$J$2:$J$3001,$X598)&amp;"")</f>
        <v/>
      </c>
      <c r="G598">
        <f>IF($X598="","",INDEX('Per Line'!$K$2:$K$3001,$X598)&amp;"")</f>
        <v/>
      </c>
      <c r="H598">
        <f>IF($X598="","",INDEX('Per Line'!$M$2:$M$3001,$X598))</f>
        <v/>
      </c>
      <c r="I598" s="7">
        <f>IF($X598="","",H598*V598/100)</f>
        <v/>
      </c>
      <c r="J598">
        <f>IF($X598="","",INDEX('Per Line'!$W$2:$W$3001,$X598)&amp;"")</f>
        <v/>
      </c>
      <c r="K598">
        <f>IF($X598="","",INDEX('Per Line'!$AD$2:$AD$3001,$X598))</f>
        <v/>
      </c>
      <c r="L598">
        <f>IF($X598="","",IF(AND(ISNUMBER(K598),K598&gt;0),V598&gt;K598,FALSE))</f>
        <v/>
      </c>
      <c r="M598" s="7">
        <f>IF($X598="","",SUMIFS('Per Line'!$V$2:$V$3001,'Per Line'!$D$2:$D$3001,$B598,'Per Line'!$AN$2:$AN$3001,1))</f>
        <v/>
      </c>
      <c r="N598">
        <f>IF($X598="","",Settings!$C$7)</f>
        <v/>
      </c>
      <c r="O598" s="7">
        <f>IF($X598="","",SUMIFS('Per Line'!$V$2:$V$3001,'Per Line'!$D$2:$D$3001,$B598,'Per Line'!$AM$2:$AM$3001,0,'Per Line'!$AN$2:$AN$3001,0))</f>
        <v/>
      </c>
      <c r="P598" s="7">
        <f>IF($X598="","",O598*N598)</f>
        <v/>
      </c>
      <c r="Q598">
        <f>IF($X598="","",Settings!$C$6)</f>
        <v/>
      </c>
      <c r="R598" s="7">
        <f>IF($X598="","",SUMIFS('Per Line'!$V$2:$V$3001,'Per Line'!$D$2:$D$3001,$B598,'Per Line'!$AM$2:$AM$3001,1,'Per Line'!$AN$2:$AN$3001,0))</f>
        <v/>
      </c>
      <c r="S598" s="7">
        <f>IF($X598="","",R598*Q598)</f>
        <v/>
      </c>
      <c r="T598" s="7">
        <f>IF($X598="","",S598+P598)</f>
        <v/>
      </c>
      <c r="U598" s="7">
        <f>IF($X598="","",V598-T598)</f>
        <v/>
      </c>
      <c r="V598" s="7">
        <f>IF($X598="","",O598+R598+M598)</f>
        <v/>
      </c>
      <c r="W598" s="7">
        <f>IF($X598="","",V598-T598-I598)</f>
        <v/>
      </c>
      <c r="X598" s="13">
        <f>IF(ROWS($X$2:$X598)&lt;=MAX('Per Line'!$AL$2:$AL$3001),MATCH(ROWS($X$2:$X598),'Per Line'!$AL$2:$AL$3001,0),"")</f>
        <v/>
      </c>
    </row>
    <row r="599">
      <c r="A599" s="12" t="n"/>
      <c r="B599">
        <f>IF($X599="","",INDEX('Per Line'!$D$2:$D$3001,$X599)&amp;"")</f>
        <v/>
      </c>
      <c r="C599" s="11">
        <f>IF($X599="","",INDEX('Per Line'!$F$2:$F$3001,$X599))</f>
        <v/>
      </c>
      <c r="D599">
        <f>IF($X599="","",INDEX('Per Line'!$G$2:$G$3001,$X599)&amp;"")</f>
        <v/>
      </c>
      <c r="E599">
        <f>IF($X599="","",INDEX('Per Line'!$I$2:$I$3001,$X599)&amp;"")</f>
        <v/>
      </c>
      <c r="F599">
        <f>IF($X599="","",INDEX('Per Line'!$J$2:$J$3001,$X599)&amp;"")</f>
        <v/>
      </c>
      <c r="G599">
        <f>IF($X599="","",INDEX('Per Line'!$K$2:$K$3001,$X599)&amp;"")</f>
        <v/>
      </c>
      <c r="H599">
        <f>IF($X599="","",INDEX('Per Line'!$M$2:$M$3001,$X599))</f>
        <v/>
      </c>
      <c r="I599" s="7">
        <f>IF($X599="","",H599*V599/100)</f>
        <v/>
      </c>
      <c r="J599">
        <f>IF($X599="","",INDEX('Per Line'!$W$2:$W$3001,$X599)&amp;"")</f>
        <v/>
      </c>
      <c r="K599">
        <f>IF($X599="","",INDEX('Per Line'!$AD$2:$AD$3001,$X599))</f>
        <v/>
      </c>
      <c r="L599">
        <f>IF($X599="","",IF(AND(ISNUMBER(K599),K599&gt;0),V599&gt;K599,FALSE))</f>
        <v/>
      </c>
      <c r="M599" s="7">
        <f>IF($X599="","",SUMIFS('Per Line'!$V$2:$V$3001,'Per Line'!$D$2:$D$3001,$B599,'Per Line'!$AN$2:$AN$3001,1))</f>
        <v/>
      </c>
      <c r="N599">
        <f>IF($X599="","",Settings!$C$7)</f>
        <v/>
      </c>
      <c r="O599" s="7">
        <f>IF($X599="","",SUMIFS('Per Line'!$V$2:$V$3001,'Per Line'!$D$2:$D$3001,$B599,'Per Line'!$AM$2:$AM$3001,0,'Per Line'!$AN$2:$AN$3001,0))</f>
        <v/>
      </c>
      <c r="P599" s="7">
        <f>IF($X599="","",O599*N599)</f>
        <v/>
      </c>
      <c r="Q599">
        <f>IF($X599="","",Settings!$C$6)</f>
        <v/>
      </c>
      <c r="R599" s="7">
        <f>IF($X599="","",SUMIFS('Per Line'!$V$2:$V$3001,'Per Line'!$D$2:$D$3001,$B599,'Per Line'!$AM$2:$AM$3001,1,'Per Line'!$AN$2:$AN$3001,0))</f>
        <v/>
      </c>
      <c r="S599" s="7">
        <f>IF($X599="","",R599*Q599)</f>
        <v/>
      </c>
      <c r="T599" s="7">
        <f>IF($X599="","",S599+P599)</f>
        <v/>
      </c>
      <c r="U599" s="7">
        <f>IF($X599="","",V599-T599)</f>
        <v/>
      </c>
      <c r="V599" s="7">
        <f>IF($X599="","",O599+R599+M599)</f>
        <v/>
      </c>
      <c r="W599" s="7">
        <f>IF($X599="","",V599-T599-I599)</f>
        <v/>
      </c>
      <c r="X599" s="13">
        <f>IF(ROWS($X$2:$X599)&lt;=MAX('Per Line'!$AL$2:$AL$3001),MATCH(ROWS($X$2:$X599),'Per Line'!$AL$2:$AL$3001,0),"")</f>
        <v/>
      </c>
    </row>
    <row r="600">
      <c r="A600" s="12" t="n"/>
      <c r="B600">
        <f>IF($X600="","",INDEX('Per Line'!$D$2:$D$3001,$X600)&amp;"")</f>
        <v/>
      </c>
      <c r="C600" s="11">
        <f>IF($X600="","",INDEX('Per Line'!$F$2:$F$3001,$X600))</f>
        <v/>
      </c>
      <c r="D600">
        <f>IF($X600="","",INDEX('Per Line'!$G$2:$G$3001,$X600)&amp;"")</f>
        <v/>
      </c>
      <c r="E600">
        <f>IF($X600="","",INDEX('Per Line'!$I$2:$I$3001,$X600)&amp;"")</f>
        <v/>
      </c>
      <c r="F600">
        <f>IF($X600="","",INDEX('Per Line'!$J$2:$J$3001,$X600)&amp;"")</f>
        <v/>
      </c>
      <c r="G600">
        <f>IF($X600="","",INDEX('Per Line'!$K$2:$K$3001,$X600)&amp;"")</f>
        <v/>
      </c>
      <c r="H600">
        <f>IF($X600="","",INDEX('Per Line'!$M$2:$M$3001,$X600))</f>
        <v/>
      </c>
      <c r="I600" s="7">
        <f>IF($X600="","",H600*V600/100)</f>
        <v/>
      </c>
      <c r="J600">
        <f>IF($X600="","",INDEX('Per Line'!$W$2:$W$3001,$X600)&amp;"")</f>
        <v/>
      </c>
      <c r="K600">
        <f>IF($X600="","",INDEX('Per Line'!$AD$2:$AD$3001,$X600))</f>
        <v/>
      </c>
      <c r="L600">
        <f>IF($X600="","",IF(AND(ISNUMBER(K600),K600&gt;0),V600&gt;K600,FALSE))</f>
        <v/>
      </c>
      <c r="M600" s="7">
        <f>IF($X600="","",SUMIFS('Per Line'!$V$2:$V$3001,'Per Line'!$D$2:$D$3001,$B600,'Per Line'!$AN$2:$AN$3001,1))</f>
        <v/>
      </c>
      <c r="N600">
        <f>IF($X600="","",Settings!$C$7)</f>
        <v/>
      </c>
      <c r="O600" s="7">
        <f>IF($X600="","",SUMIFS('Per Line'!$V$2:$V$3001,'Per Line'!$D$2:$D$3001,$B600,'Per Line'!$AM$2:$AM$3001,0,'Per Line'!$AN$2:$AN$3001,0))</f>
        <v/>
      </c>
      <c r="P600" s="7">
        <f>IF($X600="","",O600*N600)</f>
        <v/>
      </c>
      <c r="Q600">
        <f>IF($X600="","",Settings!$C$6)</f>
        <v/>
      </c>
      <c r="R600" s="7">
        <f>IF($X600="","",SUMIFS('Per Line'!$V$2:$V$3001,'Per Line'!$D$2:$D$3001,$B600,'Per Line'!$AM$2:$AM$3001,1,'Per Line'!$AN$2:$AN$3001,0))</f>
        <v/>
      </c>
      <c r="S600" s="7">
        <f>IF($X600="","",R600*Q600)</f>
        <v/>
      </c>
      <c r="T600" s="7">
        <f>IF($X600="","",S600+P600)</f>
        <v/>
      </c>
      <c r="U600" s="7">
        <f>IF($X600="","",V600-T600)</f>
        <v/>
      </c>
      <c r="V600" s="7">
        <f>IF($X600="","",O600+R600+M600)</f>
        <v/>
      </c>
      <c r="W600" s="7">
        <f>IF($X600="","",V600-T600-I600)</f>
        <v/>
      </c>
      <c r="X600" s="13">
        <f>IF(ROWS($X$2:$X600)&lt;=MAX('Per Line'!$AL$2:$AL$3001),MATCH(ROWS($X$2:$X600),'Per Line'!$AL$2:$AL$3001,0),"")</f>
        <v/>
      </c>
    </row>
    <row r="601">
      <c r="A601" s="12" t="n"/>
      <c r="B601">
        <f>IF($X601="","",INDEX('Per Line'!$D$2:$D$3001,$X601)&amp;"")</f>
        <v/>
      </c>
      <c r="C601" s="11">
        <f>IF($X601="","",INDEX('Per Line'!$F$2:$F$3001,$X601))</f>
        <v/>
      </c>
      <c r="D601">
        <f>IF($X601="","",INDEX('Per Line'!$G$2:$G$3001,$X601)&amp;"")</f>
        <v/>
      </c>
      <c r="E601">
        <f>IF($X601="","",INDEX('Per Line'!$I$2:$I$3001,$X601)&amp;"")</f>
        <v/>
      </c>
      <c r="F601">
        <f>IF($X601="","",INDEX('Per Line'!$J$2:$J$3001,$X601)&amp;"")</f>
        <v/>
      </c>
      <c r="G601">
        <f>IF($X601="","",INDEX('Per Line'!$K$2:$K$3001,$X601)&amp;"")</f>
        <v/>
      </c>
      <c r="H601">
        <f>IF($X601="","",INDEX('Per Line'!$M$2:$M$3001,$X601))</f>
        <v/>
      </c>
      <c r="I601" s="7">
        <f>IF($X601="","",H601*V601/100)</f>
        <v/>
      </c>
      <c r="J601">
        <f>IF($X601="","",INDEX('Per Line'!$W$2:$W$3001,$X601)&amp;"")</f>
        <v/>
      </c>
      <c r="K601">
        <f>IF($X601="","",INDEX('Per Line'!$AD$2:$AD$3001,$X601))</f>
        <v/>
      </c>
      <c r="L601">
        <f>IF($X601="","",IF(AND(ISNUMBER(K601),K601&gt;0),V601&gt;K601,FALSE))</f>
        <v/>
      </c>
      <c r="M601" s="7">
        <f>IF($X601="","",SUMIFS('Per Line'!$V$2:$V$3001,'Per Line'!$D$2:$D$3001,$B601,'Per Line'!$AN$2:$AN$3001,1))</f>
        <v/>
      </c>
      <c r="N601">
        <f>IF($X601="","",Settings!$C$7)</f>
        <v/>
      </c>
      <c r="O601" s="7">
        <f>IF($X601="","",SUMIFS('Per Line'!$V$2:$V$3001,'Per Line'!$D$2:$D$3001,$B601,'Per Line'!$AM$2:$AM$3001,0,'Per Line'!$AN$2:$AN$3001,0))</f>
        <v/>
      </c>
      <c r="P601" s="7">
        <f>IF($X601="","",O601*N601)</f>
        <v/>
      </c>
      <c r="Q601">
        <f>IF($X601="","",Settings!$C$6)</f>
        <v/>
      </c>
      <c r="R601" s="7">
        <f>IF($X601="","",SUMIFS('Per Line'!$V$2:$V$3001,'Per Line'!$D$2:$D$3001,$B601,'Per Line'!$AM$2:$AM$3001,1,'Per Line'!$AN$2:$AN$3001,0))</f>
        <v/>
      </c>
      <c r="S601" s="7">
        <f>IF($X601="","",R601*Q601)</f>
        <v/>
      </c>
      <c r="T601" s="7">
        <f>IF($X601="","",S601+P601)</f>
        <v/>
      </c>
      <c r="U601" s="7">
        <f>IF($X601="","",V601-T601)</f>
        <v/>
      </c>
      <c r="V601" s="7">
        <f>IF($X601="","",O601+R601+M601)</f>
        <v/>
      </c>
      <c r="W601" s="7">
        <f>IF($X601="","",V601-T601-I601)</f>
        <v/>
      </c>
      <c r="X601" s="13">
        <f>IF(ROWS($X$2:$X601)&lt;=MAX('Per Line'!$AL$2:$AL$3001),MATCH(ROWS($X$2:$X601),'Per Line'!$AL$2:$AL$3001,0),"")</f>
        <v/>
      </c>
    </row>
    <row r="602">
      <c r="A602" s="12" t="n"/>
      <c r="B602">
        <f>IF($X602="","",INDEX('Per Line'!$D$2:$D$3001,$X602)&amp;"")</f>
        <v/>
      </c>
      <c r="C602" s="11">
        <f>IF($X602="","",INDEX('Per Line'!$F$2:$F$3001,$X602))</f>
        <v/>
      </c>
      <c r="D602">
        <f>IF($X602="","",INDEX('Per Line'!$G$2:$G$3001,$X602)&amp;"")</f>
        <v/>
      </c>
      <c r="E602">
        <f>IF($X602="","",INDEX('Per Line'!$I$2:$I$3001,$X602)&amp;"")</f>
        <v/>
      </c>
      <c r="F602">
        <f>IF($X602="","",INDEX('Per Line'!$J$2:$J$3001,$X602)&amp;"")</f>
        <v/>
      </c>
      <c r="G602">
        <f>IF($X602="","",INDEX('Per Line'!$K$2:$K$3001,$X602)&amp;"")</f>
        <v/>
      </c>
      <c r="H602">
        <f>IF($X602="","",INDEX('Per Line'!$M$2:$M$3001,$X602))</f>
        <v/>
      </c>
      <c r="I602" s="7">
        <f>IF($X602="","",H602*V602/100)</f>
        <v/>
      </c>
      <c r="J602">
        <f>IF($X602="","",INDEX('Per Line'!$W$2:$W$3001,$X602)&amp;"")</f>
        <v/>
      </c>
      <c r="K602">
        <f>IF($X602="","",INDEX('Per Line'!$AD$2:$AD$3001,$X602))</f>
        <v/>
      </c>
      <c r="L602">
        <f>IF($X602="","",IF(AND(ISNUMBER(K602),K602&gt;0),V602&gt;K602,FALSE))</f>
        <v/>
      </c>
      <c r="M602" s="7">
        <f>IF($X602="","",SUMIFS('Per Line'!$V$2:$V$3001,'Per Line'!$D$2:$D$3001,$B602,'Per Line'!$AN$2:$AN$3001,1))</f>
        <v/>
      </c>
      <c r="N602">
        <f>IF($X602="","",Settings!$C$7)</f>
        <v/>
      </c>
      <c r="O602" s="7">
        <f>IF($X602="","",SUMIFS('Per Line'!$V$2:$V$3001,'Per Line'!$D$2:$D$3001,$B602,'Per Line'!$AM$2:$AM$3001,0,'Per Line'!$AN$2:$AN$3001,0))</f>
        <v/>
      </c>
      <c r="P602" s="7">
        <f>IF($X602="","",O602*N602)</f>
        <v/>
      </c>
      <c r="Q602">
        <f>IF($X602="","",Settings!$C$6)</f>
        <v/>
      </c>
      <c r="R602" s="7">
        <f>IF($X602="","",SUMIFS('Per Line'!$V$2:$V$3001,'Per Line'!$D$2:$D$3001,$B602,'Per Line'!$AM$2:$AM$3001,1,'Per Line'!$AN$2:$AN$3001,0))</f>
        <v/>
      </c>
      <c r="S602" s="7">
        <f>IF($X602="","",R602*Q602)</f>
        <v/>
      </c>
      <c r="T602" s="7">
        <f>IF($X602="","",S602+P602)</f>
        <v/>
      </c>
      <c r="U602" s="7">
        <f>IF($X602="","",V602-T602)</f>
        <v/>
      </c>
      <c r="V602" s="7">
        <f>IF($X602="","",O602+R602+M602)</f>
        <v/>
      </c>
      <c r="W602" s="7">
        <f>IF($X602="","",V602-T602-I602)</f>
        <v/>
      </c>
      <c r="X602" s="13">
        <f>IF(ROWS($X$2:$X602)&lt;=MAX('Per Line'!$AL$2:$AL$3001),MATCH(ROWS($X$2:$X602),'Per Line'!$AL$2:$AL$3001,0),"")</f>
        <v/>
      </c>
    </row>
    <row r="603">
      <c r="A603" s="12" t="n"/>
      <c r="B603">
        <f>IF($X603="","",INDEX('Per Line'!$D$2:$D$3001,$X603)&amp;"")</f>
        <v/>
      </c>
      <c r="C603" s="11">
        <f>IF($X603="","",INDEX('Per Line'!$F$2:$F$3001,$X603))</f>
        <v/>
      </c>
      <c r="D603">
        <f>IF($X603="","",INDEX('Per Line'!$G$2:$G$3001,$X603)&amp;"")</f>
        <v/>
      </c>
      <c r="E603">
        <f>IF($X603="","",INDEX('Per Line'!$I$2:$I$3001,$X603)&amp;"")</f>
        <v/>
      </c>
      <c r="F603">
        <f>IF($X603="","",INDEX('Per Line'!$J$2:$J$3001,$X603)&amp;"")</f>
        <v/>
      </c>
      <c r="G603">
        <f>IF($X603="","",INDEX('Per Line'!$K$2:$K$3001,$X603)&amp;"")</f>
        <v/>
      </c>
      <c r="H603">
        <f>IF($X603="","",INDEX('Per Line'!$M$2:$M$3001,$X603))</f>
        <v/>
      </c>
      <c r="I603" s="7">
        <f>IF($X603="","",H603*V603/100)</f>
        <v/>
      </c>
      <c r="J603">
        <f>IF($X603="","",INDEX('Per Line'!$W$2:$W$3001,$X603)&amp;"")</f>
        <v/>
      </c>
      <c r="K603">
        <f>IF($X603="","",INDEX('Per Line'!$AD$2:$AD$3001,$X603))</f>
        <v/>
      </c>
      <c r="L603">
        <f>IF($X603="","",IF(AND(ISNUMBER(K603),K603&gt;0),V603&gt;K603,FALSE))</f>
        <v/>
      </c>
      <c r="M603" s="7">
        <f>IF($X603="","",SUMIFS('Per Line'!$V$2:$V$3001,'Per Line'!$D$2:$D$3001,$B603,'Per Line'!$AN$2:$AN$3001,1))</f>
        <v/>
      </c>
      <c r="N603">
        <f>IF($X603="","",Settings!$C$7)</f>
        <v/>
      </c>
      <c r="O603" s="7">
        <f>IF($X603="","",SUMIFS('Per Line'!$V$2:$V$3001,'Per Line'!$D$2:$D$3001,$B603,'Per Line'!$AM$2:$AM$3001,0,'Per Line'!$AN$2:$AN$3001,0))</f>
        <v/>
      </c>
      <c r="P603" s="7">
        <f>IF($X603="","",O603*N603)</f>
        <v/>
      </c>
      <c r="Q603">
        <f>IF($X603="","",Settings!$C$6)</f>
        <v/>
      </c>
      <c r="R603" s="7">
        <f>IF($X603="","",SUMIFS('Per Line'!$V$2:$V$3001,'Per Line'!$D$2:$D$3001,$B603,'Per Line'!$AM$2:$AM$3001,1,'Per Line'!$AN$2:$AN$3001,0))</f>
        <v/>
      </c>
      <c r="S603" s="7">
        <f>IF($X603="","",R603*Q603)</f>
        <v/>
      </c>
      <c r="T603" s="7">
        <f>IF($X603="","",S603+P603)</f>
        <v/>
      </c>
      <c r="U603" s="7">
        <f>IF($X603="","",V603-T603)</f>
        <v/>
      </c>
      <c r="V603" s="7">
        <f>IF($X603="","",O603+R603+M603)</f>
        <v/>
      </c>
      <c r="W603" s="7">
        <f>IF($X603="","",V603-T603-I603)</f>
        <v/>
      </c>
      <c r="X603" s="13">
        <f>IF(ROWS($X$2:$X603)&lt;=MAX('Per Line'!$AL$2:$AL$3001),MATCH(ROWS($X$2:$X603),'Per Line'!$AL$2:$AL$3001,0),"")</f>
        <v/>
      </c>
    </row>
    <row r="604">
      <c r="A604" s="12" t="n"/>
      <c r="B604">
        <f>IF($X604="","",INDEX('Per Line'!$D$2:$D$3001,$X604)&amp;"")</f>
        <v/>
      </c>
      <c r="C604" s="11">
        <f>IF($X604="","",INDEX('Per Line'!$F$2:$F$3001,$X604))</f>
        <v/>
      </c>
      <c r="D604">
        <f>IF($X604="","",INDEX('Per Line'!$G$2:$G$3001,$X604)&amp;"")</f>
        <v/>
      </c>
      <c r="E604">
        <f>IF($X604="","",INDEX('Per Line'!$I$2:$I$3001,$X604)&amp;"")</f>
        <v/>
      </c>
      <c r="F604">
        <f>IF($X604="","",INDEX('Per Line'!$J$2:$J$3001,$X604)&amp;"")</f>
        <v/>
      </c>
      <c r="G604">
        <f>IF($X604="","",INDEX('Per Line'!$K$2:$K$3001,$X604)&amp;"")</f>
        <v/>
      </c>
      <c r="H604">
        <f>IF($X604="","",INDEX('Per Line'!$M$2:$M$3001,$X604))</f>
        <v/>
      </c>
      <c r="I604" s="7">
        <f>IF($X604="","",H604*V604/100)</f>
        <v/>
      </c>
      <c r="J604">
        <f>IF($X604="","",INDEX('Per Line'!$W$2:$W$3001,$X604)&amp;"")</f>
        <v/>
      </c>
      <c r="K604">
        <f>IF($X604="","",INDEX('Per Line'!$AD$2:$AD$3001,$X604))</f>
        <v/>
      </c>
      <c r="L604">
        <f>IF($X604="","",IF(AND(ISNUMBER(K604),K604&gt;0),V604&gt;K604,FALSE))</f>
        <v/>
      </c>
      <c r="M604" s="7">
        <f>IF($X604="","",SUMIFS('Per Line'!$V$2:$V$3001,'Per Line'!$D$2:$D$3001,$B604,'Per Line'!$AN$2:$AN$3001,1))</f>
        <v/>
      </c>
      <c r="N604">
        <f>IF($X604="","",Settings!$C$7)</f>
        <v/>
      </c>
      <c r="O604" s="7">
        <f>IF($X604="","",SUMIFS('Per Line'!$V$2:$V$3001,'Per Line'!$D$2:$D$3001,$B604,'Per Line'!$AM$2:$AM$3001,0,'Per Line'!$AN$2:$AN$3001,0))</f>
        <v/>
      </c>
      <c r="P604" s="7">
        <f>IF($X604="","",O604*N604)</f>
        <v/>
      </c>
      <c r="Q604">
        <f>IF($X604="","",Settings!$C$6)</f>
        <v/>
      </c>
      <c r="R604" s="7">
        <f>IF($X604="","",SUMIFS('Per Line'!$V$2:$V$3001,'Per Line'!$D$2:$D$3001,$B604,'Per Line'!$AM$2:$AM$3001,1,'Per Line'!$AN$2:$AN$3001,0))</f>
        <v/>
      </c>
      <c r="S604" s="7">
        <f>IF($X604="","",R604*Q604)</f>
        <v/>
      </c>
      <c r="T604" s="7">
        <f>IF($X604="","",S604+P604)</f>
        <v/>
      </c>
      <c r="U604" s="7">
        <f>IF($X604="","",V604-T604)</f>
        <v/>
      </c>
      <c r="V604" s="7">
        <f>IF($X604="","",O604+R604+M604)</f>
        <v/>
      </c>
      <c r="W604" s="7">
        <f>IF($X604="","",V604-T604-I604)</f>
        <v/>
      </c>
      <c r="X604" s="13">
        <f>IF(ROWS($X$2:$X604)&lt;=MAX('Per Line'!$AL$2:$AL$3001),MATCH(ROWS($X$2:$X604),'Per Line'!$AL$2:$AL$3001,0),"")</f>
        <v/>
      </c>
    </row>
    <row r="605">
      <c r="A605" s="12" t="n"/>
      <c r="B605">
        <f>IF($X605="","",INDEX('Per Line'!$D$2:$D$3001,$X605)&amp;"")</f>
        <v/>
      </c>
      <c r="C605" s="11">
        <f>IF($X605="","",INDEX('Per Line'!$F$2:$F$3001,$X605))</f>
        <v/>
      </c>
      <c r="D605">
        <f>IF($X605="","",INDEX('Per Line'!$G$2:$G$3001,$X605)&amp;"")</f>
        <v/>
      </c>
      <c r="E605">
        <f>IF($X605="","",INDEX('Per Line'!$I$2:$I$3001,$X605)&amp;"")</f>
        <v/>
      </c>
      <c r="F605">
        <f>IF($X605="","",INDEX('Per Line'!$J$2:$J$3001,$X605)&amp;"")</f>
        <v/>
      </c>
      <c r="G605">
        <f>IF($X605="","",INDEX('Per Line'!$K$2:$K$3001,$X605)&amp;"")</f>
        <v/>
      </c>
      <c r="H605">
        <f>IF($X605="","",INDEX('Per Line'!$M$2:$M$3001,$X605))</f>
        <v/>
      </c>
      <c r="I605" s="7">
        <f>IF($X605="","",H605*V605/100)</f>
        <v/>
      </c>
      <c r="J605">
        <f>IF($X605="","",INDEX('Per Line'!$W$2:$W$3001,$X605)&amp;"")</f>
        <v/>
      </c>
      <c r="K605">
        <f>IF($X605="","",INDEX('Per Line'!$AD$2:$AD$3001,$X605))</f>
        <v/>
      </c>
      <c r="L605">
        <f>IF($X605="","",IF(AND(ISNUMBER(K605),K605&gt;0),V605&gt;K605,FALSE))</f>
        <v/>
      </c>
      <c r="M605" s="7">
        <f>IF($X605="","",SUMIFS('Per Line'!$V$2:$V$3001,'Per Line'!$D$2:$D$3001,$B605,'Per Line'!$AN$2:$AN$3001,1))</f>
        <v/>
      </c>
      <c r="N605">
        <f>IF($X605="","",Settings!$C$7)</f>
        <v/>
      </c>
      <c r="O605" s="7">
        <f>IF($X605="","",SUMIFS('Per Line'!$V$2:$V$3001,'Per Line'!$D$2:$D$3001,$B605,'Per Line'!$AM$2:$AM$3001,0,'Per Line'!$AN$2:$AN$3001,0))</f>
        <v/>
      </c>
      <c r="P605" s="7">
        <f>IF($X605="","",O605*N605)</f>
        <v/>
      </c>
      <c r="Q605">
        <f>IF($X605="","",Settings!$C$6)</f>
        <v/>
      </c>
      <c r="R605" s="7">
        <f>IF($X605="","",SUMIFS('Per Line'!$V$2:$V$3001,'Per Line'!$D$2:$D$3001,$B605,'Per Line'!$AM$2:$AM$3001,1,'Per Line'!$AN$2:$AN$3001,0))</f>
        <v/>
      </c>
      <c r="S605" s="7">
        <f>IF($X605="","",R605*Q605)</f>
        <v/>
      </c>
      <c r="T605" s="7">
        <f>IF($X605="","",S605+P605)</f>
        <v/>
      </c>
      <c r="U605" s="7">
        <f>IF($X605="","",V605-T605)</f>
        <v/>
      </c>
      <c r="V605" s="7">
        <f>IF($X605="","",O605+R605+M605)</f>
        <v/>
      </c>
      <c r="W605" s="7">
        <f>IF($X605="","",V605-T605-I605)</f>
        <v/>
      </c>
      <c r="X605" s="13">
        <f>IF(ROWS($X$2:$X605)&lt;=MAX('Per Line'!$AL$2:$AL$3001),MATCH(ROWS($X$2:$X605),'Per Line'!$AL$2:$AL$3001,0),"")</f>
        <v/>
      </c>
    </row>
    <row r="606">
      <c r="A606" s="12" t="n"/>
      <c r="B606">
        <f>IF($X606="","",INDEX('Per Line'!$D$2:$D$3001,$X606)&amp;"")</f>
        <v/>
      </c>
      <c r="C606" s="11">
        <f>IF($X606="","",INDEX('Per Line'!$F$2:$F$3001,$X606))</f>
        <v/>
      </c>
      <c r="D606">
        <f>IF($X606="","",INDEX('Per Line'!$G$2:$G$3001,$X606)&amp;"")</f>
        <v/>
      </c>
      <c r="E606">
        <f>IF($X606="","",INDEX('Per Line'!$I$2:$I$3001,$X606)&amp;"")</f>
        <v/>
      </c>
      <c r="F606">
        <f>IF($X606="","",INDEX('Per Line'!$J$2:$J$3001,$X606)&amp;"")</f>
        <v/>
      </c>
      <c r="G606">
        <f>IF($X606="","",INDEX('Per Line'!$K$2:$K$3001,$X606)&amp;"")</f>
        <v/>
      </c>
      <c r="H606">
        <f>IF($X606="","",INDEX('Per Line'!$M$2:$M$3001,$X606))</f>
        <v/>
      </c>
      <c r="I606" s="7">
        <f>IF($X606="","",H606*V606/100)</f>
        <v/>
      </c>
      <c r="J606">
        <f>IF($X606="","",INDEX('Per Line'!$W$2:$W$3001,$X606)&amp;"")</f>
        <v/>
      </c>
      <c r="K606">
        <f>IF($X606="","",INDEX('Per Line'!$AD$2:$AD$3001,$X606))</f>
        <v/>
      </c>
      <c r="L606">
        <f>IF($X606="","",IF(AND(ISNUMBER(K606),K606&gt;0),V606&gt;K606,FALSE))</f>
        <v/>
      </c>
      <c r="M606" s="7">
        <f>IF($X606="","",SUMIFS('Per Line'!$V$2:$V$3001,'Per Line'!$D$2:$D$3001,$B606,'Per Line'!$AN$2:$AN$3001,1))</f>
        <v/>
      </c>
      <c r="N606">
        <f>IF($X606="","",Settings!$C$7)</f>
        <v/>
      </c>
      <c r="O606" s="7">
        <f>IF($X606="","",SUMIFS('Per Line'!$V$2:$V$3001,'Per Line'!$D$2:$D$3001,$B606,'Per Line'!$AM$2:$AM$3001,0,'Per Line'!$AN$2:$AN$3001,0))</f>
        <v/>
      </c>
      <c r="P606" s="7">
        <f>IF($X606="","",O606*N606)</f>
        <v/>
      </c>
      <c r="Q606">
        <f>IF($X606="","",Settings!$C$6)</f>
        <v/>
      </c>
      <c r="R606" s="7">
        <f>IF($X606="","",SUMIFS('Per Line'!$V$2:$V$3001,'Per Line'!$D$2:$D$3001,$B606,'Per Line'!$AM$2:$AM$3001,1,'Per Line'!$AN$2:$AN$3001,0))</f>
        <v/>
      </c>
      <c r="S606" s="7">
        <f>IF($X606="","",R606*Q606)</f>
        <v/>
      </c>
      <c r="T606" s="7">
        <f>IF($X606="","",S606+P606)</f>
        <v/>
      </c>
      <c r="U606" s="7">
        <f>IF($X606="","",V606-T606)</f>
        <v/>
      </c>
      <c r="V606" s="7">
        <f>IF($X606="","",O606+R606+M606)</f>
        <v/>
      </c>
      <c r="W606" s="7">
        <f>IF($X606="","",V606-T606-I606)</f>
        <v/>
      </c>
      <c r="X606" s="13">
        <f>IF(ROWS($X$2:$X606)&lt;=MAX('Per Line'!$AL$2:$AL$3001),MATCH(ROWS($X$2:$X606),'Per Line'!$AL$2:$AL$3001,0),"")</f>
        <v/>
      </c>
    </row>
    <row r="607">
      <c r="A607" s="12" t="n"/>
      <c r="B607">
        <f>IF($X607="","",INDEX('Per Line'!$D$2:$D$3001,$X607)&amp;"")</f>
        <v/>
      </c>
      <c r="C607" s="11">
        <f>IF($X607="","",INDEX('Per Line'!$F$2:$F$3001,$X607))</f>
        <v/>
      </c>
      <c r="D607">
        <f>IF($X607="","",INDEX('Per Line'!$G$2:$G$3001,$X607)&amp;"")</f>
        <v/>
      </c>
      <c r="E607">
        <f>IF($X607="","",INDEX('Per Line'!$I$2:$I$3001,$X607)&amp;"")</f>
        <v/>
      </c>
      <c r="F607">
        <f>IF($X607="","",INDEX('Per Line'!$J$2:$J$3001,$X607)&amp;"")</f>
        <v/>
      </c>
      <c r="G607">
        <f>IF($X607="","",INDEX('Per Line'!$K$2:$K$3001,$X607)&amp;"")</f>
        <v/>
      </c>
      <c r="H607">
        <f>IF($X607="","",INDEX('Per Line'!$M$2:$M$3001,$X607))</f>
        <v/>
      </c>
      <c r="I607" s="7">
        <f>IF($X607="","",H607*V607/100)</f>
        <v/>
      </c>
      <c r="J607">
        <f>IF($X607="","",INDEX('Per Line'!$W$2:$W$3001,$X607)&amp;"")</f>
        <v/>
      </c>
      <c r="K607">
        <f>IF($X607="","",INDEX('Per Line'!$AD$2:$AD$3001,$X607))</f>
        <v/>
      </c>
      <c r="L607">
        <f>IF($X607="","",IF(AND(ISNUMBER(K607),K607&gt;0),V607&gt;K607,FALSE))</f>
        <v/>
      </c>
      <c r="M607" s="7">
        <f>IF($X607="","",SUMIFS('Per Line'!$V$2:$V$3001,'Per Line'!$D$2:$D$3001,$B607,'Per Line'!$AN$2:$AN$3001,1))</f>
        <v/>
      </c>
      <c r="N607">
        <f>IF($X607="","",Settings!$C$7)</f>
        <v/>
      </c>
      <c r="O607" s="7">
        <f>IF($X607="","",SUMIFS('Per Line'!$V$2:$V$3001,'Per Line'!$D$2:$D$3001,$B607,'Per Line'!$AM$2:$AM$3001,0,'Per Line'!$AN$2:$AN$3001,0))</f>
        <v/>
      </c>
      <c r="P607" s="7">
        <f>IF($X607="","",O607*N607)</f>
        <v/>
      </c>
      <c r="Q607">
        <f>IF($X607="","",Settings!$C$6)</f>
        <v/>
      </c>
      <c r="R607" s="7">
        <f>IF($X607="","",SUMIFS('Per Line'!$V$2:$V$3001,'Per Line'!$D$2:$D$3001,$B607,'Per Line'!$AM$2:$AM$3001,1,'Per Line'!$AN$2:$AN$3001,0))</f>
        <v/>
      </c>
      <c r="S607" s="7">
        <f>IF($X607="","",R607*Q607)</f>
        <v/>
      </c>
      <c r="T607" s="7">
        <f>IF($X607="","",S607+P607)</f>
        <v/>
      </c>
      <c r="U607" s="7">
        <f>IF($X607="","",V607-T607)</f>
        <v/>
      </c>
      <c r="V607" s="7">
        <f>IF($X607="","",O607+R607+M607)</f>
        <v/>
      </c>
      <c r="W607" s="7">
        <f>IF($X607="","",V607-T607-I607)</f>
        <v/>
      </c>
      <c r="X607" s="13">
        <f>IF(ROWS($X$2:$X607)&lt;=MAX('Per Line'!$AL$2:$AL$3001),MATCH(ROWS($X$2:$X607),'Per Line'!$AL$2:$AL$3001,0),"")</f>
        <v/>
      </c>
    </row>
    <row r="608">
      <c r="A608" s="12" t="n"/>
      <c r="B608">
        <f>IF($X608="","",INDEX('Per Line'!$D$2:$D$3001,$X608)&amp;"")</f>
        <v/>
      </c>
      <c r="C608" s="11">
        <f>IF($X608="","",INDEX('Per Line'!$F$2:$F$3001,$X608))</f>
        <v/>
      </c>
      <c r="D608">
        <f>IF($X608="","",INDEX('Per Line'!$G$2:$G$3001,$X608)&amp;"")</f>
        <v/>
      </c>
      <c r="E608">
        <f>IF($X608="","",INDEX('Per Line'!$I$2:$I$3001,$X608)&amp;"")</f>
        <v/>
      </c>
      <c r="F608">
        <f>IF($X608="","",INDEX('Per Line'!$J$2:$J$3001,$X608)&amp;"")</f>
        <v/>
      </c>
      <c r="G608">
        <f>IF($X608="","",INDEX('Per Line'!$K$2:$K$3001,$X608)&amp;"")</f>
        <v/>
      </c>
      <c r="H608">
        <f>IF($X608="","",INDEX('Per Line'!$M$2:$M$3001,$X608))</f>
        <v/>
      </c>
      <c r="I608" s="7">
        <f>IF($X608="","",H608*V608/100)</f>
        <v/>
      </c>
      <c r="J608">
        <f>IF($X608="","",INDEX('Per Line'!$W$2:$W$3001,$X608)&amp;"")</f>
        <v/>
      </c>
      <c r="K608">
        <f>IF($X608="","",INDEX('Per Line'!$AD$2:$AD$3001,$X608))</f>
        <v/>
      </c>
      <c r="L608">
        <f>IF($X608="","",IF(AND(ISNUMBER(K608),K608&gt;0),V608&gt;K608,FALSE))</f>
        <v/>
      </c>
      <c r="M608" s="7">
        <f>IF($X608="","",SUMIFS('Per Line'!$V$2:$V$3001,'Per Line'!$D$2:$D$3001,$B608,'Per Line'!$AN$2:$AN$3001,1))</f>
        <v/>
      </c>
      <c r="N608">
        <f>IF($X608="","",Settings!$C$7)</f>
        <v/>
      </c>
      <c r="O608" s="7">
        <f>IF($X608="","",SUMIFS('Per Line'!$V$2:$V$3001,'Per Line'!$D$2:$D$3001,$B608,'Per Line'!$AM$2:$AM$3001,0,'Per Line'!$AN$2:$AN$3001,0))</f>
        <v/>
      </c>
      <c r="P608" s="7">
        <f>IF($X608="","",O608*N608)</f>
        <v/>
      </c>
      <c r="Q608">
        <f>IF($X608="","",Settings!$C$6)</f>
        <v/>
      </c>
      <c r="R608" s="7">
        <f>IF($X608="","",SUMIFS('Per Line'!$V$2:$V$3001,'Per Line'!$D$2:$D$3001,$B608,'Per Line'!$AM$2:$AM$3001,1,'Per Line'!$AN$2:$AN$3001,0))</f>
        <v/>
      </c>
      <c r="S608" s="7">
        <f>IF($X608="","",R608*Q608)</f>
        <v/>
      </c>
      <c r="T608" s="7">
        <f>IF($X608="","",S608+P608)</f>
        <v/>
      </c>
      <c r="U608" s="7">
        <f>IF($X608="","",V608-T608)</f>
        <v/>
      </c>
      <c r="V608" s="7">
        <f>IF($X608="","",O608+R608+M608)</f>
        <v/>
      </c>
      <c r="W608" s="7">
        <f>IF($X608="","",V608-T608-I608)</f>
        <v/>
      </c>
      <c r="X608" s="13">
        <f>IF(ROWS($X$2:$X608)&lt;=MAX('Per Line'!$AL$2:$AL$3001),MATCH(ROWS($X$2:$X608),'Per Line'!$AL$2:$AL$3001,0),"")</f>
        <v/>
      </c>
    </row>
    <row r="609">
      <c r="A609" s="12" t="n"/>
      <c r="B609">
        <f>IF($X609="","",INDEX('Per Line'!$D$2:$D$3001,$X609)&amp;"")</f>
        <v/>
      </c>
      <c r="C609" s="11">
        <f>IF($X609="","",INDEX('Per Line'!$F$2:$F$3001,$X609))</f>
        <v/>
      </c>
      <c r="D609">
        <f>IF($X609="","",INDEX('Per Line'!$G$2:$G$3001,$X609)&amp;"")</f>
        <v/>
      </c>
      <c r="E609">
        <f>IF($X609="","",INDEX('Per Line'!$I$2:$I$3001,$X609)&amp;"")</f>
        <v/>
      </c>
      <c r="F609">
        <f>IF($X609="","",INDEX('Per Line'!$J$2:$J$3001,$X609)&amp;"")</f>
        <v/>
      </c>
      <c r="G609">
        <f>IF($X609="","",INDEX('Per Line'!$K$2:$K$3001,$X609)&amp;"")</f>
        <v/>
      </c>
      <c r="H609">
        <f>IF($X609="","",INDEX('Per Line'!$M$2:$M$3001,$X609))</f>
        <v/>
      </c>
      <c r="I609" s="7">
        <f>IF($X609="","",H609*V609/100)</f>
        <v/>
      </c>
      <c r="J609">
        <f>IF($X609="","",INDEX('Per Line'!$W$2:$W$3001,$X609)&amp;"")</f>
        <v/>
      </c>
      <c r="K609">
        <f>IF($X609="","",INDEX('Per Line'!$AD$2:$AD$3001,$X609))</f>
        <v/>
      </c>
      <c r="L609">
        <f>IF($X609="","",IF(AND(ISNUMBER(K609),K609&gt;0),V609&gt;K609,FALSE))</f>
        <v/>
      </c>
      <c r="M609" s="7">
        <f>IF($X609="","",SUMIFS('Per Line'!$V$2:$V$3001,'Per Line'!$D$2:$D$3001,$B609,'Per Line'!$AN$2:$AN$3001,1))</f>
        <v/>
      </c>
      <c r="N609">
        <f>IF($X609="","",Settings!$C$7)</f>
        <v/>
      </c>
      <c r="O609" s="7">
        <f>IF($X609="","",SUMIFS('Per Line'!$V$2:$V$3001,'Per Line'!$D$2:$D$3001,$B609,'Per Line'!$AM$2:$AM$3001,0,'Per Line'!$AN$2:$AN$3001,0))</f>
        <v/>
      </c>
      <c r="P609" s="7">
        <f>IF($X609="","",O609*N609)</f>
        <v/>
      </c>
      <c r="Q609">
        <f>IF($X609="","",Settings!$C$6)</f>
        <v/>
      </c>
      <c r="R609" s="7">
        <f>IF($X609="","",SUMIFS('Per Line'!$V$2:$V$3001,'Per Line'!$D$2:$D$3001,$B609,'Per Line'!$AM$2:$AM$3001,1,'Per Line'!$AN$2:$AN$3001,0))</f>
        <v/>
      </c>
      <c r="S609" s="7">
        <f>IF($X609="","",R609*Q609)</f>
        <v/>
      </c>
      <c r="T609" s="7">
        <f>IF($X609="","",S609+P609)</f>
        <v/>
      </c>
      <c r="U609" s="7">
        <f>IF($X609="","",V609-T609)</f>
        <v/>
      </c>
      <c r="V609" s="7">
        <f>IF($X609="","",O609+R609+M609)</f>
        <v/>
      </c>
      <c r="W609" s="7">
        <f>IF($X609="","",V609-T609-I609)</f>
        <v/>
      </c>
      <c r="X609" s="13">
        <f>IF(ROWS($X$2:$X609)&lt;=MAX('Per Line'!$AL$2:$AL$3001),MATCH(ROWS($X$2:$X609),'Per Line'!$AL$2:$AL$3001,0),"")</f>
        <v/>
      </c>
    </row>
    <row r="610">
      <c r="A610" s="12" t="n"/>
      <c r="B610">
        <f>IF($X610="","",INDEX('Per Line'!$D$2:$D$3001,$X610)&amp;"")</f>
        <v/>
      </c>
      <c r="C610" s="11">
        <f>IF($X610="","",INDEX('Per Line'!$F$2:$F$3001,$X610))</f>
        <v/>
      </c>
      <c r="D610">
        <f>IF($X610="","",INDEX('Per Line'!$G$2:$G$3001,$X610)&amp;"")</f>
        <v/>
      </c>
      <c r="E610">
        <f>IF($X610="","",INDEX('Per Line'!$I$2:$I$3001,$X610)&amp;"")</f>
        <v/>
      </c>
      <c r="F610">
        <f>IF($X610="","",INDEX('Per Line'!$J$2:$J$3001,$X610)&amp;"")</f>
        <v/>
      </c>
      <c r="G610">
        <f>IF($X610="","",INDEX('Per Line'!$K$2:$K$3001,$X610)&amp;"")</f>
        <v/>
      </c>
      <c r="H610">
        <f>IF($X610="","",INDEX('Per Line'!$M$2:$M$3001,$X610))</f>
        <v/>
      </c>
      <c r="I610" s="7">
        <f>IF($X610="","",H610*V610/100)</f>
        <v/>
      </c>
      <c r="J610">
        <f>IF($X610="","",INDEX('Per Line'!$W$2:$W$3001,$X610)&amp;"")</f>
        <v/>
      </c>
      <c r="K610">
        <f>IF($X610="","",INDEX('Per Line'!$AD$2:$AD$3001,$X610))</f>
        <v/>
      </c>
      <c r="L610">
        <f>IF($X610="","",IF(AND(ISNUMBER(K610),K610&gt;0),V610&gt;K610,FALSE))</f>
        <v/>
      </c>
      <c r="M610" s="7">
        <f>IF($X610="","",SUMIFS('Per Line'!$V$2:$V$3001,'Per Line'!$D$2:$D$3001,$B610,'Per Line'!$AN$2:$AN$3001,1))</f>
        <v/>
      </c>
      <c r="N610">
        <f>IF($X610="","",Settings!$C$7)</f>
        <v/>
      </c>
      <c r="O610" s="7">
        <f>IF($X610="","",SUMIFS('Per Line'!$V$2:$V$3001,'Per Line'!$D$2:$D$3001,$B610,'Per Line'!$AM$2:$AM$3001,0,'Per Line'!$AN$2:$AN$3001,0))</f>
        <v/>
      </c>
      <c r="P610" s="7">
        <f>IF($X610="","",O610*N610)</f>
        <v/>
      </c>
      <c r="Q610">
        <f>IF($X610="","",Settings!$C$6)</f>
        <v/>
      </c>
      <c r="R610" s="7">
        <f>IF($X610="","",SUMIFS('Per Line'!$V$2:$V$3001,'Per Line'!$D$2:$D$3001,$B610,'Per Line'!$AM$2:$AM$3001,1,'Per Line'!$AN$2:$AN$3001,0))</f>
        <v/>
      </c>
      <c r="S610" s="7">
        <f>IF($X610="","",R610*Q610)</f>
        <v/>
      </c>
      <c r="T610" s="7">
        <f>IF($X610="","",S610+P610)</f>
        <v/>
      </c>
      <c r="U610" s="7">
        <f>IF($X610="","",V610-T610)</f>
        <v/>
      </c>
      <c r="V610" s="7">
        <f>IF($X610="","",O610+R610+M610)</f>
        <v/>
      </c>
      <c r="W610" s="7">
        <f>IF($X610="","",V610-T610-I610)</f>
        <v/>
      </c>
      <c r="X610" s="13">
        <f>IF(ROWS($X$2:$X610)&lt;=MAX('Per Line'!$AL$2:$AL$3001),MATCH(ROWS($X$2:$X610),'Per Line'!$AL$2:$AL$3001,0),"")</f>
        <v/>
      </c>
    </row>
    <row r="611">
      <c r="A611" s="12" t="n"/>
      <c r="B611">
        <f>IF($X611="","",INDEX('Per Line'!$D$2:$D$3001,$X611)&amp;"")</f>
        <v/>
      </c>
      <c r="C611" s="11">
        <f>IF($X611="","",INDEX('Per Line'!$F$2:$F$3001,$X611))</f>
        <v/>
      </c>
      <c r="D611">
        <f>IF($X611="","",INDEX('Per Line'!$G$2:$G$3001,$X611)&amp;"")</f>
        <v/>
      </c>
      <c r="E611">
        <f>IF($X611="","",INDEX('Per Line'!$I$2:$I$3001,$X611)&amp;"")</f>
        <v/>
      </c>
      <c r="F611">
        <f>IF($X611="","",INDEX('Per Line'!$J$2:$J$3001,$X611)&amp;"")</f>
        <v/>
      </c>
      <c r="G611">
        <f>IF($X611="","",INDEX('Per Line'!$K$2:$K$3001,$X611)&amp;"")</f>
        <v/>
      </c>
      <c r="H611">
        <f>IF($X611="","",INDEX('Per Line'!$M$2:$M$3001,$X611))</f>
        <v/>
      </c>
      <c r="I611" s="7">
        <f>IF($X611="","",H611*V611/100)</f>
        <v/>
      </c>
      <c r="J611">
        <f>IF($X611="","",INDEX('Per Line'!$W$2:$W$3001,$X611)&amp;"")</f>
        <v/>
      </c>
      <c r="K611">
        <f>IF($X611="","",INDEX('Per Line'!$AD$2:$AD$3001,$X611))</f>
        <v/>
      </c>
      <c r="L611">
        <f>IF($X611="","",IF(AND(ISNUMBER(K611),K611&gt;0),V611&gt;K611,FALSE))</f>
        <v/>
      </c>
      <c r="M611" s="7">
        <f>IF($X611="","",SUMIFS('Per Line'!$V$2:$V$3001,'Per Line'!$D$2:$D$3001,$B611,'Per Line'!$AN$2:$AN$3001,1))</f>
        <v/>
      </c>
      <c r="N611">
        <f>IF($X611="","",Settings!$C$7)</f>
        <v/>
      </c>
      <c r="O611" s="7">
        <f>IF($X611="","",SUMIFS('Per Line'!$V$2:$V$3001,'Per Line'!$D$2:$D$3001,$B611,'Per Line'!$AM$2:$AM$3001,0,'Per Line'!$AN$2:$AN$3001,0))</f>
        <v/>
      </c>
      <c r="P611" s="7">
        <f>IF($X611="","",O611*N611)</f>
        <v/>
      </c>
      <c r="Q611">
        <f>IF($X611="","",Settings!$C$6)</f>
        <v/>
      </c>
      <c r="R611" s="7">
        <f>IF($X611="","",SUMIFS('Per Line'!$V$2:$V$3001,'Per Line'!$D$2:$D$3001,$B611,'Per Line'!$AM$2:$AM$3001,1,'Per Line'!$AN$2:$AN$3001,0))</f>
        <v/>
      </c>
      <c r="S611" s="7">
        <f>IF($X611="","",R611*Q611)</f>
        <v/>
      </c>
      <c r="T611" s="7">
        <f>IF($X611="","",S611+P611)</f>
        <v/>
      </c>
      <c r="U611" s="7">
        <f>IF($X611="","",V611-T611)</f>
        <v/>
      </c>
      <c r="V611" s="7">
        <f>IF($X611="","",O611+R611+M611)</f>
        <v/>
      </c>
      <c r="W611" s="7">
        <f>IF($X611="","",V611-T611-I611)</f>
        <v/>
      </c>
      <c r="X611" s="13">
        <f>IF(ROWS($X$2:$X611)&lt;=MAX('Per Line'!$AL$2:$AL$3001),MATCH(ROWS($X$2:$X611),'Per Line'!$AL$2:$AL$3001,0),"")</f>
        <v/>
      </c>
    </row>
    <row r="612">
      <c r="A612" s="12" t="n"/>
      <c r="B612">
        <f>IF($X612="","",INDEX('Per Line'!$D$2:$D$3001,$X612)&amp;"")</f>
        <v/>
      </c>
      <c r="C612" s="11">
        <f>IF($X612="","",INDEX('Per Line'!$F$2:$F$3001,$X612))</f>
        <v/>
      </c>
      <c r="D612">
        <f>IF($X612="","",INDEX('Per Line'!$G$2:$G$3001,$X612)&amp;"")</f>
        <v/>
      </c>
      <c r="E612">
        <f>IF($X612="","",INDEX('Per Line'!$I$2:$I$3001,$X612)&amp;"")</f>
        <v/>
      </c>
      <c r="F612">
        <f>IF($X612="","",INDEX('Per Line'!$J$2:$J$3001,$X612)&amp;"")</f>
        <v/>
      </c>
      <c r="G612">
        <f>IF($X612="","",INDEX('Per Line'!$K$2:$K$3001,$X612)&amp;"")</f>
        <v/>
      </c>
      <c r="H612">
        <f>IF($X612="","",INDEX('Per Line'!$M$2:$M$3001,$X612))</f>
        <v/>
      </c>
      <c r="I612" s="7">
        <f>IF($X612="","",H612*V612/100)</f>
        <v/>
      </c>
      <c r="J612">
        <f>IF($X612="","",INDEX('Per Line'!$W$2:$W$3001,$X612)&amp;"")</f>
        <v/>
      </c>
      <c r="K612">
        <f>IF($X612="","",INDEX('Per Line'!$AD$2:$AD$3001,$X612))</f>
        <v/>
      </c>
      <c r="L612">
        <f>IF($X612="","",IF(AND(ISNUMBER(K612),K612&gt;0),V612&gt;K612,FALSE))</f>
        <v/>
      </c>
      <c r="M612" s="7">
        <f>IF($X612="","",SUMIFS('Per Line'!$V$2:$V$3001,'Per Line'!$D$2:$D$3001,$B612,'Per Line'!$AN$2:$AN$3001,1))</f>
        <v/>
      </c>
      <c r="N612">
        <f>IF($X612="","",Settings!$C$7)</f>
        <v/>
      </c>
      <c r="O612" s="7">
        <f>IF($X612="","",SUMIFS('Per Line'!$V$2:$V$3001,'Per Line'!$D$2:$D$3001,$B612,'Per Line'!$AM$2:$AM$3001,0,'Per Line'!$AN$2:$AN$3001,0))</f>
        <v/>
      </c>
      <c r="P612" s="7">
        <f>IF($X612="","",O612*N612)</f>
        <v/>
      </c>
      <c r="Q612">
        <f>IF($X612="","",Settings!$C$6)</f>
        <v/>
      </c>
      <c r="R612" s="7">
        <f>IF($X612="","",SUMIFS('Per Line'!$V$2:$V$3001,'Per Line'!$D$2:$D$3001,$B612,'Per Line'!$AM$2:$AM$3001,1,'Per Line'!$AN$2:$AN$3001,0))</f>
        <v/>
      </c>
      <c r="S612" s="7">
        <f>IF($X612="","",R612*Q612)</f>
        <v/>
      </c>
      <c r="T612" s="7">
        <f>IF($X612="","",S612+P612)</f>
        <v/>
      </c>
      <c r="U612" s="7">
        <f>IF($X612="","",V612-T612)</f>
        <v/>
      </c>
      <c r="V612" s="7">
        <f>IF($X612="","",O612+R612+M612)</f>
        <v/>
      </c>
      <c r="W612" s="7">
        <f>IF($X612="","",V612-T612-I612)</f>
        <v/>
      </c>
      <c r="X612" s="13">
        <f>IF(ROWS($X$2:$X612)&lt;=MAX('Per Line'!$AL$2:$AL$3001),MATCH(ROWS($X$2:$X612),'Per Line'!$AL$2:$AL$3001,0),"")</f>
        <v/>
      </c>
    </row>
    <row r="613">
      <c r="A613" s="12" t="n"/>
      <c r="B613">
        <f>IF($X613="","",INDEX('Per Line'!$D$2:$D$3001,$X613)&amp;"")</f>
        <v/>
      </c>
      <c r="C613" s="11">
        <f>IF($X613="","",INDEX('Per Line'!$F$2:$F$3001,$X613))</f>
        <v/>
      </c>
      <c r="D613">
        <f>IF($X613="","",INDEX('Per Line'!$G$2:$G$3001,$X613)&amp;"")</f>
        <v/>
      </c>
      <c r="E613">
        <f>IF($X613="","",INDEX('Per Line'!$I$2:$I$3001,$X613)&amp;"")</f>
        <v/>
      </c>
      <c r="F613">
        <f>IF($X613="","",INDEX('Per Line'!$J$2:$J$3001,$X613)&amp;"")</f>
        <v/>
      </c>
      <c r="G613">
        <f>IF($X613="","",INDEX('Per Line'!$K$2:$K$3001,$X613)&amp;"")</f>
        <v/>
      </c>
      <c r="H613">
        <f>IF($X613="","",INDEX('Per Line'!$M$2:$M$3001,$X613))</f>
        <v/>
      </c>
      <c r="I613" s="7">
        <f>IF($X613="","",H613*V613/100)</f>
        <v/>
      </c>
      <c r="J613">
        <f>IF($X613="","",INDEX('Per Line'!$W$2:$W$3001,$X613)&amp;"")</f>
        <v/>
      </c>
      <c r="K613">
        <f>IF($X613="","",INDEX('Per Line'!$AD$2:$AD$3001,$X613))</f>
        <v/>
      </c>
      <c r="L613">
        <f>IF($X613="","",IF(AND(ISNUMBER(K613),K613&gt;0),V613&gt;K613,FALSE))</f>
        <v/>
      </c>
      <c r="M613" s="7">
        <f>IF($X613="","",SUMIFS('Per Line'!$V$2:$V$3001,'Per Line'!$D$2:$D$3001,$B613,'Per Line'!$AN$2:$AN$3001,1))</f>
        <v/>
      </c>
      <c r="N613">
        <f>IF($X613="","",Settings!$C$7)</f>
        <v/>
      </c>
      <c r="O613" s="7">
        <f>IF($X613="","",SUMIFS('Per Line'!$V$2:$V$3001,'Per Line'!$D$2:$D$3001,$B613,'Per Line'!$AM$2:$AM$3001,0,'Per Line'!$AN$2:$AN$3001,0))</f>
        <v/>
      </c>
      <c r="P613" s="7">
        <f>IF($X613="","",O613*N613)</f>
        <v/>
      </c>
      <c r="Q613">
        <f>IF($X613="","",Settings!$C$6)</f>
        <v/>
      </c>
      <c r="R613" s="7">
        <f>IF($X613="","",SUMIFS('Per Line'!$V$2:$V$3001,'Per Line'!$D$2:$D$3001,$B613,'Per Line'!$AM$2:$AM$3001,1,'Per Line'!$AN$2:$AN$3001,0))</f>
        <v/>
      </c>
      <c r="S613" s="7">
        <f>IF($X613="","",R613*Q613)</f>
        <v/>
      </c>
      <c r="T613" s="7">
        <f>IF($X613="","",S613+P613)</f>
        <v/>
      </c>
      <c r="U613" s="7">
        <f>IF($X613="","",V613-T613)</f>
        <v/>
      </c>
      <c r="V613" s="7">
        <f>IF($X613="","",O613+R613+M613)</f>
        <v/>
      </c>
      <c r="W613" s="7">
        <f>IF($X613="","",V613-T613-I613)</f>
        <v/>
      </c>
      <c r="X613" s="13">
        <f>IF(ROWS($X$2:$X613)&lt;=MAX('Per Line'!$AL$2:$AL$3001),MATCH(ROWS($X$2:$X613),'Per Line'!$AL$2:$AL$3001,0),"")</f>
        <v/>
      </c>
    </row>
    <row r="614">
      <c r="A614" s="12" t="n"/>
      <c r="B614">
        <f>IF($X614="","",INDEX('Per Line'!$D$2:$D$3001,$X614)&amp;"")</f>
        <v/>
      </c>
      <c r="C614" s="11">
        <f>IF($X614="","",INDEX('Per Line'!$F$2:$F$3001,$X614))</f>
        <v/>
      </c>
      <c r="D614">
        <f>IF($X614="","",INDEX('Per Line'!$G$2:$G$3001,$X614)&amp;"")</f>
        <v/>
      </c>
      <c r="E614">
        <f>IF($X614="","",INDEX('Per Line'!$I$2:$I$3001,$X614)&amp;"")</f>
        <v/>
      </c>
      <c r="F614">
        <f>IF($X614="","",INDEX('Per Line'!$J$2:$J$3001,$X614)&amp;"")</f>
        <v/>
      </c>
      <c r="G614">
        <f>IF($X614="","",INDEX('Per Line'!$K$2:$K$3001,$X614)&amp;"")</f>
        <v/>
      </c>
      <c r="H614">
        <f>IF($X614="","",INDEX('Per Line'!$M$2:$M$3001,$X614))</f>
        <v/>
      </c>
      <c r="I614" s="7">
        <f>IF($X614="","",H614*V614/100)</f>
        <v/>
      </c>
      <c r="J614">
        <f>IF($X614="","",INDEX('Per Line'!$W$2:$W$3001,$X614)&amp;"")</f>
        <v/>
      </c>
      <c r="K614">
        <f>IF($X614="","",INDEX('Per Line'!$AD$2:$AD$3001,$X614))</f>
        <v/>
      </c>
      <c r="L614">
        <f>IF($X614="","",IF(AND(ISNUMBER(K614),K614&gt;0),V614&gt;K614,FALSE))</f>
        <v/>
      </c>
      <c r="M614" s="7">
        <f>IF($X614="","",SUMIFS('Per Line'!$V$2:$V$3001,'Per Line'!$D$2:$D$3001,$B614,'Per Line'!$AN$2:$AN$3001,1))</f>
        <v/>
      </c>
      <c r="N614">
        <f>IF($X614="","",Settings!$C$7)</f>
        <v/>
      </c>
      <c r="O614" s="7">
        <f>IF($X614="","",SUMIFS('Per Line'!$V$2:$V$3001,'Per Line'!$D$2:$D$3001,$B614,'Per Line'!$AM$2:$AM$3001,0,'Per Line'!$AN$2:$AN$3001,0))</f>
        <v/>
      </c>
      <c r="P614" s="7">
        <f>IF($X614="","",O614*N614)</f>
        <v/>
      </c>
      <c r="Q614">
        <f>IF($X614="","",Settings!$C$6)</f>
        <v/>
      </c>
      <c r="R614" s="7">
        <f>IF($X614="","",SUMIFS('Per Line'!$V$2:$V$3001,'Per Line'!$D$2:$D$3001,$B614,'Per Line'!$AM$2:$AM$3001,1,'Per Line'!$AN$2:$AN$3001,0))</f>
        <v/>
      </c>
      <c r="S614" s="7">
        <f>IF($X614="","",R614*Q614)</f>
        <v/>
      </c>
      <c r="T614" s="7">
        <f>IF($X614="","",S614+P614)</f>
        <v/>
      </c>
      <c r="U614" s="7">
        <f>IF($X614="","",V614-T614)</f>
        <v/>
      </c>
      <c r="V614" s="7">
        <f>IF($X614="","",O614+R614+M614)</f>
        <v/>
      </c>
      <c r="W614" s="7">
        <f>IF($X614="","",V614-T614-I614)</f>
        <v/>
      </c>
      <c r="X614" s="13">
        <f>IF(ROWS($X$2:$X614)&lt;=MAX('Per Line'!$AL$2:$AL$3001),MATCH(ROWS($X$2:$X614),'Per Line'!$AL$2:$AL$3001,0),"")</f>
        <v/>
      </c>
    </row>
    <row r="615">
      <c r="A615" s="12" t="n"/>
      <c r="B615">
        <f>IF($X615="","",INDEX('Per Line'!$D$2:$D$3001,$X615)&amp;"")</f>
        <v/>
      </c>
      <c r="C615" s="11">
        <f>IF($X615="","",INDEX('Per Line'!$F$2:$F$3001,$X615))</f>
        <v/>
      </c>
      <c r="D615">
        <f>IF($X615="","",INDEX('Per Line'!$G$2:$G$3001,$X615)&amp;"")</f>
        <v/>
      </c>
      <c r="E615">
        <f>IF($X615="","",INDEX('Per Line'!$I$2:$I$3001,$X615)&amp;"")</f>
        <v/>
      </c>
      <c r="F615">
        <f>IF($X615="","",INDEX('Per Line'!$J$2:$J$3001,$X615)&amp;"")</f>
        <v/>
      </c>
      <c r="G615">
        <f>IF($X615="","",INDEX('Per Line'!$K$2:$K$3001,$X615)&amp;"")</f>
        <v/>
      </c>
      <c r="H615">
        <f>IF($X615="","",INDEX('Per Line'!$M$2:$M$3001,$X615))</f>
        <v/>
      </c>
      <c r="I615" s="7">
        <f>IF($X615="","",H615*V615/100)</f>
        <v/>
      </c>
      <c r="J615">
        <f>IF($X615="","",INDEX('Per Line'!$W$2:$W$3001,$X615)&amp;"")</f>
        <v/>
      </c>
      <c r="K615">
        <f>IF($X615="","",INDEX('Per Line'!$AD$2:$AD$3001,$X615))</f>
        <v/>
      </c>
      <c r="L615">
        <f>IF($X615="","",IF(AND(ISNUMBER(K615),K615&gt;0),V615&gt;K615,FALSE))</f>
        <v/>
      </c>
      <c r="M615" s="7">
        <f>IF($X615="","",SUMIFS('Per Line'!$V$2:$V$3001,'Per Line'!$D$2:$D$3001,$B615,'Per Line'!$AN$2:$AN$3001,1))</f>
        <v/>
      </c>
      <c r="N615">
        <f>IF($X615="","",Settings!$C$7)</f>
        <v/>
      </c>
      <c r="O615" s="7">
        <f>IF($X615="","",SUMIFS('Per Line'!$V$2:$V$3001,'Per Line'!$D$2:$D$3001,$B615,'Per Line'!$AM$2:$AM$3001,0,'Per Line'!$AN$2:$AN$3001,0))</f>
        <v/>
      </c>
      <c r="P615" s="7">
        <f>IF($X615="","",O615*N615)</f>
        <v/>
      </c>
      <c r="Q615">
        <f>IF($X615="","",Settings!$C$6)</f>
        <v/>
      </c>
      <c r="R615" s="7">
        <f>IF($X615="","",SUMIFS('Per Line'!$V$2:$V$3001,'Per Line'!$D$2:$D$3001,$B615,'Per Line'!$AM$2:$AM$3001,1,'Per Line'!$AN$2:$AN$3001,0))</f>
        <v/>
      </c>
      <c r="S615" s="7">
        <f>IF($X615="","",R615*Q615)</f>
        <v/>
      </c>
      <c r="T615" s="7">
        <f>IF($X615="","",S615+P615)</f>
        <v/>
      </c>
      <c r="U615" s="7">
        <f>IF($X615="","",V615-T615)</f>
        <v/>
      </c>
      <c r="V615" s="7">
        <f>IF($X615="","",O615+R615+M615)</f>
        <v/>
      </c>
      <c r="W615" s="7">
        <f>IF($X615="","",V615-T615-I615)</f>
        <v/>
      </c>
      <c r="X615" s="13">
        <f>IF(ROWS($X$2:$X615)&lt;=MAX('Per Line'!$AL$2:$AL$3001),MATCH(ROWS($X$2:$X615),'Per Line'!$AL$2:$AL$3001,0),"")</f>
        <v/>
      </c>
    </row>
    <row r="616">
      <c r="A616" s="12" t="n"/>
      <c r="B616">
        <f>IF($X616="","",INDEX('Per Line'!$D$2:$D$3001,$X616)&amp;"")</f>
        <v/>
      </c>
      <c r="C616" s="11">
        <f>IF($X616="","",INDEX('Per Line'!$F$2:$F$3001,$X616))</f>
        <v/>
      </c>
      <c r="D616">
        <f>IF($X616="","",INDEX('Per Line'!$G$2:$G$3001,$X616)&amp;"")</f>
        <v/>
      </c>
      <c r="E616">
        <f>IF($X616="","",INDEX('Per Line'!$I$2:$I$3001,$X616)&amp;"")</f>
        <v/>
      </c>
      <c r="F616">
        <f>IF($X616="","",INDEX('Per Line'!$J$2:$J$3001,$X616)&amp;"")</f>
        <v/>
      </c>
      <c r="G616">
        <f>IF($X616="","",INDEX('Per Line'!$K$2:$K$3001,$X616)&amp;"")</f>
        <v/>
      </c>
      <c r="H616">
        <f>IF($X616="","",INDEX('Per Line'!$M$2:$M$3001,$X616))</f>
        <v/>
      </c>
      <c r="I616" s="7">
        <f>IF($X616="","",H616*V616/100)</f>
        <v/>
      </c>
      <c r="J616">
        <f>IF($X616="","",INDEX('Per Line'!$W$2:$W$3001,$X616)&amp;"")</f>
        <v/>
      </c>
      <c r="K616">
        <f>IF($X616="","",INDEX('Per Line'!$AD$2:$AD$3001,$X616))</f>
        <v/>
      </c>
      <c r="L616">
        <f>IF($X616="","",IF(AND(ISNUMBER(K616),K616&gt;0),V616&gt;K616,FALSE))</f>
        <v/>
      </c>
      <c r="M616" s="7">
        <f>IF($X616="","",SUMIFS('Per Line'!$V$2:$V$3001,'Per Line'!$D$2:$D$3001,$B616,'Per Line'!$AN$2:$AN$3001,1))</f>
        <v/>
      </c>
      <c r="N616">
        <f>IF($X616="","",Settings!$C$7)</f>
        <v/>
      </c>
      <c r="O616" s="7">
        <f>IF($X616="","",SUMIFS('Per Line'!$V$2:$V$3001,'Per Line'!$D$2:$D$3001,$B616,'Per Line'!$AM$2:$AM$3001,0,'Per Line'!$AN$2:$AN$3001,0))</f>
        <v/>
      </c>
      <c r="P616" s="7">
        <f>IF($X616="","",O616*N616)</f>
        <v/>
      </c>
      <c r="Q616">
        <f>IF($X616="","",Settings!$C$6)</f>
        <v/>
      </c>
      <c r="R616" s="7">
        <f>IF($X616="","",SUMIFS('Per Line'!$V$2:$V$3001,'Per Line'!$D$2:$D$3001,$B616,'Per Line'!$AM$2:$AM$3001,1,'Per Line'!$AN$2:$AN$3001,0))</f>
        <v/>
      </c>
      <c r="S616" s="7">
        <f>IF($X616="","",R616*Q616)</f>
        <v/>
      </c>
      <c r="T616" s="7">
        <f>IF($X616="","",S616+P616)</f>
        <v/>
      </c>
      <c r="U616" s="7">
        <f>IF($X616="","",V616-T616)</f>
        <v/>
      </c>
      <c r="V616" s="7">
        <f>IF($X616="","",O616+R616+M616)</f>
        <v/>
      </c>
      <c r="W616" s="7">
        <f>IF($X616="","",V616-T616-I616)</f>
        <v/>
      </c>
      <c r="X616" s="13">
        <f>IF(ROWS($X$2:$X616)&lt;=MAX('Per Line'!$AL$2:$AL$3001),MATCH(ROWS($X$2:$X616),'Per Line'!$AL$2:$AL$3001,0),"")</f>
        <v/>
      </c>
    </row>
    <row r="617">
      <c r="A617" s="12" t="n"/>
      <c r="B617">
        <f>IF($X617="","",INDEX('Per Line'!$D$2:$D$3001,$X617)&amp;"")</f>
        <v/>
      </c>
      <c r="C617" s="11">
        <f>IF($X617="","",INDEX('Per Line'!$F$2:$F$3001,$X617))</f>
        <v/>
      </c>
      <c r="D617">
        <f>IF($X617="","",INDEX('Per Line'!$G$2:$G$3001,$X617)&amp;"")</f>
        <v/>
      </c>
      <c r="E617">
        <f>IF($X617="","",INDEX('Per Line'!$I$2:$I$3001,$X617)&amp;"")</f>
        <v/>
      </c>
      <c r="F617">
        <f>IF($X617="","",INDEX('Per Line'!$J$2:$J$3001,$X617)&amp;"")</f>
        <v/>
      </c>
      <c r="G617">
        <f>IF($X617="","",INDEX('Per Line'!$K$2:$K$3001,$X617)&amp;"")</f>
        <v/>
      </c>
      <c r="H617">
        <f>IF($X617="","",INDEX('Per Line'!$M$2:$M$3001,$X617))</f>
        <v/>
      </c>
      <c r="I617" s="7">
        <f>IF($X617="","",H617*V617/100)</f>
        <v/>
      </c>
      <c r="J617">
        <f>IF($X617="","",INDEX('Per Line'!$W$2:$W$3001,$X617)&amp;"")</f>
        <v/>
      </c>
      <c r="K617">
        <f>IF($X617="","",INDEX('Per Line'!$AD$2:$AD$3001,$X617))</f>
        <v/>
      </c>
      <c r="L617">
        <f>IF($X617="","",IF(AND(ISNUMBER(K617),K617&gt;0),V617&gt;K617,FALSE))</f>
        <v/>
      </c>
      <c r="M617" s="7">
        <f>IF($X617="","",SUMIFS('Per Line'!$V$2:$V$3001,'Per Line'!$D$2:$D$3001,$B617,'Per Line'!$AN$2:$AN$3001,1))</f>
        <v/>
      </c>
      <c r="N617">
        <f>IF($X617="","",Settings!$C$7)</f>
        <v/>
      </c>
      <c r="O617" s="7">
        <f>IF($X617="","",SUMIFS('Per Line'!$V$2:$V$3001,'Per Line'!$D$2:$D$3001,$B617,'Per Line'!$AM$2:$AM$3001,0,'Per Line'!$AN$2:$AN$3001,0))</f>
        <v/>
      </c>
      <c r="P617" s="7">
        <f>IF($X617="","",O617*N617)</f>
        <v/>
      </c>
      <c r="Q617">
        <f>IF($X617="","",Settings!$C$6)</f>
        <v/>
      </c>
      <c r="R617" s="7">
        <f>IF($X617="","",SUMIFS('Per Line'!$V$2:$V$3001,'Per Line'!$D$2:$D$3001,$B617,'Per Line'!$AM$2:$AM$3001,1,'Per Line'!$AN$2:$AN$3001,0))</f>
        <v/>
      </c>
      <c r="S617" s="7">
        <f>IF($X617="","",R617*Q617)</f>
        <v/>
      </c>
      <c r="T617" s="7">
        <f>IF($X617="","",S617+P617)</f>
        <v/>
      </c>
      <c r="U617" s="7">
        <f>IF($X617="","",V617-T617)</f>
        <v/>
      </c>
      <c r="V617" s="7">
        <f>IF($X617="","",O617+R617+M617)</f>
        <v/>
      </c>
      <c r="W617" s="7">
        <f>IF($X617="","",V617-T617-I617)</f>
        <v/>
      </c>
      <c r="X617" s="13">
        <f>IF(ROWS($X$2:$X617)&lt;=MAX('Per Line'!$AL$2:$AL$3001),MATCH(ROWS($X$2:$X617),'Per Line'!$AL$2:$AL$3001,0),"")</f>
        <v/>
      </c>
    </row>
    <row r="618">
      <c r="A618" s="12" t="n"/>
      <c r="B618">
        <f>IF($X618="","",INDEX('Per Line'!$D$2:$D$3001,$X618)&amp;"")</f>
        <v/>
      </c>
      <c r="C618" s="11">
        <f>IF($X618="","",INDEX('Per Line'!$F$2:$F$3001,$X618))</f>
        <v/>
      </c>
      <c r="D618">
        <f>IF($X618="","",INDEX('Per Line'!$G$2:$G$3001,$X618)&amp;"")</f>
        <v/>
      </c>
      <c r="E618">
        <f>IF($X618="","",INDEX('Per Line'!$I$2:$I$3001,$X618)&amp;"")</f>
        <v/>
      </c>
      <c r="F618">
        <f>IF($X618="","",INDEX('Per Line'!$J$2:$J$3001,$X618)&amp;"")</f>
        <v/>
      </c>
      <c r="G618">
        <f>IF($X618="","",INDEX('Per Line'!$K$2:$K$3001,$X618)&amp;"")</f>
        <v/>
      </c>
      <c r="H618">
        <f>IF($X618="","",INDEX('Per Line'!$M$2:$M$3001,$X618))</f>
        <v/>
      </c>
      <c r="I618" s="7">
        <f>IF($X618="","",H618*V618/100)</f>
        <v/>
      </c>
      <c r="J618">
        <f>IF($X618="","",INDEX('Per Line'!$W$2:$W$3001,$X618)&amp;"")</f>
        <v/>
      </c>
      <c r="K618">
        <f>IF($X618="","",INDEX('Per Line'!$AD$2:$AD$3001,$X618))</f>
        <v/>
      </c>
      <c r="L618">
        <f>IF($X618="","",IF(AND(ISNUMBER(K618),K618&gt;0),V618&gt;K618,FALSE))</f>
        <v/>
      </c>
      <c r="M618" s="7">
        <f>IF($X618="","",SUMIFS('Per Line'!$V$2:$V$3001,'Per Line'!$D$2:$D$3001,$B618,'Per Line'!$AN$2:$AN$3001,1))</f>
        <v/>
      </c>
      <c r="N618">
        <f>IF($X618="","",Settings!$C$7)</f>
        <v/>
      </c>
      <c r="O618" s="7">
        <f>IF($X618="","",SUMIFS('Per Line'!$V$2:$V$3001,'Per Line'!$D$2:$D$3001,$B618,'Per Line'!$AM$2:$AM$3001,0,'Per Line'!$AN$2:$AN$3001,0))</f>
        <v/>
      </c>
      <c r="P618" s="7">
        <f>IF($X618="","",O618*N618)</f>
        <v/>
      </c>
      <c r="Q618">
        <f>IF($X618="","",Settings!$C$6)</f>
        <v/>
      </c>
      <c r="R618" s="7">
        <f>IF($X618="","",SUMIFS('Per Line'!$V$2:$V$3001,'Per Line'!$D$2:$D$3001,$B618,'Per Line'!$AM$2:$AM$3001,1,'Per Line'!$AN$2:$AN$3001,0))</f>
        <v/>
      </c>
      <c r="S618" s="7">
        <f>IF($X618="","",R618*Q618)</f>
        <v/>
      </c>
      <c r="T618" s="7">
        <f>IF($X618="","",S618+P618)</f>
        <v/>
      </c>
      <c r="U618" s="7">
        <f>IF($X618="","",V618-T618)</f>
        <v/>
      </c>
      <c r="V618" s="7">
        <f>IF($X618="","",O618+R618+M618)</f>
        <v/>
      </c>
      <c r="W618" s="7">
        <f>IF($X618="","",V618-T618-I618)</f>
        <v/>
      </c>
      <c r="X618" s="13">
        <f>IF(ROWS($X$2:$X618)&lt;=MAX('Per Line'!$AL$2:$AL$3001),MATCH(ROWS($X$2:$X618),'Per Line'!$AL$2:$AL$3001,0),"")</f>
        <v/>
      </c>
    </row>
    <row r="619">
      <c r="A619" s="12" t="n"/>
      <c r="B619">
        <f>IF($X619="","",INDEX('Per Line'!$D$2:$D$3001,$X619)&amp;"")</f>
        <v/>
      </c>
      <c r="C619" s="11">
        <f>IF($X619="","",INDEX('Per Line'!$F$2:$F$3001,$X619))</f>
        <v/>
      </c>
      <c r="D619">
        <f>IF($X619="","",INDEX('Per Line'!$G$2:$G$3001,$X619)&amp;"")</f>
        <v/>
      </c>
      <c r="E619">
        <f>IF($X619="","",INDEX('Per Line'!$I$2:$I$3001,$X619)&amp;"")</f>
        <v/>
      </c>
      <c r="F619">
        <f>IF($X619="","",INDEX('Per Line'!$J$2:$J$3001,$X619)&amp;"")</f>
        <v/>
      </c>
      <c r="G619">
        <f>IF($X619="","",INDEX('Per Line'!$K$2:$K$3001,$X619)&amp;"")</f>
        <v/>
      </c>
      <c r="H619">
        <f>IF($X619="","",INDEX('Per Line'!$M$2:$M$3001,$X619))</f>
        <v/>
      </c>
      <c r="I619" s="7">
        <f>IF($X619="","",H619*V619/100)</f>
        <v/>
      </c>
      <c r="J619">
        <f>IF($X619="","",INDEX('Per Line'!$W$2:$W$3001,$X619)&amp;"")</f>
        <v/>
      </c>
      <c r="K619">
        <f>IF($X619="","",INDEX('Per Line'!$AD$2:$AD$3001,$X619))</f>
        <v/>
      </c>
      <c r="L619">
        <f>IF($X619="","",IF(AND(ISNUMBER(K619),K619&gt;0),V619&gt;K619,FALSE))</f>
        <v/>
      </c>
      <c r="M619" s="7">
        <f>IF($X619="","",SUMIFS('Per Line'!$V$2:$V$3001,'Per Line'!$D$2:$D$3001,$B619,'Per Line'!$AN$2:$AN$3001,1))</f>
        <v/>
      </c>
      <c r="N619">
        <f>IF($X619="","",Settings!$C$7)</f>
        <v/>
      </c>
      <c r="O619" s="7">
        <f>IF($X619="","",SUMIFS('Per Line'!$V$2:$V$3001,'Per Line'!$D$2:$D$3001,$B619,'Per Line'!$AM$2:$AM$3001,0,'Per Line'!$AN$2:$AN$3001,0))</f>
        <v/>
      </c>
      <c r="P619" s="7">
        <f>IF($X619="","",O619*N619)</f>
        <v/>
      </c>
      <c r="Q619">
        <f>IF($X619="","",Settings!$C$6)</f>
        <v/>
      </c>
      <c r="R619" s="7">
        <f>IF($X619="","",SUMIFS('Per Line'!$V$2:$V$3001,'Per Line'!$D$2:$D$3001,$B619,'Per Line'!$AM$2:$AM$3001,1,'Per Line'!$AN$2:$AN$3001,0))</f>
        <v/>
      </c>
      <c r="S619" s="7">
        <f>IF($X619="","",R619*Q619)</f>
        <v/>
      </c>
      <c r="T619" s="7">
        <f>IF($X619="","",S619+P619)</f>
        <v/>
      </c>
      <c r="U619" s="7">
        <f>IF($X619="","",V619-T619)</f>
        <v/>
      </c>
      <c r="V619" s="7">
        <f>IF($X619="","",O619+R619+M619)</f>
        <v/>
      </c>
      <c r="W619" s="7">
        <f>IF($X619="","",V619-T619-I619)</f>
        <v/>
      </c>
      <c r="X619" s="13">
        <f>IF(ROWS($X$2:$X619)&lt;=MAX('Per Line'!$AL$2:$AL$3001),MATCH(ROWS($X$2:$X619),'Per Line'!$AL$2:$AL$3001,0),"")</f>
        <v/>
      </c>
    </row>
    <row r="620">
      <c r="A620" s="12" t="n"/>
      <c r="B620">
        <f>IF($X620="","",INDEX('Per Line'!$D$2:$D$3001,$X620)&amp;"")</f>
        <v/>
      </c>
      <c r="C620" s="11">
        <f>IF($X620="","",INDEX('Per Line'!$F$2:$F$3001,$X620))</f>
        <v/>
      </c>
      <c r="D620">
        <f>IF($X620="","",INDEX('Per Line'!$G$2:$G$3001,$X620)&amp;"")</f>
        <v/>
      </c>
      <c r="E620">
        <f>IF($X620="","",INDEX('Per Line'!$I$2:$I$3001,$X620)&amp;"")</f>
        <v/>
      </c>
      <c r="F620">
        <f>IF($X620="","",INDEX('Per Line'!$J$2:$J$3001,$X620)&amp;"")</f>
        <v/>
      </c>
      <c r="G620">
        <f>IF($X620="","",INDEX('Per Line'!$K$2:$K$3001,$X620)&amp;"")</f>
        <v/>
      </c>
      <c r="H620">
        <f>IF($X620="","",INDEX('Per Line'!$M$2:$M$3001,$X620))</f>
        <v/>
      </c>
      <c r="I620" s="7">
        <f>IF($X620="","",H620*V620/100)</f>
        <v/>
      </c>
      <c r="J620">
        <f>IF($X620="","",INDEX('Per Line'!$W$2:$W$3001,$X620)&amp;"")</f>
        <v/>
      </c>
      <c r="K620">
        <f>IF($X620="","",INDEX('Per Line'!$AD$2:$AD$3001,$X620))</f>
        <v/>
      </c>
      <c r="L620">
        <f>IF($X620="","",IF(AND(ISNUMBER(K620),K620&gt;0),V620&gt;K620,FALSE))</f>
        <v/>
      </c>
      <c r="M620" s="7">
        <f>IF($X620="","",SUMIFS('Per Line'!$V$2:$V$3001,'Per Line'!$D$2:$D$3001,$B620,'Per Line'!$AN$2:$AN$3001,1))</f>
        <v/>
      </c>
      <c r="N620">
        <f>IF($X620="","",Settings!$C$7)</f>
        <v/>
      </c>
      <c r="O620" s="7">
        <f>IF($X620="","",SUMIFS('Per Line'!$V$2:$V$3001,'Per Line'!$D$2:$D$3001,$B620,'Per Line'!$AM$2:$AM$3001,0,'Per Line'!$AN$2:$AN$3001,0))</f>
        <v/>
      </c>
      <c r="P620" s="7">
        <f>IF($X620="","",O620*N620)</f>
        <v/>
      </c>
      <c r="Q620">
        <f>IF($X620="","",Settings!$C$6)</f>
        <v/>
      </c>
      <c r="R620" s="7">
        <f>IF($X620="","",SUMIFS('Per Line'!$V$2:$V$3001,'Per Line'!$D$2:$D$3001,$B620,'Per Line'!$AM$2:$AM$3001,1,'Per Line'!$AN$2:$AN$3001,0))</f>
        <v/>
      </c>
      <c r="S620" s="7">
        <f>IF($X620="","",R620*Q620)</f>
        <v/>
      </c>
      <c r="T620" s="7">
        <f>IF($X620="","",S620+P620)</f>
        <v/>
      </c>
      <c r="U620" s="7">
        <f>IF($X620="","",V620-T620)</f>
        <v/>
      </c>
      <c r="V620" s="7">
        <f>IF($X620="","",O620+R620+M620)</f>
        <v/>
      </c>
      <c r="W620" s="7">
        <f>IF($X620="","",V620-T620-I620)</f>
        <v/>
      </c>
      <c r="X620" s="13">
        <f>IF(ROWS($X$2:$X620)&lt;=MAX('Per Line'!$AL$2:$AL$3001),MATCH(ROWS($X$2:$X620),'Per Line'!$AL$2:$AL$3001,0),"")</f>
        <v/>
      </c>
    </row>
    <row r="621">
      <c r="A621" s="12" t="n"/>
      <c r="B621">
        <f>IF($X621="","",INDEX('Per Line'!$D$2:$D$3001,$X621)&amp;"")</f>
        <v/>
      </c>
      <c r="C621" s="11">
        <f>IF($X621="","",INDEX('Per Line'!$F$2:$F$3001,$X621))</f>
        <v/>
      </c>
      <c r="D621">
        <f>IF($X621="","",INDEX('Per Line'!$G$2:$G$3001,$X621)&amp;"")</f>
        <v/>
      </c>
      <c r="E621">
        <f>IF($X621="","",INDEX('Per Line'!$I$2:$I$3001,$X621)&amp;"")</f>
        <v/>
      </c>
      <c r="F621">
        <f>IF($X621="","",INDEX('Per Line'!$J$2:$J$3001,$X621)&amp;"")</f>
        <v/>
      </c>
      <c r="G621">
        <f>IF($X621="","",INDEX('Per Line'!$K$2:$K$3001,$X621)&amp;"")</f>
        <v/>
      </c>
      <c r="H621">
        <f>IF($X621="","",INDEX('Per Line'!$M$2:$M$3001,$X621))</f>
        <v/>
      </c>
      <c r="I621" s="7">
        <f>IF($X621="","",H621*V621/100)</f>
        <v/>
      </c>
      <c r="J621">
        <f>IF($X621="","",INDEX('Per Line'!$W$2:$W$3001,$X621)&amp;"")</f>
        <v/>
      </c>
      <c r="K621">
        <f>IF($X621="","",INDEX('Per Line'!$AD$2:$AD$3001,$X621))</f>
        <v/>
      </c>
      <c r="L621">
        <f>IF($X621="","",IF(AND(ISNUMBER(K621),K621&gt;0),V621&gt;K621,FALSE))</f>
        <v/>
      </c>
      <c r="M621" s="7">
        <f>IF($X621="","",SUMIFS('Per Line'!$V$2:$V$3001,'Per Line'!$D$2:$D$3001,$B621,'Per Line'!$AN$2:$AN$3001,1))</f>
        <v/>
      </c>
      <c r="N621">
        <f>IF($X621="","",Settings!$C$7)</f>
        <v/>
      </c>
      <c r="O621" s="7">
        <f>IF($X621="","",SUMIFS('Per Line'!$V$2:$V$3001,'Per Line'!$D$2:$D$3001,$B621,'Per Line'!$AM$2:$AM$3001,0,'Per Line'!$AN$2:$AN$3001,0))</f>
        <v/>
      </c>
      <c r="P621" s="7">
        <f>IF($X621="","",O621*N621)</f>
        <v/>
      </c>
      <c r="Q621">
        <f>IF($X621="","",Settings!$C$6)</f>
        <v/>
      </c>
      <c r="R621" s="7">
        <f>IF($X621="","",SUMIFS('Per Line'!$V$2:$V$3001,'Per Line'!$D$2:$D$3001,$B621,'Per Line'!$AM$2:$AM$3001,1,'Per Line'!$AN$2:$AN$3001,0))</f>
        <v/>
      </c>
      <c r="S621" s="7">
        <f>IF($X621="","",R621*Q621)</f>
        <v/>
      </c>
      <c r="T621" s="7">
        <f>IF($X621="","",S621+P621)</f>
        <v/>
      </c>
      <c r="U621" s="7">
        <f>IF($X621="","",V621-T621)</f>
        <v/>
      </c>
      <c r="V621" s="7">
        <f>IF($X621="","",O621+R621+M621)</f>
        <v/>
      </c>
      <c r="W621" s="7">
        <f>IF($X621="","",V621-T621-I621)</f>
        <v/>
      </c>
      <c r="X621" s="13">
        <f>IF(ROWS($X$2:$X621)&lt;=MAX('Per Line'!$AL$2:$AL$3001),MATCH(ROWS($X$2:$X621),'Per Line'!$AL$2:$AL$3001,0),"")</f>
        <v/>
      </c>
    </row>
    <row r="622">
      <c r="A622" s="12" t="n"/>
      <c r="B622">
        <f>IF($X622="","",INDEX('Per Line'!$D$2:$D$3001,$X622)&amp;"")</f>
        <v/>
      </c>
      <c r="C622" s="11">
        <f>IF($X622="","",INDEX('Per Line'!$F$2:$F$3001,$X622))</f>
        <v/>
      </c>
      <c r="D622">
        <f>IF($X622="","",INDEX('Per Line'!$G$2:$G$3001,$X622)&amp;"")</f>
        <v/>
      </c>
      <c r="E622">
        <f>IF($X622="","",INDEX('Per Line'!$I$2:$I$3001,$X622)&amp;"")</f>
        <v/>
      </c>
      <c r="F622">
        <f>IF($X622="","",INDEX('Per Line'!$J$2:$J$3001,$X622)&amp;"")</f>
        <v/>
      </c>
      <c r="G622">
        <f>IF($X622="","",INDEX('Per Line'!$K$2:$K$3001,$X622)&amp;"")</f>
        <v/>
      </c>
      <c r="H622">
        <f>IF($X622="","",INDEX('Per Line'!$M$2:$M$3001,$X622))</f>
        <v/>
      </c>
      <c r="I622" s="7">
        <f>IF($X622="","",H622*V622/100)</f>
        <v/>
      </c>
      <c r="J622">
        <f>IF($X622="","",INDEX('Per Line'!$W$2:$W$3001,$X622)&amp;"")</f>
        <v/>
      </c>
      <c r="K622">
        <f>IF($X622="","",INDEX('Per Line'!$AD$2:$AD$3001,$X622))</f>
        <v/>
      </c>
      <c r="L622">
        <f>IF($X622="","",IF(AND(ISNUMBER(K622),K622&gt;0),V622&gt;K622,FALSE))</f>
        <v/>
      </c>
      <c r="M622" s="7">
        <f>IF($X622="","",SUMIFS('Per Line'!$V$2:$V$3001,'Per Line'!$D$2:$D$3001,$B622,'Per Line'!$AN$2:$AN$3001,1))</f>
        <v/>
      </c>
      <c r="N622">
        <f>IF($X622="","",Settings!$C$7)</f>
        <v/>
      </c>
      <c r="O622" s="7">
        <f>IF($X622="","",SUMIFS('Per Line'!$V$2:$V$3001,'Per Line'!$D$2:$D$3001,$B622,'Per Line'!$AM$2:$AM$3001,0,'Per Line'!$AN$2:$AN$3001,0))</f>
        <v/>
      </c>
      <c r="P622" s="7">
        <f>IF($X622="","",O622*N622)</f>
        <v/>
      </c>
      <c r="Q622">
        <f>IF($X622="","",Settings!$C$6)</f>
        <v/>
      </c>
      <c r="R622" s="7">
        <f>IF($X622="","",SUMIFS('Per Line'!$V$2:$V$3001,'Per Line'!$D$2:$D$3001,$B622,'Per Line'!$AM$2:$AM$3001,1,'Per Line'!$AN$2:$AN$3001,0))</f>
        <v/>
      </c>
      <c r="S622" s="7">
        <f>IF($X622="","",R622*Q622)</f>
        <v/>
      </c>
      <c r="T622" s="7">
        <f>IF($X622="","",S622+P622)</f>
        <v/>
      </c>
      <c r="U622" s="7">
        <f>IF($X622="","",V622-T622)</f>
        <v/>
      </c>
      <c r="V622" s="7">
        <f>IF($X622="","",O622+R622+M622)</f>
        <v/>
      </c>
      <c r="W622" s="7">
        <f>IF($X622="","",V622-T622-I622)</f>
        <v/>
      </c>
      <c r="X622" s="13">
        <f>IF(ROWS($X$2:$X622)&lt;=MAX('Per Line'!$AL$2:$AL$3001),MATCH(ROWS($X$2:$X622),'Per Line'!$AL$2:$AL$3001,0),"")</f>
        <v/>
      </c>
    </row>
    <row r="623">
      <c r="A623" s="12" t="n"/>
      <c r="B623">
        <f>IF($X623="","",INDEX('Per Line'!$D$2:$D$3001,$X623)&amp;"")</f>
        <v/>
      </c>
      <c r="C623" s="11">
        <f>IF($X623="","",INDEX('Per Line'!$F$2:$F$3001,$X623))</f>
        <v/>
      </c>
      <c r="D623">
        <f>IF($X623="","",INDEX('Per Line'!$G$2:$G$3001,$X623)&amp;"")</f>
        <v/>
      </c>
      <c r="E623">
        <f>IF($X623="","",INDEX('Per Line'!$I$2:$I$3001,$X623)&amp;"")</f>
        <v/>
      </c>
      <c r="F623">
        <f>IF($X623="","",INDEX('Per Line'!$J$2:$J$3001,$X623)&amp;"")</f>
        <v/>
      </c>
      <c r="G623">
        <f>IF($X623="","",INDEX('Per Line'!$K$2:$K$3001,$X623)&amp;"")</f>
        <v/>
      </c>
      <c r="H623">
        <f>IF($X623="","",INDEX('Per Line'!$M$2:$M$3001,$X623))</f>
        <v/>
      </c>
      <c r="I623" s="7">
        <f>IF($X623="","",H623*V623/100)</f>
        <v/>
      </c>
      <c r="J623">
        <f>IF($X623="","",INDEX('Per Line'!$W$2:$W$3001,$X623)&amp;"")</f>
        <v/>
      </c>
      <c r="K623">
        <f>IF($X623="","",INDEX('Per Line'!$AD$2:$AD$3001,$X623))</f>
        <v/>
      </c>
      <c r="L623">
        <f>IF($X623="","",IF(AND(ISNUMBER(K623),K623&gt;0),V623&gt;K623,FALSE))</f>
        <v/>
      </c>
      <c r="M623" s="7">
        <f>IF($X623="","",SUMIFS('Per Line'!$V$2:$V$3001,'Per Line'!$D$2:$D$3001,$B623,'Per Line'!$AN$2:$AN$3001,1))</f>
        <v/>
      </c>
      <c r="N623">
        <f>IF($X623="","",Settings!$C$7)</f>
        <v/>
      </c>
      <c r="O623" s="7">
        <f>IF($X623="","",SUMIFS('Per Line'!$V$2:$V$3001,'Per Line'!$D$2:$D$3001,$B623,'Per Line'!$AM$2:$AM$3001,0,'Per Line'!$AN$2:$AN$3001,0))</f>
        <v/>
      </c>
      <c r="P623" s="7">
        <f>IF($X623="","",O623*N623)</f>
        <v/>
      </c>
      <c r="Q623">
        <f>IF($X623="","",Settings!$C$6)</f>
        <v/>
      </c>
      <c r="R623" s="7">
        <f>IF($X623="","",SUMIFS('Per Line'!$V$2:$V$3001,'Per Line'!$D$2:$D$3001,$B623,'Per Line'!$AM$2:$AM$3001,1,'Per Line'!$AN$2:$AN$3001,0))</f>
        <v/>
      </c>
      <c r="S623" s="7">
        <f>IF($X623="","",R623*Q623)</f>
        <v/>
      </c>
      <c r="T623" s="7">
        <f>IF($X623="","",S623+P623)</f>
        <v/>
      </c>
      <c r="U623" s="7">
        <f>IF($X623="","",V623-T623)</f>
        <v/>
      </c>
      <c r="V623" s="7">
        <f>IF($X623="","",O623+R623+M623)</f>
        <v/>
      </c>
      <c r="W623" s="7">
        <f>IF($X623="","",V623-T623-I623)</f>
        <v/>
      </c>
      <c r="X623" s="13">
        <f>IF(ROWS($X$2:$X623)&lt;=MAX('Per Line'!$AL$2:$AL$3001),MATCH(ROWS($X$2:$X623),'Per Line'!$AL$2:$AL$3001,0),"")</f>
        <v/>
      </c>
    </row>
    <row r="624">
      <c r="A624" s="12" t="n"/>
      <c r="B624">
        <f>IF($X624="","",INDEX('Per Line'!$D$2:$D$3001,$X624)&amp;"")</f>
        <v/>
      </c>
      <c r="C624" s="11">
        <f>IF($X624="","",INDEX('Per Line'!$F$2:$F$3001,$X624))</f>
        <v/>
      </c>
      <c r="D624">
        <f>IF($X624="","",INDEX('Per Line'!$G$2:$G$3001,$X624)&amp;"")</f>
        <v/>
      </c>
      <c r="E624">
        <f>IF($X624="","",INDEX('Per Line'!$I$2:$I$3001,$X624)&amp;"")</f>
        <v/>
      </c>
      <c r="F624">
        <f>IF($X624="","",INDEX('Per Line'!$J$2:$J$3001,$X624)&amp;"")</f>
        <v/>
      </c>
      <c r="G624">
        <f>IF($X624="","",INDEX('Per Line'!$K$2:$K$3001,$X624)&amp;"")</f>
        <v/>
      </c>
      <c r="H624">
        <f>IF($X624="","",INDEX('Per Line'!$M$2:$M$3001,$X624))</f>
        <v/>
      </c>
      <c r="I624" s="7">
        <f>IF($X624="","",H624*V624/100)</f>
        <v/>
      </c>
      <c r="J624">
        <f>IF($X624="","",INDEX('Per Line'!$W$2:$W$3001,$X624)&amp;"")</f>
        <v/>
      </c>
      <c r="K624">
        <f>IF($X624="","",INDEX('Per Line'!$AD$2:$AD$3001,$X624))</f>
        <v/>
      </c>
      <c r="L624">
        <f>IF($X624="","",IF(AND(ISNUMBER(K624),K624&gt;0),V624&gt;K624,FALSE))</f>
        <v/>
      </c>
      <c r="M624" s="7">
        <f>IF($X624="","",SUMIFS('Per Line'!$V$2:$V$3001,'Per Line'!$D$2:$D$3001,$B624,'Per Line'!$AN$2:$AN$3001,1))</f>
        <v/>
      </c>
      <c r="N624">
        <f>IF($X624="","",Settings!$C$7)</f>
        <v/>
      </c>
      <c r="O624" s="7">
        <f>IF($X624="","",SUMIFS('Per Line'!$V$2:$V$3001,'Per Line'!$D$2:$D$3001,$B624,'Per Line'!$AM$2:$AM$3001,0,'Per Line'!$AN$2:$AN$3001,0))</f>
        <v/>
      </c>
      <c r="P624" s="7">
        <f>IF($X624="","",O624*N624)</f>
        <v/>
      </c>
      <c r="Q624">
        <f>IF($X624="","",Settings!$C$6)</f>
        <v/>
      </c>
      <c r="R624" s="7">
        <f>IF($X624="","",SUMIFS('Per Line'!$V$2:$V$3001,'Per Line'!$D$2:$D$3001,$B624,'Per Line'!$AM$2:$AM$3001,1,'Per Line'!$AN$2:$AN$3001,0))</f>
        <v/>
      </c>
      <c r="S624" s="7">
        <f>IF($X624="","",R624*Q624)</f>
        <v/>
      </c>
      <c r="T624" s="7">
        <f>IF($X624="","",S624+P624)</f>
        <v/>
      </c>
      <c r="U624" s="7">
        <f>IF($X624="","",V624-T624)</f>
        <v/>
      </c>
      <c r="V624" s="7">
        <f>IF($X624="","",O624+R624+M624)</f>
        <v/>
      </c>
      <c r="W624" s="7">
        <f>IF($X624="","",V624-T624-I624)</f>
        <v/>
      </c>
      <c r="X624" s="13">
        <f>IF(ROWS($X$2:$X624)&lt;=MAX('Per Line'!$AL$2:$AL$3001),MATCH(ROWS($X$2:$X624),'Per Line'!$AL$2:$AL$3001,0),"")</f>
        <v/>
      </c>
    </row>
    <row r="625">
      <c r="A625" s="12" t="n"/>
      <c r="B625">
        <f>IF($X625="","",INDEX('Per Line'!$D$2:$D$3001,$X625)&amp;"")</f>
        <v/>
      </c>
      <c r="C625" s="11">
        <f>IF($X625="","",INDEX('Per Line'!$F$2:$F$3001,$X625))</f>
        <v/>
      </c>
      <c r="D625">
        <f>IF($X625="","",INDEX('Per Line'!$G$2:$G$3001,$X625)&amp;"")</f>
        <v/>
      </c>
      <c r="E625">
        <f>IF($X625="","",INDEX('Per Line'!$I$2:$I$3001,$X625)&amp;"")</f>
        <v/>
      </c>
      <c r="F625">
        <f>IF($X625="","",INDEX('Per Line'!$J$2:$J$3001,$X625)&amp;"")</f>
        <v/>
      </c>
      <c r="G625">
        <f>IF($X625="","",INDEX('Per Line'!$K$2:$K$3001,$X625)&amp;"")</f>
        <v/>
      </c>
      <c r="H625">
        <f>IF($X625="","",INDEX('Per Line'!$M$2:$M$3001,$X625))</f>
        <v/>
      </c>
      <c r="I625" s="7">
        <f>IF($X625="","",H625*V625/100)</f>
        <v/>
      </c>
      <c r="J625">
        <f>IF($X625="","",INDEX('Per Line'!$W$2:$W$3001,$X625)&amp;"")</f>
        <v/>
      </c>
      <c r="K625">
        <f>IF($X625="","",INDEX('Per Line'!$AD$2:$AD$3001,$X625))</f>
        <v/>
      </c>
      <c r="L625">
        <f>IF($X625="","",IF(AND(ISNUMBER(K625),K625&gt;0),V625&gt;K625,FALSE))</f>
        <v/>
      </c>
      <c r="M625" s="7">
        <f>IF($X625="","",SUMIFS('Per Line'!$V$2:$V$3001,'Per Line'!$D$2:$D$3001,$B625,'Per Line'!$AN$2:$AN$3001,1))</f>
        <v/>
      </c>
      <c r="N625">
        <f>IF($X625="","",Settings!$C$7)</f>
        <v/>
      </c>
      <c r="O625" s="7">
        <f>IF($X625="","",SUMIFS('Per Line'!$V$2:$V$3001,'Per Line'!$D$2:$D$3001,$B625,'Per Line'!$AM$2:$AM$3001,0,'Per Line'!$AN$2:$AN$3001,0))</f>
        <v/>
      </c>
      <c r="P625" s="7">
        <f>IF($X625="","",O625*N625)</f>
        <v/>
      </c>
      <c r="Q625">
        <f>IF($X625="","",Settings!$C$6)</f>
        <v/>
      </c>
      <c r="R625" s="7">
        <f>IF($X625="","",SUMIFS('Per Line'!$V$2:$V$3001,'Per Line'!$D$2:$D$3001,$B625,'Per Line'!$AM$2:$AM$3001,1,'Per Line'!$AN$2:$AN$3001,0))</f>
        <v/>
      </c>
      <c r="S625" s="7">
        <f>IF($X625="","",R625*Q625)</f>
        <v/>
      </c>
      <c r="T625" s="7">
        <f>IF($X625="","",S625+P625)</f>
        <v/>
      </c>
      <c r="U625" s="7">
        <f>IF($X625="","",V625-T625)</f>
        <v/>
      </c>
      <c r="V625" s="7">
        <f>IF($X625="","",O625+R625+M625)</f>
        <v/>
      </c>
      <c r="W625" s="7">
        <f>IF($X625="","",V625-T625-I625)</f>
        <v/>
      </c>
      <c r="X625" s="13">
        <f>IF(ROWS($X$2:$X625)&lt;=MAX('Per Line'!$AL$2:$AL$3001),MATCH(ROWS($X$2:$X625),'Per Line'!$AL$2:$AL$3001,0),"")</f>
        <v/>
      </c>
    </row>
    <row r="626">
      <c r="A626" s="12" t="n"/>
      <c r="B626">
        <f>IF($X626="","",INDEX('Per Line'!$D$2:$D$3001,$X626)&amp;"")</f>
        <v/>
      </c>
      <c r="C626" s="11">
        <f>IF($X626="","",INDEX('Per Line'!$F$2:$F$3001,$X626))</f>
        <v/>
      </c>
      <c r="D626">
        <f>IF($X626="","",INDEX('Per Line'!$G$2:$G$3001,$X626)&amp;"")</f>
        <v/>
      </c>
      <c r="E626">
        <f>IF($X626="","",INDEX('Per Line'!$I$2:$I$3001,$X626)&amp;"")</f>
        <v/>
      </c>
      <c r="F626">
        <f>IF($X626="","",INDEX('Per Line'!$J$2:$J$3001,$X626)&amp;"")</f>
        <v/>
      </c>
      <c r="G626">
        <f>IF($X626="","",INDEX('Per Line'!$K$2:$K$3001,$X626)&amp;"")</f>
        <v/>
      </c>
      <c r="H626">
        <f>IF($X626="","",INDEX('Per Line'!$M$2:$M$3001,$X626))</f>
        <v/>
      </c>
      <c r="I626" s="7">
        <f>IF($X626="","",H626*V626/100)</f>
        <v/>
      </c>
      <c r="J626">
        <f>IF($X626="","",INDEX('Per Line'!$W$2:$W$3001,$X626)&amp;"")</f>
        <v/>
      </c>
      <c r="K626">
        <f>IF($X626="","",INDEX('Per Line'!$AD$2:$AD$3001,$X626))</f>
        <v/>
      </c>
      <c r="L626">
        <f>IF($X626="","",IF(AND(ISNUMBER(K626),K626&gt;0),V626&gt;K626,FALSE))</f>
        <v/>
      </c>
      <c r="M626" s="7">
        <f>IF($X626="","",SUMIFS('Per Line'!$V$2:$V$3001,'Per Line'!$D$2:$D$3001,$B626,'Per Line'!$AN$2:$AN$3001,1))</f>
        <v/>
      </c>
      <c r="N626">
        <f>IF($X626="","",Settings!$C$7)</f>
        <v/>
      </c>
      <c r="O626" s="7">
        <f>IF($X626="","",SUMIFS('Per Line'!$V$2:$V$3001,'Per Line'!$D$2:$D$3001,$B626,'Per Line'!$AM$2:$AM$3001,0,'Per Line'!$AN$2:$AN$3001,0))</f>
        <v/>
      </c>
      <c r="P626" s="7">
        <f>IF($X626="","",O626*N626)</f>
        <v/>
      </c>
      <c r="Q626">
        <f>IF($X626="","",Settings!$C$6)</f>
        <v/>
      </c>
      <c r="R626" s="7">
        <f>IF($X626="","",SUMIFS('Per Line'!$V$2:$V$3001,'Per Line'!$D$2:$D$3001,$B626,'Per Line'!$AM$2:$AM$3001,1,'Per Line'!$AN$2:$AN$3001,0))</f>
        <v/>
      </c>
      <c r="S626" s="7">
        <f>IF($X626="","",R626*Q626)</f>
        <v/>
      </c>
      <c r="T626" s="7">
        <f>IF($X626="","",S626+P626)</f>
        <v/>
      </c>
      <c r="U626" s="7">
        <f>IF($X626="","",V626-T626)</f>
        <v/>
      </c>
      <c r="V626" s="7">
        <f>IF($X626="","",O626+R626+M626)</f>
        <v/>
      </c>
      <c r="W626" s="7">
        <f>IF($X626="","",V626-T626-I626)</f>
        <v/>
      </c>
      <c r="X626" s="13">
        <f>IF(ROWS($X$2:$X626)&lt;=MAX('Per Line'!$AL$2:$AL$3001),MATCH(ROWS($X$2:$X626),'Per Line'!$AL$2:$AL$3001,0),"")</f>
        <v/>
      </c>
    </row>
    <row r="627">
      <c r="A627" s="12" t="n"/>
      <c r="B627">
        <f>IF($X627="","",INDEX('Per Line'!$D$2:$D$3001,$X627)&amp;"")</f>
        <v/>
      </c>
      <c r="C627" s="11">
        <f>IF($X627="","",INDEX('Per Line'!$F$2:$F$3001,$X627))</f>
        <v/>
      </c>
      <c r="D627">
        <f>IF($X627="","",INDEX('Per Line'!$G$2:$G$3001,$X627)&amp;"")</f>
        <v/>
      </c>
      <c r="E627">
        <f>IF($X627="","",INDEX('Per Line'!$I$2:$I$3001,$X627)&amp;"")</f>
        <v/>
      </c>
      <c r="F627">
        <f>IF($X627="","",INDEX('Per Line'!$J$2:$J$3001,$X627)&amp;"")</f>
        <v/>
      </c>
      <c r="G627">
        <f>IF($X627="","",INDEX('Per Line'!$K$2:$K$3001,$X627)&amp;"")</f>
        <v/>
      </c>
      <c r="H627">
        <f>IF($X627="","",INDEX('Per Line'!$M$2:$M$3001,$X627))</f>
        <v/>
      </c>
      <c r="I627" s="7">
        <f>IF($X627="","",H627*V627/100)</f>
        <v/>
      </c>
      <c r="J627">
        <f>IF($X627="","",INDEX('Per Line'!$W$2:$W$3001,$X627)&amp;"")</f>
        <v/>
      </c>
      <c r="K627">
        <f>IF($X627="","",INDEX('Per Line'!$AD$2:$AD$3001,$X627))</f>
        <v/>
      </c>
      <c r="L627">
        <f>IF($X627="","",IF(AND(ISNUMBER(K627),K627&gt;0),V627&gt;K627,FALSE))</f>
        <v/>
      </c>
      <c r="M627" s="7">
        <f>IF($X627="","",SUMIFS('Per Line'!$V$2:$V$3001,'Per Line'!$D$2:$D$3001,$B627,'Per Line'!$AN$2:$AN$3001,1))</f>
        <v/>
      </c>
      <c r="N627">
        <f>IF($X627="","",Settings!$C$7)</f>
        <v/>
      </c>
      <c r="O627" s="7">
        <f>IF($X627="","",SUMIFS('Per Line'!$V$2:$V$3001,'Per Line'!$D$2:$D$3001,$B627,'Per Line'!$AM$2:$AM$3001,0,'Per Line'!$AN$2:$AN$3001,0))</f>
        <v/>
      </c>
      <c r="P627" s="7">
        <f>IF($X627="","",O627*N627)</f>
        <v/>
      </c>
      <c r="Q627">
        <f>IF($X627="","",Settings!$C$6)</f>
        <v/>
      </c>
      <c r="R627" s="7">
        <f>IF($X627="","",SUMIFS('Per Line'!$V$2:$V$3001,'Per Line'!$D$2:$D$3001,$B627,'Per Line'!$AM$2:$AM$3001,1,'Per Line'!$AN$2:$AN$3001,0))</f>
        <v/>
      </c>
      <c r="S627" s="7">
        <f>IF($X627="","",R627*Q627)</f>
        <v/>
      </c>
      <c r="T627" s="7">
        <f>IF($X627="","",S627+P627)</f>
        <v/>
      </c>
      <c r="U627" s="7">
        <f>IF($X627="","",V627-T627)</f>
        <v/>
      </c>
      <c r="V627" s="7">
        <f>IF($X627="","",O627+R627+M627)</f>
        <v/>
      </c>
      <c r="W627" s="7">
        <f>IF($X627="","",V627-T627-I627)</f>
        <v/>
      </c>
      <c r="X627" s="13">
        <f>IF(ROWS($X$2:$X627)&lt;=MAX('Per Line'!$AL$2:$AL$3001),MATCH(ROWS($X$2:$X627),'Per Line'!$AL$2:$AL$3001,0),"")</f>
        <v/>
      </c>
    </row>
    <row r="628">
      <c r="A628" s="12" t="n"/>
      <c r="B628">
        <f>IF($X628="","",INDEX('Per Line'!$D$2:$D$3001,$X628)&amp;"")</f>
        <v/>
      </c>
      <c r="C628" s="11">
        <f>IF($X628="","",INDEX('Per Line'!$F$2:$F$3001,$X628))</f>
        <v/>
      </c>
      <c r="D628">
        <f>IF($X628="","",INDEX('Per Line'!$G$2:$G$3001,$X628)&amp;"")</f>
        <v/>
      </c>
      <c r="E628">
        <f>IF($X628="","",INDEX('Per Line'!$I$2:$I$3001,$X628)&amp;"")</f>
        <v/>
      </c>
      <c r="F628">
        <f>IF($X628="","",INDEX('Per Line'!$J$2:$J$3001,$X628)&amp;"")</f>
        <v/>
      </c>
      <c r="G628">
        <f>IF($X628="","",INDEX('Per Line'!$K$2:$K$3001,$X628)&amp;"")</f>
        <v/>
      </c>
      <c r="H628">
        <f>IF($X628="","",INDEX('Per Line'!$M$2:$M$3001,$X628))</f>
        <v/>
      </c>
      <c r="I628" s="7">
        <f>IF($X628="","",H628*V628/100)</f>
        <v/>
      </c>
      <c r="J628">
        <f>IF($X628="","",INDEX('Per Line'!$W$2:$W$3001,$X628)&amp;"")</f>
        <v/>
      </c>
      <c r="K628">
        <f>IF($X628="","",INDEX('Per Line'!$AD$2:$AD$3001,$X628))</f>
        <v/>
      </c>
      <c r="L628">
        <f>IF($X628="","",IF(AND(ISNUMBER(K628),K628&gt;0),V628&gt;K628,FALSE))</f>
        <v/>
      </c>
      <c r="M628" s="7">
        <f>IF($X628="","",SUMIFS('Per Line'!$V$2:$V$3001,'Per Line'!$D$2:$D$3001,$B628,'Per Line'!$AN$2:$AN$3001,1))</f>
        <v/>
      </c>
      <c r="N628">
        <f>IF($X628="","",Settings!$C$7)</f>
        <v/>
      </c>
      <c r="O628" s="7">
        <f>IF($X628="","",SUMIFS('Per Line'!$V$2:$V$3001,'Per Line'!$D$2:$D$3001,$B628,'Per Line'!$AM$2:$AM$3001,0,'Per Line'!$AN$2:$AN$3001,0))</f>
        <v/>
      </c>
      <c r="P628" s="7">
        <f>IF($X628="","",O628*N628)</f>
        <v/>
      </c>
      <c r="Q628">
        <f>IF($X628="","",Settings!$C$6)</f>
        <v/>
      </c>
      <c r="R628" s="7">
        <f>IF($X628="","",SUMIFS('Per Line'!$V$2:$V$3001,'Per Line'!$D$2:$D$3001,$B628,'Per Line'!$AM$2:$AM$3001,1,'Per Line'!$AN$2:$AN$3001,0))</f>
        <v/>
      </c>
      <c r="S628" s="7">
        <f>IF($X628="","",R628*Q628)</f>
        <v/>
      </c>
      <c r="T628" s="7">
        <f>IF($X628="","",S628+P628)</f>
        <v/>
      </c>
      <c r="U628" s="7">
        <f>IF($X628="","",V628-T628)</f>
        <v/>
      </c>
      <c r="V628" s="7">
        <f>IF($X628="","",O628+R628+M628)</f>
        <v/>
      </c>
      <c r="W628" s="7">
        <f>IF($X628="","",V628-T628-I628)</f>
        <v/>
      </c>
      <c r="X628" s="13">
        <f>IF(ROWS($X$2:$X628)&lt;=MAX('Per Line'!$AL$2:$AL$3001),MATCH(ROWS($X$2:$X628),'Per Line'!$AL$2:$AL$3001,0),"")</f>
        <v/>
      </c>
    </row>
    <row r="629">
      <c r="A629" s="12" t="n"/>
      <c r="B629">
        <f>IF($X629="","",INDEX('Per Line'!$D$2:$D$3001,$X629)&amp;"")</f>
        <v/>
      </c>
      <c r="C629" s="11">
        <f>IF($X629="","",INDEX('Per Line'!$F$2:$F$3001,$X629))</f>
        <v/>
      </c>
      <c r="D629">
        <f>IF($X629="","",INDEX('Per Line'!$G$2:$G$3001,$X629)&amp;"")</f>
        <v/>
      </c>
      <c r="E629">
        <f>IF($X629="","",INDEX('Per Line'!$I$2:$I$3001,$X629)&amp;"")</f>
        <v/>
      </c>
      <c r="F629">
        <f>IF($X629="","",INDEX('Per Line'!$J$2:$J$3001,$X629)&amp;"")</f>
        <v/>
      </c>
      <c r="G629">
        <f>IF($X629="","",INDEX('Per Line'!$K$2:$K$3001,$X629)&amp;"")</f>
        <v/>
      </c>
      <c r="H629">
        <f>IF($X629="","",INDEX('Per Line'!$M$2:$M$3001,$X629))</f>
        <v/>
      </c>
      <c r="I629" s="7">
        <f>IF($X629="","",H629*V629/100)</f>
        <v/>
      </c>
      <c r="J629">
        <f>IF($X629="","",INDEX('Per Line'!$W$2:$W$3001,$X629)&amp;"")</f>
        <v/>
      </c>
      <c r="K629">
        <f>IF($X629="","",INDEX('Per Line'!$AD$2:$AD$3001,$X629))</f>
        <v/>
      </c>
      <c r="L629">
        <f>IF($X629="","",IF(AND(ISNUMBER(K629),K629&gt;0),V629&gt;K629,FALSE))</f>
        <v/>
      </c>
      <c r="M629" s="7">
        <f>IF($X629="","",SUMIFS('Per Line'!$V$2:$V$3001,'Per Line'!$D$2:$D$3001,$B629,'Per Line'!$AN$2:$AN$3001,1))</f>
        <v/>
      </c>
      <c r="N629">
        <f>IF($X629="","",Settings!$C$7)</f>
        <v/>
      </c>
      <c r="O629" s="7">
        <f>IF($X629="","",SUMIFS('Per Line'!$V$2:$V$3001,'Per Line'!$D$2:$D$3001,$B629,'Per Line'!$AM$2:$AM$3001,0,'Per Line'!$AN$2:$AN$3001,0))</f>
        <v/>
      </c>
      <c r="P629" s="7">
        <f>IF($X629="","",O629*N629)</f>
        <v/>
      </c>
      <c r="Q629">
        <f>IF($X629="","",Settings!$C$6)</f>
        <v/>
      </c>
      <c r="R629" s="7">
        <f>IF($X629="","",SUMIFS('Per Line'!$V$2:$V$3001,'Per Line'!$D$2:$D$3001,$B629,'Per Line'!$AM$2:$AM$3001,1,'Per Line'!$AN$2:$AN$3001,0))</f>
        <v/>
      </c>
      <c r="S629" s="7">
        <f>IF($X629="","",R629*Q629)</f>
        <v/>
      </c>
      <c r="T629" s="7">
        <f>IF($X629="","",S629+P629)</f>
        <v/>
      </c>
      <c r="U629" s="7">
        <f>IF($X629="","",V629-T629)</f>
        <v/>
      </c>
      <c r="V629" s="7">
        <f>IF($X629="","",O629+R629+M629)</f>
        <v/>
      </c>
      <c r="W629" s="7">
        <f>IF($X629="","",V629-T629-I629)</f>
        <v/>
      </c>
      <c r="X629" s="13">
        <f>IF(ROWS($X$2:$X629)&lt;=MAX('Per Line'!$AL$2:$AL$3001),MATCH(ROWS($X$2:$X629),'Per Line'!$AL$2:$AL$3001,0),"")</f>
        <v/>
      </c>
    </row>
    <row r="630">
      <c r="A630" s="12" t="n"/>
      <c r="B630">
        <f>IF($X630="","",INDEX('Per Line'!$D$2:$D$3001,$X630)&amp;"")</f>
        <v/>
      </c>
      <c r="C630" s="11">
        <f>IF($X630="","",INDEX('Per Line'!$F$2:$F$3001,$X630))</f>
        <v/>
      </c>
      <c r="D630">
        <f>IF($X630="","",INDEX('Per Line'!$G$2:$G$3001,$X630)&amp;"")</f>
        <v/>
      </c>
      <c r="E630">
        <f>IF($X630="","",INDEX('Per Line'!$I$2:$I$3001,$X630)&amp;"")</f>
        <v/>
      </c>
      <c r="F630">
        <f>IF($X630="","",INDEX('Per Line'!$J$2:$J$3001,$X630)&amp;"")</f>
        <v/>
      </c>
      <c r="G630">
        <f>IF($X630="","",INDEX('Per Line'!$K$2:$K$3001,$X630)&amp;"")</f>
        <v/>
      </c>
      <c r="H630">
        <f>IF($X630="","",INDEX('Per Line'!$M$2:$M$3001,$X630))</f>
        <v/>
      </c>
      <c r="I630" s="7">
        <f>IF($X630="","",H630*V630/100)</f>
        <v/>
      </c>
      <c r="J630">
        <f>IF($X630="","",INDEX('Per Line'!$W$2:$W$3001,$X630)&amp;"")</f>
        <v/>
      </c>
      <c r="K630">
        <f>IF($X630="","",INDEX('Per Line'!$AD$2:$AD$3001,$X630))</f>
        <v/>
      </c>
      <c r="L630">
        <f>IF($X630="","",IF(AND(ISNUMBER(K630),K630&gt;0),V630&gt;K630,FALSE))</f>
        <v/>
      </c>
      <c r="M630" s="7">
        <f>IF($X630="","",SUMIFS('Per Line'!$V$2:$V$3001,'Per Line'!$D$2:$D$3001,$B630,'Per Line'!$AN$2:$AN$3001,1))</f>
        <v/>
      </c>
      <c r="N630">
        <f>IF($X630="","",Settings!$C$7)</f>
        <v/>
      </c>
      <c r="O630" s="7">
        <f>IF($X630="","",SUMIFS('Per Line'!$V$2:$V$3001,'Per Line'!$D$2:$D$3001,$B630,'Per Line'!$AM$2:$AM$3001,0,'Per Line'!$AN$2:$AN$3001,0))</f>
        <v/>
      </c>
      <c r="P630" s="7">
        <f>IF($X630="","",O630*N630)</f>
        <v/>
      </c>
      <c r="Q630">
        <f>IF($X630="","",Settings!$C$6)</f>
        <v/>
      </c>
      <c r="R630" s="7">
        <f>IF($X630="","",SUMIFS('Per Line'!$V$2:$V$3001,'Per Line'!$D$2:$D$3001,$B630,'Per Line'!$AM$2:$AM$3001,1,'Per Line'!$AN$2:$AN$3001,0))</f>
        <v/>
      </c>
      <c r="S630" s="7">
        <f>IF($X630="","",R630*Q630)</f>
        <v/>
      </c>
      <c r="T630" s="7">
        <f>IF($X630="","",S630+P630)</f>
        <v/>
      </c>
      <c r="U630" s="7">
        <f>IF($X630="","",V630-T630)</f>
        <v/>
      </c>
      <c r="V630" s="7">
        <f>IF($X630="","",O630+R630+M630)</f>
        <v/>
      </c>
      <c r="W630" s="7">
        <f>IF($X630="","",V630-T630-I630)</f>
        <v/>
      </c>
      <c r="X630" s="13">
        <f>IF(ROWS($X$2:$X630)&lt;=MAX('Per Line'!$AL$2:$AL$3001),MATCH(ROWS($X$2:$X630),'Per Line'!$AL$2:$AL$3001,0),"")</f>
        <v/>
      </c>
    </row>
    <row r="631">
      <c r="A631" s="12" t="n"/>
      <c r="B631">
        <f>IF($X631="","",INDEX('Per Line'!$D$2:$D$3001,$X631)&amp;"")</f>
        <v/>
      </c>
      <c r="C631" s="11">
        <f>IF($X631="","",INDEX('Per Line'!$F$2:$F$3001,$X631))</f>
        <v/>
      </c>
      <c r="D631">
        <f>IF($X631="","",INDEX('Per Line'!$G$2:$G$3001,$X631)&amp;"")</f>
        <v/>
      </c>
      <c r="E631">
        <f>IF($X631="","",INDEX('Per Line'!$I$2:$I$3001,$X631)&amp;"")</f>
        <v/>
      </c>
      <c r="F631">
        <f>IF($X631="","",INDEX('Per Line'!$J$2:$J$3001,$X631)&amp;"")</f>
        <v/>
      </c>
      <c r="G631">
        <f>IF($X631="","",INDEX('Per Line'!$K$2:$K$3001,$X631)&amp;"")</f>
        <v/>
      </c>
      <c r="H631">
        <f>IF($X631="","",INDEX('Per Line'!$M$2:$M$3001,$X631))</f>
        <v/>
      </c>
      <c r="I631" s="7">
        <f>IF($X631="","",H631*V631/100)</f>
        <v/>
      </c>
      <c r="J631">
        <f>IF($X631="","",INDEX('Per Line'!$W$2:$W$3001,$X631)&amp;"")</f>
        <v/>
      </c>
      <c r="K631">
        <f>IF($X631="","",INDEX('Per Line'!$AD$2:$AD$3001,$X631))</f>
        <v/>
      </c>
      <c r="L631">
        <f>IF($X631="","",IF(AND(ISNUMBER(K631),K631&gt;0),V631&gt;K631,FALSE))</f>
        <v/>
      </c>
      <c r="M631" s="7">
        <f>IF($X631="","",SUMIFS('Per Line'!$V$2:$V$3001,'Per Line'!$D$2:$D$3001,$B631,'Per Line'!$AN$2:$AN$3001,1))</f>
        <v/>
      </c>
      <c r="N631">
        <f>IF($X631="","",Settings!$C$7)</f>
        <v/>
      </c>
      <c r="O631" s="7">
        <f>IF($X631="","",SUMIFS('Per Line'!$V$2:$V$3001,'Per Line'!$D$2:$D$3001,$B631,'Per Line'!$AM$2:$AM$3001,0,'Per Line'!$AN$2:$AN$3001,0))</f>
        <v/>
      </c>
      <c r="P631" s="7">
        <f>IF($X631="","",O631*N631)</f>
        <v/>
      </c>
      <c r="Q631">
        <f>IF($X631="","",Settings!$C$6)</f>
        <v/>
      </c>
      <c r="R631" s="7">
        <f>IF($X631="","",SUMIFS('Per Line'!$V$2:$V$3001,'Per Line'!$D$2:$D$3001,$B631,'Per Line'!$AM$2:$AM$3001,1,'Per Line'!$AN$2:$AN$3001,0))</f>
        <v/>
      </c>
      <c r="S631" s="7">
        <f>IF($X631="","",R631*Q631)</f>
        <v/>
      </c>
      <c r="T631" s="7">
        <f>IF($X631="","",S631+P631)</f>
        <v/>
      </c>
      <c r="U631" s="7">
        <f>IF($X631="","",V631-T631)</f>
        <v/>
      </c>
      <c r="V631" s="7">
        <f>IF($X631="","",O631+R631+M631)</f>
        <v/>
      </c>
      <c r="W631" s="7">
        <f>IF($X631="","",V631-T631-I631)</f>
        <v/>
      </c>
      <c r="X631" s="13">
        <f>IF(ROWS($X$2:$X631)&lt;=MAX('Per Line'!$AL$2:$AL$3001),MATCH(ROWS($X$2:$X631),'Per Line'!$AL$2:$AL$3001,0),"")</f>
        <v/>
      </c>
    </row>
    <row r="632">
      <c r="A632" s="12" t="n"/>
      <c r="B632">
        <f>IF($X632="","",INDEX('Per Line'!$D$2:$D$3001,$X632)&amp;"")</f>
        <v/>
      </c>
      <c r="C632" s="11">
        <f>IF($X632="","",INDEX('Per Line'!$F$2:$F$3001,$X632))</f>
        <v/>
      </c>
      <c r="D632">
        <f>IF($X632="","",INDEX('Per Line'!$G$2:$G$3001,$X632)&amp;"")</f>
        <v/>
      </c>
      <c r="E632">
        <f>IF($X632="","",INDEX('Per Line'!$I$2:$I$3001,$X632)&amp;"")</f>
        <v/>
      </c>
      <c r="F632">
        <f>IF($X632="","",INDEX('Per Line'!$J$2:$J$3001,$X632)&amp;"")</f>
        <v/>
      </c>
      <c r="G632">
        <f>IF($X632="","",INDEX('Per Line'!$K$2:$K$3001,$X632)&amp;"")</f>
        <v/>
      </c>
      <c r="H632">
        <f>IF($X632="","",INDEX('Per Line'!$M$2:$M$3001,$X632))</f>
        <v/>
      </c>
      <c r="I632" s="7">
        <f>IF($X632="","",H632*V632/100)</f>
        <v/>
      </c>
      <c r="J632">
        <f>IF($X632="","",INDEX('Per Line'!$W$2:$W$3001,$X632)&amp;"")</f>
        <v/>
      </c>
      <c r="K632">
        <f>IF($X632="","",INDEX('Per Line'!$AD$2:$AD$3001,$X632))</f>
        <v/>
      </c>
      <c r="L632">
        <f>IF($X632="","",IF(AND(ISNUMBER(K632),K632&gt;0),V632&gt;K632,FALSE))</f>
        <v/>
      </c>
      <c r="M632" s="7">
        <f>IF($X632="","",SUMIFS('Per Line'!$V$2:$V$3001,'Per Line'!$D$2:$D$3001,$B632,'Per Line'!$AN$2:$AN$3001,1))</f>
        <v/>
      </c>
      <c r="N632">
        <f>IF($X632="","",Settings!$C$7)</f>
        <v/>
      </c>
      <c r="O632" s="7">
        <f>IF($X632="","",SUMIFS('Per Line'!$V$2:$V$3001,'Per Line'!$D$2:$D$3001,$B632,'Per Line'!$AM$2:$AM$3001,0,'Per Line'!$AN$2:$AN$3001,0))</f>
        <v/>
      </c>
      <c r="P632" s="7">
        <f>IF($X632="","",O632*N632)</f>
        <v/>
      </c>
      <c r="Q632">
        <f>IF($X632="","",Settings!$C$6)</f>
        <v/>
      </c>
      <c r="R632" s="7">
        <f>IF($X632="","",SUMIFS('Per Line'!$V$2:$V$3001,'Per Line'!$D$2:$D$3001,$B632,'Per Line'!$AM$2:$AM$3001,1,'Per Line'!$AN$2:$AN$3001,0))</f>
        <v/>
      </c>
      <c r="S632" s="7">
        <f>IF($X632="","",R632*Q632)</f>
        <v/>
      </c>
      <c r="T632" s="7">
        <f>IF($X632="","",S632+P632)</f>
        <v/>
      </c>
      <c r="U632" s="7">
        <f>IF($X632="","",V632-T632)</f>
        <v/>
      </c>
      <c r="V632" s="7">
        <f>IF($X632="","",O632+R632+M632)</f>
        <v/>
      </c>
      <c r="W632" s="7">
        <f>IF($X632="","",V632-T632-I632)</f>
        <v/>
      </c>
      <c r="X632" s="13">
        <f>IF(ROWS($X$2:$X632)&lt;=MAX('Per Line'!$AL$2:$AL$3001),MATCH(ROWS($X$2:$X632),'Per Line'!$AL$2:$AL$3001,0),"")</f>
        <v/>
      </c>
    </row>
    <row r="633">
      <c r="A633" s="12" t="n"/>
      <c r="B633">
        <f>IF($X633="","",INDEX('Per Line'!$D$2:$D$3001,$X633)&amp;"")</f>
        <v/>
      </c>
      <c r="C633" s="11">
        <f>IF($X633="","",INDEX('Per Line'!$F$2:$F$3001,$X633))</f>
        <v/>
      </c>
      <c r="D633">
        <f>IF($X633="","",INDEX('Per Line'!$G$2:$G$3001,$X633)&amp;"")</f>
        <v/>
      </c>
      <c r="E633">
        <f>IF($X633="","",INDEX('Per Line'!$I$2:$I$3001,$X633)&amp;"")</f>
        <v/>
      </c>
      <c r="F633">
        <f>IF($X633="","",INDEX('Per Line'!$J$2:$J$3001,$X633)&amp;"")</f>
        <v/>
      </c>
      <c r="G633">
        <f>IF($X633="","",INDEX('Per Line'!$K$2:$K$3001,$X633)&amp;"")</f>
        <v/>
      </c>
      <c r="H633">
        <f>IF($X633="","",INDEX('Per Line'!$M$2:$M$3001,$X633))</f>
        <v/>
      </c>
      <c r="I633" s="7">
        <f>IF($X633="","",H633*V633/100)</f>
        <v/>
      </c>
      <c r="J633">
        <f>IF($X633="","",INDEX('Per Line'!$W$2:$W$3001,$X633)&amp;"")</f>
        <v/>
      </c>
      <c r="K633">
        <f>IF($X633="","",INDEX('Per Line'!$AD$2:$AD$3001,$X633))</f>
        <v/>
      </c>
      <c r="L633">
        <f>IF($X633="","",IF(AND(ISNUMBER(K633),K633&gt;0),V633&gt;K633,FALSE))</f>
        <v/>
      </c>
      <c r="M633" s="7">
        <f>IF($X633="","",SUMIFS('Per Line'!$V$2:$V$3001,'Per Line'!$D$2:$D$3001,$B633,'Per Line'!$AN$2:$AN$3001,1))</f>
        <v/>
      </c>
      <c r="N633">
        <f>IF($X633="","",Settings!$C$7)</f>
        <v/>
      </c>
      <c r="O633" s="7">
        <f>IF($X633="","",SUMIFS('Per Line'!$V$2:$V$3001,'Per Line'!$D$2:$D$3001,$B633,'Per Line'!$AM$2:$AM$3001,0,'Per Line'!$AN$2:$AN$3001,0))</f>
        <v/>
      </c>
      <c r="P633" s="7">
        <f>IF($X633="","",O633*N633)</f>
        <v/>
      </c>
      <c r="Q633">
        <f>IF($X633="","",Settings!$C$6)</f>
        <v/>
      </c>
      <c r="R633" s="7">
        <f>IF($X633="","",SUMIFS('Per Line'!$V$2:$V$3001,'Per Line'!$D$2:$D$3001,$B633,'Per Line'!$AM$2:$AM$3001,1,'Per Line'!$AN$2:$AN$3001,0))</f>
        <v/>
      </c>
      <c r="S633" s="7">
        <f>IF($X633="","",R633*Q633)</f>
        <v/>
      </c>
      <c r="T633" s="7">
        <f>IF($X633="","",S633+P633)</f>
        <v/>
      </c>
      <c r="U633" s="7">
        <f>IF($X633="","",V633-T633)</f>
        <v/>
      </c>
      <c r="V633" s="7">
        <f>IF($X633="","",O633+R633+M633)</f>
        <v/>
      </c>
      <c r="W633" s="7">
        <f>IF($X633="","",V633-T633-I633)</f>
        <v/>
      </c>
      <c r="X633" s="13">
        <f>IF(ROWS($X$2:$X633)&lt;=MAX('Per Line'!$AL$2:$AL$3001),MATCH(ROWS($X$2:$X633),'Per Line'!$AL$2:$AL$3001,0),"")</f>
        <v/>
      </c>
    </row>
    <row r="634">
      <c r="A634" s="12" t="n"/>
      <c r="B634">
        <f>IF($X634="","",INDEX('Per Line'!$D$2:$D$3001,$X634)&amp;"")</f>
        <v/>
      </c>
      <c r="C634" s="11">
        <f>IF($X634="","",INDEX('Per Line'!$F$2:$F$3001,$X634))</f>
        <v/>
      </c>
      <c r="D634">
        <f>IF($X634="","",INDEX('Per Line'!$G$2:$G$3001,$X634)&amp;"")</f>
        <v/>
      </c>
      <c r="E634">
        <f>IF($X634="","",INDEX('Per Line'!$I$2:$I$3001,$X634)&amp;"")</f>
        <v/>
      </c>
      <c r="F634">
        <f>IF($X634="","",INDEX('Per Line'!$J$2:$J$3001,$X634)&amp;"")</f>
        <v/>
      </c>
      <c r="G634">
        <f>IF($X634="","",INDEX('Per Line'!$K$2:$K$3001,$X634)&amp;"")</f>
        <v/>
      </c>
      <c r="H634">
        <f>IF($X634="","",INDEX('Per Line'!$M$2:$M$3001,$X634))</f>
        <v/>
      </c>
      <c r="I634" s="7">
        <f>IF($X634="","",H634*V634/100)</f>
        <v/>
      </c>
      <c r="J634">
        <f>IF($X634="","",INDEX('Per Line'!$W$2:$W$3001,$X634)&amp;"")</f>
        <v/>
      </c>
      <c r="K634">
        <f>IF($X634="","",INDEX('Per Line'!$AD$2:$AD$3001,$X634))</f>
        <v/>
      </c>
      <c r="L634">
        <f>IF($X634="","",IF(AND(ISNUMBER(K634),K634&gt;0),V634&gt;K634,FALSE))</f>
        <v/>
      </c>
      <c r="M634" s="7">
        <f>IF($X634="","",SUMIFS('Per Line'!$V$2:$V$3001,'Per Line'!$D$2:$D$3001,$B634,'Per Line'!$AN$2:$AN$3001,1))</f>
        <v/>
      </c>
      <c r="N634">
        <f>IF($X634="","",Settings!$C$7)</f>
        <v/>
      </c>
      <c r="O634" s="7">
        <f>IF($X634="","",SUMIFS('Per Line'!$V$2:$V$3001,'Per Line'!$D$2:$D$3001,$B634,'Per Line'!$AM$2:$AM$3001,0,'Per Line'!$AN$2:$AN$3001,0))</f>
        <v/>
      </c>
      <c r="P634" s="7">
        <f>IF($X634="","",O634*N634)</f>
        <v/>
      </c>
      <c r="Q634">
        <f>IF($X634="","",Settings!$C$6)</f>
        <v/>
      </c>
      <c r="R634" s="7">
        <f>IF($X634="","",SUMIFS('Per Line'!$V$2:$V$3001,'Per Line'!$D$2:$D$3001,$B634,'Per Line'!$AM$2:$AM$3001,1,'Per Line'!$AN$2:$AN$3001,0))</f>
        <v/>
      </c>
      <c r="S634" s="7">
        <f>IF($X634="","",R634*Q634)</f>
        <v/>
      </c>
      <c r="T634" s="7">
        <f>IF($X634="","",S634+P634)</f>
        <v/>
      </c>
      <c r="U634" s="7">
        <f>IF($X634="","",V634-T634)</f>
        <v/>
      </c>
      <c r="V634" s="7">
        <f>IF($X634="","",O634+R634+M634)</f>
        <v/>
      </c>
      <c r="W634" s="7">
        <f>IF($X634="","",V634-T634-I634)</f>
        <v/>
      </c>
      <c r="X634" s="13">
        <f>IF(ROWS($X$2:$X634)&lt;=MAX('Per Line'!$AL$2:$AL$3001),MATCH(ROWS($X$2:$X634),'Per Line'!$AL$2:$AL$3001,0),"")</f>
        <v/>
      </c>
    </row>
    <row r="635">
      <c r="A635" s="12" t="n"/>
      <c r="B635">
        <f>IF($X635="","",INDEX('Per Line'!$D$2:$D$3001,$X635)&amp;"")</f>
        <v/>
      </c>
      <c r="C635" s="11">
        <f>IF($X635="","",INDEX('Per Line'!$F$2:$F$3001,$X635))</f>
        <v/>
      </c>
      <c r="D635">
        <f>IF($X635="","",INDEX('Per Line'!$G$2:$G$3001,$X635)&amp;"")</f>
        <v/>
      </c>
      <c r="E635">
        <f>IF($X635="","",INDEX('Per Line'!$I$2:$I$3001,$X635)&amp;"")</f>
        <v/>
      </c>
      <c r="F635">
        <f>IF($X635="","",INDEX('Per Line'!$J$2:$J$3001,$X635)&amp;"")</f>
        <v/>
      </c>
      <c r="G635">
        <f>IF($X635="","",INDEX('Per Line'!$K$2:$K$3001,$X635)&amp;"")</f>
        <v/>
      </c>
      <c r="H635">
        <f>IF($X635="","",INDEX('Per Line'!$M$2:$M$3001,$X635))</f>
        <v/>
      </c>
      <c r="I635" s="7">
        <f>IF($X635="","",H635*V635/100)</f>
        <v/>
      </c>
      <c r="J635">
        <f>IF($X635="","",INDEX('Per Line'!$W$2:$W$3001,$X635)&amp;"")</f>
        <v/>
      </c>
      <c r="K635">
        <f>IF($X635="","",INDEX('Per Line'!$AD$2:$AD$3001,$X635))</f>
        <v/>
      </c>
      <c r="L635">
        <f>IF($X635="","",IF(AND(ISNUMBER(K635),K635&gt;0),V635&gt;K635,FALSE))</f>
        <v/>
      </c>
      <c r="M635" s="7">
        <f>IF($X635="","",SUMIFS('Per Line'!$V$2:$V$3001,'Per Line'!$D$2:$D$3001,$B635,'Per Line'!$AN$2:$AN$3001,1))</f>
        <v/>
      </c>
      <c r="N635">
        <f>IF($X635="","",Settings!$C$7)</f>
        <v/>
      </c>
      <c r="O635" s="7">
        <f>IF($X635="","",SUMIFS('Per Line'!$V$2:$V$3001,'Per Line'!$D$2:$D$3001,$B635,'Per Line'!$AM$2:$AM$3001,0,'Per Line'!$AN$2:$AN$3001,0))</f>
        <v/>
      </c>
      <c r="P635" s="7">
        <f>IF($X635="","",O635*N635)</f>
        <v/>
      </c>
      <c r="Q635">
        <f>IF($X635="","",Settings!$C$6)</f>
        <v/>
      </c>
      <c r="R635" s="7">
        <f>IF($X635="","",SUMIFS('Per Line'!$V$2:$V$3001,'Per Line'!$D$2:$D$3001,$B635,'Per Line'!$AM$2:$AM$3001,1,'Per Line'!$AN$2:$AN$3001,0))</f>
        <v/>
      </c>
      <c r="S635" s="7">
        <f>IF($X635="","",R635*Q635)</f>
        <v/>
      </c>
      <c r="T635" s="7">
        <f>IF($X635="","",S635+P635)</f>
        <v/>
      </c>
      <c r="U635" s="7">
        <f>IF($X635="","",V635-T635)</f>
        <v/>
      </c>
      <c r="V635" s="7">
        <f>IF($X635="","",O635+R635+M635)</f>
        <v/>
      </c>
      <c r="W635" s="7">
        <f>IF($X635="","",V635-T635-I635)</f>
        <v/>
      </c>
      <c r="X635" s="13">
        <f>IF(ROWS($X$2:$X635)&lt;=MAX('Per Line'!$AL$2:$AL$3001),MATCH(ROWS($X$2:$X635),'Per Line'!$AL$2:$AL$3001,0),"")</f>
        <v/>
      </c>
    </row>
    <row r="636">
      <c r="A636" s="12" t="n"/>
      <c r="B636">
        <f>IF($X636="","",INDEX('Per Line'!$D$2:$D$3001,$X636)&amp;"")</f>
        <v/>
      </c>
      <c r="C636" s="11">
        <f>IF($X636="","",INDEX('Per Line'!$F$2:$F$3001,$X636))</f>
        <v/>
      </c>
      <c r="D636">
        <f>IF($X636="","",INDEX('Per Line'!$G$2:$G$3001,$X636)&amp;"")</f>
        <v/>
      </c>
      <c r="E636">
        <f>IF($X636="","",INDEX('Per Line'!$I$2:$I$3001,$X636)&amp;"")</f>
        <v/>
      </c>
      <c r="F636">
        <f>IF($X636="","",INDEX('Per Line'!$J$2:$J$3001,$X636)&amp;"")</f>
        <v/>
      </c>
      <c r="G636">
        <f>IF($X636="","",INDEX('Per Line'!$K$2:$K$3001,$X636)&amp;"")</f>
        <v/>
      </c>
      <c r="H636">
        <f>IF($X636="","",INDEX('Per Line'!$M$2:$M$3001,$X636))</f>
        <v/>
      </c>
      <c r="I636" s="7">
        <f>IF($X636="","",H636*V636/100)</f>
        <v/>
      </c>
      <c r="J636">
        <f>IF($X636="","",INDEX('Per Line'!$W$2:$W$3001,$X636)&amp;"")</f>
        <v/>
      </c>
      <c r="K636">
        <f>IF($X636="","",INDEX('Per Line'!$AD$2:$AD$3001,$X636))</f>
        <v/>
      </c>
      <c r="L636">
        <f>IF($X636="","",IF(AND(ISNUMBER(K636),K636&gt;0),V636&gt;K636,FALSE))</f>
        <v/>
      </c>
      <c r="M636" s="7">
        <f>IF($X636="","",SUMIFS('Per Line'!$V$2:$V$3001,'Per Line'!$D$2:$D$3001,$B636,'Per Line'!$AN$2:$AN$3001,1))</f>
        <v/>
      </c>
      <c r="N636">
        <f>IF($X636="","",Settings!$C$7)</f>
        <v/>
      </c>
      <c r="O636" s="7">
        <f>IF($X636="","",SUMIFS('Per Line'!$V$2:$V$3001,'Per Line'!$D$2:$D$3001,$B636,'Per Line'!$AM$2:$AM$3001,0,'Per Line'!$AN$2:$AN$3001,0))</f>
        <v/>
      </c>
      <c r="P636" s="7">
        <f>IF($X636="","",O636*N636)</f>
        <v/>
      </c>
      <c r="Q636">
        <f>IF($X636="","",Settings!$C$6)</f>
        <v/>
      </c>
      <c r="R636" s="7">
        <f>IF($X636="","",SUMIFS('Per Line'!$V$2:$V$3001,'Per Line'!$D$2:$D$3001,$B636,'Per Line'!$AM$2:$AM$3001,1,'Per Line'!$AN$2:$AN$3001,0))</f>
        <v/>
      </c>
      <c r="S636" s="7">
        <f>IF($X636="","",R636*Q636)</f>
        <v/>
      </c>
      <c r="T636" s="7">
        <f>IF($X636="","",S636+P636)</f>
        <v/>
      </c>
      <c r="U636" s="7">
        <f>IF($X636="","",V636-T636)</f>
        <v/>
      </c>
      <c r="V636" s="7">
        <f>IF($X636="","",O636+R636+M636)</f>
        <v/>
      </c>
      <c r="W636" s="7">
        <f>IF($X636="","",V636-T636-I636)</f>
        <v/>
      </c>
      <c r="X636" s="13">
        <f>IF(ROWS($X$2:$X636)&lt;=MAX('Per Line'!$AL$2:$AL$3001),MATCH(ROWS($X$2:$X636),'Per Line'!$AL$2:$AL$3001,0),"")</f>
        <v/>
      </c>
    </row>
    <row r="637">
      <c r="A637" s="12" t="n"/>
      <c r="B637">
        <f>IF($X637="","",INDEX('Per Line'!$D$2:$D$3001,$X637)&amp;"")</f>
        <v/>
      </c>
      <c r="C637" s="11">
        <f>IF($X637="","",INDEX('Per Line'!$F$2:$F$3001,$X637))</f>
        <v/>
      </c>
      <c r="D637">
        <f>IF($X637="","",INDEX('Per Line'!$G$2:$G$3001,$X637)&amp;"")</f>
        <v/>
      </c>
      <c r="E637">
        <f>IF($X637="","",INDEX('Per Line'!$I$2:$I$3001,$X637)&amp;"")</f>
        <v/>
      </c>
      <c r="F637">
        <f>IF($X637="","",INDEX('Per Line'!$J$2:$J$3001,$X637)&amp;"")</f>
        <v/>
      </c>
      <c r="G637">
        <f>IF($X637="","",INDEX('Per Line'!$K$2:$K$3001,$X637)&amp;"")</f>
        <v/>
      </c>
      <c r="H637">
        <f>IF($X637="","",INDEX('Per Line'!$M$2:$M$3001,$X637))</f>
        <v/>
      </c>
      <c r="I637" s="7">
        <f>IF($X637="","",H637*V637/100)</f>
        <v/>
      </c>
      <c r="J637">
        <f>IF($X637="","",INDEX('Per Line'!$W$2:$W$3001,$X637)&amp;"")</f>
        <v/>
      </c>
      <c r="K637">
        <f>IF($X637="","",INDEX('Per Line'!$AD$2:$AD$3001,$X637))</f>
        <v/>
      </c>
      <c r="L637">
        <f>IF($X637="","",IF(AND(ISNUMBER(K637),K637&gt;0),V637&gt;K637,FALSE))</f>
        <v/>
      </c>
      <c r="M637" s="7">
        <f>IF($X637="","",SUMIFS('Per Line'!$V$2:$V$3001,'Per Line'!$D$2:$D$3001,$B637,'Per Line'!$AN$2:$AN$3001,1))</f>
        <v/>
      </c>
      <c r="N637">
        <f>IF($X637="","",Settings!$C$7)</f>
        <v/>
      </c>
      <c r="O637" s="7">
        <f>IF($X637="","",SUMIFS('Per Line'!$V$2:$V$3001,'Per Line'!$D$2:$D$3001,$B637,'Per Line'!$AM$2:$AM$3001,0,'Per Line'!$AN$2:$AN$3001,0))</f>
        <v/>
      </c>
      <c r="P637" s="7">
        <f>IF($X637="","",O637*N637)</f>
        <v/>
      </c>
      <c r="Q637">
        <f>IF($X637="","",Settings!$C$6)</f>
        <v/>
      </c>
      <c r="R637" s="7">
        <f>IF($X637="","",SUMIFS('Per Line'!$V$2:$V$3001,'Per Line'!$D$2:$D$3001,$B637,'Per Line'!$AM$2:$AM$3001,1,'Per Line'!$AN$2:$AN$3001,0))</f>
        <v/>
      </c>
      <c r="S637" s="7">
        <f>IF($X637="","",R637*Q637)</f>
        <v/>
      </c>
      <c r="T637" s="7">
        <f>IF($X637="","",S637+P637)</f>
        <v/>
      </c>
      <c r="U637" s="7">
        <f>IF($X637="","",V637-T637)</f>
        <v/>
      </c>
      <c r="V637" s="7">
        <f>IF($X637="","",O637+R637+M637)</f>
        <v/>
      </c>
      <c r="W637" s="7">
        <f>IF($X637="","",V637-T637-I637)</f>
        <v/>
      </c>
      <c r="X637" s="13">
        <f>IF(ROWS($X$2:$X637)&lt;=MAX('Per Line'!$AL$2:$AL$3001),MATCH(ROWS($X$2:$X637),'Per Line'!$AL$2:$AL$3001,0),"")</f>
        <v/>
      </c>
    </row>
    <row r="638">
      <c r="A638" s="12" t="n"/>
      <c r="B638">
        <f>IF($X638="","",INDEX('Per Line'!$D$2:$D$3001,$X638)&amp;"")</f>
        <v/>
      </c>
      <c r="C638" s="11">
        <f>IF($X638="","",INDEX('Per Line'!$F$2:$F$3001,$X638))</f>
        <v/>
      </c>
      <c r="D638">
        <f>IF($X638="","",INDEX('Per Line'!$G$2:$G$3001,$X638)&amp;"")</f>
        <v/>
      </c>
      <c r="E638">
        <f>IF($X638="","",INDEX('Per Line'!$I$2:$I$3001,$X638)&amp;"")</f>
        <v/>
      </c>
      <c r="F638">
        <f>IF($X638="","",INDEX('Per Line'!$J$2:$J$3001,$X638)&amp;"")</f>
        <v/>
      </c>
      <c r="G638">
        <f>IF($X638="","",INDEX('Per Line'!$K$2:$K$3001,$X638)&amp;"")</f>
        <v/>
      </c>
      <c r="H638">
        <f>IF($X638="","",INDEX('Per Line'!$M$2:$M$3001,$X638))</f>
        <v/>
      </c>
      <c r="I638" s="7">
        <f>IF($X638="","",H638*V638/100)</f>
        <v/>
      </c>
      <c r="J638">
        <f>IF($X638="","",INDEX('Per Line'!$W$2:$W$3001,$X638)&amp;"")</f>
        <v/>
      </c>
      <c r="K638">
        <f>IF($X638="","",INDEX('Per Line'!$AD$2:$AD$3001,$X638))</f>
        <v/>
      </c>
      <c r="L638">
        <f>IF($X638="","",IF(AND(ISNUMBER(K638),K638&gt;0),V638&gt;K638,FALSE))</f>
        <v/>
      </c>
      <c r="M638" s="7">
        <f>IF($X638="","",SUMIFS('Per Line'!$V$2:$V$3001,'Per Line'!$D$2:$D$3001,$B638,'Per Line'!$AN$2:$AN$3001,1))</f>
        <v/>
      </c>
      <c r="N638">
        <f>IF($X638="","",Settings!$C$7)</f>
        <v/>
      </c>
      <c r="O638" s="7">
        <f>IF($X638="","",SUMIFS('Per Line'!$V$2:$V$3001,'Per Line'!$D$2:$D$3001,$B638,'Per Line'!$AM$2:$AM$3001,0,'Per Line'!$AN$2:$AN$3001,0))</f>
        <v/>
      </c>
      <c r="P638" s="7">
        <f>IF($X638="","",O638*N638)</f>
        <v/>
      </c>
      <c r="Q638">
        <f>IF($X638="","",Settings!$C$6)</f>
        <v/>
      </c>
      <c r="R638" s="7">
        <f>IF($X638="","",SUMIFS('Per Line'!$V$2:$V$3001,'Per Line'!$D$2:$D$3001,$B638,'Per Line'!$AM$2:$AM$3001,1,'Per Line'!$AN$2:$AN$3001,0))</f>
        <v/>
      </c>
      <c r="S638" s="7">
        <f>IF($X638="","",R638*Q638)</f>
        <v/>
      </c>
      <c r="T638" s="7">
        <f>IF($X638="","",S638+P638)</f>
        <v/>
      </c>
      <c r="U638" s="7">
        <f>IF($X638="","",V638-T638)</f>
        <v/>
      </c>
      <c r="V638" s="7">
        <f>IF($X638="","",O638+R638+M638)</f>
        <v/>
      </c>
      <c r="W638" s="7">
        <f>IF($X638="","",V638-T638-I638)</f>
        <v/>
      </c>
      <c r="X638" s="13">
        <f>IF(ROWS($X$2:$X638)&lt;=MAX('Per Line'!$AL$2:$AL$3001),MATCH(ROWS($X$2:$X638),'Per Line'!$AL$2:$AL$3001,0),"")</f>
        <v/>
      </c>
    </row>
    <row r="639">
      <c r="A639" s="12" t="n"/>
      <c r="B639">
        <f>IF($X639="","",INDEX('Per Line'!$D$2:$D$3001,$X639)&amp;"")</f>
        <v/>
      </c>
      <c r="C639" s="11">
        <f>IF($X639="","",INDEX('Per Line'!$F$2:$F$3001,$X639))</f>
        <v/>
      </c>
      <c r="D639">
        <f>IF($X639="","",INDEX('Per Line'!$G$2:$G$3001,$X639)&amp;"")</f>
        <v/>
      </c>
      <c r="E639">
        <f>IF($X639="","",INDEX('Per Line'!$I$2:$I$3001,$X639)&amp;"")</f>
        <v/>
      </c>
      <c r="F639">
        <f>IF($X639="","",INDEX('Per Line'!$J$2:$J$3001,$X639)&amp;"")</f>
        <v/>
      </c>
      <c r="G639">
        <f>IF($X639="","",INDEX('Per Line'!$K$2:$K$3001,$X639)&amp;"")</f>
        <v/>
      </c>
      <c r="H639">
        <f>IF($X639="","",INDEX('Per Line'!$M$2:$M$3001,$X639))</f>
        <v/>
      </c>
      <c r="I639" s="7">
        <f>IF($X639="","",H639*V639/100)</f>
        <v/>
      </c>
      <c r="J639">
        <f>IF($X639="","",INDEX('Per Line'!$W$2:$W$3001,$X639)&amp;"")</f>
        <v/>
      </c>
      <c r="K639">
        <f>IF($X639="","",INDEX('Per Line'!$AD$2:$AD$3001,$X639))</f>
        <v/>
      </c>
      <c r="L639">
        <f>IF($X639="","",IF(AND(ISNUMBER(K639),K639&gt;0),V639&gt;K639,FALSE))</f>
        <v/>
      </c>
      <c r="M639" s="7">
        <f>IF($X639="","",SUMIFS('Per Line'!$V$2:$V$3001,'Per Line'!$D$2:$D$3001,$B639,'Per Line'!$AN$2:$AN$3001,1))</f>
        <v/>
      </c>
      <c r="N639">
        <f>IF($X639="","",Settings!$C$7)</f>
        <v/>
      </c>
      <c r="O639" s="7">
        <f>IF($X639="","",SUMIFS('Per Line'!$V$2:$V$3001,'Per Line'!$D$2:$D$3001,$B639,'Per Line'!$AM$2:$AM$3001,0,'Per Line'!$AN$2:$AN$3001,0))</f>
        <v/>
      </c>
      <c r="P639" s="7">
        <f>IF($X639="","",O639*N639)</f>
        <v/>
      </c>
      <c r="Q639">
        <f>IF($X639="","",Settings!$C$6)</f>
        <v/>
      </c>
      <c r="R639" s="7">
        <f>IF($X639="","",SUMIFS('Per Line'!$V$2:$V$3001,'Per Line'!$D$2:$D$3001,$B639,'Per Line'!$AM$2:$AM$3001,1,'Per Line'!$AN$2:$AN$3001,0))</f>
        <v/>
      </c>
      <c r="S639" s="7">
        <f>IF($X639="","",R639*Q639)</f>
        <v/>
      </c>
      <c r="T639" s="7">
        <f>IF($X639="","",S639+P639)</f>
        <v/>
      </c>
      <c r="U639" s="7">
        <f>IF($X639="","",V639-T639)</f>
        <v/>
      </c>
      <c r="V639" s="7">
        <f>IF($X639="","",O639+R639+M639)</f>
        <v/>
      </c>
      <c r="W639" s="7">
        <f>IF($X639="","",V639-T639-I639)</f>
        <v/>
      </c>
      <c r="X639" s="13">
        <f>IF(ROWS($X$2:$X639)&lt;=MAX('Per Line'!$AL$2:$AL$3001),MATCH(ROWS($X$2:$X639),'Per Line'!$AL$2:$AL$3001,0),"")</f>
        <v/>
      </c>
    </row>
    <row r="640">
      <c r="A640" s="12" t="n"/>
      <c r="B640">
        <f>IF($X640="","",INDEX('Per Line'!$D$2:$D$3001,$X640)&amp;"")</f>
        <v/>
      </c>
      <c r="C640" s="11">
        <f>IF($X640="","",INDEX('Per Line'!$F$2:$F$3001,$X640))</f>
        <v/>
      </c>
      <c r="D640">
        <f>IF($X640="","",INDEX('Per Line'!$G$2:$G$3001,$X640)&amp;"")</f>
        <v/>
      </c>
      <c r="E640">
        <f>IF($X640="","",INDEX('Per Line'!$I$2:$I$3001,$X640)&amp;"")</f>
        <v/>
      </c>
      <c r="F640">
        <f>IF($X640="","",INDEX('Per Line'!$J$2:$J$3001,$X640)&amp;"")</f>
        <v/>
      </c>
      <c r="G640">
        <f>IF($X640="","",INDEX('Per Line'!$K$2:$K$3001,$X640)&amp;"")</f>
        <v/>
      </c>
      <c r="H640">
        <f>IF($X640="","",INDEX('Per Line'!$M$2:$M$3001,$X640))</f>
        <v/>
      </c>
      <c r="I640" s="7">
        <f>IF($X640="","",H640*V640/100)</f>
        <v/>
      </c>
      <c r="J640">
        <f>IF($X640="","",INDEX('Per Line'!$W$2:$W$3001,$X640)&amp;"")</f>
        <v/>
      </c>
      <c r="K640">
        <f>IF($X640="","",INDEX('Per Line'!$AD$2:$AD$3001,$X640))</f>
        <v/>
      </c>
      <c r="L640">
        <f>IF($X640="","",IF(AND(ISNUMBER(K640),K640&gt;0),V640&gt;K640,FALSE))</f>
        <v/>
      </c>
      <c r="M640" s="7">
        <f>IF($X640="","",SUMIFS('Per Line'!$V$2:$V$3001,'Per Line'!$D$2:$D$3001,$B640,'Per Line'!$AN$2:$AN$3001,1))</f>
        <v/>
      </c>
      <c r="N640">
        <f>IF($X640="","",Settings!$C$7)</f>
        <v/>
      </c>
      <c r="O640" s="7">
        <f>IF($X640="","",SUMIFS('Per Line'!$V$2:$V$3001,'Per Line'!$D$2:$D$3001,$B640,'Per Line'!$AM$2:$AM$3001,0,'Per Line'!$AN$2:$AN$3001,0))</f>
        <v/>
      </c>
      <c r="P640" s="7">
        <f>IF($X640="","",O640*N640)</f>
        <v/>
      </c>
      <c r="Q640">
        <f>IF($X640="","",Settings!$C$6)</f>
        <v/>
      </c>
      <c r="R640" s="7">
        <f>IF($X640="","",SUMIFS('Per Line'!$V$2:$V$3001,'Per Line'!$D$2:$D$3001,$B640,'Per Line'!$AM$2:$AM$3001,1,'Per Line'!$AN$2:$AN$3001,0))</f>
        <v/>
      </c>
      <c r="S640" s="7">
        <f>IF($X640="","",R640*Q640)</f>
        <v/>
      </c>
      <c r="T640" s="7">
        <f>IF($X640="","",S640+P640)</f>
        <v/>
      </c>
      <c r="U640" s="7">
        <f>IF($X640="","",V640-T640)</f>
        <v/>
      </c>
      <c r="V640" s="7">
        <f>IF($X640="","",O640+R640+M640)</f>
        <v/>
      </c>
      <c r="W640" s="7">
        <f>IF($X640="","",V640-T640-I640)</f>
        <v/>
      </c>
      <c r="X640" s="13">
        <f>IF(ROWS($X$2:$X640)&lt;=MAX('Per Line'!$AL$2:$AL$3001),MATCH(ROWS($X$2:$X640),'Per Line'!$AL$2:$AL$3001,0),"")</f>
        <v/>
      </c>
    </row>
    <row r="641">
      <c r="A641" s="12" t="n"/>
      <c r="B641">
        <f>IF($X641="","",INDEX('Per Line'!$D$2:$D$3001,$X641)&amp;"")</f>
        <v/>
      </c>
      <c r="C641" s="11">
        <f>IF($X641="","",INDEX('Per Line'!$F$2:$F$3001,$X641))</f>
        <v/>
      </c>
      <c r="D641">
        <f>IF($X641="","",INDEX('Per Line'!$G$2:$G$3001,$X641)&amp;"")</f>
        <v/>
      </c>
      <c r="E641">
        <f>IF($X641="","",INDEX('Per Line'!$I$2:$I$3001,$X641)&amp;"")</f>
        <v/>
      </c>
      <c r="F641">
        <f>IF($X641="","",INDEX('Per Line'!$J$2:$J$3001,$X641)&amp;"")</f>
        <v/>
      </c>
      <c r="G641">
        <f>IF($X641="","",INDEX('Per Line'!$K$2:$K$3001,$X641)&amp;"")</f>
        <v/>
      </c>
      <c r="H641">
        <f>IF($X641="","",INDEX('Per Line'!$M$2:$M$3001,$X641))</f>
        <v/>
      </c>
      <c r="I641" s="7">
        <f>IF($X641="","",H641*V641/100)</f>
        <v/>
      </c>
      <c r="J641">
        <f>IF($X641="","",INDEX('Per Line'!$W$2:$W$3001,$X641)&amp;"")</f>
        <v/>
      </c>
      <c r="K641">
        <f>IF($X641="","",INDEX('Per Line'!$AD$2:$AD$3001,$X641))</f>
        <v/>
      </c>
      <c r="L641">
        <f>IF($X641="","",IF(AND(ISNUMBER(K641),K641&gt;0),V641&gt;K641,FALSE))</f>
        <v/>
      </c>
      <c r="M641" s="7">
        <f>IF($X641="","",SUMIFS('Per Line'!$V$2:$V$3001,'Per Line'!$D$2:$D$3001,$B641,'Per Line'!$AN$2:$AN$3001,1))</f>
        <v/>
      </c>
      <c r="N641">
        <f>IF($X641="","",Settings!$C$7)</f>
        <v/>
      </c>
      <c r="O641" s="7">
        <f>IF($X641="","",SUMIFS('Per Line'!$V$2:$V$3001,'Per Line'!$D$2:$D$3001,$B641,'Per Line'!$AM$2:$AM$3001,0,'Per Line'!$AN$2:$AN$3001,0))</f>
        <v/>
      </c>
      <c r="P641" s="7">
        <f>IF($X641="","",O641*N641)</f>
        <v/>
      </c>
      <c r="Q641">
        <f>IF($X641="","",Settings!$C$6)</f>
        <v/>
      </c>
      <c r="R641" s="7">
        <f>IF($X641="","",SUMIFS('Per Line'!$V$2:$V$3001,'Per Line'!$D$2:$D$3001,$B641,'Per Line'!$AM$2:$AM$3001,1,'Per Line'!$AN$2:$AN$3001,0))</f>
        <v/>
      </c>
      <c r="S641" s="7">
        <f>IF($X641="","",R641*Q641)</f>
        <v/>
      </c>
      <c r="T641" s="7">
        <f>IF($X641="","",S641+P641)</f>
        <v/>
      </c>
      <c r="U641" s="7">
        <f>IF($X641="","",V641-T641)</f>
        <v/>
      </c>
      <c r="V641" s="7">
        <f>IF($X641="","",O641+R641+M641)</f>
        <v/>
      </c>
      <c r="W641" s="7">
        <f>IF($X641="","",V641-T641-I641)</f>
        <v/>
      </c>
      <c r="X641" s="13">
        <f>IF(ROWS($X$2:$X641)&lt;=MAX('Per Line'!$AL$2:$AL$3001),MATCH(ROWS($X$2:$X641),'Per Line'!$AL$2:$AL$3001,0),"")</f>
        <v/>
      </c>
    </row>
    <row r="642">
      <c r="A642" s="12" t="n"/>
      <c r="B642">
        <f>IF($X642="","",INDEX('Per Line'!$D$2:$D$3001,$X642)&amp;"")</f>
        <v/>
      </c>
      <c r="C642" s="11">
        <f>IF($X642="","",INDEX('Per Line'!$F$2:$F$3001,$X642))</f>
        <v/>
      </c>
      <c r="D642">
        <f>IF($X642="","",INDEX('Per Line'!$G$2:$G$3001,$X642)&amp;"")</f>
        <v/>
      </c>
      <c r="E642">
        <f>IF($X642="","",INDEX('Per Line'!$I$2:$I$3001,$X642)&amp;"")</f>
        <v/>
      </c>
      <c r="F642">
        <f>IF($X642="","",INDEX('Per Line'!$J$2:$J$3001,$X642)&amp;"")</f>
        <v/>
      </c>
      <c r="G642">
        <f>IF($X642="","",INDEX('Per Line'!$K$2:$K$3001,$X642)&amp;"")</f>
        <v/>
      </c>
      <c r="H642">
        <f>IF($X642="","",INDEX('Per Line'!$M$2:$M$3001,$X642))</f>
        <v/>
      </c>
      <c r="I642" s="7">
        <f>IF($X642="","",H642*V642/100)</f>
        <v/>
      </c>
      <c r="J642">
        <f>IF($X642="","",INDEX('Per Line'!$W$2:$W$3001,$X642)&amp;"")</f>
        <v/>
      </c>
      <c r="K642">
        <f>IF($X642="","",INDEX('Per Line'!$AD$2:$AD$3001,$X642))</f>
        <v/>
      </c>
      <c r="L642">
        <f>IF($X642="","",IF(AND(ISNUMBER(K642),K642&gt;0),V642&gt;K642,FALSE))</f>
        <v/>
      </c>
      <c r="M642" s="7">
        <f>IF($X642="","",SUMIFS('Per Line'!$V$2:$V$3001,'Per Line'!$D$2:$D$3001,$B642,'Per Line'!$AN$2:$AN$3001,1))</f>
        <v/>
      </c>
      <c r="N642">
        <f>IF($X642="","",Settings!$C$7)</f>
        <v/>
      </c>
      <c r="O642" s="7">
        <f>IF($X642="","",SUMIFS('Per Line'!$V$2:$V$3001,'Per Line'!$D$2:$D$3001,$B642,'Per Line'!$AM$2:$AM$3001,0,'Per Line'!$AN$2:$AN$3001,0))</f>
        <v/>
      </c>
      <c r="P642" s="7">
        <f>IF($X642="","",O642*N642)</f>
        <v/>
      </c>
      <c r="Q642">
        <f>IF($X642="","",Settings!$C$6)</f>
        <v/>
      </c>
      <c r="R642" s="7">
        <f>IF($X642="","",SUMIFS('Per Line'!$V$2:$V$3001,'Per Line'!$D$2:$D$3001,$B642,'Per Line'!$AM$2:$AM$3001,1,'Per Line'!$AN$2:$AN$3001,0))</f>
        <v/>
      </c>
      <c r="S642" s="7">
        <f>IF($X642="","",R642*Q642)</f>
        <v/>
      </c>
      <c r="T642" s="7">
        <f>IF($X642="","",S642+P642)</f>
        <v/>
      </c>
      <c r="U642" s="7">
        <f>IF($X642="","",V642-T642)</f>
        <v/>
      </c>
      <c r="V642" s="7">
        <f>IF($X642="","",O642+R642+M642)</f>
        <v/>
      </c>
      <c r="W642" s="7">
        <f>IF($X642="","",V642-T642-I642)</f>
        <v/>
      </c>
      <c r="X642" s="13">
        <f>IF(ROWS($X$2:$X642)&lt;=MAX('Per Line'!$AL$2:$AL$3001),MATCH(ROWS($X$2:$X642),'Per Line'!$AL$2:$AL$3001,0),"")</f>
        <v/>
      </c>
    </row>
    <row r="643">
      <c r="A643" s="12" t="n"/>
      <c r="B643">
        <f>IF($X643="","",INDEX('Per Line'!$D$2:$D$3001,$X643)&amp;"")</f>
        <v/>
      </c>
      <c r="C643" s="11">
        <f>IF($X643="","",INDEX('Per Line'!$F$2:$F$3001,$X643))</f>
        <v/>
      </c>
      <c r="D643">
        <f>IF($X643="","",INDEX('Per Line'!$G$2:$G$3001,$X643)&amp;"")</f>
        <v/>
      </c>
      <c r="E643">
        <f>IF($X643="","",INDEX('Per Line'!$I$2:$I$3001,$X643)&amp;"")</f>
        <v/>
      </c>
      <c r="F643">
        <f>IF($X643="","",INDEX('Per Line'!$J$2:$J$3001,$X643)&amp;"")</f>
        <v/>
      </c>
      <c r="G643">
        <f>IF($X643="","",INDEX('Per Line'!$K$2:$K$3001,$X643)&amp;"")</f>
        <v/>
      </c>
      <c r="H643">
        <f>IF($X643="","",INDEX('Per Line'!$M$2:$M$3001,$X643))</f>
        <v/>
      </c>
      <c r="I643" s="7">
        <f>IF($X643="","",H643*V643/100)</f>
        <v/>
      </c>
      <c r="J643">
        <f>IF($X643="","",INDEX('Per Line'!$W$2:$W$3001,$X643)&amp;"")</f>
        <v/>
      </c>
      <c r="K643">
        <f>IF($X643="","",INDEX('Per Line'!$AD$2:$AD$3001,$X643))</f>
        <v/>
      </c>
      <c r="L643">
        <f>IF($X643="","",IF(AND(ISNUMBER(K643),K643&gt;0),V643&gt;K643,FALSE))</f>
        <v/>
      </c>
      <c r="M643" s="7">
        <f>IF($X643="","",SUMIFS('Per Line'!$V$2:$V$3001,'Per Line'!$D$2:$D$3001,$B643,'Per Line'!$AN$2:$AN$3001,1))</f>
        <v/>
      </c>
      <c r="N643">
        <f>IF($X643="","",Settings!$C$7)</f>
        <v/>
      </c>
      <c r="O643" s="7">
        <f>IF($X643="","",SUMIFS('Per Line'!$V$2:$V$3001,'Per Line'!$D$2:$D$3001,$B643,'Per Line'!$AM$2:$AM$3001,0,'Per Line'!$AN$2:$AN$3001,0))</f>
        <v/>
      </c>
      <c r="P643" s="7">
        <f>IF($X643="","",O643*N643)</f>
        <v/>
      </c>
      <c r="Q643">
        <f>IF($X643="","",Settings!$C$6)</f>
        <v/>
      </c>
      <c r="R643" s="7">
        <f>IF($X643="","",SUMIFS('Per Line'!$V$2:$V$3001,'Per Line'!$D$2:$D$3001,$B643,'Per Line'!$AM$2:$AM$3001,1,'Per Line'!$AN$2:$AN$3001,0))</f>
        <v/>
      </c>
      <c r="S643" s="7">
        <f>IF($X643="","",R643*Q643)</f>
        <v/>
      </c>
      <c r="T643" s="7">
        <f>IF($X643="","",S643+P643)</f>
        <v/>
      </c>
      <c r="U643" s="7">
        <f>IF($X643="","",V643-T643)</f>
        <v/>
      </c>
      <c r="V643" s="7">
        <f>IF($X643="","",O643+R643+M643)</f>
        <v/>
      </c>
      <c r="W643" s="7">
        <f>IF($X643="","",V643-T643-I643)</f>
        <v/>
      </c>
      <c r="X643" s="13">
        <f>IF(ROWS($X$2:$X643)&lt;=MAX('Per Line'!$AL$2:$AL$3001),MATCH(ROWS($X$2:$X643),'Per Line'!$AL$2:$AL$3001,0),"")</f>
        <v/>
      </c>
    </row>
    <row r="644">
      <c r="A644" s="12" t="n"/>
      <c r="B644">
        <f>IF($X644="","",INDEX('Per Line'!$D$2:$D$3001,$X644)&amp;"")</f>
        <v/>
      </c>
      <c r="C644" s="11">
        <f>IF($X644="","",INDEX('Per Line'!$F$2:$F$3001,$X644))</f>
        <v/>
      </c>
      <c r="D644">
        <f>IF($X644="","",INDEX('Per Line'!$G$2:$G$3001,$X644)&amp;"")</f>
        <v/>
      </c>
      <c r="E644">
        <f>IF($X644="","",INDEX('Per Line'!$I$2:$I$3001,$X644)&amp;"")</f>
        <v/>
      </c>
      <c r="F644">
        <f>IF($X644="","",INDEX('Per Line'!$J$2:$J$3001,$X644)&amp;"")</f>
        <v/>
      </c>
      <c r="G644">
        <f>IF($X644="","",INDEX('Per Line'!$K$2:$K$3001,$X644)&amp;"")</f>
        <v/>
      </c>
      <c r="H644">
        <f>IF($X644="","",INDEX('Per Line'!$M$2:$M$3001,$X644))</f>
        <v/>
      </c>
      <c r="I644" s="7">
        <f>IF($X644="","",H644*V644/100)</f>
        <v/>
      </c>
      <c r="J644">
        <f>IF($X644="","",INDEX('Per Line'!$W$2:$W$3001,$X644)&amp;"")</f>
        <v/>
      </c>
      <c r="K644">
        <f>IF($X644="","",INDEX('Per Line'!$AD$2:$AD$3001,$X644))</f>
        <v/>
      </c>
      <c r="L644">
        <f>IF($X644="","",IF(AND(ISNUMBER(K644),K644&gt;0),V644&gt;K644,FALSE))</f>
        <v/>
      </c>
      <c r="M644" s="7">
        <f>IF($X644="","",SUMIFS('Per Line'!$V$2:$V$3001,'Per Line'!$D$2:$D$3001,$B644,'Per Line'!$AN$2:$AN$3001,1))</f>
        <v/>
      </c>
      <c r="N644">
        <f>IF($X644="","",Settings!$C$7)</f>
        <v/>
      </c>
      <c r="O644" s="7">
        <f>IF($X644="","",SUMIFS('Per Line'!$V$2:$V$3001,'Per Line'!$D$2:$D$3001,$B644,'Per Line'!$AM$2:$AM$3001,0,'Per Line'!$AN$2:$AN$3001,0))</f>
        <v/>
      </c>
      <c r="P644" s="7">
        <f>IF($X644="","",O644*N644)</f>
        <v/>
      </c>
      <c r="Q644">
        <f>IF($X644="","",Settings!$C$6)</f>
        <v/>
      </c>
      <c r="R644" s="7">
        <f>IF($X644="","",SUMIFS('Per Line'!$V$2:$V$3001,'Per Line'!$D$2:$D$3001,$B644,'Per Line'!$AM$2:$AM$3001,1,'Per Line'!$AN$2:$AN$3001,0))</f>
        <v/>
      </c>
      <c r="S644" s="7">
        <f>IF($X644="","",R644*Q644)</f>
        <v/>
      </c>
      <c r="T644" s="7">
        <f>IF($X644="","",S644+P644)</f>
        <v/>
      </c>
      <c r="U644" s="7">
        <f>IF($X644="","",V644-T644)</f>
        <v/>
      </c>
      <c r="V644" s="7">
        <f>IF($X644="","",O644+R644+M644)</f>
        <v/>
      </c>
      <c r="W644" s="7">
        <f>IF($X644="","",V644-T644-I644)</f>
        <v/>
      </c>
      <c r="X644" s="13">
        <f>IF(ROWS($X$2:$X644)&lt;=MAX('Per Line'!$AL$2:$AL$3001),MATCH(ROWS($X$2:$X644),'Per Line'!$AL$2:$AL$3001,0),"")</f>
        <v/>
      </c>
    </row>
    <row r="645">
      <c r="A645" s="12" t="n"/>
      <c r="B645">
        <f>IF($X645="","",INDEX('Per Line'!$D$2:$D$3001,$X645)&amp;"")</f>
        <v/>
      </c>
      <c r="C645" s="11">
        <f>IF($X645="","",INDEX('Per Line'!$F$2:$F$3001,$X645))</f>
        <v/>
      </c>
      <c r="D645">
        <f>IF($X645="","",INDEX('Per Line'!$G$2:$G$3001,$X645)&amp;"")</f>
        <v/>
      </c>
      <c r="E645">
        <f>IF($X645="","",INDEX('Per Line'!$I$2:$I$3001,$X645)&amp;"")</f>
        <v/>
      </c>
      <c r="F645">
        <f>IF($X645="","",INDEX('Per Line'!$J$2:$J$3001,$X645)&amp;"")</f>
        <v/>
      </c>
      <c r="G645">
        <f>IF($X645="","",INDEX('Per Line'!$K$2:$K$3001,$X645)&amp;"")</f>
        <v/>
      </c>
      <c r="H645">
        <f>IF($X645="","",INDEX('Per Line'!$M$2:$M$3001,$X645))</f>
        <v/>
      </c>
      <c r="I645" s="7">
        <f>IF($X645="","",H645*V645/100)</f>
        <v/>
      </c>
      <c r="J645">
        <f>IF($X645="","",INDEX('Per Line'!$W$2:$W$3001,$X645)&amp;"")</f>
        <v/>
      </c>
      <c r="K645">
        <f>IF($X645="","",INDEX('Per Line'!$AD$2:$AD$3001,$X645))</f>
        <v/>
      </c>
      <c r="L645">
        <f>IF($X645="","",IF(AND(ISNUMBER(K645),K645&gt;0),V645&gt;K645,FALSE))</f>
        <v/>
      </c>
      <c r="M645" s="7">
        <f>IF($X645="","",SUMIFS('Per Line'!$V$2:$V$3001,'Per Line'!$D$2:$D$3001,$B645,'Per Line'!$AN$2:$AN$3001,1))</f>
        <v/>
      </c>
      <c r="N645">
        <f>IF($X645="","",Settings!$C$7)</f>
        <v/>
      </c>
      <c r="O645" s="7">
        <f>IF($X645="","",SUMIFS('Per Line'!$V$2:$V$3001,'Per Line'!$D$2:$D$3001,$B645,'Per Line'!$AM$2:$AM$3001,0,'Per Line'!$AN$2:$AN$3001,0))</f>
        <v/>
      </c>
      <c r="P645" s="7">
        <f>IF($X645="","",O645*N645)</f>
        <v/>
      </c>
      <c r="Q645">
        <f>IF($X645="","",Settings!$C$6)</f>
        <v/>
      </c>
      <c r="R645" s="7">
        <f>IF($X645="","",SUMIFS('Per Line'!$V$2:$V$3001,'Per Line'!$D$2:$D$3001,$B645,'Per Line'!$AM$2:$AM$3001,1,'Per Line'!$AN$2:$AN$3001,0))</f>
        <v/>
      </c>
      <c r="S645" s="7">
        <f>IF($X645="","",R645*Q645)</f>
        <v/>
      </c>
      <c r="T645" s="7">
        <f>IF($X645="","",S645+P645)</f>
        <v/>
      </c>
      <c r="U645" s="7">
        <f>IF($X645="","",V645-T645)</f>
        <v/>
      </c>
      <c r="V645" s="7">
        <f>IF($X645="","",O645+R645+M645)</f>
        <v/>
      </c>
      <c r="W645" s="7">
        <f>IF($X645="","",V645-T645-I645)</f>
        <v/>
      </c>
      <c r="X645" s="13">
        <f>IF(ROWS($X$2:$X645)&lt;=MAX('Per Line'!$AL$2:$AL$3001),MATCH(ROWS($X$2:$X645),'Per Line'!$AL$2:$AL$3001,0),"")</f>
        <v/>
      </c>
    </row>
    <row r="646">
      <c r="A646" s="12" t="n"/>
      <c r="B646">
        <f>IF($X646="","",INDEX('Per Line'!$D$2:$D$3001,$X646)&amp;"")</f>
        <v/>
      </c>
      <c r="C646" s="11">
        <f>IF($X646="","",INDEX('Per Line'!$F$2:$F$3001,$X646))</f>
        <v/>
      </c>
      <c r="D646">
        <f>IF($X646="","",INDEX('Per Line'!$G$2:$G$3001,$X646)&amp;"")</f>
        <v/>
      </c>
      <c r="E646">
        <f>IF($X646="","",INDEX('Per Line'!$I$2:$I$3001,$X646)&amp;"")</f>
        <v/>
      </c>
      <c r="F646">
        <f>IF($X646="","",INDEX('Per Line'!$J$2:$J$3001,$X646)&amp;"")</f>
        <v/>
      </c>
      <c r="G646">
        <f>IF($X646="","",INDEX('Per Line'!$K$2:$K$3001,$X646)&amp;"")</f>
        <v/>
      </c>
      <c r="H646">
        <f>IF($X646="","",INDEX('Per Line'!$M$2:$M$3001,$X646))</f>
        <v/>
      </c>
      <c r="I646" s="7">
        <f>IF($X646="","",H646*V646/100)</f>
        <v/>
      </c>
      <c r="J646">
        <f>IF($X646="","",INDEX('Per Line'!$W$2:$W$3001,$X646)&amp;"")</f>
        <v/>
      </c>
      <c r="K646">
        <f>IF($X646="","",INDEX('Per Line'!$AD$2:$AD$3001,$X646))</f>
        <v/>
      </c>
      <c r="L646">
        <f>IF($X646="","",IF(AND(ISNUMBER(K646),K646&gt;0),V646&gt;K646,FALSE))</f>
        <v/>
      </c>
      <c r="M646" s="7">
        <f>IF($X646="","",SUMIFS('Per Line'!$V$2:$V$3001,'Per Line'!$D$2:$D$3001,$B646,'Per Line'!$AN$2:$AN$3001,1))</f>
        <v/>
      </c>
      <c r="N646">
        <f>IF($X646="","",Settings!$C$7)</f>
        <v/>
      </c>
      <c r="O646" s="7">
        <f>IF($X646="","",SUMIFS('Per Line'!$V$2:$V$3001,'Per Line'!$D$2:$D$3001,$B646,'Per Line'!$AM$2:$AM$3001,0,'Per Line'!$AN$2:$AN$3001,0))</f>
        <v/>
      </c>
      <c r="P646" s="7">
        <f>IF($X646="","",O646*N646)</f>
        <v/>
      </c>
      <c r="Q646">
        <f>IF($X646="","",Settings!$C$6)</f>
        <v/>
      </c>
      <c r="R646" s="7">
        <f>IF($X646="","",SUMIFS('Per Line'!$V$2:$V$3001,'Per Line'!$D$2:$D$3001,$B646,'Per Line'!$AM$2:$AM$3001,1,'Per Line'!$AN$2:$AN$3001,0))</f>
        <v/>
      </c>
      <c r="S646" s="7">
        <f>IF($X646="","",R646*Q646)</f>
        <v/>
      </c>
      <c r="T646" s="7">
        <f>IF($X646="","",S646+P646)</f>
        <v/>
      </c>
      <c r="U646" s="7">
        <f>IF($X646="","",V646-T646)</f>
        <v/>
      </c>
      <c r="V646" s="7">
        <f>IF($X646="","",O646+R646+M646)</f>
        <v/>
      </c>
      <c r="W646" s="7">
        <f>IF($X646="","",V646-T646-I646)</f>
        <v/>
      </c>
      <c r="X646" s="13">
        <f>IF(ROWS($X$2:$X646)&lt;=MAX('Per Line'!$AL$2:$AL$3001),MATCH(ROWS($X$2:$X646),'Per Line'!$AL$2:$AL$3001,0),"")</f>
        <v/>
      </c>
    </row>
    <row r="647">
      <c r="A647" s="12" t="n"/>
      <c r="B647">
        <f>IF($X647="","",INDEX('Per Line'!$D$2:$D$3001,$X647)&amp;"")</f>
        <v/>
      </c>
      <c r="C647" s="11">
        <f>IF($X647="","",INDEX('Per Line'!$F$2:$F$3001,$X647))</f>
        <v/>
      </c>
      <c r="D647">
        <f>IF($X647="","",INDEX('Per Line'!$G$2:$G$3001,$X647)&amp;"")</f>
        <v/>
      </c>
      <c r="E647">
        <f>IF($X647="","",INDEX('Per Line'!$I$2:$I$3001,$X647)&amp;"")</f>
        <v/>
      </c>
      <c r="F647">
        <f>IF($X647="","",INDEX('Per Line'!$J$2:$J$3001,$X647)&amp;"")</f>
        <v/>
      </c>
      <c r="G647">
        <f>IF($X647="","",INDEX('Per Line'!$K$2:$K$3001,$X647)&amp;"")</f>
        <v/>
      </c>
      <c r="H647">
        <f>IF($X647="","",INDEX('Per Line'!$M$2:$M$3001,$X647))</f>
        <v/>
      </c>
      <c r="I647" s="7">
        <f>IF($X647="","",H647*V647/100)</f>
        <v/>
      </c>
      <c r="J647">
        <f>IF($X647="","",INDEX('Per Line'!$W$2:$W$3001,$X647)&amp;"")</f>
        <v/>
      </c>
      <c r="K647">
        <f>IF($X647="","",INDEX('Per Line'!$AD$2:$AD$3001,$X647))</f>
        <v/>
      </c>
      <c r="L647">
        <f>IF($X647="","",IF(AND(ISNUMBER(K647),K647&gt;0),V647&gt;K647,FALSE))</f>
        <v/>
      </c>
      <c r="M647" s="7">
        <f>IF($X647="","",SUMIFS('Per Line'!$V$2:$V$3001,'Per Line'!$D$2:$D$3001,$B647,'Per Line'!$AN$2:$AN$3001,1))</f>
        <v/>
      </c>
      <c r="N647">
        <f>IF($X647="","",Settings!$C$7)</f>
        <v/>
      </c>
      <c r="O647" s="7">
        <f>IF($X647="","",SUMIFS('Per Line'!$V$2:$V$3001,'Per Line'!$D$2:$D$3001,$B647,'Per Line'!$AM$2:$AM$3001,0,'Per Line'!$AN$2:$AN$3001,0))</f>
        <v/>
      </c>
      <c r="P647" s="7">
        <f>IF($X647="","",O647*N647)</f>
        <v/>
      </c>
      <c r="Q647">
        <f>IF($X647="","",Settings!$C$6)</f>
        <v/>
      </c>
      <c r="R647" s="7">
        <f>IF($X647="","",SUMIFS('Per Line'!$V$2:$V$3001,'Per Line'!$D$2:$D$3001,$B647,'Per Line'!$AM$2:$AM$3001,1,'Per Line'!$AN$2:$AN$3001,0))</f>
        <v/>
      </c>
      <c r="S647" s="7">
        <f>IF($X647="","",R647*Q647)</f>
        <v/>
      </c>
      <c r="T647" s="7">
        <f>IF($X647="","",S647+P647)</f>
        <v/>
      </c>
      <c r="U647" s="7">
        <f>IF($X647="","",V647-T647)</f>
        <v/>
      </c>
      <c r="V647" s="7">
        <f>IF($X647="","",O647+R647+M647)</f>
        <v/>
      </c>
      <c r="W647" s="7">
        <f>IF($X647="","",V647-T647-I647)</f>
        <v/>
      </c>
      <c r="X647" s="13">
        <f>IF(ROWS($X$2:$X647)&lt;=MAX('Per Line'!$AL$2:$AL$3001),MATCH(ROWS($X$2:$X647),'Per Line'!$AL$2:$AL$3001,0),"")</f>
        <v/>
      </c>
    </row>
    <row r="648">
      <c r="A648" s="12" t="n"/>
      <c r="B648">
        <f>IF($X648="","",INDEX('Per Line'!$D$2:$D$3001,$X648)&amp;"")</f>
        <v/>
      </c>
      <c r="C648" s="11">
        <f>IF($X648="","",INDEX('Per Line'!$F$2:$F$3001,$X648))</f>
        <v/>
      </c>
      <c r="D648">
        <f>IF($X648="","",INDEX('Per Line'!$G$2:$G$3001,$X648)&amp;"")</f>
        <v/>
      </c>
      <c r="E648">
        <f>IF($X648="","",INDEX('Per Line'!$I$2:$I$3001,$X648)&amp;"")</f>
        <v/>
      </c>
      <c r="F648">
        <f>IF($X648="","",INDEX('Per Line'!$J$2:$J$3001,$X648)&amp;"")</f>
        <v/>
      </c>
      <c r="G648">
        <f>IF($X648="","",INDEX('Per Line'!$K$2:$K$3001,$X648)&amp;"")</f>
        <v/>
      </c>
      <c r="H648">
        <f>IF($X648="","",INDEX('Per Line'!$M$2:$M$3001,$X648))</f>
        <v/>
      </c>
      <c r="I648" s="7">
        <f>IF($X648="","",H648*V648/100)</f>
        <v/>
      </c>
      <c r="J648">
        <f>IF($X648="","",INDEX('Per Line'!$W$2:$W$3001,$X648)&amp;"")</f>
        <v/>
      </c>
      <c r="K648">
        <f>IF($X648="","",INDEX('Per Line'!$AD$2:$AD$3001,$X648))</f>
        <v/>
      </c>
      <c r="L648">
        <f>IF($X648="","",IF(AND(ISNUMBER(K648),K648&gt;0),V648&gt;K648,FALSE))</f>
        <v/>
      </c>
      <c r="M648" s="7">
        <f>IF($X648="","",SUMIFS('Per Line'!$V$2:$V$3001,'Per Line'!$D$2:$D$3001,$B648,'Per Line'!$AN$2:$AN$3001,1))</f>
        <v/>
      </c>
      <c r="N648">
        <f>IF($X648="","",Settings!$C$7)</f>
        <v/>
      </c>
      <c r="O648" s="7">
        <f>IF($X648="","",SUMIFS('Per Line'!$V$2:$V$3001,'Per Line'!$D$2:$D$3001,$B648,'Per Line'!$AM$2:$AM$3001,0,'Per Line'!$AN$2:$AN$3001,0))</f>
        <v/>
      </c>
      <c r="P648" s="7">
        <f>IF($X648="","",O648*N648)</f>
        <v/>
      </c>
      <c r="Q648">
        <f>IF($X648="","",Settings!$C$6)</f>
        <v/>
      </c>
      <c r="R648" s="7">
        <f>IF($X648="","",SUMIFS('Per Line'!$V$2:$V$3001,'Per Line'!$D$2:$D$3001,$B648,'Per Line'!$AM$2:$AM$3001,1,'Per Line'!$AN$2:$AN$3001,0))</f>
        <v/>
      </c>
      <c r="S648" s="7">
        <f>IF($X648="","",R648*Q648)</f>
        <v/>
      </c>
      <c r="T648" s="7">
        <f>IF($X648="","",S648+P648)</f>
        <v/>
      </c>
      <c r="U648" s="7">
        <f>IF($X648="","",V648-T648)</f>
        <v/>
      </c>
      <c r="V648" s="7">
        <f>IF($X648="","",O648+R648+M648)</f>
        <v/>
      </c>
      <c r="W648" s="7">
        <f>IF($X648="","",V648-T648-I648)</f>
        <v/>
      </c>
      <c r="X648" s="13">
        <f>IF(ROWS($X$2:$X648)&lt;=MAX('Per Line'!$AL$2:$AL$3001),MATCH(ROWS($X$2:$X648),'Per Line'!$AL$2:$AL$3001,0),"")</f>
        <v/>
      </c>
    </row>
    <row r="649">
      <c r="A649" s="12" t="n"/>
      <c r="B649">
        <f>IF($X649="","",INDEX('Per Line'!$D$2:$D$3001,$X649)&amp;"")</f>
        <v/>
      </c>
      <c r="C649" s="11">
        <f>IF($X649="","",INDEX('Per Line'!$F$2:$F$3001,$X649))</f>
        <v/>
      </c>
      <c r="D649">
        <f>IF($X649="","",INDEX('Per Line'!$G$2:$G$3001,$X649)&amp;"")</f>
        <v/>
      </c>
      <c r="E649">
        <f>IF($X649="","",INDEX('Per Line'!$I$2:$I$3001,$X649)&amp;"")</f>
        <v/>
      </c>
      <c r="F649">
        <f>IF($X649="","",INDEX('Per Line'!$J$2:$J$3001,$X649)&amp;"")</f>
        <v/>
      </c>
      <c r="G649">
        <f>IF($X649="","",INDEX('Per Line'!$K$2:$K$3001,$X649)&amp;"")</f>
        <v/>
      </c>
      <c r="H649">
        <f>IF($X649="","",INDEX('Per Line'!$M$2:$M$3001,$X649))</f>
        <v/>
      </c>
      <c r="I649" s="7">
        <f>IF($X649="","",H649*V649/100)</f>
        <v/>
      </c>
      <c r="J649">
        <f>IF($X649="","",INDEX('Per Line'!$W$2:$W$3001,$X649)&amp;"")</f>
        <v/>
      </c>
      <c r="K649">
        <f>IF($X649="","",INDEX('Per Line'!$AD$2:$AD$3001,$X649))</f>
        <v/>
      </c>
      <c r="L649">
        <f>IF($X649="","",IF(AND(ISNUMBER(K649),K649&gt;0),V649&gt;K649,FALSE))</f>
        <v/>
      </c>
      <c r="M649" s="7">
        <f>IF($X649="","",SUMIFS('Per Line'!$V$2:$V$3001,'Per Line'!$D$2:$D$3001,$B649,'Per Line'!$AN$2:$AN$3001,1))</f>
        <v/>
      </c>
      <c r="N649">
        <f>IF($X649="","",Settings!$C$7)</f>
        <v/>
      </c>
      <c r="O649" s="7">
        <f>IF($X649="","",SUMIFS('Per Line'!$V$2:$V$3001,'Per Line'!$D$2:$D$3001,$B649,'Per Line'!$AM$2:$AM$3001,0,'Per Line'!$AN$2:$AN$3001,0))</f>
        <v/>
      </c>
      <c r="P649" s="7">
        <f>IF($X649="","",O649*N649)</f>
        <v/>
      </c>
      <c r="Q649">
        <f>IF($X649="","",Settings!$C$6)</f>
        <v/>
      </c>
      <c r="R649" s="7">
        <f>IF($X649="","",SUMIFS('Per Line'!$V$2:$V$3001,'Per Line'!$D$2:$D$3001,$B649,'Per Line'!$AM$2:$AM$3001,1,'Per Line'!$AN$2:$AN$3001,0))</f>
        <v/>
      </c>
      <c r="S649" s="7">
        <f>IF($X649="","",R649*Q649)</f>
        <v/>
      </c>
      <c r="T649" s="7">
        <f>IF($X649="","",S649+P649)</f>
        <v/>
      </c>
      <c r="U649" s="7">
        <f>IF($X649="","",V649-T649)</f>
        <v/>
      </c>
      <c r="V649" s="7">
        <f>IF($X649="","",O649+R649+M649)</f>
        <v/>
      </c>
      <c r="W649" s="7">
        <f>IF($X649="","",V649-T649-I649)</f>
        <v/>
      </c>
      <c r="X649" s="13">
        <f>IF(ROWS($X$2:$X649)&lt;=MAX('Per Line'!$AL$2:$AL$3001),MATCH(ROWS($X$2:$X649),'Per Line'!$AL$2:$AL$3001,0),"")</f>
        <v/>
      </c>
    </row>
    <row r="650">
      <c r="A650" s="12" t="n"/>
      <c r="B650">
        <f>IF($X650="","",INDEX('Per Line'!$D$2:$D$3001,$X650)&amp;"")</f>
        <v/>
      </c>
      <c r="C650" s="11">
        <f>IF($X650="","",INDEX('Per Line'!$F$2:$F$3001,$X650))</f>
        <v/>
      </c>
      <c r="D650">
        <f>IF($X650="","",INDEX('Per Line'!$G$2:$G$3001,$X650)&amp;"")</f>
        <v/>
      </c>
      <c r="E650">
        <f>IF($X650="","",INDEX('Per Line'!$I$2:$I$3001,$X650)&amp;"")</f>
        <v/>
      </c>
      <c r="F650">
        <f>IF($X650="","",INDEX('Per Line'!$J$2:$J$3001,$X650)&amp;"")</f>
        <v/>
      </c>
      <c r="G650">
        <f>IF($X650="","",INDEX('Per Line'!$K$2:$K$3001,$X650)&amp;"")</f>
        <v/>
      </c>
      <c r="H650">
        <f>IF($X650="","",INDEX('Per Line'!$M$2:$M$3001,$X650))</f>
        <v/>
      </c>
      <c r="I650" s="7">
        <f>IF($X650="","",H650*V650/100)</f>
        <v/>
      </c>
      <c r="J650">
        <f>IF($X650="","",INDEX('Per Line'!$W$2:$W$3001,$X650)&amp;"")</f>
        <v/>
      </c>
      <c r="K650">
        <f>IF($X650="","",INDEX('Per Line'!$AD$2:$AD$3001,$X650))</f>
        <v/>
      </c>
      <c r="L650">
        <f>IF($X650="","",IF(AND(ISNUMBER(K650),K650&gt;0),V650&gt;K650,FALSE))</f>
        <v/>
      </c>
      <c r="M650" s="7">
        <f>IF($X650="","",SUMIFS('Per Line'!$V$2:$V$3001,'Per Line'!$D$2:$D$3001,$B650,'Per Line'!$AN$2:$AN$3001,1))</f>
        <v/>
      </c>
      <c r="N650">
        <f>IF($X650="","",Settings!$C$7)</f>
        <v/>
      </c>
      <c r="O650" s="7">
        <f>IF($X650="","",SUMIFS('Per Line'!$V$2:$V$3001,'Per Line'!$D$2:$D$3001,$B650,'Per Line'!$AM$2:$AM$3001,0,'Per Line'!$AN$2:$AN$3001,0))</f>
        <v/>
      </c>
      <c r="P650" s="7">
        <f>IF($X650="","",O650*N650)</f>
        <v/>
      </c>
      <c r="Q650">
        <f>IF($X650="","",Settings!$C$6)</f>
        <v/>
      </c>
      <c r="R650" s="7">
        <f>IF($X650="","",SUMIFS('Per Line'!$V$2:$V$3001,'Per Line'!$D$2:$D$3001,$B650,'Per Line'!$AM$2:$AM$3001,1,'Per Line'!$AN$2:$AN$3001,0))</f>
        <v/>
      </c>
      <c r="S650" s="7">
        <f>IF($X650="","",R650*Q650)</f>
        <v/>
      </c>
      <c r="T650" s="7">
        <f>IF($X650="","",S650+P650)</f>
        <v/>
      </c>
      <c r="U650" s="7">
        <f>IF($X650="","",V650-T650)</f>
        <v/>
      </c>
      <c r="V650" s="7">
        <f>IF($X650="","",O650+R650+M650)</f>
        <v/>
      </c>
      <c r="W650" s="7">
        <f>IF($X650="","",V650-T650-I650)</f>
        <v/>
      </c>
      <c r="X650" s="13">
        <f>IF(ROWS($X$2:$X650)&lt;=MAX('Per Line'!$AL$2:$AL$3001),MATCH(ROWS($X$2:$X650),'Per Line'!$AL$2:$AL$3001,0),"")</f>
        <v/>
      </c>
    </row>
    <row r="651">
      <c r="A651" s="12" t="n"/>
      <c r="B651">
        <f>IF($X651="","",INDEX('Per Line'!$D$2:$D$3001,$X651)&amp;"")</f>
        <v/>
      </c>
      <c r="C651" s="11">
        <f>IF($X651="","",INDEX('Per Line'!$F$2:$F$3001,$X651))</f>
        <v/>
      </c>
      <c r="D651">
        <f>IF($X651="","",INDEX('Per Line'!$G$2:$G$3001,$X651)&amp;"")</f>
        <v/>
      </c>
      <c r="E651">
        <f>IF($X651="","",INDEX('Per Line'!$I$2:$I$3001,$X651)&amp;"")</f>
        <v/>
      </c>
      <c r="F651">
        <f>IF($X651="","",INDEX('Per Line'!$J$2:$J$3001,$X651)&amp;"")</f>
        <v/>
      </c>
      <c r="G651">
        <f>IF($X651="","",INDEX('Per Line'!$K$2:$K$3001,$X651)&amp;"")</f>
        <v/>
      </c>
      <c r="H651">
        <f>IF($X651="","",INDEX('Per Line'!$M$2:$M$3001,$X651))</f>
        <v/>
      </c>
      <c r="I651" s="7">
        <f>IF($X651="","",H651*V651/100)</f>
        <v/>
      </c>
      <c r="J651">
        <f>IF($X651="","",INDEX('Per Line'!$W$2:$W$3001,$X651)&amp;"")</f>
        <v/>
      </c>
      <c r="K651">
        <f>IF($X651="","",INDEX('Per Line'!$AD$2:$AD$3001,$X651))</f>
        <v/>
      </c>
      <c r="L651">
        <f>IF($X651="","",IF(AND(ISNUMBER(K651),K651&gt;0),V651&gt;K651,FALSE))</f>
        <v/>
      </c>
      <c r="M651" s="7">
        <f>IF($X651="","",SUMIFS('Per Line'!$V$2:$V$3001,'Per Line'!$D$2:$D$3001,$B651,'Per Line'!$AN$2:$AN$3001,1))</f>
        <v/>
      </c>
      <c r="N651">
        <f>IF($X651="","",Settings!$C$7)</f>
        <v/>
      </c>
      <c r="O651" s="7">
        <f>IF($X651="","",SUMIFS('Per Line'!$V$2:$V$3001,'Per Line'!$D$2:$D$3001,$B651,'Per Line'!$AM$2:$AM$3001,0,'Per Line'!$AN$2:$AN$3001,0))</f>
        <v/>
      </c>
      <c r="P651" s="7">
        <f>IF($X651="","",O651*N651)</f>
        <v/>
      </c>
      <c r="Q651">
        <f>IF($X651="","",Settings!$C$6)</f>
        <v/>
      </c>
      <c r="R651" s="7">
        <f>IF($X651="","",SUMIFS('Per Line'!$V$2:$V$3001,'Per Line'!$D$2:$D$3001,$B651,'Per Line'!$AM$2:$AM$3001,1,'Per Line'!$AN$2:$AN$3001,0))</f>
        <v/>
      </c>
      <c r="S651" s="7">
        <f>IF($X651="","",R651*Q651)</f>
        <v/>
      </c>
      <c r="T651" s="7">
        <f>IF($X651="","",S651+P651)</f>
        <v/>
      </c>
      <c r="U651" s="7">
        <f>IF($X651="","",V651-T651)</f>
        <v/>
      </c>
      <c r="V651" s="7">
        <f>IF($X651="","",O651+R651+M651)</f>
        <v/>
      </c>
      <c r="W651" s="7">
        <f>IF($X651="","",V651-T651-I651)</f>
        <v/>
      </c>
      <c r="X651" s="13">
        <f>IF(ROWS($X$2:$X651)&lt;=MAX('Per Line'!$AL$2:$AL$3001),MATCH(ROWS($X$2:$X651),'Per Line'!$AL$2:$AL$3001,0),"")</f>
        <v/>
      </c>
    </row>
    <row r="652">
      <c r="A652" s="12" t="n"/>
      <c r="B652">
        <f>IF($X652="","",INDEX('Per Line'!$D$2:$D$3001,$X652)&amp;"")</f>
        <v/>
      </c>
      <c r="C652" s="11">
        <f>IF($X652="","",INDEX('Per Line'!$F$2:$F$3001,$X652))</f>
        <v/>
      </c>
      <c r="D652">
        <f>IF($X652="","",INDEX('Per Line'!$G$2:$G$3001,$X652)&amp;"")</f>
        <v/>
      </c>
      <c r="E652">
        <f>IF($X652="","",INDEX('Per Line'!$I$2:$I$3001,$X652)&amp;"")</f>
        <v/>
      </c>
      <c r="F652">
        <f>IF($X652="","",INDEX('Per Line'!$J$2:$J$3001,$X652)&amp;"")</f>
        <v/>
      </c>
      <c r="G652">
        <f>IF($X652="","",INDEX('Per Line'!$K$2:$K$3001,$X652)&amp;"")</f>
        <v/>
      </c>
      <c r="H652">
        <f>IF($X652="","",INDEX('Per Line'!$M$2:$M$3001,$X652))</f>
        <v/>
      </c>
      <c r="I652" s="7">
        <f>IF($X652="","",H652*V652/100)</f>
        <v/>
      </c>
      <c r="J652">
        <f>IF($X652="","",INDEX('Per Line'!$W$2:$W$3001,$X652)&amp;"")</f>
        <v/>
      </c>
      <c r="K652">
        <f>IF($X652="","",INDEX('Per Line'!$AD$2:$AD$3001,$X652))</f>
        <v/>
      </c>
      <c r="L652">
        <f>IF($X652="","",IF(AND(ISNUMBER(K652),K652&gt;0),V652&gt;K652,FALSE))</f>
        <v/>
      </c>
      <c r="M652" s="7">
        <f>IF($X652="","",SUMIFS('Per Line'!$V$2:$V$3001,'Per Line'!$D$2:$D$3001,$B652,'Per Line'!$AN$2:$AN$3001,1))</f>
        <v/>
      </c>
      <c r="N652">
        <f>IF($X652="","",Settings!$C$7)</f>
        <v/>
      </c>
      <c r="O652" s="7">
        <f>IF($X652="","",SUMIFS('Per Line'!$V$2:$V$3001,'Per Line'!$D$2:$D$3001,$B652,'Per Line'!$AM$2:$AM$3001,0,'Per Line'!$AN$2:$AN$3001,0))</f>
        <v/>
      </c>
      <c r="P652" s="7">
        <f>IF($X652="","",O652*N652)</f>
        <v/>
      </c>
      <c r="Q652">
        <f>IF($X652="","",Settings!$C$6)</f>
        <v/>
      </c>
      <c r="R652" s="7">
        <f>IF($X652="","",SUMIFS('Per Line'!$V$2:$V$3001,'Per Line'!$D$2:$D$3001,$B652,'Per Line'!$AM$2:$AM$3001,1,'Per Line'!$AN$2:$AN$3001,0))</f>
        <v/>
      </c>
      <c r="S652" s="7">
        <f>IF($X652="","",R652*Q652)</f>
        <v/>
      </c>
      <c r="T652" s="7">
        <f>IF($X652="","",S652+P652)</f>
        <v/>
      </c>
      <c r="U652" s="7">
        <f>IF($X652="","",V652-T652)</f>
        <v/>
      </c>
      <c r="V652" s="7">
        <f>IF($X652="","",O652+R652+M652)</f>
        <v/>
      </c>
      <c r="W652" s="7">
        <f>IF($X652="","",V652-T652-I652)</f>
        <v/>
      </c>
      <c r="X652" s="13">
        <f>IF(ROWS($X$2:$X652)&lt;=MAX('Per Line'!$AL$2:$AL$3001),MATCH(ROWS($X$2:$X652),'Per Line'!$AL$2:$AL$3001,0),"")</f>
        <v/>
      </c>
    </row>
    <row r="653">
      <c r="A653" s="12" t="n"/>
      <c r="B653">
        <f>IF($X653="","",INDEX('Per Line'!$D$2:$D$3001,$X653)&amp;"")</f>
        <v/>
      </c>
      <c r="C653" s="11">
        <f>IF($X653="","",INDEX('Per Line'!$F$2:$F$3001,$X653))</f>
        <v/>
      </c>
      <c r="D653">
        <f>IF($X653="","",INDEX('Per Line'!$G$2:$G$3001,$X653)&amp;"")</f>
        <v/>
      </c>
      <c r="E653">
        <f>IF($X653="","",INDEX('Per Line'!$I$2:$I$3001,$X653)&amp;"")</f>
        <v/>
      </c>
      <c r="F653">
        <f>IF($X653="","",INDEX('Per Line'!$J$2:$J$3001,$X653)&amp;"")</f>
        <v/>
      </c>
      <c r="G653">
        <f>IF($X653="","",INDEX('Per Line'!$K$2:$K$3001,$X653)&amp;"")</f>
        <v/>
      </c>
      <c r="H653">
        <f>IF($X653="","",INDEX('Per Line'!$M$2:$M$3001,$X653))</f>
        <v/>
      </c>
      <c r="I653" s="7">
        <f>IF($X653="","",H653*V653/100)</f>
        <v/>
      </c>
      <c r="J653">
        <f>IF($X653="","",INDEX('Per Line'!$W$2:$W$3001,$X653)&amp;"")</f>
        <v/>
      </c>
      <c r="K653">
        <f>IF($X653="","",INDEX('Per Line'!$AD$2:$AD$3001,$X653))</f>
        <v/>
      </c>
      <c r="L653">
        <f>IF($X653="","",IF(AND(ISNUMBER(K653),K653&gt;0),V653&gt;K653,FALSE))</f>
        <v/>
      </c>
      <c r="M653" s="7">
        <f>IF($X653="","",SUMIFS('Per Line'!$V$2:$V$3001,'Per Line'!$D$2:$D$3001,$B653,'Per Line'!$AN$2:$AN$3001,1))</f>
        <v/>
      </c>
      <c r="N653">
        <f>IF($X653="","",Settings!$C$7)</f>
        <v/>
      </c>
      <c r="O653" s="7">
        <f>IF($X653="","",SUMIFS('Per Line'!$V$2:$V$3001,'Per Line'!$D$2:$D$3001,$B653,'Per Line'!$AM$2:$AM$3001,0,'Per Line'!$AN$2:$AN$3001,0))</f>
        <v/>
      </c>
      <c r="P653" s="7">
        <f>IF($X653="","",O653*N653)</f>
        <v/>
      </c>
      <c r="Q653">
        <f>IF($X653="","",Settings!$C$6)</f>
        <v/>
      </c>
      <c r="R653" s="7">
        <f>IF($X653="","",SUMIFS('Per Line'!$V$2:$V$3001,'Per Line'!$D$2:$D$3001,$B653,'Per Line'!$AM$2:$AM$3001,1,'Per Line'!$AN$2:$AN$3001,0))</f>
        <v/>
      </c>
      <c r="S653" s="7">
        <f>IF($X653="","",R653*Q653)</f>
        <v/>
      </c>
      <c r="T653" s="7">
        <f>IF($X653="","",S653+P653)</f>
        <v/>
      </c>
      <c r="U653" s="7">
        <f>IF($X653="","",V653-T653)</f>
        <v/>
      </c>
      <c r="V653" s="7">
        <f>IF($X653="","",O653+R653+M653)</f>
        <v/>
      </c>
      <c r="W653" s="7">
        <f>IF($X653="","",V653-T653-I653)</f>
        <v/>
      </c>
      <c r="X653" s="13">
        <f>IF(ROWS($X$2:$X653)&lt;=MAX('Per Line'!$AL$2:$AL$3001),MATCH(ROWS($X$2:$X653),'Per Line'!$AL$2:$AL$3001,0),"")</f>
        <v/>
      </c>
    </row>
    <row r="654">
      <c r="A654" s="12" t="n"/>
      <c r="B654">
        <f>IF($X654="","",INDEX('Per Line'!$D$2:$D$3001,$X654)&amp;"")</f>
        <v/>
      </c>
      <c r="C654" s="11">
        <f>IF($X654="","",INDEX('Per Line'!$F$2:$F$3001,$X654))</f>
        <v/>
      </c>
      <c r="D654">
        <f>IF($X654="","",INDEX('Per Line'!$G$2:$G$3001,$X654)&amp;"")</f>
        <v/>
      </c>
      <c r="E654">
        <f>IF($X654="","",INDEX('Per Line'!$I$2:$I$3001,$X654)&amp;"")</f>
        <v/>
      </c>
      <c r="F654">
        <f>IF($X654="","",INDEX('Per Line'!$J$2:$J$3001,$X654)&amp;"")</f>
        <v/>
      </c>
      <c r="G654">
        <f>IF($X654="","",INDEX('Per Line'!$K$2:$K$3001,$X654)&amp;"")</f>
        <v/>
      </c>
      <c r="H654">
        <f>IF($X654="","",INDEX('Per Line'!$M$2:$M$3001,$X654))</f>
        <v/>
      </c>
      <c r="I654" s="7">
        <f>IF($X654="","",H654*V654/100)</f>
        <v/>
      </c>
      <c r="J654">
        <f>IF($X654="","",INDEX('Per Line'!$W$2:$W$3001,$X654)&amp;"")</f>
        <v/>
      </c>
      <c r="K654">
        <f>IF($X654="","",INDEX('Per Line'!$AD$2:$AD$3001,$X654))</f>
        <v/>
      </c>
      <c r="L654">
        <f>IF($X654="","",IF(AND(ISNUMBER(K654),K654&gt;0),V654&gt;K654,FALSE))</f>
        <v/>
      </c>
      <c r="M654" s="7">
        <f>IF($X654="","",SUMIFS('Per Line'!$V$2:$V$3001,'Per Line'!$D$2:$D$3001,$B654,'Per Line'!$AN$2:$AN$3001,1))</f>
        <v/>
      </c>
      <c r="N654">
        <f>IF($X654="","",Settings!$C$7)</f>
        <v/>
      </c>
      <c r="O654" s="7">
        <f>IF($X654="","",SUMIFS('Per Line'!$V$2:$V$3001,'Per Line'!$D$2:$D$3001,$B654,'Per Line'!$AM$2:$AM$3001,0,'Per Line'!$AN$2:$AN$3001,0))</f>
        <v/>
      </c>
      <c r="P654" s="7">
        <f>IF($X654="","",O654*N654)</f>
        <v/>
      </c>
      <c r="Q654">
        <f>IF($X654="","",Settings!$C$6)</f>
        <v/>
      </c>
      <c r="R654" s="7">
        <f>IF($X654="","",SUMIFS('Per Line'!$V$2:$V$3001,'Per Line'!$D$2:$D$3001,$B654,'Per Line'!$AM$2:$AM$3001,1,'Per Line'!$AN$2:$AN$3001,0))</f>
        <v/>
      </c>
      <c r="S654" s="7">
        <f>IF($X654="","",R654*Q654)</f>
        <v/>
      </c>
      <c r="T654" s="7">
        <f>IF($X654="","",S654+P654)</f>
        <v/>
      </c>
      <c r="U654" s="7">
        <f>IF($X654="","",V654-T654)</f>
        <v/>
      </c>
      <c r="V654" s="7">
        <f>IF($X654="","",O654+R654+M654)</f>
        <v/>
      </c>
      <c r="W654" s="7">
        <f>IF($X654="","",V654-T654-I654)</f>
        <v/>
      </c>
      <c r="X654" s="13">
        <f>IF(ROWS($X$2:$X654)&lt;=MAX('Per Line'!$AL$2:$AL$3001),MATCH(ROWS($X$2:$X654),'Per Line'!$AL$2:$AL$3001,0),"")</f>
        <v/>
      </c>
    </row>
    <row r="655">
      <c r="A655" s="12" t="n"/>
      <c r="B655">
        <f>IF($X655="","",INDEX('Per Line'!$D$2:$D$3001,$X655)&amp;"")</f>
        <v/>
      </c>
      <c r="C655" s="11">
        <f>IF($X655="","",INDEX('Per Line'!$F$2:$F$3001,$X655))</f>
        <v/>
      </c>
      <c r="D655">
        <f>IF($X655="","",INDEX('Per Line'!$G$2:$G$3001,$X655)&amp;"")</f>
        <v/>
      </c>
      <c r="E655">
        <f>IF($X655="","",INDEX('Per Line'!$I$2:$I$3001,$X655)&amp;"")</f>
        <v/>
      </c>
      <c r="F655">
        <f>IF($X655="","",INDEX('Per Line'!$J$2:$J$3001,$X655)&amp;"")</f>
        <v/>
      </c>
      <c r="G655">
        <f>IF($X655="","",INDEX('Per Line'!$K$2:$K$3001,$X655)&amp;"")</f>
        <v/>
      </c>
      <c r="H655">
        <f>IF($X655="","",INDEX('Per Line'!$M$2:$M$3001,$X655))</f>
        <v/>
      </c>
      <c r="I655" s="7">
        <f>IF($X655="","",H655*V655/100)</f>
        <v/>
      </c>
      <c r="J655">
        <f>IF($X655="","",INDEX('Per Line'!$W$2:$W$3001,$X655)&amp;"")</f>
        <v/>
      </c>
      <c r="K655">
        <f>IF($X655="","",INDEX('Per Line'!$AD$2:$AD$3001,$X655))</f>
        <v/>
      </c>
      <c r="L655">
        <f>IF($X655="","",IF(AND(ISNUMBER(K655),K655&gt;0),V655&gt;K655,FALSE))</f>
        <v/>
      </c>
      <c r="M655" s="7">
        <f>IF($X655="","",SUMIFS('Per Line'!$V$2:$V$3001,'Per Line'!$D$2:$D$3001,$B655,'Per Line'!$AN$2:$AN$3001,1))</f>
        <v/>
      </c>
      <c r="N655">
        <f>IF($X655="","",Settings!$C$7)</f>
        <v/>
      </c>
      <c r="O655" s="7">
        <f>IF($X655="","",SUMIFS('Per Line'!$V$2:$V$3001,'Per Line'!$D$2:$D$3001,$B655,'Per Line'!$AM$2:$AM$3001,0,'Per Line'!$AN$2:$AN$3001,0))</f>
        <v/>
      </c>
      <c r="P655" s="7">
        <f>IF($X655="","",O655*N655)</f>
        <v/>
      </c>
      <c r="Q655">
        <f>IF($X655="","",Settings!$C$6)</f>
        <v/>
      </c>
      <c r="R655" s="7">
        <f>IF($X655="","",SUMIFS('Per Line'!$V$2:$V$3001,'Per Line'!$D$2:$D$3001,$B655,'Per Line'!$AM$2:$AM$3001,1,'Per Line'!$AN$2:$AN$3001,0))</f>
        <v/>
      </c>
      <c r="S655" s="7">
        <f>IF($X655="","",R655*Q655)</f>
        <v/>
      </c>
      <c r="T655" s="7">
        <f>IF($X655="","",S655+P655)</f>
        <v/>
      </c>
      <c r="U655" s="7">
        <f>IF($X655="","",V655-T655)</f>
        <v/>
      </c>
      <c r="V655" s="7">
        <f>IF($X655="","",O655+R655+M655)</f>
        <v/>
      </c>
      <c r="W655" s="7">
        <f>IF($X655="","",V655-T655-I655)</f>
        <v/>
      </c>
      <c r="X655" s="13">
        <f>IF(ROWS($X$2:$X655)&lt;=MAX('Per Line'!$AL$2:$AL$3001),MATCH(ROWS($X$2:$X655),'Per Line'!$AL$2:$AL$3001,0),"")</f>
        <v/>
      </c>
    </row>
    <row r="656">
      <c r="A656" s="12" t="n"/>
      <c r="B656">
        <f>IF($X656="","",INDEX('Per Line'!$D$2:$D$3001,$X656)&amp;"")</f>
        <v/>
      </c>
      <c r="C656" s="11">
        <f>IF($X656="","",INDEX('Per Line'!$F$2:$F$3001,$X656))</f>
        <v/>
      </c>
      <c r="D656">
        <f>IF($X656="","",INDEX('Per Line'!$G$2:$G$3001,$X656)&amp;"")</f>
        <v/>
      </c>
      <c r="E656">
        <f>IF($X656="","",INDEX('Per Line'!$I$2:$I$3001,$X656)&amp;"")</f>
        <v/>
      </c>
      <c r="F656">
        <f>IF($X656="","",INDEX('Per Line'!$J$2:$J$3001,$X656)&amp;"")</f>
        <v/>
      </c>
      <c r="G656">
        <f>IF($X656="","",INDEX('Per Line'!$K$2:$K$3001,$X656)&amp;"")</f>
        <v/>
      </c>
      <c r="H656">
        <f>IF($X656="","",INDEX('Per Line'!$M$2:$M$3001,$X656))</f>
        <v/>
      </c>
      <c r="I656" s="7">
        <f>IF($X656="","",H656*V656/100)</f>
        <v/>
      </c>
      <c r="J656">
        <f>IF($X656="","",INDEX('Per Line'!$W$2:$W$3001,$X656)&amp;"")</f>
        <v/>
      </c>
      <c r="K656">
        <f>IF($X656="","",INDEX('Per Line'!$AD$2:$AD$3001,$X656))</f>
        <v/>
      </c>
      <c r="L656">
        <f>IF($X656="","",IF(AND(ISNUMBER(K656),K656&gt;0),V656&gt;K656,FALSE))</f>
        <v/>
      </c>
      <c r="M656" s="7">
        <f>IF($X656="","",SUMIFS('Per Line'!$V$2:$V$3001,'Per Line'!$D$2:$D$3001,$B656,'Per Line'!$AN$2:$AN$3001,1))</f>
        <v/>
      </c>
      <c r="N656">
        <f>IF($X656="","",Settings!$C$7)</f>
        <v/>
      </c>
      <c r="O656" s="7">
        <f>IF($X656="","",SUMIFS('Per Line'!$V$2:$V$3001,'Per Line'!$D$2:$D$3001,$B656,'Per Line'!$AM$2:$AM$3001,0,'Per Line'!$AN$2:$AN$3001,0))</f>
        <v/>
      </c>
      <c r="P656" s="7">
        <f>IF($X656="","",O656*N656)</f>
        <v/>
      </c>
      <c r="Q656">
        <f>IF($X656="","",Settings!$C$6)</f>
        <v/>
      </c>
      <c r="R656" s="7">
        <f>IF($X656="","",SUMIFS('Per Line'!$V$2:$V$3001,'Per Line'!$D$2:$D$3001,$B656,'Per Line'!$AM$2:$AM$3001,1,'Per Line'!$AN$2:$AN$3001,0))</f>
        <v/>
      </c>
      <c r="S656" s="7">
        <f>IF($X656="","",R656*Q656)</f>
        <v/>
      </c>
      <c r="T656" s="7">
        <f>IF($X656="","",S656+P656)</f>
        <v/>
      </c>
      <c r="U656" s="7">
        <f>IF($X656="","",V656-T656)</f>
        <v/>
      </c>
      <c r="V656" s="7">
        <f>IF($X656="","",O656+R656+M656)</f>
        <v/>
      </c>
      <c r="W656" s="7">
        <f>IF($X656="","",V656-T656-I656)</f>
        <v/>
      </c>
      <c r="X656" s="13">
        <f>IF(ROWS($X$2:$X656)&lt;=MAX('Per Line'!$AL$2:$AL$3001),MATCH(ROWS($X$2:$X656),'Per Line'!$AL$2:$AL$3001,0),"")</f>
        <v/>
      </c>
    </row>
    <row r="657">
      <c r="A657" s="12" t="n"/>
      <c r="B657">
        <f>IF($X657="","",INDEX('Per Line'!$D$2:$D$3001,$X657)&amp;"")</f>
        <v/>
      </c>
      <c r="C657" s="11">
        <f>IF($X657="","",INDEX('Per Line'!$F$2:$F$3001,$X657))</f>
        <v/>
      </c>
      <c r="D657">
        <f>IF($X657="","",INDEX('Per Line'!$G$2:$G$3001,$X657)&amp;"")</f>
        <v/>
      </c>
      <c r="E657">
        <f>IF($X657="","",INDEX('Per Line'!$I$2:$I$3001,$X657)&amp;"")</f>
        <v/>
      </c>
      <c r="F657">
        <f>IF($X657="","",INDEX('Per Line'!$J$2:$J$3001,$X657)&amp;"")</f>
        <v/>
      </c>
      <c r="G657">
        <f>IF($X657="","",INDEX('Per Line'!$K$2:$K$3001,$X657)&amp;"")</f>
        <v/>
      </c>
      <c r="H657">
        <f>IF($X657="","",INDEX('Per Line'!$M$2:$M$3001,$X657))</f>
        <v/>
      </c>
      <c r="I657" s="7">
        <f>IF($X657="","",H657*V657/100)</f>
        <v/>
      </c>
      <c r="J657">
        <f>IF($X657="","",INDEX('Per Line'!$W$2:$W$3001,$X657)&amp;"")</f>
        <v/>
      </c>
      <c r="K657">
        <f>IF($X657="","",INDEX('Per Line'!$AD$2:$AD$3001,$X657))</f>
        <v/>
      </c>
      <c r="L657">
        <f>IF($X657="","",IF(AND(ISNUMBER(K657),K657&gt;0),V657&gt;K657,FALSE))</f>
        <v/>
      </c>
      <c r="M657" s="7">
        <f>IF($X657="","",SUMIFS('Per Line'!$V$2:$V$3001,'Per Line'!$D$2:$D$3001,$B657,'Per Line'!$AN$2:$AN$3001,1))</f>
        <v/>
      </c>
      <c r="N657">
        <f>IF($X657="","",Settings!$C$7)</f>
        <v/>
      </c>
      <c r="O657" s="7">
        <f>IF($X657="","",SUMIFS('Per Line'!$V$2:$V$3001,'Per Line'!$D$2:$D$3001,$B657,'Per Line'!$AM$2:$AM$3001,0,'Per Line'!$AN$2:$AN$3001,0))</f>
        <v/>
      </c>
      <c r="P657" s="7">
        <f>IF($X657="","",O657*N657)</f>
        <v/>
      </c>
      <c r="Q657">
        <f>IF($X657="","",Settings!$C$6)</f>
        <v/>
      </c>
      <c r="R657" s="7">
        <f>IF($X657="","",SUMIFS('Per Line'!$V$2:$V$3001,'Per Line'!$D$2:$D$3001,$B657,'Per Line'!$AM$2:$AM$3001,1,'Per Line'!$AN$2:$AN$3001,0))</f>
        <v/>
      </c>
      <c r="S657" s="7">
        <f>IF($X657="","",R657*Q657)</f>
        <v/>
      </c>
      <c r="T657" s="7">
        <f>IF($X657="","",S657+P657)</f>
        <v/>
      </c>
      <c r="U657" s="7">
        <f>IF($X657="","",V657-T657)</f>
        <v/>
      </c>
      <c r="V657" s="7">
        <f>IF($X657="","",O657+R657+M657)</f>
        <v/>
      </c>
      <c r="W657" s="7">
        <f>IF($X657="","",V657-T657-I657)</f>
        <v/>
      </c>
      <c r="X657" s="13">
        <f>IF(ROWS($X$2:$X657)&lt;=MAX('Per Line'!$AL$2:$AL$3001),MATCH(ROWS($X$2:$X657),'Per Line'!$AL$2:$AL$3001,0),"")</f>
        <v/>
      </c>
    </row>
    <row r="658">
      <c r="A658" s="12" t="n"/>
      <c r="B658">
        <f>IF($X658="","",INDEX('Per Line'!$D$2:$D$3001,$X658)&amp;"")</f>
        <v/>
      </c>
      <c r="C658" s="11">
        <f>IF($X658="","",INDEX('Per Line'!$F$2:$F$3001,$X658))</f>
        <v/>
      </c>
      <c r="D658">
        <f>IF($X658="","",INDEX('Per Line'!$G$2:$G$3001,$X658)&amp;"")</f>
        <v/>
      </c>
      <c r="E658">
        <f>IF($X658="","",INDEX('Per Line'!$I$2:$I$3001,$X658)&amp;"")</f>
        <v/>
      </c>
      <c r="F658">
        <f>IF($X658="","",INDEX('Per Line'!$J$2:$J$3001,$X658)&amp;"")</f>
        <v/>
      </c>
      <c r="G658">
        <f>IF($X658="","",INDEX('Per Line'!$K$2:$K$3001,$X658)&amp;"")</f>
        <v/>
      </c>
      <c r="H658">
        <f>IF($X658="","",INDEX('Per Line'!$M$2:$M$3001,$X658))</f>
        <v/>
      </c>
      <c r="I658" s="7">
        <f>IF($X658="","",H658*V658/100)</f>
        <v/>
      </c>
      <c r="J658">
        <f>IF($X658="","",INDEX('Per Line'!$W$2:$W$3001,$X658)&amp;"")</f>
        <v/>
      </c>
      <c r="K658">
        <f>IF($X658="","",INDEX('Per Line'!$AD$2:$AD$3001,$X658))</f>
        <v/>
      </c>
      <c r="L658">
        <f>IF($X658="","",IF(AND(ISNUMBER(K658),K658&gt;0),V658&gt;K658,FALSE))</f>
        <v/>
      </c>
      <c r="M658" s="7">
        <f>IF($X658="","",SUMIFS('Per Line'!$V$2:$V$3001,'Per Line'!$D$2:$D$3001,$B658,'Per Line'!$AN$2:$AN$3001,1))</f>
        <v/>
      </c>
      <c r="N658">
        <f>IF($X658="","",Settings!$C$7)</f>
        <v/>
      </c>
      <c r="O658" s="7">
        <f>IF($X658="","",SUMIFS('Per Line'!$V$2:$V$3001,'Per Line'!$D$2:$D$3001,$B658,'Per Line'!$AM$2:$AM$3001,0,'Per Line'!$AN$2:$AN$3001,0))</f>
        <v/>
      </c>
      <c r="P658" s="7">
        <f>IF($X658="","",O658*N658)</f>
        <v/>
      </c>
      <c r="Q658">
        <f>IF($X658="","",Settings!$C$6)</f>
        <v/>
      </c>
      <c r="R658" s="7">
        <f>IF($X658="","",SUMIFS('Per Line'!$V$2:$V$3001,'Per Line'!$D$2:$D$3001,$B658,'Per Line'!$AM$2:$AM$3001,1,'Per Line'!$AN$2:$AN$3001,0))</f>
        <v/>
      </c>
      <c r="S658" s="7">
        <f>IF($X658="","",R658*Q658)</f>
        <v/>
      </c>
      <c r="T658" s="7">
        <f>IF($X658="","",S658+P658)</f>
        <v/>
      </c>
      <c r="U658" s="7">
        <f>IF($X658="","",V658-T658)</f>
        <v/>
      </c>
      <c r="V658" s="7">
        <f>IF($X658="","",O658+R658+M658)</f>
        <v/>
      </c>
      <c r="W658" s="7">
        <f>IF($X658="","",V658-T658-I658)</f>
        <v/>
      </c>
      <c r="X658" s="13">
        <f>IF(ROWS($X$2:$X658)&lt;=MAX('Per Line'!$AL$2:$AL$3001),MATCH(ROWS($X$2:$X658),'Per Line'!$AL$2:$AL$3001,0),"")</f>
        <v/>
      </c>
    </row>
    <row r="659">
      <c r="A659" s="12" t="n"/>
      <c r="B659">
        <f>IF($X659="","",INDEX('Per Line'!$D$2:$D$3001,$X659)&amp;"")</f>
        <v/>
      </c>
      <c r="C659" s="11">
        <f>IF($X659="","",INDEX('Per Line'!$F$2:$F$3001,$X659))</f>
        <v/>
      </c>
      <c r="D659">
        <f>IF($X659="","",INDEX('Per Line'!$G$2:$G$3001,$X659)&amp;"")</f>
        <v/>
      </c>
      <c r="E659">
        <f>IF($X659="","",INDEX('Per Line'!$I$2:$I$3001,$X659)&amp;"")</f>
        <v/>
      </c>
      <c r="F659">
        <f>IF($X659="","",INDEX('Per Line'!$J$2:$J$3001,$X659)&amp;"")</f>
        <v/>
      </c>
      <c r="G659">
        <f>IF($X659="","",INDEX('Per Line'!$K$2:$K$3001,$X659)&amp;"")</f>
        <v/>
      </c>
      <c r="H659">
        <f>IF($X659="","",INDEX('Per Line'!$M$2:$M$3001,$X659))</f>
        <v/>
      </c>
      <c r="I659" s="7">
        <f>IF($X659="","",H659*V659/100)</f>
        <v/>
      </c>
      <c r="J659">
        <f>IF($X659="","",INDEX('Per Line'!$W$2:$W$3001,$X659)&amp;"")</f>
        <v/>
      </c>
      <c r="K659">
        <f>IF($X659="","",INDEX('Per Line'!$AD$2:$AD$3001,$X659))</f>
        <v/>
      </c>
      <c r="L659">
        <f>IF($X659="","",IF(AND(ISNUMBER(K659),K659&gt;0),V659&gt;K659,FALSE))</f>
        <v/>
      </c>
      <c r="M659" s="7">
        <f>IF($X659="","",SUMIFS('Per Line'!$V$2:$V$3001,'Per Line'!$D$2:$D$3001,$B659,'Per Line'!$AN$2:$AN$3001,1))</f>
        <v/>
      </c>
      <c r="N659">
        <f>IF($X659="","",Settings!$C$7)</f>
        <v/>
      </c>
      <c r="O659" s="7">
        <f>IF($X659="","",SUMIFS('Per Line'!$V$2:$V$3001,'Per Line'!$D$2:$D$3001,$B659,'Per Line'!$AM$2:$AM$3001,0,'Per Line'!$AN$2:$AN$3001,0))</f>
        <v/>
      </c>
      <c r="P659" s="7">
        <f>IF($X659="","",O659*N659)</f>
        <v/>
      </c>
      <c r="Q659">
        <f>IF($X659="","",Settings!$C$6)</f>
        <v/>
      </c>
      <c r="R659" s="7">
        <f>IF($X659="","",SUMIFS('Per Line'!$V$2:$V$3001,'Per Line'!$D$2:$D$3001,$B659,'Per Line'!$AM$2:$AM$3001,1,'Per Line'!$AN$2:$AN$3001,0))</f>
        <v/>
      </c>
      <c r="S659" s="7">
        <f>IF($X659="","",R659*Q659)</f>
        <v/>
      </c>
      <c r="T659" s="7">
        <f>IF($X659="","",S659+P659)</f>
        <v/>
      </c>
      <c r="U659" s="7">
        <f>IF($X659="","",V659-T659)</f>
        <v/>
      </c>
      <c r="V659" s="7">
        <f>IF($X659="","",O659+R659+M659)</f>
        <v/>
      </c>
      <c r="W659" s="7">
        <f>IF($X659="","",V659-T659-I659)</f>
        <v/>
      </c>
      <c r="X659" s="13">
        <f>IF(ROWS($X$2:$X659)&lt;=MAX('Per Line'!$AL$2:$AL$3001),MATCH(ROWS($X$2:$X659),'Per Line'!$AL$2:$AL$3001,0),"")</f>
        <v/>
      </c>
    </row>
    <row r="660">
      <c r="A660" s="12" t="n"/>
      <c r="B660">
        <f>IF($X660="","",INDEX('Per Line'!$D$2:$D$3001,$X660)&amp;"")</f>
        <v/>
      </c>
      <c r="C660" s="11">
        <f>IF($X660="","",INDEX('Per Line'!$F$2:$F$3001,$X660))</f>
        <v/>
      </c>
      <c r="D660">
        <f>IF($X660="","",INDEX('Per Line'!$G$2:$G$3001,$X660)&amp;"")</f>
        <v/>
      </c>
      <c r="E660">
        <f>IF($X660="","",INDEX('Per Line'!$I$2:$I$3001,$X660)&amp;"")</f>
        <v/>
      </c>
      <c r="F660">
        <f>IF($X660="","",INDEX('Per Line'!$J$2:$J$3001,$X660)&amp;"")</f>
        <v/>
      </c>
      <c r="G660">
        <f>IF($X660="","",INDEX('Per Line'!$K$2:$K$3001,$X660)&amp;"")</f>
        <v/>
      </c>
      <c r="H660">
        <f>IF($X660="","",INDEX('Per Line'!$M$2:$M$3001,$X660))</f>
        <v/>
      </c>
      <c r="I660" s="7">
        <f>IF($X660="","",H660*V660/100)</f>
        <v/>
      </c>
      <c r="J660">
        <f>IF($X660="","",INDEX('Per Line'!$W$2:$W$3001,$X660)&amp;"")</f>
        <v/>
      </c>
      <c r="K660">
        <f>IF($X660="","",INDEX('Per Line'!$AD$2:$AD$3001,$X660))</f>
        <v/>
      </c>
      <c r="L660">
        <f>IF($X660="","",IF(AND(ISNUMBER(K660),K660&gt;0),V660&gt;K660,FALSE))</f>
        <v/>
      </c>
      <c r="M660" s="7">
        <f>IF($X660="","",SUMIFS('Per Line'!$V$2:$V$3001,'Per Line'!$D$2:$D$3001,$B660,'Per Line'!$AN$2:$AN$3001,1))</f>
        <v/>
      </c>
      <c r="N660">
        <f>IF($X660="","",Settings!$C$7)</f>
        <v/>
      </c>
      <c r="O660" s="7">
        <f>IF($X660="","",SUMIFS('Per Line'!$V$2:$V$3001,'Per Line'!$D$2:$D$3001,$B660,'Per Line'!$AM$2:$AM$3001,0,'Per Line'!$AN$2:$AN$3001,0))</f>
        <v/>
      </c>
      <c r="P660" s="7">
        <f>IF($X660="","",O660*N660)</f>
        <v/>
      </c>
      <c r="Q660">
        <f>IF($X660="","",Settings!$C$6)</f>
        <v/>
      </c>
      <c r="R660" s="7">
        <f>IF($X660="","",SUMIFS('Per Line'!$V$2:$V$3001,'Per Line'!$D$2:$D$3001,$B660,'Per Line'!$AM$2:$AM$3001,1,'Per Line'!$AN$2:$AN$3001,0))</f>
        <v/>
      </c>
      <c r="S660" s="7">
        <f>IF($X660="","",R660*Q660)</f>
        <v/>
      </c>
      <c r="T660" s="7">
        <f>IF($X660="","",S660+P660)</f>
        <v/>
      </c>
      <c r="U660" s="7">
        <f>IF($X660="","",V660-T660)</f>
        <v/>
      </c>
      <c r="V660" s="7">
        <f>IF($X660="","",O660+R660+M660)</f>
        <v/>
      </c>
      <c r="W660" s="7">
        <f>IF($X660="","",V660-T660-I660)</f>
        <v/>
      </c>
      <c r="X660" s="13">
        <f>IF(ROWS($X$2:$X660)&lt;=MAX('Per Line'!$AL$2:$AL$3001),MATCH(ROWS($X$2:$X660),'Per Line'!$AL$2:$AL$3001,0),"")</f>
        <v/>
      </c>
    </row>
    <row r="661">
      <c r="A661" s="12" t="n"/>
      <c r="B661">
        <f>IF($X661="","",INDEX('Per Line'!$D$2:$D$3001,$X661)&amp;"")</f>
        <v/>
      </c>
      <c r="C661" s="11">
        <f>IF($X661="","",INDEX('Per Line'!$F$2:$F$3001,$X661))</f>
        <v/>
      </c>
      <c r="D661">
        <f>IF($X661="","",INDEX('Per Line'!$G$2:$G$3001,$X661)&amp;"")</f>
        <v/>
      </c>
      <c r="E661">
        <f>IF($X661="","",INDEX('Per Line'!$I$2:$I$3001,$X661)&amp;"")</f>
        <v/>
      </c>
      <c r="F661">
        <f>IF($X661="","",INDEX('Per Line'!$J$2:$J$3001,$X661)&amp;"")</f>
        <v/>
      </c>
      <c r="G661">
        <f>IF($X661="","",INDEX('Per Line'!$K$2:$K$3001,$X661)&amp;"")</f>
        <v/>
      </c>
      <c r="H661">
        <f>IF($X661="","",INDEX('Per Line'!$M$2:$M$3001,$X661))</f>
        <v/>
      </c>
      <c r="I661" s="7">
        <f>IF($X661="","",H661*V661/100)</f>
        <v/>
      </c>
      <c r="J661">
        <f>IF($X661="","",INDEX('Per Line'!$W$2:$W$3001,$X661)&amp;"")</f>
        <v/>
      </c>
      <c r="K661">
        <f>IF($X661="","",INDEX('Per Line'!$AD$2:$AD$3001,$X661))</f>
        <v/>
      </c>
      <c r="L661">
        <f>IF($X661="","",IF(AND(ISNUMBER(K661),K661&gt;0),V661&gt;K661,FALSE))</f>
        <v/>
      </c>
      <c r="M661" s="7">
        <f>IF($X661="","",SUMIFS('Per Line'!$V$2:$V$3001,'Per Line'!$D$2:$D$3001,$B661,'Per Line'!$AN$2:$AN$3001,1))</f>
        <v/>
      </c>
      <c r="N661">
        <f>IF($X661="","",Settings!$C$7)</f>
        <v/>
      </c>
      <c r="O661" s="7">
        <f>IF($X661="","",SUMIFS('Per Line'!$V$2:$V$3001,'Per Line'!$D$2:$D$3001,$B661,'Per Line'!$AM$2:$AM$3001,0,'Per Line'!$AN$2:$AN$3001,0))</f>
        <v/>
      </c>
      <c r="P661" s="7">
        <f>IF($X661="","",O661*N661)</f>
        <v/>
      </c>
      <c r="Q661">
        <f>IF($X661="","",Settings!$C$6)</f>
        <v/>
      </c>
      <c r="R661" s="7">
        <f>IF($X661="","",SUMIFS('Per Line'!$V$2:$V$3001,'Per Line'!$D$2:$D$3001,$B661,'Per Line'!$AM$2:$AM$3001,1,'Per Line'!$AN$2:$AN$3001,0))</f>
        <v/>
      </c>
      <c r="S661" s="7">
        <f>IF($X661="","",R661*Q661)</f>
        <v/>
      </c>
      <c r="T661" s="7">
        <f>IF($X661="","",S661+P661)</f>
        <v/>
      </c>
      <c r="U661" s="7">
        <f>IF($X661="","",V661-T661)</f>
        <v/>
      </c>
      <c r="V661" s="7">
        <f>IF($X661="","",O661+R661+M661)</f>
        <v/>
      </c>
      <c r="W661" s="7">
        <f>IF($X661="","",V661-T661-I661)</f>
        <v/>
      </c>
      <c r="X661" s="13">
        <f>IF(ROWS($X$2:$X661)&lt;=MAX('Per Line'!$AL$2:$AL$3001),MATCH(ROWS($X$2:$X661),'Per Line'!$AL$2:$AL$3001,0),"")</f>
        <v/>
      </c>
    </row>
    <row r="662">
      <c r="A662" s="12" t="n"/>
      <c r="B662">
        <f>IF($X662="","",INDEX('Per Line'!$D$2:$D$3001,$X662)&amp;"")</f>
        <v/>
      </c>
      <c r="C662" s="11">
        <f>IF($X662="","",INDEX('Per Line'!$F$2:$F$3001,$X662))</f>
        <v/>
      </c>
      <c r="D662">
        <f>IF($X662="","",INDEX('Per Line'!$G$2:$G$3001,$X662)&amp;"")</f>
        <v/>
      </c>
      <c r="E662">
        <f>IF($X662="","",INDEX('Per Line'!$I$2:$I$3001,$X662)&amp;"")</f>
        <v/>
      </c>
      <c r="F662">
        <f>IF($X662="","",INDEX('Per Line'!$J$2:$J$3001,$X662)&amp;"")</f>
        <v/>
      </c>
      <c r="G662">
        <f>IF($X662="","",INDEX('Per Line'!$K$2:$K$3001,$X662)&amp;"")</f>
        <v/>
      </c>
      <c r="H662">
        <f>IF($X662="","",INDEX('Per Line'!$M$2:$M$3001,$X662))</f>
        <v/>
      </c>
      <c r="I662" s="7">
        <f>IF($X662="","",H662*V662/100)</f>
        <v/>
      </c>
      <c r="J662">
        <f>IF($X662="","",INDEX('Per Line'!$W$2:$W$3001,$X662)&amp;"")</f>
        <v/>
      </c>
      <c r="K662">
        <f>IF($X662="","",INDEX('Per Line'!$AD$2:$AD$3001,$X662))</f>
        <v/>
      </c>
      <c r="L662">
        <f>IF($X662="","",IF(AND(ISNUMBER(K662),K662&gt;0),V662&gt;K662,FALSE))</f>
        <v/>
      </c>
      <c r="M662" s="7">
        <f>IF($X662="","",SUMIFS('Per Line'!$V$2:$V$3001,'Per Line'!$D$2:$D$3001,$B662,'Per Line'!$AN$2:$AN$3001,1))</f>
        <v/>
      </c>
      <c r="N662">
        <f>IF($X662="","",Settings!$C$7)</f>
        <v/>
      </c>
      <c r="O662" s="7">
        <f>IF($X662="","",SUMIFS('Per Line'!$V$2:$V$3001,'Per Line'!$D$2:$D$3001,$B662,'Per Line'!$AM$2:$AM$3001,0,'Per Line'!$AN$2:$AN$3001,0))</f>
        <v/>
      </c>
      <c r="P662" s="7">
        <f>IF($X662="","",O662*N662)</f>
        <v/>
      </c>
      <c r="Q662">
        <f>IF($X662="","",Settings!$C$6)</f>
        <v/>
      </c>
      <c r="R662" s="7">
        <f>IF($X662="","",SUMIFS('Per Line'!$V$2:$V$3001,'Per Line'!$D$2:$D$3001,$B662,'Per Line'!$AM$2:$AM$3001,1,'Per Line'!$AN$2:$AN$3001,0))</f>
        <v/>
      </c>
      <c r="S662" s="7">
        <f>IF($X662="","",R662*Q662)</f>
        <v/>
      </c>
      <c r="T662" s="7">
        <f>IF($X662="","",S662+P662)</f>
        <v/>
      </c>
      <c r="U662" s="7">
        <f>IF($X662="","",V662-T662)</f>
        <v/>
      </c>
      <c r="V662" s="7">
        <f>IF($X662="","",O662+R662+M662)</f>
        <v/>
      </c>
      <c r="W662" s="7">
        <f>IF($X662="","",V662-T662-I662)</f>
        <v/>
      </c>
      <c r="X662" s="13">
        <f>IF(ROWS($X$2:$X662)&lt;=MAX('Per Line'!$AL$2:$AL$3001),MATCH(ROWS($X$2:$X662),'Per Line'!$AL$2:$AL$3001,0),"")</f>
        <v/>
      </c>
    </row>
    <row r="663">
      <c r="A663" s="12" t="n"/>
      <c r="B663">
        <f>IF($X663="","",INDEX('Per Line'!$D$2:$D$3001,$X663)&amp;"")</f>
        <v/>
      </c>
      <c r="C663" s="11">
        <f>IF($X663="","",INDEX('Per Line'!$F$2:$F$3001,$X663))</f>
        <v/>
      </c>
      <c r="D663">
        <f>IF($X663="","",INDEX('Per Line'!$G$2:$G$3001,$X663)&amp;"")</f>
        <v/>
      </c>
      <c r="E663">
        <f>IF($X663="","",INDEX('Per Line'!$I$2:$I$3001,$X663)&amp;"")</f>
        <v/>
      </c>
      <c r="F663">
        <f>IF($X663="","",INDEX('Per Line'!$J$2:$J$3001,$X663)&amp;"")</f>
        <v/>
      </c>
      <c r="G663">
        <f>IF($X663="","",INDEX('Per Line'!$K$2:$K$3001,$X663)&amp;"")</f>
        <v/>
      </c>
      <c r="H663">
        <f>IF($X663="","",INDEX('Per Line'!$M$2:$M$3001,$X663))</f>
        <v/>
      </c>
      <c r="I663" s="7">
        <f>IF($X663="","",H663*V663/100)</f>
        <v/>
      </c>
      <c r="J663">
        <f>IF($X663="","",INDEX('Per Line'!$W$2:$W$3001,$X663)&amp;"")</f>
        <v/>
      </c>
      <c r="K663">
        <f>IF($X663="","",INDEX('Per Line'!$AD$2:$AD$3001,$X663))</f>
        <v/>
      </c>
      <c r="L663">
        <f>IF($X663="","",IF(AND(ISNUMBER(K663),K663&gt;0),V663&gt;K663,FALSE))</f>
        <v/>
      </c>
      <c r="M663" s="7">
        <f>IF($X663="","",SUMIFS('Per Line'!$V$2:$V$3001,'Per Line'!$D$2:$D$3001,$B663,'Per Line'!$AN$2:$AN$3001,1))</f>
        <v/>
      </c>
      <c r="N663">
        <f>IF($X663="","",Settings!$C$7)</f>
        <v/>
      </c>
      <c r="O663" s="7">
        <f>IF($X663="","",SUMIFS('Per Line'!$V$2:$V$3001,'Per Line'!$D$2:$D$3001,$B663,'Per Line'!$AM$2:$AM$3001,0,'Per Line'!$AN$2:$AN$3001,0))</f>
        <v/>
      </c>
      <c r="P663" s="7">
        <f>IF($X663="","",O663*N663)</f>
        <v/>
      </c>
      <c r="Q663">
        <f>IF($X663="","",Settings!$C$6)</f>
        <v/>
      </c>
      <c r="R663" s="7">
        <f>IF($X663="","",SUMIFS('Per Line'!$V$2:$V$3001,'Per Line'!$D$2:$D$3001,$B663,'Per Line'!$AM$2:$AM$3001,1,'Per Line'!$AN$2:$AN$3001,0))</f>
        <v/>
      </c>
      <c r="S663" s="7">
        <f>IF($X663="","",R663*Q663)</f>
        <v/>
      </c>
      <c r="T663" s="7">
        <f>IF($X663="","",S663+P663)</f>
        <v/>
      </c>
      <c r="U663" s="7">
        <f>IF($X663="","",V663-T663)</f>
        <v/>
      </c>
      <c r="V663" s="7">
        <f>IF($X663="","",O663+R663+M663)</f>
        <v/>
      </c>
      <c r="W663" s="7">
        <f>IF($X663="","",V663-T663-I663)</f>
        <v/>
      </c>
      <c r="X663" s="13">
        <f>IF(ROWS($X$2:$X663)&lt;=MAX('Per Line'!$AL$2:$AL$3001),MATCH(ROWS($X$2:$X663),'Per Line'!$AL$2:$AL$3001,0),"")</f>
        <v/>
      </c>
    </row>
    <row r="664">
      <c r="A664" s="12" t="n"/>
      <c r="B664">
        <f>IF($X664="","",INDEX('Per Line'!$D$2:$D$3001,$X664)&amp;"")</f>
        <v/>
      </c>
      <c r="C664" s="11">
        <f>IF($X664="","",INDEX('Per Line'!$F$2:$F$3001,$X664))</f>
        <v/>
      </c>
      <c r="D664">
        <f>IF($X664="","",INDEX('Per Line'!$G$2:$G$3001,$X664)&amp;"")</f>
        <v/>
      </c>
      <c r="E664">
        <f>IF($X664="","",INDEX('Per Line'!$I$2:$I$3001,$X664)&amp;"")</f>
        <v/>
      </c>
      <c r="F664">
        <f>IF($X664="","",INDEX('Per Line'!$J$2:$J$3001,$X664)&amp;"")</f>
        <v/>
      </c>
      <c r="G664">
        <f>IF($X664="","",INDEX('Per Line'!$K$2:$K$3001,$X664)&amp;"")</f>
        <v/>
      </c>
      <c r="H664">
        <f>IF($X664="","",INDEX('Per Line'!$M$2:$M$3001,$X664))</f>
        <v/>
      </c>
      <c r="I664" s="7">
        <f>IF($X664="","",H664*V664/100)</f>
        <v/>
      </c>
      <c r="J664">
        <f>IF($X664="","",INDEX('Per Line'!$W$2:$W$3001,$X664)&amp;"")</f>
        <v/>
      </c>
      <c r="K664">
        <f>IF($X664="","",INDEX('Per Line'!$AD$2:$AD$3001,$X664))</f>
        <v/>
      </c>
      <c r="L664">
        <f>IF($X664="","",IF(AND(ISNUMBER(K664),K664&gt;0),V664&gt;K664,FALSE))</f>
        <v/>
      </c>
      <c r="M664" s="7">
        <f>IF($X664="","",SUMIFS('Per Line'!$V$2:$V$3001,'Per Line'!$D$2:$D$3001,$B664,'Per Line'!$AN$2:$AN$3001,1))</f>
        <v/>
      </c>
      <c r="N664">
        <f>IF($X664="","",Settings!$C$7)</f>
        <v/>
      </c>
      <c r="O664" s="7">
        <f>IF($X664="","",SUMIFS('Per Line'!$V$2:$V$3001,'Per Line'!$D$2:$D$3001,$B664,'Per Line'!$AM$2:$AM$3001,0,'Per Line'!$AN$2:$AN$3001,0))</f>
        <v/>
      </c>
      <c r="P664" s="7">
        <f>IF($X664="","",O664*N664)</f>
        <v/>
      </c>
      <c r="Q664">
        <f>IF($X664="","",Settings!$C$6)</f>
        <v/>
      </c>
      <c r="R664" s="7">
        <f>IF($X664="","",SUMIFS('Per Line'!$V$2:$V$3001,'Per Line'!$D$2:$D$3001,$B664,'Per Line'!$AM$2:$AM$3001,1,'Per Line'!$AN$2:$AN$3001,0))</f>
        <v/>
      </c>
      <c r="S664" s="7">
        <f>IF($X664="","",R664*Q664)</f>
        <v/>
      </c>
      <c r="T664" s="7">
        <f>IF($X664="","",S664+P664)</f>
        <v/>
      </c>
      <c r="U664" s="7">
        <f>IF($X664="","",V664-T664)</f>
        <v/>
      </c>
      <c r="V664" s="7">
        <f>IF($X664="","",O664+R664+M664)</f>
        <v/>
      </c>
      <c r="W664" s="7">
        <f>IF($X664="","",V664-T664-I664)</f>
        <v/>
      </c>
      <c r="X664" s="13">
        <f>IF(ROWS($X$2:$X664)&lt;=MAX('Per Line'!$AL$2:$AL$3001),MATCH(ROWS($X$2:$X664),'Per Line'!$AL$2:$AL$3001,0),"")</f>
        <v/>
      </c>
    </row>
    <row r="665">
      <c r="A665" s="12" t="n"/>
      <c r="B665">
        <f>IF($X665="","",INDEX('Per Line'!$D$2:$D$3001,$X665)&amp;"")</f>
        <v/>
      </c>
      <c r="C665" s="11">
        <f>IF($X665="","",INDEX('Per Line'!$F$2:$F$3001,$X665))</f>
        <v/>
      </c>
      <c r="D665">
        <f>IF($X665="","",INDEX('Per Line'!$G$2:$G$3001,$X665)&amp;"")</f>
        <v/>
      </c>
      <c r="E665">
        <f>IF($X665="","",INDEX('Per Line'!$I$2:$I$3001,$X665)&amp;"")</f>
        <v/>
      </c>
      <c r="F665">
        <f>IF($X665="","",INDEX('Per Line'!$J$2:$J$3001,$X665)&amp;"")</f>
        <v/>
      </c>
      <c r="G665">
        <f>IF($X665="","",INDEX('Per Line'!$K$2:$K$3001,$X665)&amp;"")</f>
        <v/>
      </c>
      <c r="H665">
        <f>IF($X665="","",INDEX('Per Line'!$M$2:$M$3001,$X665))</f>
        <v/>
      </c>
      <c r="I665" s="7">
        <f>IF($X665="","",H665*V665/100)</f>
        <v/>
      </c>
      <c r="J665">
        <f>IF($X665="","",INDEX('Per Line'!$W$2:$W$3001,$X665)&amp;"")</f>
        <v/>
      </c>
      <c r="K665">
        <f>IF($X665="","",INDEX('Per Line'!$AD$2:$AD$3001,$X665))</f>
        <v/>
      </c>
      <c r="L665">
        <f>IF($X665="","",IF(AND(ISNUMBER(K665),K665&gt;0),V665&gt;K665,FALSE))</f>
        <v/>
      </c>
      <c r="M665" s="7">
        <f>IF($X665="","",SUMIFS('Per Line'!$V$2:$V$3001,'Per Line'!$D$2:$D$3001,$B665,'Per Line'!$AN$2:$AN$3001,1))</f>
        <v/>
      </c>
      <c r="N665">
        <f>IF($X665="","",Settings!$C$7)</f>
        <v/>
      </c>
      <c r="O665" s="7">
        <f>IF($X665="","",SUMIFS('Per Line'!$V$2:$V$3001,'Per Line'!$D$2:$D$3001,$B665,'Per Line'!$AM$2:$AM$3001,0,'Per Line'!$AN$2:$AN$3001,0))</f>
        <v/>
      </c>
      <c r="P665" s="7">
        <f>IF($X665="","",O665*N665)</f>
        <v/>
      </c>
      <c r="Q665">
        <f>IF($X665="","",Settings!$C$6)</f>
        <v/>
      </c>
      <c r="R665" s="7">
        <f>IF($X665="","",SUMIFS('Per Line'!$V$2:$V$3001,'Per Line'!$D$2:$D$3001,$B665,'Per Line'!$AM$2:$AM$3001,1,'Per Line'!$AN$2:$AN$3001,0))</f>
        <v/>
      </c>
      <c r="S665" s="7">
        <f>IF($X665="","",R665*Q665)</f>
        <v/>
      </c>
      <c r="T665" s="7">
        <f>IF($X665="","",S665+P665)</f>
        <v/>
      </c>
      <c r="U665" s="7">
        <f>IF($X665="","",V665-T665)</f>
        <v/>
      </c>
      <c r="V665" s="7">
        <f>IF($X665="","",O665+R665+M665)</f>
        <v/>
      </c>
      <c r="W665" s="7">
        <f>IF($X665="","",V665-T665-I665)</f>
        <v/>
      </c>
      <c r="X665" s="13">
        <f>IF(ROWS($X$2:$X665)&lt;=MAX('Per Line'!$AL$2:$AL$3001),MATCH(ROWS($X$2:$X665),'Per Line'!$AL$2:$AL$3001,0),"")</f>
        <v/>
      </c>
    </row>
    <row r="666">
      <c r="A666" s="12" t="n"/>
      <c r="B666">
        <f>IF($X666="","",INDEX('Per Line'!$D$2:$D$3001,$X666)&amp;"")</f>
        <v/>
      </c>
      <c r="C666" s="11">
        <f>IF($X666="","",INDEX('Per Line'!$F$2:$F$3001,$X666))</f>
        <v/>
      </c>
      <c r="D666">
        <f>IF($X666="","",INDEX('Per Line'!$G$2:$G$3001,$X666)&amp;"")</f>
        <v/>
      </c>
      <c r="E666">
        <f>IF($X666="","",INDEX('Per Line'!$I$2:$I$3001,$X666)&amp;"")</f>
        <v/>
      </c>
      <c r="F666">
        <f>IF($X666="","",INDEX('Per Line'!$J$2:$J$3001,$X666)&amp;"")</f>
        <v/>
      </c>
      <c r="G666">
        <f>IF($X666="","",INDEX('Per Line'!$K$2:$K$3001,$X666)&amp;"")</f>
        <v/>
      </c>
      <c r="H666">
        <f>IF($X666="","",INDEX('Per Line'!$M$2:$M$3001,$X666))</f>
        <v/>
      </c>
      <c r="I666" s="7">
        <f>IF($X666="","",H666*V666/100)</f>
        <v/>
      </c>
      <c r="J666">
        <f>IF($X666="","",INDEX('Per Line'!$W$2:$W$3001,$X666)&amp;"")</f>
        <v/>
      </c>
      <c r="K666">
        <f>IF($X666="","",INDEX('Per Line'!$AD$2:$AD$3001,$X666))</f>
        <v/>
      </c>
      <c r="L666">
        <f>IF($X666="","",IF(AND(ISNUMBER(K666),K666&gt;0),V666&gt;K666,FALSE))</f>
        <v/>
      </c>
      <c r="M666" s="7">
        <f>IF($X666="","",SUMIFS('Per Line'!$V$2:$V$3001,'Per Line'!$D$2:$D$3001,$B666,'Per Line'!$AN$2:$AN$3001,1))</f>
        <v/>
      </c>
      <c r="N666">
        <f>IF($X666="","",Settings!$C$7)</f>
        <v/>
      </c>
      <c r="O666" s="7">
        <f>IF($X666="","",SUMIFS('Per Line'!$V$2:$V$3001,'Per Line'!$D$2:$D$3001,$B666,'Per Line'!$AM$2:$AM$3001,0,'Per Line'!$AN$2:$AN$3001,0))</f>
        <v/>
      </c>
      <c r="P666" s="7">
        <f>IF($X666="","",O666*N666)</f>
        <v/>
      </c>
      <c r="Q666">
        <f>IF($X666="","",Settings!$C$6)</f>
        <v/>
      </c>
      <c r="R666" s="7">
        <f>IF($X666="","",SUMIFS('Per Line'!$V$2:$V$3001,'Per Line'!$D$2:$D$3001,$B666,'Per Line'!$AM$2:$AM$3001,1,'Per Line'!$AN$2:$AN$3001,0))</f>
        <v/>
      </c>
      <c r="S666" s="7">
        <f>IF($X666="","",R666*Q666)</f>
        <v/>
      </c>
      <c r="T666" s="7">
        <f>IF($X666="","",S666+P666)</f>
        <v/>
      </c>
      <c r="U666" s="7">
        <f>IF($X666="","",V666-T666)</f>
        <v/>
      </c>
      <c r="V666" s="7">
        <f>IF($X666="","",O666+R666+M666)</f>
        <v/>
      </c>
      <c r="W666" s="7">
        <f>IF($X666="","",V666-T666-I666)</f>
        <v/>
      </c>
      <c r="X666" s="13">
        <f>IF(ROWS($X$2:$X666)&lt;=MAX('Per Line'!$AL$2:$AL$3001),MATCH(ROWS($X$2:$X666),'Per Line'!$AL$2:$AL$3001,0),"")</f>
        <v/>
      </c>
    </row>
    <row r="667">
      <c r="A667" s="12" t="n"/>
      <c r="B667">
        <f>IF($X667="","",INDEX('Per Line'!$D$2:$D$3001,$X667)&amp;"")</f>
        <v/>
      </c>
      <c r="C667" s="11">
        <f>IF($X667="","",INDEX('Per Line'!$F$2:$F$3001,$X667))</f>
        <v/>
      </c>
      <c r="D667">
        <f>IF($X667="","",INDEX('Per Line'!$G$2:$G$3001,$X667)&amp;"")</f>
        <v/>
      </c>
      <c r="E667">
        <f>IF($X667="","",INDEX('Per Line'!$I$2:$I$3001,$X667)&amp;"")</f>
        <v/>
      </c>
      <c r="F667">
        <f>IF($X667="","",INDEX('Per Line'!$J$2:$J$3001,$X667)&amp;"")</f>
        <v/>
      </c>
      <c r="G667">
        <f>IF($X667="","",INDEX('Per Line'!$K$2:$K$3001,$X667)&amp;"")</f>
        <v/>
      </c>
      <c r="H667">
        <f>IF($X667="","",INDEX('Per Line'!$M$2:$M$3001,$X667))</f>
        <v/>
      </c>
      <c r="I667" s="7">
        <f>IF($X667="","",H667*V667/100)</f>
        <v/>
      </c>
      <c r="J667">
        <f>IF($X667="","",INDEX('Per Line'!$W$2:$W$3001,$X667)&amp;"")</f>
        <v/>
      </c>
      <c r="K667">
        <f>IF($X667="","",INDEX('Per Line'!$AD$2:$AD$3001,$X667))</f>
        <v/>
      </c>
      <c r="L667">
        <f>IF($X667="","",IF(AND(ISNUMBER(K667),K667&gt;0),V667&gt;K667,FALSE))</f>
        <v/>
      </c>
      <c r="M667" s="7">
        <f>IF($X667="","",SUMIFS('Per Line'!$V$2:$V$3001,'Per Line'!$D$2:$D$3001,$B667,'Per Line'!$AN$2:$AN$3001,1))</f>
        <v/>
      </c>
      <c r="N667">
        <f>IF($X667="","",Settings!$C$7)</f>
        <v/>
      </c>
      <c r="O667" s="7">
        <f>IF($X667="","",SUMIFS('Per Line'!$V$2:$V$3001,'Per Line'!$D$2:$D$3001,$B667,'Per Line'!$AM$2:$AM$3001,0,'Per Line'!$AN$2:$AN$3001,0))</f>
        <v/>
      </c>
      <c r="P667" s="7">
        <f>IF($X667="","",O667*N667)</f>
        <v/>
      </c>
      <c r="Q667">
        <f>IF($X667="","",Settings!$C$6)</f>
        <v/>
      </c>
      <c r="R667" s="7">
        <f>IF($X667="","",SUMIFS('Per Line'!$V$2:$V$3001,'Per Line'!$D$2:$D$3001,$B667,'Per Line'!$AM$2:$AM$3001,1,'Per Line'!$AN$2:$AN$3001,0))</f>
        <v/>
      </c>
      <c r="S667" s="7">
        <f>IF($X667="","",R667*Q667)</f>
        <v/>
      </c>
      <c r="T667" s="7">
        <f>IF($X667="","",S667+P667)</f>
        <v/>
      </c>
      <c r="U667" s="7">
        <f>IF($X667="","",V667-T667)</f>
        <v/>
      </c>
      <c r="V667" s="7">
        <f>IF($X667="","",O667+R667+M667)</f>
        <v/>
      </c>
      <c r="W667" s="7">
        <f>IF($X667="","",V667-T667-I667)</f>
        <v/>
      </c>
      <c r="X667" s="13">
        <f>IF(ROWS($X$2:$X667)&lt;=MAX('Per Line'!$AL$2:$AL$3001),MATCH(ROWS($X$2:$X667),'Per Line'!$AL$2:$AL$3001,0),"")</f>
        <v/>
      </c>
    </row>
    <row r="668">
      <c r="A668" s="12" t="n"/>
      <c r="B668">
        <f>IF($X668="","",INDEX('Per Line'!$D$2:$D$3001,$X668)&amp;"")</f>
        <v/>
      </c>
      <c r="C668" s="11">
        <f>IF($X668="","",INDEX('Per Line'!$F$2:$F$3001,$X668))</f>
        <v/>
      </c>
      <c r="D668">
        <f>IF($X668="","",INDEX('Per Line'!$G$2:$G$3001,$X668)&amp;"")</f>
        <v/>
      </c>
      <c r="E668">
        <f>IF($X668="","",INDEX('Per Line'!$I$2:$I$3001,$X668)&amp;"")</f>
        <v/>
      </c>
      <c r="F668">
        <f>IF($X668="","",INDEX('Per Line'!$J$2:$J$3001,$X668)&amp;"")</f>
        <v/>
      </c>
      <c r="G668">
        <f>IF($X668="","",INDEX('Per Line'!$K$2:$K$3001,$X668)&amp;"")</f>
        <v/>
      </c>
      <c r="H668">
        <f>IF($X668="","",INDEX('Per Line'!$M$2:$M$3001,$X668))</f>
        <v/>
      </c>
      <c r="I668" s="7">
        <f>IF($X668="","",H668*V668/100)</f>
        <v/>
      </c>
      <c r="J668">
        <f>IF($X668="","",INDEX('Per Line'!$W$2:$W$3001,$X668)&amp;"")</f>
        <v/>
      </c>
      <c r="K668">
        <f>IF($X668="","",INDEX('Per Line'!$AD$2:$AD$3001,$X668))</f>
        <v/>
      </c>
      <c r="L668">
        <f>IF($X668="","",IF(AND(ISNUMBER(K668),K668&gt;0),V668&gt;K668,FALSE))</f>
        <v/>
      </c>
      <c r="M668" s="7">
        <f>IF($X668="","",SUMIFS('Per Line'!$V$2:$V$3001,'Per Line'!$D$2:$D$3001,$B668,'Per Line'!$AN$2:$AN$3001,1))</f>
        <v/>
      </c>
      <c r="N668">
        <f>IF($X668="","",Settings!$C$7)</f>
        <v/>
      </c>
      <c r="O668" s="7">
        <f>IF($X668="","",SUMIFS('Per Line'!$V$2:$V$3001,'Per Line'!$D$2:$D$3001,$B668,'Per Line'!$AM$2:$AM$3001,0,'Per Line'!$AN$2:$AN$3001,0))</f>
        <v/>
      </c>
      <c r="P668" s="7">
        <f>IF($X668="","",O668*N668)</f>
        <v/>
      </c>
      <c r="Q668">
        <f>IF($X668="","",Settings!$C$6)</f>
        <v/>
      </c>
      <c r="R668" s="7">
        <f>IF($X668="","",SUMIFS('Per Line'!$V$2:$V$3001,'Per Line'!$D$2:$D$3001,$B668,'Per Line'!$AM$2:$AM$3001,1,'Per Line'!$AN$2:$AN$3001,0))</f>
        <v/>
      </c>
      <c r="S668" s="7">
        <f>IF($X668="","",R668*Q668)</f>
        <v/>
      </c>
      <c r="T668" s="7">
        <f>IF($X668="","",S668+P668)</f>
        <v/>
      </c>
      <c r="U668" s="7">
        <f>IF($X668="","",V668-T668)</f>
        <v/>
      </c>
      <c r="V668" s="7">
        <f>IF($X668="","",O668+R668+M668)</f>
        <v/>
      </c>
      <c r="W668" s="7">
        <f>IF($X668="","",V668-T668-I668)</f>
        <v/>
      </c>
      <c r="X668" s="13">
        <f>IF(ROWS($X$2:$X668)&lt;=MAX('Per Line'!$AL$2:$AL$3001),MATCH(ROWS($X$2:$X668),'Per Line'!$AL$2:$AL$3001,0),"")</f>
        <v/>
      </c>
    </row>
    <row r="669">
      <c r="A669" s="12" t="n"/>
      <c r="B669">
        <f>IF($X669="","",INDEX('Per Line'!$D$2:$D$3001,$X669)&amp;"")</f>
        <v/>
      </c>
      <c r="C669" s="11">
        <f>IF($X669="","",INDEX('Per Line'!$F$2:$F$3001,$X669))</f>
        <v/>
      </c>
      <c r="D669">
        <f>IF($X669="","",INDEX('Per Line'!$G$2:$G$3001,$X669)&amp;"")</f>
        <v/>
      </c>
      <c r="E669">
        <f>IF($X669="","",INDEX('Per Line'!$I$2:$I$3001,$X669)&amp;"")</f>
        <v/>
      </c>
      <c r="F669">
        <f>IF($X669="","",INDEX('Per Line'!$J$2:$J$3001,$X669)&amp;"")</f>
        <v/>
      </c>
      <c r="G669">
        <f>IF($X669="","",INDEX('Per Line'!$K$2:$K$3001,$X669)&amp;"")</f>
        <v/>
      </c>
      <c r="H669">
        <f>IF($X669="","",INDEX('Per Line'!$M$2:$M$3001,$X669))</f>
        <v/>
      </c>
      <c r="I669" s="7">
        <f>IF($X669="","",H669*V669/100)</f>
        <v/>
      </c>
      <c r="J669">
        <f>IF($X669="","",INDEX('Per Line'!$W$2:$W$3001,$X669)&amp;"")</f>
        <v/>
      </c>
      <c r="K669">
        <f>IF($X669="","",INDEX('Per Line'!$AD$2:$AD$3001,$X669))</f>
        <v/>
      </c>
      <c r="L669">
        <f>IF($X669="","",IF(AND(ISNUMBER(K669),K669&gt;0),V669&gt;K669,FALSE))</f>
        <v/>
      </c>
      <c r="M669" s="7">
        <f>IF($X669="","",SUMIFS('Per Line'!$V$2:$V$3001,'Per Line'!$D$2:$D$3001,$B669,'Per Line'!$AN$2:$AN$3001,1))</f>
        <v/>
      </c>
      <c r="N669">
        <f>IF($X669="","",Settings!$C$7)</f>
        <v/>
      </c>
      <c r="O669" s="7">
        <f>IF($X669="","",SUMIFS('Per Line'!$V$2:$V$3001,'Per Line'!$D$2:$D$3001,$B669,'Per Line'!$AM$2:$AM$3001,0,'Per Line'!$AN$2:$AN$3001,0))</f>
        <v/>
      </c>
      <c r="P669" s="7">
        <f>IF($X669="","",O669*N669)</f>
        <v/>
      </c>
      <c r="Q669">
        <f>IF($X669="","",Settings!$C$6)</f>
        <v/>
      </c>
      <c r="R669" s="7">
        <f>IF($X669="","",SUMIFS('Per Line'!$V$2:$V$3001,'Per Line'!$D$2:$D$3001,$B669,'Per Line'!$AM$2:$AM$3001,1,'Per Line'!$AN$2:$AN$3001,0))</f>
        <v/>
      </c>
      <c r="S669" s="7">
        <f>IF($X669="","",R669*Q669)</f>
        <v/>
      </c>
      <c r="T669" s="7">
        <f>IF($X669="","",S669+P669)</f>
        <v/>
      </c>
      <c r="U669" s="7">
        <f>IF($X669="","",V669-T669)</f>
        <v/>
      </c>
      <c r="V669" s="7">
        <f>IF($X669="","",O669+R669+M669)</f>
        <v/>
      </c>
      <c r="W669" s="7">
        <f>IF($X669="","",V669-T669-I669)</f>
        <v/>
      </c>
      <c r="X669" s="13">
        <f>IF(ROWS($X$2:$X669)&lt;=MAX('Per Line'!$AL$2:$AL$3001),MATCH(ROWS($X$2:$X669),'Per Line'!$AL$2:$AL$3001,0),"")</f>
        <v/>
      </c>
    </row>
    <row r="670">
      <c r="A670" s="12" t="n"/>
      <c r="B670">
        <f>IF($X670="","",INDEX('Per Line'!$D$2:$D$3001,$X670)&amp;"")</f>
        <v/>
      </c>
      <c r="C670" s="11">
        <f>IF($X670="","",INDEX('Per Line'!$F$2:$F$3001,$X670))</f>
        <v/>
      </c>
      <c r="D670">
        <f>IF($X670="","",INDEX('Per Line'!$G$2:$G$3001,$X670)&amp;"")</f>
        <v/>
      </c>
      <c r="E670">
        <f>IF($X670="","",INDEX('Per Line'!$I$2:$I$3001,$X670)&amp;"")</f>
        <v/>
      </c>
      <c r="F670">
        <f>IF($X670="","",INDEX('Per Line'!$J$2:$J$3001,$X670)&amp;"")</f>
        <v/>
      </c>
      <c r="G670">
        <f>IF($X670="","",INDEX('Per Line'!$K$2:$K$3001,$X670)&amp;"")</f>
        <v/>
      </c>
      <c r="H670">
        <f>IF($X670="","",INDEX('Per Line'!$M$2:$M$3001,$X670))</f>
        <v/>
      </c>
      <c r="I670" s="7">
        <f>IF($X670="","",H670*V670/100)</f>
        <v/>
      </c>
      <c r="J670">
        <f>IF($X670="","",INDEX('Per Line'!$W$2:$W$3001,$X670)&amp;"")</f>
        <v/>
      </c>
      <c r="K670">
        <f>IF($X670="","",INDEX('Per Line'!$AD$2:$AD$3001,$X670))</f>
        <v/>
      </c>
      <c r="L670">
        <f>IF($X670="","",IF(AND(ISNUMBER(K670),K670&gt;0),V670&gt;K670,FALSE))</f>
        <v/>
      </c>
      <c r="M670" s="7">
        <f>IF($X670="","",SUMIFS('Per Line'!$V$2:$V$3001,'Per Line'!$D$2:$D$3001,$B670,'Per Line'!$AN$2:$AN$3001,1))</f>
        <v/>
      </c>
      <c r="N670">
        <f>IF($X670="","",Settings!$C$7)</f>
        <v/>
      </c>
      <c r="O670" s="7">
        <f>IF($X670="","",SUMIFS('Per Line'!$V$2:$V$3001,'Per Line'!$D$2:$D$3001,$B670,'Per Line'!$AM$2:$AM$3001,0,'Per Line'!$AN$2:$AN$3001,0))</f>
        <v/>
      </c>
      <c r="P670" s="7">
        <f>IF($X670="","",O670*N670)</f>
        <v/>
      </c>
      <c r="Q670">
        <f>IF($X670="","",Settings!$C$6)</f>
        <v/>
      </c>
      <c r="R670" s="7">
        <f>IF($X670="","",SUMIFS('Per Line'!$V$2:$V$3001,'Per Line'!$D$2:$D$3001,$B670,'Per Line'!$AM$2:$AM$3001,1,'Per Line'!$AN$2:$AN$3001,0))</f>
        <v/>
      </c>
      <c r="S670" s="7">
        <f>IF($X670="","",R670*Q670)</f>
        <v/>
      </c>
      <c r="T670" s="7">
        <f>IF($X670="","",S670+P670)</f>
        <v/>
      </c>
      <c r="U670" s="7">
        <f>IF($X670="","",V670-T670)</f>
        <v/>
      </c>
      <c r="V670" s="7">
        <f>IF($X670="","",O670+R670+M670)</f>
        <v/>
      </c>
      <c r="W670" s="7">
        <f>IF($X670="","",V670-T670-I670)</f>
        <v/>
      </c>
      <c r="X670" s="13">
        <f>IF(ROWS($X$2:$X670)&lt;=MAX('Per Line'!$AL$2:$AL$3001),MATCH(ROWS($X$2:$X670),'Per Line'!$AL$2:$AL$3001,0),"")</f>
        <v/>
      </c>
    </row>
    <row r="671">
      <c r="A671" s="12" t="n"/>
      <c r="B671">
        <f>IF($X671="","",INDEX('Per Line'!$D$2:$D$3001,$X671)&amp;"")</f>
        <v/>
      </c>
      <c r="C671" s="11">
        <f>IF($X671="","",INDEX('Per Line'!$F$2:$F$3001,$X671))</f>
        <v/>
      </c>
      <c r="D671">
        <f>IF($X671="","",INDEX('Per Line'!$G$2:$G$3001,$X671)&amp;"")</f>
        <v/>
      </c>
      <c r="E671">
        <f>IF($X671="","",INDEX('Per Line'!$I$2:$I$3001,$X671)&amp;"")</f>
        <v/>
      </c>
      <c r="F671">
        <f>IF($X671="","",INDEX('Per Line'!$J$2:$J$3001,$X671)&amp;"")</f>
        <v/>
      </c>
      <c r="G671">
        <f>IF($X671="","",INDEX('Per Line'!$K$2:$K$3001,$X671)&amp;"")</f>
        <v/>
      </c>
      <c r="H671">
        <f>IF($X671="","",INDEX('Per Line'!$M$2:$M$3001,$X671))</f>
        <v/>
      </c>
      <c r="I671" s="7">
        <f>IF($X671="","",H671*V671/100)</f>
        <v/>
      </c>
      <c r="J671">
        <f>IF($X671="","",INDEX('Per Line'!$W$2:$W$3001,$X671)&amp;"")</f>
        <v/>
      </c>
      <c r="K671">
        <f>IF($X671="","",INDEX('Per Line'!$AD$2:$AD$3001,$X671))</f>
        <v/>
      </c>
      <c r="L671">
        <f>IF($X671="","",IF(AND(ISNUMBER(K671),K671&gt;0),V671&gt;K671,FALSE))</f>
        <v/>
      </c>
      <c r="M671" s="7">
        <f>IF($X671="","",SUMIFS('Per Line'!$V$2:$V$3001,'Per Line'!$D$2:$D$3001,$B671,'Per Line'!$AN$2:$AN$3001,1))</f>
        <v/>
      </c>
      <c r="N671">
        <f>IF($X671="","",Settings!$C$7)</f>
        <v/>
      </c>
      <c r="O671" s="7">
        <f>IF($X671="","",SUMIFS('Per Line'!$V$2:$V$3001,'Per Line'!$D$2:$D$3001,$B671,'Per Line'!$AM$2:$AM$3001,0,'Per Line'!$AN$2:$AN$3001,0))</f>
        <v/>
      </c>
      <c r="P671" s="7">
        <f>IF($X671="","",O671*N671)</f>
        <v/>
      </c>
      <c r="Q671">
        <f>IF($X671="","",Settings!$C$6)</f>
        <v/>
      </c>
      <c r="R671" s="7">
        <f>IF($X671="","",SUMIFS('Per Line'!$V$2:$V$3001,'Per Line'!$D$2:$D$3001,$B671,'Per Line'!$AM$2:$AM$3001,1,'Per Line'!$AN$2:$AN$3001,0))</f>
        <v/>
      </c>
      <c r="S671" s="7">
        <f>IF($X671="","",R671*Q671)</f>
        <v/>
      </c>
      <c r="T671" s="7">
        <f>IF($X671="","",S671+P671)</f>
        <v/>
      </c>
      <c r="U671" s="7">
        <f>IF($X671="","",V671-T671)</f>
        <v/>
      </c>
      <c r="V671" s="7">
        <f>IF($X671="","",O671+R671+M671)</f>
        <v/>
      </c>
      <c r="W671" s="7">
        <f>IF($X671="","",V671-T671-I671)</f>
        <v/>
      </c>
      <c r="X671" s="13">
        <f>IF(ROWS($X$2:$X671)&lt;=MAX('Per Line'!$AL$2:$AL$3001),MATCH(ROWS($X$2:$X671),'Per Line'!$AL$2:$AL$3001,0),"")</f>
        <v/>
      </c>
    </row>
    <row r="672">
      <c r="A672" s="12" t="n"/>
      <c r="B672">
        <f>IF($X672="","",INDEX('Per Line'!$D$2:$D$3001,$X672)&amp;"")</f>
        <v/>
      </c>
      <c r="C672" s="11">
        <f>IF($X672="","",INDEX('Per Line'!$F$2:$F$3001,$X672))</f>
        <v/>
      </c>
      <c r="D672">
        <f>IF($X672="","",INDEX('Per Line'!$G$2:$G$3001,$X672)&amp;"")</f>
        <v/>
      </c>
      <c r="E672">
        <f>IF($X672="","",INDEX('Per Line'!$I$2:$I$3001,$X672)&amp;"")</f>
        <v/>
      </c>
      <c r="F672">
        <f>IF($X672="","",INDEX('Per Line'!$J$2:$J$3001,$X672)&amp;"")</f>
        <v/>
      </c>
      <c r="G672">
        <f>IF($X672="","",INDEX('Per Line'!$K$2:$K$3001,$X672)&amp;"")</f>
        <v/>
      </c>
      <c r="H672">
        <f>IF($X672="","",INDEX('Per Line'!$M$2:$M$3001,$X672))</f>
        <v/>
      </c>
      <c r="I672" s="7">
        <f>IF($X672="","",H672*V672/100)</f>
        <v/>
      </c>
      <c r="J672">
        <f>IF($X672="","",INDEX('Per Line'!$W$2:$W$3001,$X672)&amp;"")</f>
        <v/>
      </c>
      <c r="K672">
        <f>IF($X672="","",INDEX('Per Line'!$AD$2:$AD$3001,$X672))</f>
        <v/>
      </c>
      <c r="L672">
        <f>IF($X672="","",IF(AND(ISNUMBER(K672),K672&gt;0),V672&gt;K672,FALSE))</f>
        <v/>
      </c>
      <c r="M672" s="7">
        <f>IF($X672="","",SUMIFS('Per Line'!$V$2:$V$3001,'Per Line'!$D$2:$D$3001,$B672,'Per Line'!$AN$2:$AN$3001,1))</f>
        <v/>
      </c>
      <c r="N672">
        <f>IF($X672="","",Settings!$C$7)</f>
        <v/>
      </c>
      <c r="O672" s="7">
        <f>IF($X672="","",SUMIFS('Per Line'!$V$2:$V$3001,'Per Line'!$D$2:$D$3001,$B672,'Per Line'!$AM$2:$AM$3001,0,'Per Line'!$AN$2:$AN$3001,0))</f>
        <v/>
      </c>
      <c r="P672" s="7">
        <f>IF($X672="","",O672*N672)</f>
        <v/>
      </c>
      <c r="Q672">
        <f>IF($X672="","",Settings!$C$6)</f>
        <v/>
      </c>
      <c r="R672" s="7">
        <f>IF($X672="","",SUMIFS('Per Line'!$V$2:$V$3001,'Per Line'!$D$2:$D$3001,$B672,'Per Line'!$AM$2:$AM$3001,1,'Per Line'!$AN$2:$AN$3001,0))</f>
        <v/>
      </c>
      <c r="S672" s="7">
        <f>IF($X672="","",R672*Q672)</f>
        <v/>
      </c>
      <c r="T672" s="7">
        <f>IF($X672="","",S672+P672)</f>
        <v/>
      </c>
      <c r="U672" s="7">
        <f>IF($X672="","",V672-T672)</f>
        <v/>
      </c>
      <c r="V672" s="7">
        <f>IF($X672="","",O672+R672+M672)</f>
        <v/>
      </c>
      <c r="W672" s="7">
        <f>IF($X672="","",V672-T672-I672)</f>
        <v/>
      </c>
      <c r="X672" s="13">
        <f>IF(ROWS($X$2:$X672)&lt;=MAX('Per Line'!$AL$2:$AL$3001),MATCH(ROWS($X$2:$X672),'Per Line'!$AL$2:$AL$3001,0),"")</f>
        <v/>
      </c>
    </row>
    <row r="673">
      <c r="A673" s="12" t="n"/>
      <c r="B673">
        <f>IF($X673="","",INDEX('Per Line'!$D$2:$D$3001,$X673)&amp;"")</f>
        <v/>
      </c>
      <c r="C673" s="11">
        <f>IF($X673="","",INDEX('Per Line'!$F$2:$F$3001,$X673))</f>
        <v/>
      </c>
      <c r="D673">
        <f>IF($X673="","",INDEX('Per Line'!$G$2:$G$3001,$X673)&amp;"")</f>
        <v/>
      </c>
      <c r="E673">
        <f>IF($X673="","",INDEX('Per Line'!$I$2:$I$3001,$X673)&amp;"")</f>
        <v/>
      </c>
      <c r="F673">
        <f>IF($X673="","",INDEX('Per Line'!$J$2:$J$3001,$X673)&amp;"")</f>
        <v/>
      </c>
      <c r="G673">
        <f>IF($X673="","",INDEX('Per Line'!$K$2:$K$3001,$X673)&amp;"")</f>
        <v/>
      </c>
      <c r="H673">
        <f>IF($X673="","",INDEX('Per Line'!$M$2:$M$3001,$X673))</f>
        <v/>
      </c>
      <c r="I673" s="7">
        <f>IF($X673="","",H673*V673/100)</f>
        <v/>
      </c>
      <c r="J673">
        <f>IF($X673="","",INDEX('Per Line'!$W$2:$W$3001,$X673)&amp;"")</f>
        <v/>
      </c>
      <c r="K673">
        <f>IF($X673="","",INDEX('Per Line'!$AD$2:$AD$3001,$X673))</f>
        <v/>
      </c>
      <c r="L673">
        <f>IF($X673="","",IF(AND(ISNUMBER(K673),K673&gt;0),V673&gt;K673,FALSE))</f>
        <v/>
      </c>
      <c r="M673" s="7">
        <f>IF($X673="","",SUMIFS('Per Line'!$V$2:$V$3001,'Per Line'!$D$2:$D$3001,$B673,'Per Line'!$AN$2:$AN$3001,1))</f>
        <v/>
      </c>
      <c r="N673">
        <f>IF($X673="","",Settings!$C$7)</f>
        <v/>
      </c>
      <c r="O673" s="7">
        <f>IF($X673="","",SUMIFS('Per Line'!$V$2:$V$3001,'Per Line'!$D$2:$D$3001,$B673,'Per Line'!$AM$2:$AM$3001,0,'Per Line'!$AN$2:$AN$3001,0))</f>
        <v/>
      </c>
      <c r="P673" s="7">
        <f>IF($X673="","",O673*N673)</f>
        <v/>
      </c>
      <c r="Q673">
        <f>IF($X673="","",Settings!$C$6)</f>
        <v/>
      </c>
      <c r="R673" s="7">
        <f>IF($X673="","",SUMIFS('Per Line'!$V$2:$V$3001,'Per Line'!$D$2:$D$3001,$B673,'Per Line'!$AM$2:$AM$3001,1,'Per Line'!$AN$2:$AN$3001,0))</f>
        <v/>
      </c>
      <c r="S673" s="7">
        <f>IF($X673="","",R673*Q673)</f>
        <v/>
      </c>
      <c r="T673" s="7">
        <f>IF($X673="","",S673+P673)</f>
        <v/>
      </c>
      <c r="U673" s="7">
        <f>IF($X673="","",V673-T673)</f>
        <v/>
      </c>
      <c r="V673" s="7">
        <f>IF($X673="","",O673+R673+M673)</f>
        <v/>
      </c>
      <c r="W673" s="7">
        <f>IF($X673="","",V673-T673-I673)</f>
        <v/>
      </c>
      <c r="X673" s="13">
        <f>IF(ROWS($X$2:$X673)&lt;=MAX('Per Line'!$AL$2:$AL$3001),MATCH(ROWS($X$2:$X673),'Per Line'!$AL$2:$AL$3001,0),"")</f>
        <v/>
      </c>
    </row>
    <row r="674">
      <c r="A674" s="12" t="n"/>
      <c r="B674">
        <f>IF($X674="","",INDEX('Per Line'!$D$2:$D$3001,$X674)&amp;"")</f>
        <v/>
      </c>
      <c r="C674" s="11">
        <f>IF($X674="","",INDEX('Per Line'!$F$2:$F$3001,$X674))</f>
        <v/>
      </c>
      <c r="D674">
        <f>IF($X674="","",INDEX('Per Line'!$G$2:$G$3001,$X674)&amp;"")</f>
        <v/>
      </c>
      <c r="E674">
        <f>IF($X674="","",INDEX('Per Line'!$I$2:$I$3001,$X674)&amp;"")</f>
        <v/>
      </c>
      <c r="F674">
        <f>IF($X674="","",INDEX('Per Line'!$J$2:$J$3001,$X674)&amp;"")</f>
        <v/>
      </c>
      <c r="G674">
        <f>IF($X674="","",INDEX('Per Line'!$K$2:$K$3001,$X674)&amp;"")</f>
        <v/>
      </c>
      <c r="H674">
        <f>IF($X674="","",INDEX('Per Line'!$M$2:$M$3001,$X674))</f>
        <v/>
      </c>
      <c r="I674" s="7">
        <f>IF($X674="","",H674*V674/100)</f>
        <v/>
      </c>
      <c r="J674">
        <f>IF($X674="","",INDEX('Per Line'!$W$2:$W$3001,$X674)&amp;"")</f>
        <v/>
      </c>
      <c r="K674">
        <f>IF($X674="","",INDEX('Per Line'!$AD$2:$AD$3001,$X674))</f>
        <v/>
      </c>
      <c r="L674">
        <f>IF($X674="","",IF(AND(ISNUMBER(K674),K674&gt;0),V674&gt;K674,FALSE))</f>
        <v/>
      </c>
      <c r="M674" s="7">
        <f>IF($X674="","",SUMIFS('Per Line'!$V$2:$V$3001,'Per Line'!$D$2:$D$3001,$B674,'Per Line'!$AN$2:$AN$3001,1))</f>
        <v/>
      </c>
      <c r="N674">
        <f>IF($X674="","",Settings!$C$7)</f>
        <v/>
      </c>
      <c r="O674" s="7">
        <f>IF($X674="","",SUMIFS('Per Line'!$V$2:$V$3001,'Per Line'!$D$2:$D$3001,$B674,'Per Line'!$AM$2:$AM$3001,0,'Per Line'!$AN$2:$AN$3001,0))</f>
        <v/>
      </c>
      <c r="P674" s="7">
        <f>IF($X674="","",O674*N674)</f>
        <v/>
      </c>
      <c r="Q674">
        <f>IF($X674="","",Settings!$C$6)</f>
        <v/>
      </c>
      <c r="R674" s="7">
        <f>IF($X674="","",SUMIFS('Per Line'!$V$2:$V$3001,'Per Line'!$D$2:$D$3001,$B674,'Per Line'!$AM$2:$AM$3001,1,'Per Line'!$AN$2:$AN$3001,0))</f>
        <v/>
      </c>
      <c r="S674" s="7">
        <f>IF($X674="","",R674*Q674)</f>
        <v/>
      </c>
      <c r="T674" s="7">
        <f>IF($X674="","",S674+P674)</f>
        <v/>
      </c>
      <c r="U674" s="7">
        <f>IF($X674="","",V674-T674)</f>
        <v/>
      </c>
      <c r="V674" s="7">
        <f>IF($X674="","",O674+R674+M674)</f>
        <v/>
      </c>
      <c r="W674" s="7">
        <f>IF($X674="","",V674-T674-I674)</f>
        <v/>
      </c>
      <c r="X674" s="13">
        <f>IF(ROWS($X$2:$X674)&lt;=MAX('Per Line'!$AL$2:$AL$3001),MATCH(ROWS($X$2:$X674),'Per Line'!$AL$2:$AL$3001,0),"")</f>
        <v/>
      </c>
    </row>
    <row r="675">
      <c r="A675" s="12" t="n"/>
      <c r="B675">
        <f>IF($X675="","",INDEX('Per Line'!$D$2:$D$3001,$X675)&amp;"")</f>
        <v/>
      </c>
      <c r="C675" s="11">
        <f>IF($X675="","",INDEX('Per Line'!$F$2:$F$3001,$X675))</f>
        <v/>
      </c>
      <c r="D675">
        <f>IF($X675="","",INDEX('Per Line'!$G$2:$G$3001,$X675)&amp;"")</f>
        <v/>
      </c>
      <c r="E675">
        <f>IF($X675="","",INDEX('Per Line'!$I$2:$I$3001,$X675)&amp;"")</f>
        <v/>
      </c>
      <c r="F675">
        <f>IF($X675="","",INDEX('Per Line'!$J$2:$J$3001,$X675)&amp;"")</f>
        <v/>
      </c>
      <c r="G675">
        <f>IF($X675="","",INDEX('Per Line'!$K$2:$K$3001,$X675)&amp;"")</f>
        <v/>
      </c>
      <c r="H675">
        <f>IF($X675="","",INDEX('Per Line'!$M$2:$M$3001,$X675))</f>
        <v/>
      </c>
      <c r="I675" s="7">
        <f>IF($X675="","",H675*V675/100)</f>
        <v/>
      </c>
      <c r="J675">
        <f>IF($X675="","",INDEX('Per Line'!$W$2:$W$3001,$X675)&amp;"")</f>
        <v/>
      </c>
      <c r="K675">
        <f>IF($X675="","",INDEX('Per Line'!$AD$2:$AD$3001,$X675))</f>
        <v/>
      </c>
      <c r="L675">
        <f>IF($X675="","",IF(AND(ISNUMBER(K675),K675&gt;0),V675&gt;K675,FALSE))</f>
        <v/>
      </c>
      <c r="M675" s="7">
        <f>IF($X675="","",SUMIFS('Per Line'!$V$2:$V$3001,'Per Line'!$D$2:$D$3001,$B675,'Per Line'!$AN$2:$AN$3001,1))</f>
        <v/>
      </c>
      <c r="N675">
        <f>IF($X675="","",Settings!$C$7)</f>
        <v/>
      </c>
      <c r="O675" s="7">
        <f>IF($X675="","",SUMIFS('Per Line'!$V$2:$V$3001,'Per Line'!$D$2:$D$3001,$B675,'Per Line'!$AM$2:$AM$3001,0,'Per Line'!$AN$2:$AN$3001,0))</f>
        <v/>
      </c>
      <c r="P675" s="7">
        <f>IF($X675="","",O675*N675)</f>
        <v/>
      </c>
      <c r="Q675">
        <f>IF($X675="","",Settings!$C$6)</f>
        <v/>
      </c>
      <c r="R675" s="7">
        <f>IF($X675="","",SUMIFS('Per Line'!$V$2:$V$3001,'Per Line'!$D$2:$D$3001,$B675,'Per Line'!$AM$2:$AM$3001,1,'Per Line'!$AN$2:$AN$3001,0))</f>
        <v/>
      </c>
      <c r="S675" s="7">
        <f>IF($X675="","",R675*Q675)</f>
        <v/>
      </c>
      <c r="T675" s="7">
        <f>IF($X675="","",S675+P675)</f>
        <v/>
      </c>
      <c r="U675" s="7">
        <f>IF($X675="","",V675-T675)</f>
        <v/>
      </c>
      <c r="V675" s="7">
        <f>IF($X675="","",O675+R675+M675)</f>
        <v/>
      </c>
      <c r="W675" s="7">
        <f>IF($X675="","",V675-T675-I675)</f>
        <v/>
      </c>
      <c r="X675" s="13">
        <f>IF(ROWS($X$2:$X675)&lt;=MAX('Per Line'!$AL$2:$AL$3001),MATCH(ROWS($X$2:$X675),'Per Line'!$AL$2:$AL$3001,0),"")</f>
        <v/>
      </c>
    </row>
    <row r="676">
      <c r="A676" s="12" t="n"/>
      <c r="B676">
        <f>IF($X676="","",INDEX('Per Line'!$D$2:$D$3001,$X676)&amp;"")</f>
        <v/>
      </c>
      <c r="C676" s="11">
        <f>IF($X676="","",INDEX('Per Line'!$F$2:$F$3001,$X676))</f>
        <v/>
      </c>
      <c r="D676">
        <f>IF($X676="","",INDEX('Per Line'!$G$2:$G$3001,$X676)&amp;"")</f>
        <v/>
      </c>
      <c r="E676">
        <f>IF($X676="","",INDEX('Per Line'!$I$2:$I$3001,$X676)&amp;"")</f>
        <v/>
      </c>
      <c r="F676">
        <f>IF($X676="","",INDEX('Per Line'!$J$2:$J$3001,$X676)&amp;"")</f>
        <v/>
      </c>
      <c r="G676">
        <f>IF($X676="","",INDEX('Per Line'!$K$2:$K$3001,$X676)&amp;"")</f>
        <v/>
      </c>
      <c r="H676">
        <f>IF($X676="","",INDEX('Per Line'!$M$2:$M$3001,$X676))</f>
        <v/>
      </c>
      <c r="I676" s="7">
        <f>IF($X676="","",H676*V676/100)</f>
        <v/>
      </c>
      <c r="J676">
        <f>IF($X676="","",INDEX('Per Line'!$W$2:$W$3001,$X676)&amp;"")</f>
        <v/>
      </c>
      <c r="K676">
        <f>IF($X676="","",INDEX('Per Line'!$AD$2:$AD$3001,$X676))</f>
        <v/>
      </c>
      <c r="L676">
        <f>IF($X676="","",IF(AND(ISNUMBER(K676),K676&gt;0),V676&gt;K676,FALSE))</f>
        <v/>
      </c>
      <c r="M676" s="7">
        <f>IF($X676="","",SUMIFS('Per Line'!$V$2:$V$3001,'Per Line'!$D$2:$D$3001,$B676,'Per Line'!$AN$2:$AN$3001,1))</f>
        <v/>
      </c>
      <c r="N676">
        <f>IF($X676="","",Settings!$C$7)</f>
        <v/>
      </c>
      <c r="O676" s="7">
        <f>IF($X676="","",SUMIFS('Per Line'!$V$2:$V$3001,'Per Line'!$D$2:$D$3001,$B676,'Per Line'!$AM$2:$AM$3001,0,'Per Line'!$AN$2:$AN$3001,0))</f>
        <v/>
      </c>
      <c r="P676" s="7">
        <f>IF($X676="","",O676*N676)</f>
        <v/>
      </c>
      <c r="Q676">
        <f>IF($X676="","",Settings!$C$6)</f>
        <v/>
      </c>
      <c r="R676" s="7">
        <f>IF($X676="","",SUMIFS('Per Line'!$V$2:$V$3001,'Per Line'!$D$2:$D$3001,$B676,'Per Line'!$AM$2:$AM$3001,1,'Per Line'!$AN$2:$AN$3001,0))</f>
        <v/>
      </c>
      <c r="S676" s="7">
        <f>IF($X676="","",R676*Q676)</f>
        <v/>
      </c>
      <c r="T676" s="7">
        <f>IF($X676="","",S676+P676)</f>
        <v/>
      </c>
      <c r="U676" s="7">
        <f>IF($X676="","",V676-T676)</f>
        <v/>
      </c>
      <c r="V676" s="7">
        <f>IF($X676="","",O676+R676+M676)</f>
        <v/>
      </c>
      <c r="W676" s="7">
        <f>IF($X676="","",V676-T676-I676)</f>
        <v/>
      </c>
      <c r="X676" s="13">
        <f>IF(ROWS($X$2:$X676)&lt;=MAX('Per Line'!$AL$2:$AL$3001),MATCH(ROWS($X$2:$X676),'Per Line'!$AL$2:$AL$3001,0),"")</f>
        <v/>
      </c>
    </row>
    <row r="677">
      <c r="A677" s="12" t="n"/>
      <c r="B677">
        <f>IF($X677="","",INDEX('Per Line'!$D$2:$D$3001,$X677)&amp;"")</f>
        <v/>
      </c>
      <c r="C677" s="11">
        <f>IF($X677="","",INDEX('Per Line'!$F$2:$F$3001,$X677))</f>
        <v/>
      </c>
      <c r="D677">
        <f>IF($X677="","",INDEX('Per Line'!$G$2:$G$3001,$X677)&amp;"")</f>
        <v/>
      </c>
      <c r="E677">
        <f>IF($X677="","",INDEX('Per Line'!$I$2:$I$3001,$X677)&amp;"")</f>
        <v/>
      </c>
      <c r="F677">
        <f>IF($X677="","",INDEX('Per Line'!$J$2:$J$3001,$X677)&amp;"")</f>
        <v/>
      </c>
      <c r="G677">
        <f>IF($X677="","",INDEX('Per Line'!$K$2:$K$3001,$X677)&amp;"")</f>
        <v/>
      </c>
      <c r="H677">
        <f>IF($X677="","",INDEX('Per Line'!$M$2:$M$3001,$X677))</f>
        <v/>
      </c>
      <c r="I677" s="7">
        <f>IF($X677="","",H677*V677/100)</f>
        <v/>
      </c>
      <c r="J677">
        <f>IF($X677="","",INDEX('Per Line'!$W$2:$W$3001,$X677)&amp;"")</f>
        <v/>
      </c>
      <c r="K677">
        <f>IF($X677="","",INDEX('Per Line'!$AD$2:$AD$3001,$X677))</f>
        <v/>
      </c>
      <c r="L677">
        <f>IF($X677="","",IF(AND(ISNUMBER(K677),K677&gt;0),V677&gt;K677,FALSE))</f>
        <v/>
      </c>
      <c r="M677" s="7">
        <f>IF($X677="","",SUMIFS('Per Line'!$V$2:$V$3001,'Per Line'!$D$2:$D$3001,$B677,'Per Line'!$AN$2:$AN$3001,1))</f>
        <v/>
      </c>
      <c r="N677">
        <f>IF($X677="","",Settings!$C$7)</f>
        <v/>
      </c>
      <c r="O677" s="7">
        <f>IF($X677="","",SUMIFS('Per Line'!$V$2:$V$3001,'Per Line'!$D$2:$D$3001,$B677,'Per Line'!$AM$2:$AM$3001,0,'Per Line'!$AN$2:$AN$3001,0))</f>
        <v/>
      </c>
      <c r="P677" s="7">
        <f>IF($X677="","",O677*N677)</f>
        <v/>
      </c>
      <c r="Q677">
        <f>IF($X677="","",Settings!$C$6)</f>
        <v/>
      </c>
      <c r="R677" s="7">
        <f>IF($X677="","",SUMIFS('Per Line'!$V$2:$V$3001,'Per Line'!$D$2:$D$3001,$B677,'Per Line'!$AM$2:$AM$3001,1,'Per Line'!$AN$2:$AN$3001,0))</f>
        <v/>
      </c>
      <c r="S677" s="7">
        <f>IF($X677="","",R677*Q677)</f>
        <v/>
      </c>
      <c r="T677" s="7">
        <f>IF($X677="","",S677+P677)</f>
        <v/>
      </c>
      <c r="U677" s="7">
        <f>IF($X677="","",V677-T677)</f>
        <v/>
      </c>
      <c r="V677" s="7">
        <f>IF($X677="","",O677+R677+M677)</f>
        <v/>
      </c>
      <c r="W677" s="7">
        <f>IF($X677="","",V677-T677-I677)</f>
        <v/>
      </c>
      <c r="X677" s="13">
        <f>IF(ROWS($X$2:$X677)&lt;=MAX('Per Line'!$AL$2:$AL$3001),MATCH(ROWS($X$2:$X677),'Per Line'!$AL$2:$AL$3001,0),"")</f>
        <v/>
      </c>
    </row>
    <row r="678">
      <c r="A678" s="12" t="n"/>
      <c r="B678">
        <f>IF($X678="","",INDEX('Per Line'!$D$2:$D$3001,$X678)&amp;"")</f>
        <v/>
      </c>
      <c r="C678" s="11">
        <f>IF($X678="","",INDEX('Per Line'!$F$2:$F$3001,$X678))</f>
        <v/>
      </c>
      <c r="D678">
        <f>IF($X678="","",INDEX('Per Line'!$G$2:$G$3001,$X678)&amp;"")</f>
        <v/>
      </c>
      <c r="E678">
        <f>IF($X678="","",INDEX('Per Line'!$I$2:$I$3001,$X678)&amp;"")</f>
        <v/>
      </c>
      <c r="F678">
        <f>IF($X678="","",INDEX('Per Line'!$J$2:$J$3001,$X678)&amp;"")</f>
        <v/>
      </c>
      <c r="G678">
        <f>IF($X678="","",INDEX('Per Line'!$K$2:$K$3001,$X678)&amp;"")</f>
        <v/>
      </c>
      <c r="H678">
        <f>IF($X678="","",INDEX('Per Line'!$M$2:$M$3001,$X678))</f>
        <v/>
      </c>
      <c r="I678" s="7">
        <f>IF($X678="","",H678*V678/100)</f>
        <v/>
      </c>
      <c r="J678">
        <f>IF($X678="","",INDEX('Per Line'!$W$2:$W$3001,$X678)&amp;"")</f>
        <v/>
      </c>
      <c r="K678">
        <f>IF($X678="","",INDEX('Per Line'!$AD$2:$AD$3001,$X678))</f>
        <v/>
      </c>
      <c r="L678">
        <f>IF($X678="","",IF(AND(ISNUMBER(K678),K678&gt;0),V678&gt;K678,FALSE))</f>
        <v/>
      </c>
      <c r="M678" s="7">
        <f>IF($X678="","",SUMIFS('Per Line'!$V$2:$V$3001,'Per Line'!$D$2:$D$3001,$B678,'Per Line'!$AN$2:$AN$3001,1))</f>
        <v/>
      </c>
      <c r="N678">
        <f>IF($X678="","",Settings!$C$7)</f>
        <v/>
      </c>
      <c r="O678" s="7">
        <f>IF($X678="","",SUMIFS('Per Line'!$V$2:$V$3001,'Per Line'!$D$2:$D$3001,$B678,'Per Line'!$AM$2:$AM$3001,0,'Per Line'!$AN$2:$AN$3001,0))</f>
        <v/>
      </c>
      <c r="P678" s="7">
        <f>IF($X678="","",O678*N678)</f>
        <v/>
      </c>
      <c r="Q678">
        <f>IF($X678="","",Settings!$C$6)</f>
        <v/>
      </c>
      <c r="R678" s="7">
        <f>IF($X678="","",SUMIFS('Per Line'!$V$2:$V$3001,'Per Line'!$D$2:$D$3001,$B678,'Per Line'!$AM$2:$AM$3001,1,'Per Line'!$AN$2:$AN$3001,0))</f>
        <v/>
      </c>
      <c r="S678" s="7">
        <f>IF($X678="","",R678*Q678)</f>
        <v/>
      </c>
      <c r="T678" s="7">
        <f>IF($X678="","",S678+P678)</f>
        <v/>
      </c>
      <c r="U678" s="7">
        <f>IF($X678="","",V678-T678)</f>
        <v/>
      </c>
      <c r="V678" s="7">
        <f>IF($X678="","",O678+R678+M678)</f>
        <v/>
      </c>
      <c r="W678" s="7">
        <f>IF($X678="","",V678-T678-I678)</f>
        <v/>
      </c>
      <c r="X678" s="13">
        <f>IF(ROWS($X$2:$X678)&lt;=MAX('Per Line'!$AL$2:$AL$3001),MATCH(ROWS($X$2:$X678),'Per Line'!$AL$2:$AL$3001,0),"")</f>
        <v/>
      </c>
    </row>
    <row r="679">
      <c r="A679" s="12" t="n"/>
      <c r="B679">
        <f>IF($X679="","",INDEX('Per Line'!$D$2:$D$3001,$X679)&amp;"")</f>
        <v/>
      </c>
      <c r="C679" s="11">
        <f>IF($X679="","",INDEX('Per Line'!$F$2:$F$3001,$X679))</f>
        <v/>
      </c>
      <c r="D679">
        <f>IF($X679="","",INDEX('Per Line'!$G$2:$G$3001,$X679)&amp;"")</f>
        <v/>
      </c>
      <c r="E679">
        <f>IF($X679="","",INDEX('Per Line'!$I$2:$I$3001,$X679)&amp;"")</f>
        <v/>
      </c>
      <c r="F679">
        <f>IF($X679="","",INDEX('Per Line'!$J$2:$J$3001,$X679)&amp;"")</f>
        <v/>
      </c>
      <c r="G679">
        <f>IF($X679="","",INDEX('Per Line'!$K$2:$K$3001,$X679)&amp;"")</f>
        <v/>
      </c>
      <c r="H679">
        <f>IF($X679="","",INDEX('Per Line'!$M$2:$M$3001,$X679))</f>
        <v/>
      </c>
      <c r="I679" s="7">
        <f>IF($X679="","",H679*V679/100)</f>
        <v/>
      </c>
      <c r="J679">
        <f>IF($X679="","",INDEX('Per Line'!$W$2:$W$3001,$X679)&amp;"")</f>
        <v/>
      </c>
      <c r="K679">
        <f>IF($X679="","",INDEX('Per Line'!$AD$2:$AD$3001,$X679))</f>
        <v/>
      </c>
      <c r="L679">
        <f>IF($X679="","",IF(AND(ISNUMBER(K679),K679&gt;0),V679&gt;K679,FALSE))</f>
        <v/>
      </c>
      <c r="M679" s="7">
        <f>IF($X679="","",SUMIFS('Per Line'!$V$2:$V$3001,'Per Line'!$D$2:$D$3001,$B679,'Per Line'!$AN$2:$AN$3001,1))</f>
        <v/>
      </c>
      <c r="N679">
        <f>IF($X679="","",Settings!$C$7)</f>
        <v/>
      </c>
      <c r="O679" s="7">
        <f>IF($X679="","",SUMIFS('Per Line'!$V$2:$V$3001,'Per Line'!$D$2:$D$3001,$B679,'Per Line'!$AM$2:$AM$3001,0,'Per Line'!$AN$2:$AN$3001,0))</f>
        <v/>
      </c>
      <c r="P679" s="7">
        <f>IF($X679="","",O679*N679)</f>
        <v/>
      </c>
      <c r="Q679">
        <f>IF($X679="","",Settings!$C$6)</f>
        <v/>
      </c>
      <c r="R679" s="7">
        <f>IF($X679="","",SUMIFS('Per Line'!$V$2:$V$3001,'Per Line'!$D$2:$D$3001,$B679,'Per Line'!$AM$2:$AM$3001,1,'Per Line'!$AN$2:$AN$3001,0))</f>
        <v/>
      </c>
      <c r="S679" s="7">
        <f>IF($X679="","",R679*Q679)</f>
        <v/>
      </c>
      <c r="T679" s="7">
        <f>IF($X679="","",S679+P679)</f>
        <v/>
      </c>
      <c r="U679" s="7">
        <f>IF($X679="","",V679-T679)</f>
        <v/>
      </c>
      <c r="V679" s="7">
        <f>IF($X679="","",O679+R679+M679)</f>
        <v/>
      </c>
      <c r="W679" s="7">
        <f>IF($X679="","",V679-T679-I679)</f>
        <v/>
      </c>
      <c r="X679" s="13">
        <f>IF(ROWS($X$2:$X679)&lt;=MAX('Per Line'!$AL$2:$AL$3001),MATCH(ROWS($X$2:$X679),'Per Line'!$AL$2:$AL$3001,0),"")</f>
        <v/>
      </c>
    </row>
    <row r="680">
      <c r="A680" s="12" t="n"/>
      <c r="B680">
        <f>IF($X680="","",INDEX('Per Line'!$D$2:$D$3001,$X680)&amp;"")</f>
        <v/>
      </c>
      <c r="C680" s="11">
        <f>IF($X680="","",INDEX('Per Line'!$F$2:$F$3001,$X680))</f>
        <v/>
      </c>
      <c r="D680">
        <f>IF($X680="","",INDEX('Per Line'!$G$2:$G$3001,$X680)&amp;"")</f>
        <v/>
      </c>
      <c r="E680">
        <f>IF($X680="","",INDEX('Per Line'!$I$2:$I$3001,$X680)&amp;"")</f>
        <v/>
      </c>
      <c r="F680">
        <f>IF($X680="","",INDEX('Per Line'!$J$2:$J$3001,$X680)&amp;"")</f>
        <v/>
      </c>
      <c r="G680">
        <f>IF($X680="","",INDEX('Per Line'!$K$2:$K$3001,$X680)&amp;"")</f>
        <v/>
      </c>
      <c r="H680">
        <f>IF($X680="","",INDEX('Per Line'!$M$2:$M$3001,$X680))</f>
        <v/>
      </c>
      <c r="I680" s="7">
        <f>IF($X680="","",H680*V680/100)</f>
        <v/>
      </c>
      <c r="J680">
        <f>IF($X680="","",INDEX('Per Line'!$W$2:$W$3001,$X680)&amp;"")</f>
        <v/>
      </c>
      <c r="K680">
        <f>IF($X680="","",INDEX('Per Line'!$AD$2:$AD$3001,$X680))</f>
        <v/>
      </c>
      <c r="L680">
        <f>IF($X680="","",IF(AND(ISNUMBER(K680),K680&gt;0),V680&gt;K680,FALSE))</f>
        <v/>
      </c>
      <c r="M680" s="7">
        <f>IF($X680="","",SUMIFS('Per Line'!$V$2:$V$3001,'Per Line'!$D$2:$D$3001,$B680,'Per Line'!$AN$2:$AN$3001,1))</f>
        <v/>
      </c>
      <c r="N680">
        <f>IF($X680="","",Settings!$C$7)</f>
        <v/>
      </c>
      <c r="O680" s="7">
        <f>IF($X680="","",SUMIFS('Per Line'!$V$2:$V$3001,'Per Line'!$D$2:$D$3001,$B680,'Per Line'!$AM$2:$AM$3001,0,'Per Line'!$AN$2:$AN$3001,0))</f>
        <v/>
      </c>
      <c r="P680" s="7">
        <f>IF($X680="","",O680*N680)</f>
        <v/>
      </c>
      <c r="Q680">
        <f>IF($X680="","",Settings!$C$6)</f>
        <v/>
      </c>
      <c r="R680" s="7">
        <f>IF($X680="","",SUMIFS('Per Line'!$V$2:$V$3001,'Per Line'!$D$2:$D$3001,$B680,'Per Line'!$AM$2:$AM$3001,1,'Per Line'!$AN$2:$AN$3001,0))</f>
        <v/>
      </c>
      <c r="S680" s="7">
        <f>IF($X680="","",R680*Q680)</f>
        <v/>
      </c>
      <c r="T680" s="7">
        <f>IF($X680="","",S680+P680)</f>
        <v/>
      </c>
      <c r="U680" s="7">
        <f>IF($X680="","",V680-T680)</f>
        <v/>
      </c>
      <c r="V680" s="7">
        <f>IF($X680="","",O680+R680+M680)</f>
        <v/>
      </c>
      <c r="W680" s="7">
        <f>IF($X680="","",V680-T680-I680)</f>
        <v/>
      </c>
      <c r="X680" s="13">
        <f>IF(ROWS($X$2:$X680)&lt;=MAX('Per Line'!$AL$2:$AL$3001),MATCH(ROWS($X$2:$X680),'Per Line'!$AL$2:$AL$3001,0),"")</f>
        <v/>
      </c>
    </row>
    <row r="681">
      <c r="A681" s="12" t="n"/>
      <c r="B681">
        <f>IF($X681="","",INDEX('Per Line'!$D$2:$D$3001,$X681)&amp;"")</f>
        <v/>
      </c>
      <c r="C681" s="11">
        <f>IF($X681="","",INDEX('Per Line'!$F$2:$F$3001,$X681))</f>
        <v/>
      </c>
      <c r="D681">
        <f>IF($X681="","",INDEX('Per Line'!$G$2:$G$3001,$X681)&amp;"")</f>
        <v/>
      </c>
      <c r="E681">
        <f>IF($X681="","",INDEX('Per Line'!$I$2:$I$3001,$X681)&amp;"")</f>
        <v/>
      </c>
      <c r="F681">
        <f>IF($X681="","",INDEX('Per Line'!$J$2:$J$3001,$X681)&amp;"")</f>
        <v/>
      </c>
      <c r="G681">
        <f>IF($X681="","",INDEX('Per Line'!$K$2:$K$3001,$X681)&amp;"")</f>
        <v/>
      </c>
      <c r="H681">
        <f>IF($X681="","",INDEX('Per Line'!$M$2:$M$3001,$X681))</f>
        <v/>
      </c>
      <c r="I681" s="7">
        <f>IF($X681="","",H681*V681/100)</f>
        <v/>
      </c>
      <c r="J681">
        <f>IF($X681="","",INDEX('Per Line'!$W$2:$W$3001,$X681)&amp;"")</f>
        <v/>
      </c>
      <c r="K681">
        <f>IF($X681="","",INDEX('Per Line'!$AD$2:$AD$3001,$X681))</f>
        <v/>
      </c>
      <c r="L681">
        <f>IF($X681="","",IF(AND(ISNUMBER(K681),K681&gt;0),V681&gt;K681,FALSE))</f>
        <v/>
      </c>
      <c r="M681" s="7">
        <f>IF($X681="","",SUMIFS('Per Line'!$V$2:$V$3001,'Per Line'!$D$2:$D$3001,$B681,'Per Line'!$AN$2:$AN$3001,1))</f>
        <v/>
      </c>
      <c r="N681">
        <f>IF($X681="","",Settings!$C$7)</f>
        <v/>
      </c>
      <c r="O681" s="7">
        <f>IF($X681="","",SUMIFS('Per Line'!$V$2:$V$3001,'Per Line'!$D$2:$D$3001,$B681,'Per Line'!$AM$2:$AM$3001,0,'Per Line'!$AN$2:$AN$3001,0))</f>
        <v/>
      </c>
      <c r="P681" s="7">
        <f>IF($X681="","",O681*N681)</f>
        <v/>
      </c>
      <c r="Q681">
        <f>IF($X681="","",Settings!$C$6)</f>
        <v/>
      </c>
      <c r="R681" s="7">
        <f>IF($X681="","",SUMIFS('Per Line'!$V$2:$V$3001,'Per Line'!$D$2:$D$3001,$B681,'Per Line'!$AM$2:$AM$3001,1,'Per Line'!$AN$2:$AN$3001,0))</f>
        <v/>
      </c>
      <c r="S681" s="7">
        <f>IF($X681="","",R681*Q681)</f>
        <v/>
      </c>
      <c r="T681" s="7">
        <f>IF($X681="","",S681+P681)</f>
        <v/>
      </c>
      <c r="U681" s="7">
        <f>IF($X681="","",V681-T681)</f>
        <v/>
      </c>
      <c r="V681" s="7">
        <f>IF($X681="","",O681+R681+M681)</f>
        <v/>
      </c>
      <c r="W681" s="7">
        <f>IF($X681="","",V681-T681-I681)</f>
        <v/>
      </c>
      <c r="X681" s="13">
        <f>IF(ROWS($X$2:$X681)&lt;=MAX('Per Line'!$AL$2:$AL$3001),MATCH(ROWS($X$2:$X681),'Per Line'!$AL$2:$AL$3001,0),"")</f>
        <v/>
      </c>
    </row>
    <row r="682">
      <c r="A682" s="12" t="n"/>
      <c r="B682">
        <f>IF($X682="","",INDEX('Per Line'!$D$2:$D$3001,$X682)&amp;"")</f>
        <v/>
      </c>
      <c r="C682" s="11">
        <f>IF($X682="","",INDEX('Per Line'!$F$2:$F$3001,$X682))</f>
        <v/>
      </c>
      <c r="D682">
        <f>IF($X682="","",INDEX('Per Line'!$G$2:$G$3001,$X682)&amp;"")</f>
        <v/>
      </c>
      <c r="E682">
        <f>IF($X682="","",INDEX('Per Line'!$I$2:$I$3001,$X682)&amp;"")</f>
        <v/>
      </c>
      <c r="F682">
        <f>IF($X682="","",INDEX('Per Line'!$J$2:$J$3001,$X682)&amp;"")</f>
        <v/>
      </c>
      <c r="G682">
        <f>IF($X682="","",INDEX('Per Line'!$K$2:$K$3001,$X682)&amp;"")</f>
        <v/>
      </c>
      <c r="H682">
        <f>IF($X682="","",INDEX('Per Line'!$M$2:$M$3001,$X682))</f>
        <v/>
      </c>
      <c r="I682" s="7">
        <f>IF($X682="","",H682*V682/100)</f>
        <v/>
      </c>
      <c r="J682">
        <f>IF($X682="","",INDEX('Per Line'!$W$2:$W$3001,$X682)&amp;"")</f>
        <v/>
      </c>
      <c r="K682">
        <f>IF($X682="","",INDEX('Per Line'!$AD$2:$AD$3001,$X682))</f>
        <v/>
      </c>
      <c r="L682">
        <f>IF($X682="","",IF(AND(ISNUMBER(K682),K682&gt;0),V682&gt;K682,FALSE))</f>
        <v/>
      </c>
      <c r="M682" s="7">
        <f>IF($X682="","",SUMIFS('Per Line'!$V$2:$V$3001,'Per Line'!$D$2:$D$3001,$B682,'Per Line'!$AN$2:$AN$3001,1))</f>
        <v/>
      </c>
      <c r="N682">
        <f>IF($X682="","",Settings!$C$7)</f>
        <v/>
      </c>
      <c r="O682" s="7">
        <f>IF($X682="","",SUMIFS('Per Line'!$V$2:$V$3001,'Per Line'!$D$2:$D$3001,$B682,'Per Line'!$AM$2:$AM$3001,0,'Per Line'!$AN$2:$AN$3001,0))</f>
        <v/>
      </c>
      <c r="P682" s="7">
        <f>IF($X682="","",O682*N682)</f>
        <v/>
      </c>
      <c r="Q682">
        <f>IF($X682="","",Settings!$C$6)</f>
        <v/>
      </c>
      <c r="R682" s="7">
        <f>IF($X682="","",SUMIFS('Per Line'!$V$2:$V$3001,'Per Line'!$D$2:$D$3001,$B682,'Per Line'!$AM$2:$AM$3001,1,'Per Line'!$AN$2:$AN$3001,0))</f>
        <v/>
      </c>
      <c r="S682" s="7">
        <f>IF($X682="","",R682*Q682)</f>
        <v/>
      </c>
      <c r="T682" s="7">
        <f>IF($X682="","",S682+P682)</f>
        <v/>
      </c>
      <c r="U682" s="7">
        <f>IF($X682="","",V682-T682)</f>
        <v/>
      </c>
      <c r="V682" s="7">
        <f>IF($X682="","",O682+R682+M682)</f>
        <v/>
      </c>
      <c r="W682" s="7">
        <f>IF($X682="","",V682-T682-I682)</f>
        <v/>
      </c>
      <c r="X682" s="13">
        <f>IF(ROWS($X$2:$X682)&lt;=MAX('Per Line'!$AL$2:$AL$3001),MATCH(ROWS($X$2:$X682),'Per Line'!$AL$2:$AL$3001,0),"")</f>
        <v/>
      </c>
    </row>
    <row r="683">
      <c r="A683" s="12" t="n"/>
      <c r="B683">
        <f>IF($X683="","",INDEX('Per Line'!$D$2:$D$3001,$X683)&amp;"")</f>
        <v/>
      </c>
      <c r="C683" s="11">
        <f>IF($X683="","",INDEX('Per Line'!$F$2:$F$3001,$X683))</f>
        <v/>
      </c>
      <c r="D683">
        <f>IF($X683="","",INDEX('Per Line'!$G$2:$G$3001,$X683)&amp;"")</f>
        <v/>
      </c>
      <c r="E683">
        <f>IF($X683="","",INDEX('Per Line'!$I$2:$I$3001,$X683)&amp;"")</f>
        <v/>
      </c>
      <c r="F683">
        <f>IF($X683="","",INDEX('Per Line'!$J$2:$J$3001,$X683)&amp;"")</f>
        <v/>
      </c>
      <c r="G683">
        <f>IF($X683="","",INDEX('Per Line'!$K$2:$K$3001,$X683)&amp;"")</f>
        <v/>
      </c>
      <c r="H683">
        <f>IF($X683="","",INDEX('Per Line'!$M$2:$M$3001,$X683))</f>
        <v/>
      </c>
      <c r="I683" s="7">
        <f>IF($X683="","",H683*V683/100)</f>
        <v/>
      </c>
      <c r="J683">
        <f>IF($X683="","",INDEX('Per Line'!$W$2:$W$3001,$X683)&amp;"")</f>
        <v/>
      </c>
      <c r="K683">
        <f>IF($X683="","",INDEX('Per Line'!$AD$2:$AD$3001,$X683))</f>
        <v/>
      </c>
      <c r="L683">
        <f>IF($X683="","",IF(AND(ISNUMBER(K683),K683&gt;0),V683&gt;K683,FALSE))</f>
        <v/>
      </c>
      <c r="M683" s="7">
        <f>IF($X683="","",SUMIFS('Per Line'!$V$2:$V$3001,'Per Line'!$D$2:$D$3001,$B683,'Per Line'!$AN$2:$AN$3001,1))</f>
        <v/>
      </c>
      <c r="N683">
        <f>IF($X683="","",Settings!$C$7)</f>
        <v/>
      </c>
      <c r="O683" s="7">
        <f>IF($X683="","",SUMIFS('Per Line'!$V$2:$V$3001,'Per Line'!$D$2:$D$3001,$B683,'Per Line'!$AM$2:$AM$3001,0,'Per Line'!$AN$2:$AN$3001,0))</f>
        <v/>
      </c>
      <c r="P683" s="7">
        <f>IF($X683="","",O683*N683)</f>
        <v/>
      </c>
      <c r="Q683">
        <f>IF($X683="","",Settings!$C$6)</f>
        <v/>
      </c>
      <c r="R683" s="7">
        <f>IF($X683="","",SUMIFS('Per Line'!$V$2:$V$3001,'Per Line'!$D$2:$D$3001,$B683,'Per Line'!$AM$2:$AM$3001,1,'Per Line'!$AN$2:$AN$3001,0))</f>
        <v/>
      </c>
      <c r="S683" s="7">
        <f>IF($X683="","",R683*Q683)</f>
        <v/>
      </c>
      <c r="T683" s="7">
        <f>IF($X683="","",S683+P683)</f>
        <v/>
      </c>
      <c r="U683" s="7">
        <f>IF($X683="","",V683-T683)</f>
        <v/>
      </c>
      <c r="V683" s="7">
        <f>IF($X683="","",O683+R683+M683)</f>
        <v/>
      </c>
      <c r="W683" s="7">
        <f>IF($X683="","",V683-T683-I683)</f>
        <v/>
      </c>
      <c r="X683" s="13">
        <f>IF(ROWS($X$2:$X683)&lt;=MAX('Per Line'!$AL$2:$AL$3001),MATCH(ROWS($X$2:$X683),'Per Line'!$AL$2:$AL$3001,0),"")</f>
        <v/>
      </c>
    </row>
    <row r="684">
      <c r="A684" s="12" t="n"/>
      <c r="B684">
        <f>IF($X684="","",INDEX('Per Line'!$D$2:$D$3001,$X684)&amp;"")</f>
        <v/>
      </c>
      <c r="C684" s="11">
        <f>IF($X684="","",INDEX('Per Line'!$F$2:$F$3001,$X684))</f>
        <v/>
      </c>
      <c r="D684">
        <f>IF($X684="","",INDEX('Per Line'!$G$2:$G$3001,$X684)&amp;"")</f>
        <v/>
      </c>
      <c r="E684">
        <f>IF($X684="","",INDEX('Per Line'!$I$2:$I$3001,$X684)&amp;"")</f>
        <v/>
      </c>
      <c r="F684">
        <f>IF($X684="","",INDEX('Per Line'!$J$2:$J$3001,$X684)&amp;"")</f>
        <v/>
      </c>
      <c r="G684">
        <f>IF($X684="","",INDEX('Per Line'!$K$2:$K$3001,$X684)&amp;"")</f>
        <v/>
      </c>
      <c r="H684">
        <f>IF($X684="","",INDEX('Per Line'!$M$2:$M$3001,$X684))</f>
        <v/>
      </c>
      <c r="I684" s="7">
        <f>IF($X684="","",H684*V684/100)</f>
        <v/>
      </c>
      <c r="J684">
        <f>IF($X684="","",INDEX('Per Line'!$W$2:$W$3001,$X684)&amp;"")</f>
        <v/>
      </c>
      <c r="K684">
        <f>IF($X684="","",INDEX('Per Line'!$AD$2:$AD$3001,$X684))</f>
        <v/>
      </c>
      <c r="L684">
        <f>IF($X684="","",IF(AND(ISNUMBER(K684),K684&gt;0),V684&gt;K684,FALSE))</f>
        <v/>
      </c>
      <c r="M684" s="7">
        <f>IF($X684="","",SUMIFS('Per Line'!$V$2:$V$3001,'Per Line'!$D$2:$D$3001,$B684,'Per Line'!$AN$2:$AN$3001,1))</f>
        <v/>
      </c>
      <c r="N684">
        <f>IF($X684="","",Settings!$C$7)</f>
        <v/>
      </c>
      <c r="O684" s="7">
        <f>IF($X684="","",SUMIFS('Per Line'!$V$2:$V$3001,'Per Line'!$D$2:$D$3001,$B684,'Per Line'!$AM$2:$AM$3001,0,'Per Line'!$AN$2:$AN$3001,0))</f>
        <v/>
      </c>
      <c r="P684" s="7">
        <f>IF($X684="","",O684*N684)</f>
        <v/>
      </c>
      <c r="Q684">
        <f>IF($X684="","",Settings!$C$6)</f>
        <v/>
      </c>
      <c r="R684" s="7">
        <f>IF($X684="","",SUMIFS('Per Line'!$V$2:$V$3001,'Per Line'!$D$2:$D$3001,$B684,'Per Line'!$AM$2:$AM$3001,1,'Per Line'!$AN$2:$AN$3001,0))</f>
        <v/>
      </c>
      <c r="S684" s="7">
        <f>IF($X684="","",R684*Q684)</f>
        <v/>
      </c>
      <c r="T684" s="7">
        <f>IF($X684="","",S684+P684)</f>
        <v/>
      </c>
      <c r="U684" s="7">
        <f>IF($X684="","",V684-T684)</f>
        <v/>
      </c>
      <c r="V684" s="7">
        <f>IF($X684="","",O684+R684+M684)</f>
        <v/>
      </c>
      <c r="W684" s="7">
        <f>IF($X684="","",V684-T684-I684)</f>
        <v/>
      </c>
      <c r="X684" s="13">
        <f>IF(ROWS($X$2:$X684)&lt;=MAX('Per Line'!$AL$2:$AL$3001),MATCH(ROWS($X$2:$X684),'Per Line'!$AL$2:$AL$3001,0),"")</f>
        <v/>
      </c>
    </row>
    <row r="685">
      <c r="A685" s="12" t="n"/>
      <c r="B685">
        <f>IF($X685="","",INDEX('Per Line'!$D$2:$D$3001,$X685)&amp;"")</f>
        <v/>
      </c>
      <c r="C685" s="11">
        <f>IF($X685="","",INDEX('Per Line'!$F$2:$F$3001,$X685))</f>
        <v/>
      </c>
      <c r="D685">
        <f>IF($X685="","",INDEX('Per Line'!$G$2:$G$3001,$X685)&amp;"")</f>
        <v/>
      </c>
      <c r="E685">
        <f>IF($X685="","",INDEX('Per Line'!$I$2:$I$3001,$X685)&amp;"")</f>
        <v/>
      </c>
      <c r="F685">
        <f>IF($X685="","",INDEX('Per Line'!$J$2:$J$3001,$X685)&amp;"")</f>
        <v/>
      </c>
      <c r="G685">
        <f>IF($X685="","",INDEX('Per Line'!$K$2:$K$3001,$X685)&amp;"")</f>
        <v/>
      </c>
      <c r="H685">
        <f>IF($X685="","",INDEX('Per Line'!$M$2:$M$3001,$X685))</f>
        <v/>
      </c>
      <c r="I685" s="7">
        <f>IF($X685="","",H685*V685/100)</f>
        <v/>
      </c>
      <c r="J685">
        <f>IF($X685="","",INDEX('Per Line'!$W$2:$W$3001,$X685)&amp;"")</f>
        <v/>
      </c>
      <c r="K685">
        <f>IF($X685="","",INDEX('Per Line'!$AD$2:$AD$3001,$X685))</f>
        <v/>
      </c>
      <c r="L685">
        <f>IF($X685="","",IF(AND(ISNUMBER(K685),K685&gt;0),V685&gt;K685,FALSE))</f>
        <v/>
      </c>
      <c r="M685" s="7">
        <f>IF($X685="","",SUMIFS('Per Line'!$V$2:$V$3001,'Per Line'!$D$2:$D$3001,$B685,'Per Line'!$AN$2:$AN$3001,1))</f>
        <v/>
      </c>
      <c r="N685">
        <f>IF($X685="","",Settings!$C$7)</f>
        <v/>
      </c>
      <c r="O685" s="7">
        <f>IF($X685="","",SUMIFS('Per Line'!$V$2:$V$3001,'Per Line'!$D$2:$D$3001,$B685,'Per Line'!$AM$2:$AM$3001,0,'Per Line'!$AN$2:$AN$3001,0))</f>
        <v/>
      </c>
      <c r="P685" s="7">
        <f>IF($X685="","",O685*N685)</f>
        <v/>
      </c>
      <c r="Q685">
        <f>IF($X685="","",Settings!$C$6)</f>
        <v/>
      </c>
      <c r="R685" s="7">
        <f>IF($X685="","",SUMIFS('Per Line'!$V$2:$V$3001,'Per Line'!$D$2:$D$3001,$B685,'Per Line'!$AM$2:$AM$3001,1,'Per Line'!$AN$2:$AN$3001,0))</f>
        <v/>
      </c>
      <c r="S685" s="7">
        <f>IF($X685="","",R685*Q685)</f>
        <v/>
      </c>
      <c r="T685" s="7">
        <f>IF($X685="","",S685+P685)</f>
        <v/>
      </c>
      <c r="U685" s="7">
        <f>IF($X685="","",V685-T685)</f>
        <v/>
      </c>
      <c r="V685" s="7">
        <f>IF($X685="","",O685+R685+M685)</f>
        <v/>
      </c>
      <c r="W685" s="7">
        <f>IF($X685="","",V685-T685-I685)</f>
        <v/>
      </c>
      <c r="X685" s="13">
        <f>IF(ROWS($X$2:$X685)&lt;=MAX('Per Line'!$AL$2:$AL$3001),MATCH(ROWS($X$2:$X685),'Per Line'!$AL$2:$AL$3001,0),"")</f>
        <v/>
      </c>
    </row>
    <row r="686">
      <c r="A686" s="12" t="n"/>
      <c r="B686">
        <f>IF($X686="","",INDEX('Per Line'!$D$2:$D$3001,$X686)&amp;"")</f>
        <v/>
      </c>
      <c r="C686" s="11">
        <f>IF($X686="","",INDEX('Per Line'!$F$2:$F$3001,$X686))</f>
        <v/>
      </c>
      <c r="D686">
        <f>IF($X686="","",INDEX('Per Line'!$G$2:$G$3001,$X686)&amp;"")</f>
        <v/>
      </c>
      <c r="E686">
        <f>IF($X686="","",INDEX('Per Line'!$I$2:$I$3001,$X686)&amp;"")</f>
        <v/>
      </c>
      <c r="F686">
        <f>IF($X686="","",INDEX('Per Line'!$J$2:$J$3001,$X686)&amp;"")</f>
        <v/>
      </c>
      <c r="G686">
        <f>IF($X686="","",INDEX('Per Line'!$K$2:$K$3001,$X686)&amp;"")</f>
        <v/>
      </c>
      <c r="H686">
        <f>IF($X686="","",INDEX('Per Line'!$M$2:$M$3001,$X686))</f>
        <v/>
      </c>
      <c r="I686" s="7">
        <f>IF($X686="","",H686*V686/100)</f>
        <v/>
      </c>
      <c r="J686">
        <f>IF($X686="","",INDEX('Per Line'!$W$2:$W$3001,$X686)&amp;"")</f>
        <v/>
      </c>
      <c r="K686">
        <f>IF($X686="","",INDEX('Per Line'!$AD$2:$AD$3001,$X686))</f>
        <v/>
      </c>
      <c r="L686">
        <f>IF($X686="","",IF(AND(ISNUMBER(K686),K686&gt;0),V686&gt;K686,FALSE))</f>
        <v/>
      </c>
      <c r="M686" s="7">
        <f>IF($X686="","",SUMIFS('Per Line'!$V$2:$V$3001,'Per Line'!$D$2:$D$3001,$B686,'Per Line'!$AN$2:$AN$3001,1))</f>
        <v/>
      </c>
      <c r="N686">
        <f>IF($X686="","",Settings!$C$7)</f>
        <v/>
      </c>
      <c r="O686" s="7">
        <f>IF($X686="","",SUMIFS('Per Line'!$V$2:$V$3001,'Per Line'!$D$2:$D$3001,$B686,'Per Line'!$AM$2:$AM$3001,0,'Per Line'!$AN$2:$AN$3001,0))</f>
        <v/>
      </c>
      <c r="P686" s="7">
        <f>IF($X686="","",O686*N686)</f>
        <v/>
      </c>
      <c r="Q686">
        <f>IF($X686="","",Settings!$C$6)</f>
        <v/>
      </c>
      <c r="R686" s="7">
        <f>IF($X686="","",SUMIFS('Per Line'!$V$2:$V$3001,'Per Line'!$D$2:$D$3001,$B686,'Per Line'!$AM$2:$AM$3001,1,'Per Line'!$AN$2:$AN$3001,0))</f>
        <v/>
      </c>
      <c r="S686" s="7">
        <f>IF($X686="","",R686*Q686)</f>
        <v/>
      </c>
      <c r="T686" s="7">
        <f>IF($X686="","",S686+P686)</f>
        <v/>
      </c>
      <c r="U686" s="7">
        <f>IF($X686="","",V686-T686)</f>
        <v/>
      </c>
      <c r="V686" s="7">
        <f>IF($X686="","",O686+R686+M686)</f>
        <v/>
      </c>
      <c r="W686" s="7">
        <f>IF($X686="","",V686-T686-I686)</f>
        <v/>
      </c>
      <c r="X686" s="13">
        <f>IF(ROWS($X$2:$X686)&lt;=MAX('Per Line'!$AL$2:$AL$3001),MATCH(ROWS($X$2:$X686),'Per Line'!$AL$2:$AL$3001,0),"")</f>
        <v/>
      </c>
    </row>
    <row r="687">
      <c r="A687" s="12" t="n"/>
      <c r="B687">
        <f>IF($X687="","",INDEX('Per Line'!$D$2:$D$3001,$X687)&amp;"")</f>
        <v/>
      </c>
      <c r="C687" s="11">
        <f>IF($X687="","",INDEX('Per Line'!$F$2:$F$3001,$X687))</f>
        <v/>
      </c>
      <c r="D687">
        <f>IF($X687="","",INDEX('Per Line'!$G$2:$G$3001,$X687)&amp;"")</f>
        <v/>
      </c>
      <c r="E687">
        <f>IF($X687="","",INDEX('Per Line'!$I$2:$I$3001,$X687)&amp;"")</f>
        <v/>
      </c>
      <c r="F687">
        <f>IF($X687="","",INDEX('Per Line'!$J$2:$J$3001,$X687)&amp;"")</f>
        <v/>
      </c>
      <c r="G687">
        <f>IF($X687="","",INDEX('Per Line'!$K$2:$K$3001,$X687)&amp;"")</f>
        <v/>
      </c>
      <c r="H687">
        <f>IF($X687="","",INDEX('Per Line'!$M$2:$M$3001,$X687))</f>
        <v/>
      </c>
      <c r="I687" s="7">
        <f>IF($X687="","",H687*V687/100)</f>
        <v/>
      </c>
      <c r="J687">
        <f>IF($X687="","",INDEX('Per Line'!$W$2:$W$3001,$X687)&amp;"")</f>
        <v/>
      </c>
      <c r="K687">
        <f>IF($X687="","",INDEX('Per Line'!$AD$2:$AD$3001,$X687))</f>
        <v/>
      </c>
      <c r="L687">
        <f>IF($X687="","",IF(AND(ISNUMBER(K687),K687&gt;0),V687&gt;K687,FALSE))</f>
        <v/>
      </c>
      <c r="M687" s="7">
        <f>IF($X687="","",SUMIFS('Per Line'!$V$2:$V$3001,'Per Line'!$D$2:$D$3001,$B687,'Per Line'!$AN$2:$AN$3001,1))</f>
        <v/>
      </c>
      <c r="N687">
        <f>IF($X687="","",Settings!$C$7)</f>
        <v/>
      </c>
      <c r="O687" s="7">
        <f>IF($X687="","",SUMIFS('Per Line'!$V$2:$V$3001,'Per Line'!$D$2:$D$3001,$B687,'Per Line'!$AM$2:$AM$3001,0,'Per Line'!$AN$2:$AN$3001,0))</f>
        <v/>
      </c>
      <c r="P687" s="7">
        <f>IF($X687="","",O687*N687)</f>
        <v/>
      </c>
      <c r="Q687">
        <f>IF($X687="","",Settings!$C$6)</f>
        <v/>
      </c>
      <c r="R687" s="7">
        <f>IF($X687="","",SUMIFS('Per Line'!$V$2:$V$3001,'Per Line'!$D$2:$D$3001,$B687,'Per Line'!$AM$2:$AM$3001,1,'Per Line'!$AN$2:$AN$3001,0))</f>
        <v/>
      </c>
      <c r="S687" s="7">
        <f>IF($X687="","",R687*Q687)</f>
        <v/>
      </c>
      <c r="T687" s="7">
        <f>IF($X687="","",S687+P687)</f>
        <v/>
      </c>
      <c r="U687" s="7">
        <f>IF($X687="","",V687-T687)</f>
        <v/>
      </c>
      <c r="V687" s="7">
        <f>IF($X687="","",O687+R687+M687)</f>
        <v/>
      </c>
      <c r="W687" s="7">
        <f>IF($X687="","",V687-T687-I687)</f>
        <v/>
      </c>
      <c r="X687" s="13">
        <f>IF(ROWS($X$2:$X687)&lt;=MAX('Per Line'!$AL$2:$AL$3001),MATCH(ROWS($X$2:$X687),'Per Line'!$AL$2:$AL$3001,0),"")</f>
        <v/>
      </c>
    </row>
    <row r="688">
      <c r="A688" s="12" t="n"/>
      <c r="B688">
        <f>IF($X688="","",INDEX('Per Line'!$D$2:$D$3001,$X688)&amp;"")</f>
        <v/>
      </c>
      <c r="C688" s="11">
        <f>IF($X688="","",INDEX('Per Line'!$F$2:$F$3001,$X688))</f>
        <v/>
      </c>
      <c r="D688">
        <f>IF($X688="","",INDEX('Per Line'!$G$2:$G$3001,$X688)&amp;"")</f>
        <v/>
      </c>
      <c r="E688">
        <f>IF($X688="","",INDEX('Per Line'!$I$2:$I$3001,$X688)&amp;"")</f>
        <v/>
      </c>
      <c r="F688">
        <f>IF($X688="","",INDEX('Per Line'!$J$2:$J$3001,$X688)&amp;"")</f>
        <v/>
      </c>
      <c r="G688">
        <f>IF($X688="","",INDEX('Per Line'!$K$2:$K$3001,$X688)&amp;"")</f>
        <v/>
      </c>
      <c r="H688">
        <f>IF($X688="","",INDEX('Per Line'!$M$2:$M$3001,$X688))</f>
        <v/>
      </c>
      <c r="I688" s="7">
        <f>IF($X688="","",H688*V688/100)</f>
        <v/>
      </c>
      <c r="J688">
        <f>IF($X688="","",INDEX('Per Line'!$W$2:$W$3001,$X688)&amp;"")</f>
        <v/>
      </c>
      <c r="K688">
        <f>IF($X688="","",INDEX('Per Line'!$AD$2:$AD$3001,$X688))</f>
        <v/>
      </c>
      <c r="L688">
        <f>IF($X688="","",IF(AND(ISNUMBER(K688),K688&gt;0),V688&gt;K688,FALSE))</f>
        <v/>
      </c>
      <c r="M688" s="7">
        <f>IF($X688="","",SUMIFS('Per Line'!$V$2:$V$3001,'Per Line'!$D$2:$D$3001,$B688,'Per Line'!$AN$2:$AN$3001,1))</f>
        <v/>
      </c>
      <c r="N688">
        <f>IF($X688="","",Settings!$C$7)</f>
        <v/>
      </c>
      <c r="O688" s="7">
        <f>IF($X688="","",SUMIFS('Per Line'!$V$2:$V$3001,'Per Line'!$D$2:$D$3001,$B688,'Per Line'!$AM$2:$AM$3001,0,'Per Line'!$AN$2:$AN$3001,0))</f>
        <v/>
      </c>
      <c r="P688" s="7">
        <f>IF($X688="","",O688*N688)</f>
        <v/>
      </c>
      <c r="Q688">
        <f>IF($X688="","",Settings!$C$6)</f>
        <v/>
      </c>
      <c r="R688" s="7">
        <f>IF($X688="","",SUMIFS('Per Line'!$V$2:$V$3001,'Per Line'!$D$2:$D$3001,$B688,'Per Line'!$AM$2:$AM$3001,1,'Per Line'!$AN$2:$AN$3001,0))</f>
        <v/>
      </c>
      <c r="S688" s="7">
        <f>IF($X688="","",R688*Q688)</f>
        <v/>
      </c>
      <c r="T688" s="7">
        <f>IF($X688="","",S688+P688)</f>
        <v/>
      </c>
      <c r="U688" s="7">
        <f>IF($X688="","",V688-T688)</f>
        <v/>
      </c>
      <c r="V688" s="7">
        <f>IF($X688="","",O688+R688+M688)</f>
        <v/>
      </c>
      <c r="W688" s="7">
        <f>IF($X688="","",V688-T688-I688)</f>
        <v/>
      </c>
      <c r="X688" s="13">
        <f>IF(ROWS($X$2:$X688)&lt;=MAX('Per Line'!$AL$2:$AL$3001),MATCH(ROWS($X$2:$X688),'Per Line'!$AL$2:$AL$3001,0),"")</f>
        <v/>
      </c>
    </row>
    <row r="689">
      <c r="A689" s="12" t="n"/>
      <c r="B689">
        <f>IF($X689="","",INDEX('Per Line'!$D$2:$D$3001,$X689)&amp;"")</f>
        <v/>
      </c>
      <c r="C689" s="11">
        <f>IF($X689="","",INDEX('Per Line'!$F$2:$F$3001,$X689))</f>
        <v/>
      </c>
      <c r="D689">
        <f>IF($X689="","",INDEX('Per Line'!$G$2:$G$3001,$X689)&amp;"")</f>
        <v/>
      </c>
      <c r="E689">
        <f>IF($X689="","",INDEX('Per Line'!$I$2:$I$3001,$X689)&amp;"")</f>
        <v/>
      </c>
      <c r="F689">
        <f>IF($X689="","",INDEX('Per Line'!$J$2:$J$3001,$X689)&amp;"")</f>
        <v/>
      </c>
      <c r="G689">
        <f>IF($X689="","",INDEX('Per Line'!$K$2:$K$3001,$X689)&amp;"")</f>
        <v/>
      </c>
      <c r="H689">
        <f>IF($X689="","",INDEX('Per Line'!$M$2:$M$3001,$X689))</f>
        <v/>
      </c>
      <c r="I689" s="7">
        <f>IF($X689="","",H689*V689/100)</f>
        <v/>
      </c>
      <c r="J689">
        <f>IF($X689="","",INDEX('Per Line'!$W$2:$W$3001,$X689)&amp;"")</f>
        <v/>
      </c>
      <c r="K689">
        <f>IF($X689="","",INDEX('Per Line'!$AD$2:$AD$3001,$X689))</f>
        <v/>
      </c>
      <c r="L689">
        <f>IF($X689="","",IF(AND(ISNUMBER(K689),K689&gt;0),V689&gt;K689,FALSE))</f>
        <v/>
      </c>
      <c r="M689" s="7">
        <f>IF($X689="","",SUMIFS('Per Line'!$V$2:$V$3001,'Per Line'!$D$2:$D$3001,$B689,'Per Line'!$AN$2:$AN$3001,1))</f>
        <v/>
      </c>
      <c r="N689">
        <f>IF($X689="","",Settings!$C$7)</f>
        <v/>
      </c>
      <c r="O689" s="7">
        <f>IF($X689="","",SUMIFS('Per Line'!$V$2:$V$3001,'Per Line'!$D$2:$D$3001,$B689,'Per Line'!$AM$2:$AM$3001,0,'Per Line'!$AN$2:$AN$3001,0))</f>
        <v/>
      </c>
      <c r="P689" s="7">
        <f>IF($X689="","",O689*N689)</f>
        <v/>
      </c>
      <c r="Q689">
        <f>IF($X689="","",Settings!$C$6)</f>
        <v/>
      </c>
      <c r="R689" s="7">
        <f>IF($X689="","",SUMIFS('Per Line'!$V$2:$V$3001,'Per Line'!$D$2:$D$3001,$B689,'Per Line'!$AM$2:$AM$3001,1,'Per Line'!$AN$2:$AN$3001,0))</f>
        <v/>
      </c>
      <c r="S689" s="7">
        <f>IF($X689="","",R689*Q689)</f>
        <v/>
      </c>
      <c r="T689" s="7">
        <f>IF($X689="","",S689+P689)</f>
        <v/>
      </c>
      <c r="U689" s="7">
        <f>IF($X689="","",V689-T689)</f>
        <v/>
      </c>
      <c r="V689" s="7">
        <f>IF($X689="","",O689+R689+M689)</f>
        <v/>
      </c>
      <c r="W689" s="7">
        <f>IF($X689="","",V689-T689-I689)</f>
        <v/>
      </c>
      <c r="X689" s="13">
        <f>IF(ROWS($X$2:$X689)&lt;=MAX('Per Line'!$AL$2:$AL$3001),MATCH(ROWS($X$2:$X689),'Per Line'!$AL$2:$AL$3001,0),"")</f>
        <v/>
      </c>
    </row>
    <row r="690">
      <c r="A690" s="12" t="n"/>
      <c r="B690">
        <f>IF($X690="","",INDEX('Per Line'!$D$2:$D$3001,$X690)&amp;"")</f>
        <v/>
      </c>
      <c r="C690" s="11">
        <f>IF($X690="","",INDEX('Per Line'!$F$2:$F$3001,$X690))</f>
        <v/>
      </c>
      <c r="D690">
        <f>IF($X690="","",INDEX('Per Line'!$G$2:$G$3001,$X690)&amp;"")</f>
        <v/>
      </c>
      <c r="E690">
        <f>IF($X690="","",INDEX('Per Line'!$I$2:$I$3001,$X690)&amp;"")</f>
        <v/>
      </c>
      <c r="F690">
        <f>IF($X690="","",INDEX('Per Line'!$J$2:$J$3001,$X690)&amp;"")</f>
        <v/>
      </c>
      <c r="G690">
        <f>IF($X690="","",INDEX('Per Line'!$K$2:$K$3001,$X690)&amp;"")</f>
        <v/>
      </c>
      <c r="H690">
        <f>IF($X690="","",INDEX('Per Line'!$M$2:$M$3001,$X690))</f>
        <v/>
      </c>
      <c r="I690" s="7">
        <f>IF($X690="","",H690*V690/100)</f>
        <v/>
      </c>
      <c r="J690">
        <f>IF($X690="","",INDEX('Per Line'!$W$2:$W$3001,$X690)&amp;"")</f>
        <v/>
      </c>
      <c r="K690">
        <f>IF($X690="","",INDEX('Per Line'!$AD$2:$AD$3001,$X690))</f>
        <v/>
      </c>
      <c r="L690">
        <f>IF($X690="","",IF(AND(ISNUMBER(K690),K690&gt;0),V690&gt;K690,FALSE))</f>
        <v/>
      </c>
      <c r="M690" s="7">
        <f>IF($X690="","",SUMIFS('Per Line'!$V$2:$V$3001,'Per Line'!$D$2:$D$3001,$B690,'Per Line'!$AN$2:$AN$3001,1))</f>
        <v/>
      </c>
      <c r="N690">
        <f>IF($X690="","",Settings!$C$7)</f>
        <v/>
      </c>
      <c r="O690" s="7">
        <f>IF($X690="","",SUMIFS('Per Line'!$V$2:$V$3001,'Per Line'!$D$2:$D$3001,$B690,'Per Line'!$AM$2:$AM$3001,0,'Per Line'!$AN$2:$AN$3001,0))</f>
        <v/>
      </c>
      <c r="P690" s="7">
        <f>IF($X690="","",O690*N690)</f>
        <v/>
      </c>
      <c r="Q690">
        <f>IF($X690="","",Settings!$C$6)</f>
        <v/>
      </c>
      <c r="R690" s="7">
        <f>IF($X690="","",SUMIFS('Per Line'!$V$2:$V$3001,'Per Line'!$D$2:$D$3001,$B690,'Per Line'!$AM$2:$AM$3001,1,'Per Line'!$AN$2:$AN$3001,0))</f>
        <v/>
      </c>
      <c r="S690" s="7">
        <f>IF($X690="","",R690*Q690)</f>
        <v/>
      </c>
      <c r="T690" s="7">
        <f>IF($X690="","",S690+P690)</f>
        <v/>
      </c>
      <c r="U690" s="7">
        <f>IF($X690="","",V690-T690)</f>
        <v/>
      </c>
      <c r="V690" s="7">
        <f>IF($X690="","",O690+R690+M690)</f>
        <v/>
      </c>
      <c r="W690" s="7">
        <f>IF($X690="","",V690-T690-I690)</f>
        <v/>
      </c>
      <c r="X690" s="13">
        <f>IF(ROWS($X$2:$X690)&lt;=MAX('Per Line'!$AL$2:$AL$3001),MATCH(ROWS($X$2:$X690),'Per Line'!$AL$2:$AL$3001,0),"")</f>
        <v/>
      </c>
    </row>
    <row r="691">
      <c r="A691" s="12" t="n"/>
      <c r="B691">
        <f>IF($X691="","",INDEX('Per Line'!$D$2:$D$3001,$X691)&amp;"")</f>
        <v/>
      </c>
      <c r="C691" s="11">
        <f>IF($X691="","",INDEX('Per Line'!$F$2:$F$3001,$X691))</f>
        <v/>
      </c>
      <c r="D691">
        <f>IF($X691="","",INDEX('Per Line'!$G$2:$G$3001,$X691)&amp;"")</f>
        <v/>
      </c>
      <c r="E691">
        <f>IF($X691="","",INDEX('Per Line'!$I$2:$I$3001,$X691)&amp;"")</f>
        <v/>
      </c>
      <c r="F691">
        <f>IF($X691="","",INDEX('Per Line'!$J$2:$J$3001,$X691)&amp;"")</f>
        <v/>
      </c>
      <c r="G691">
        <f>IF($X691="","",INDEX('Per Line'!$K$2:$K$3001,$X691)&amp;"")</f>
        <v/>
      </c>
      <c r="H691">
        <f>IF($X691="","",INDEX('Per Line'!$M$2:$M$3001,$X691))</f>
        <v/>
      </c>
      <c r="I691" s="7">
        <f>IF($X691="","",H691*V691/100)</f>
        <v/>
      </c>
      <c r="J691">
        <f>IF($X691="","",INDEX('Per Line'!$W$2:$W$3001,$X691)&amp;"")</f>
        <v/>
      </c>
      <c r="K691">
        <f>IF($X691="","",INDEX('Per Line'!$AD$2:$AD$3001,$X691))</f>
        <v/>
      </c>
      <c r="L691">
        <f>IF($X691="","",IF(AND(ISNUMBER(K691),K691&gt;0),V691&gt;K691,FALSE))</f>
        <v/>
      </c>
      <c r="M691" s="7">
        <f>IF($X691="","",SUMIFS('Per Line'!$V$2:$V$3001,'Per Line'!$D$2:$D$3001,$B691,'Per Line'!$AN$2:$AN$3001,1))</f>
        <v/>
      </c>
      <c r="N691">
        <f>IF($X691="","",Settings!$C$7)</f>
        <v/>
      </c>
      <c r="O691" s="7">
        <f>IF($X691="","",SUMIFS('Per Line'!$V$2:$V$3001,'Per Line'!$D$2:$D$3001,$B691,'Per Line'!$AM$2:$AM$3001,0,'Per Line'!$AN$2:$AN$3001,0))</f>
        <v/>
      </c>
      <c r="P691" s="7">
        <f>IF($X691="","",O691*N691)</f>
        <v/>
      </c>
      <c r="Q691">
        <f>IF($X691="","",Settings!$C$6)</f>
        <v/>
      </c>
      <c r="R691" s="7">
        <f>IF($X691="","",SUMIFS('Per Line'!$V$2:$V$3001,'Per Line'!$D$2:$D$3001,$B691,'Per Line'!$AM$2:$AM$3001,1,'Per Line'!$AN$2:$AN$3001,0))</f>
        <v/>
      </c>
      <c r="S691" s="7">
        <f>IF($X691="","",R691*Q691)</f>
        <v/>
      </c>
      <c r="T691" s="7">
        <f>IF($X691="","",S691+P691)</f>
        <v/>
      </c>
      <c r="U691" s="7">
        <f>IF($X691="","",V691-T691)</f>
        <v/>
      </c>
      <c r="V691" s="7">
        <f>IF($X691="","",O691+R691+M691)</f>
        <v/>
      </c>
      <c r="W691" s="7">
        <f>IF($X691="","",V691-T691-I691)</f>
        <v/>
      </c>
      <c r="X691" s="13">
        <f>IF(ROWS($X$2:$X691)&lt;=MAX('Per Line'!$AL$2:$AL$3001),MATCH(ROWS($X$2:$X691),'Per Line'!$AL$2:$AL$3001,0),"")</f>
        <v/>
      </c>
    </row>
    <row r="692">
      <c r="A692" s="12" t="n"/>
      <c r="B692">
        <f>IF($X692="","",INDEX('Per Line'!$D$2:$D$3001,$X692)&amp;"")</f>
        <v/>
      </c>
      <c r="C692" s="11">
        <f>IF($X692="","",INDEX('Per Line'!$F$2:$F$3001,$X692))</f>
        <v/>
      </c>
      <c r="D692">
        <f>IF($X692="","",INDEX('Per Line'!$G$2:$G$3001,$X692)&amp;"")</f>
        <v/>
      </c>
      <c r="E692">
        <f>IF($X692="","",INDEX('Per Line'!$I$2:$I$3001,$X692)&amp;"")</f>
        <v/>
      </c>
      <c r="F692">
        <f>IF($X692="","",INDEX('Per Line'!$J$2:$J$3001,$X692)&amp;"")</f>
        <v/>
      </c>
      <c r="G692">
        <f>IF($X692="","",INDEX('Per Line'!$K$2:$K$3001,$X692)&amp;"")</f>
        <v/>
      </c>
      <c r="H692">
        <f>IF($X692="","",INDEX('Per Line'!$M$2:$M$3001,$X692))</f>
        <v/>
      </c>
      <c r="I692" s="7">
        <f>IF($X692="","",H692*V692/100)</f>
        <v/>
      </c>
      <c r="J692">
        <f>IF($X692="","",INDEX('Per Line'!$W$2:$W$3001,$X692)&amp;"")</f>
        <v/>
      </c>
      <c r="K692">
        <f>IF($X692="","",INDEX('Per Line'!$AD$2:$AD$3001,$X692))</f>
        <v/>
      </c>
      <c r="L692">
        <f>IF($X692="","",IF(AND(ISNUMBER(K692),K692&gt;0),V692&gt;K692,FALSE))</f>
        <v/>
      </c>
      <c r="M692" s="7">
        <f>IF($X692="","",SUMIFS('Per Line'!$V$2:$V$3001,'Per Line'!$D$2:$D$3001,$B692,'Per Line'!$AN$2:$AN$3001,1))</f>
        <v/>
      </c>
      <c r="N692">
        <f>IF($X692="","",Settings!$C$7)</f>
        <v/>
      </c>
      <c r="O692" s="7">
        <f>IF($X692="","",SUMIFS('Per Line'!$V$2:$V$3001,'Per Line'!$D$2:$D$3001,$B692,'Per Line'!$AM$2:$AM$3001,0,'Per Line'!$AN$2:$AN$3001,0))</f>
        <v/>
      </c>
      <c r="P692" s="7">
        <f>IF($X692="","",O692*N692)</f>
        <v/>
      </c>
      <c r="Q692">
        <f>IF($X692="","",Settings!$C$6)</f>
        <v/>
      </c>
      <c r="R692" s="7">
        <f>IF($X692="","",SUMIFS('Per Line'!$V$2:$V$3001,'Per Line'!$D$2:$D$3001,$B692,'Per Line'!$AM$2:$AM$3001,1,'Per Line'!$AN$2:$AN$3001,0))</f>
        <v/>
      </c>
      <c r="S692" s="7">
        <f>IF($X692="","",R692*Q692)</f>
        <v/>
      </c>
      <c r="T692" s="7">
        <f>IF($X692="","",S692+P692)</f>
        <v/>
      </c>
      <c r="U692" s="7">
        <f>IF($X692="","",V692-T692)</f>
        <v/>
      </c>
      <c r="V692" s="7">
        <f>IF($X692="","",O692+R692+M692)</f>
        <v/>
      </c>
      <c r="W692" s="7">
        <f>IF($X692="","",V692-T692-I692)</f>
        <v/>
      </c>
      <c r="X692" s="13">
        <f>IF(ROWS($X$2:$X692)&lt;=MAX('Per Line'!$AL$2:$AL$3001),MATCH(ROWS($X$2:$X692),'Per Line'!$AL$2:$AL$3001,0),"")</f>
        <v/>
      </c>
    </row>
    <row r="693">
      <c r="A693" s="12" t="n"/>
      <c r="B693">
        <f>IF($X693="","",INDEX('Per Line'!$D$2:$D$3001,$X693)&amp;"")</f>
        <v/>
      </c>
      <c r="C693" s="11">
        <f>IF($X693="","",INDEX('Per Line'!$F$2:$F$3001,$X693))</f>
        <v/>
      </c>
      <c r="D693">
        <f>IF($X693="","",INDEX('Per Line'!$G$2:$G$3001,$X693)&amp;"")</f>
        <v/>
      </c>
      <c r="E693">
        <f>IF($X693="","",INDEX('Per Line'!$I$2:$I$3001,$X693)&amp;"")</f>
        <v/>
      </c>
      <c r="F693">
        <f>IF($X693="","",INDEX('Per Line'!$J$2:$J$3001,$X693)&amp;"")</f>
        <v/>
      </c>
      <c r="G693">
        <f>IF($X693="","",INDEX('Per Line'!$K$2:$K$3001,$X693)&amp;"")</f>
        <v/>
      </c>
      <c r="H693">
        <f>IF($X693="","",INDEX('Per Line'!$M$2:$M$3001,$X693))</f>
        <v/>
      </c>
      <c r="I693" s="7">
        <f>IF($X693="","",H693*V693/100)</f>
        <v/>
      </c>
      <c r="J693">
        <f>IF($X693="","",INDEX('Per Line'!$W$2:$W$3001,$X693)&amp;"")</f>
        <v/>
      </c>
      <c r="K693">
        <f>IF($X693="","",INDEX('Per Line'!$AD$2:$AD$3001,$X693))</f>
        <v/>
      </c>
      <c r="L693">
        <f>IF($X693="","",IF(AND(ISNUMBER(K693),K693&gt;0),V693&gt;K693,FALSE))</f>
        <v/>
      </c>
      <c r="M693" s="7">
        <f>IF($X693="","",SUMIFS('Per Line'!$V$2:$V$3001,'Per Line'!$D$2:$D$3001,$B693,'Per Line'!$AN$2:$AN$3001,1))</f>
        <v/>
      </c>
      <c r="N693">
        <f>IF($X693="","",Settings!$C$7)</f>
        <v/>
      </c>
      <c r="O693" s="7">
        <f>IF($X693="","",SUMIFS('Per Line'!$V$2:$V$3001,'Per Line'!$D$2:$D$3001,$B693,'Per Line'!$AM$2:$AM$3001,0,'Per Line'!$AN$2:$AN$3001,0))</f>
        <v/>
      </c>
      <c r="P693" s="7">
        <f>IF($X693="","",O693*N693)</f>
        <v/>
      </c>
      <c r="Q693">
        <f>IF($X693="","",Settings!$C$6)</f>
        <v/>
      </c>
      <c r="R693" s="7">
        <f>IF($X693="","",SUMIFS('Per Line'!$V$2:$V$3001,'Per Line'!$D$2:$D$3001,$B693,'Per Line'!$AM$2:$AM$3001,1,'Per Line'!$AN$2:$AN$3001,0))</f>
        <v/>
      </c>
      <c r="S693" s="7">
        <f>IF($X693="","",R693*Q693)</f>
        <v/>
      </c>
      <c r="T693" s="7">
        <f>IF($X693="","",S693+P693)</f>
        <v/>
      </c>
      <c r="U693" s="7">
        <f>IF($X693="","",V693-T693)</f>
        <v/>
      </c>
      <c r="V693" s="7">
        <f>IF($X693="","",O693+R693+M693)</f>
        <v/>
      </c>
      <c r="W693" s="7">
        <f>IF($X693="","",V693-T693-I693)</f>
        <v/>
      </c>
      <c r="X693" s="13">
        <f>IF(ROWS($X$2:$X693)&lt;=MAX('Per Line'!$AL$2:$AL$3001),MATCH(ROWS($X$2:$X693),'Per Line'!$AL$2:$AL$3001,0),"")</f>
        <v/>
      </c>
    </row>
    <row r="694">
      <c r="A694" s="12" t="n"/>
      <c r="B694">
        <f>IF($X694="","",INDEX('Per Line'!$D$2:$D$3001,$X694)&amp;"")</f>
        <v/>
      </c>
      <c r="C694" s="11">
        <f>IF($X694="","",INDEX('Per Line'!$F$2:$F$3001,$X694))</f>
        <v/>
      </c>
      <c r="D694">
        <f>IF($X694="","",INDEX('Per Line'!$G$2:$G$3001,$X694)&amp;"")</f>
        <v/>
      </c>
      <c r="E694">
        <f>IF($X694="","",INDEX('Per Line'!$I$2:$I$3001,$X694)&amp;"")</f>
        <v/>
      </c>
      <c r="F694">
        <f>IF($X694="","",INDEX('Per Line'!$J$2:$J$3001,$X694)&amp;"")</f>
        <v/>
      </c>
      <c r="G694">
        <f>IF($X694="","",INDEX('Per Line'!$K$2:$K$3001,$X694)&amp;"")</f>
        <v/>
      </c>
      <c r="H694">
        <f>IF($X694="","",INDEX('Per Line'!$M$2:$M$3001,$X694))</f>
        <v/>
      </c>
      <c r="I694" s="7">
        <f>IF($X694="","",H694*V694/100)</f>
        <v/>
      </c>
      <c r="J694">
        <f>IF($X694="","",INDEX('Per Line'!$W$2:$W$3001,$X694)&amp;"")</f>
        <v/>
      </c>
      <c r="K694">
        <f>IF($X694="","",INDEX('Per Line'!$AD$2:$AD$3001,$X694))</f>
        <v/>
      </c>
      <c r="L694">
        <f>IF($X694="","",IF(AND(ISNUMBER(K694),K694&gt;0),V694&gt;K694,FALSE))</f>
        <v/>
      </c>
      <c r="M694" s="7">
        <f>IF($X694="","",SUMIFS('Per Line'!$V$2:$V$3001,'Per Line'!$D$2:$D$3001,$B694,'Per Line'!$AN$2:$AN$3001,1))</f>
        <v/>
      </c>
      <c r="N694">
        <f>IF($X694="","",Settings!$C$7)</f>
        <v/>
      </c>
      <c r="O694" s="7">
        <f>IF($X694="","",SUMIFS('Per Line'!$V$2:$V$3001,'Per Line'!$D$2:$D$3001,$B694,'Per Line'!$AM$2:$AM$3001,0,'Per Line'!$AN$2:$AN$3001,0))</f>
        <v/>
      </c>
      <c r="P694" s="7">
        <f>IF($X694="","",O694*N694)</f>
        <v/>
      </c>
      <c r="Q694">
        <f>IF($X694="","",Settings!$C$6)</f>
        <v/>
      </c>
      <c r="R694" s="7">
        <f>IF($X694="","",SUMIFS('Per Line'!$V$2:$V$3001,'Per Line'!$D$2:$D$3001,$B694,'Per Line'!$AM$2:$AM$3001,1,'Per Line'!$AN$2:$AN$3001,0))</f>
        <v/>
      </c>
      <c r="S694" s="7">
        <f>IF($X694="","",R694*Q694)</f>
        <v/>
      </c>
      <c r="T694" s="7">
        <f>IF($X694="","",S694+P694)</f>
        <v/>
      </c>
      <c r="U694" s="7">
        <f>IF($X694="","",V694-T694)</f>
        <v/>
      </c>
      <c r="V694" s="7">
        <f>IF($X694="","",O694+R694+M694)</f>
        <v/>
      </c>
      <c r="W694" s="7">
        <f>IF($X694="","",V694-T694-I694)</f>
        <v/>
      </c>
      <c r="X694" s="13">
        <f>IF(ROWS($X$2:$X694)&lt;=MAX('Per Line'!$AL$2:$AL$3001),MATCH(ROWS($X$2:$X694),'Per Line'!$AL$2:$AL$3001,0),"")</f>
        <v/>
      </c>
    </row>
    <row r="695">
      <c r="A695" s="12" t="n"/>
      <c r="B695">
        <f>IF($X695="","",INDEX('Per Line'!$D$2:$D$3001,$X695)&amp;"")</f>
        <v/>
      </c>
      <c r="C695" s="11">
        <f>IF($X695="","",INDEX('Per Line'!$F$2:$F$3001,$X695))</f>
        <v/>
      </c>
      <c r="D695">
        <f>IF($X695="","",INDEX('Per Line'!$G$2:$G$3001,$X695)&amp;"")</f>
        <v/>
      </c>
      <c r="E695">
        <f>IF($X695="","",INDEX('Per Line'!$I$2:$I$3001,$X695)&amp;"")</f>
        <v/>
      </c>
      <c r="F695">
        <f>IF($X695="","",INDEX('Per Line'!$J$2:$J$3001,$X695)&amp;"")</f>
        <v/>
      </c>
      <c r="G695">
        <f>IF($X695="","",INDEX('Per Line'!$K$2:$K$3001,$X695)&amp;"")</f>
        <v/>
      </c>
      <c r="H695">
        <f>IF($X695="","",INDEX('Per Line'!$M$2:$M$3001,$X695))</f>
        <v/>
      </c>
      <c r="I695" s="7">
        <f>IF($X695="","",H695*V695/100)</f>
        <v/>
      </c>
      <c r="J695">
        <f>IF($X695="","",INDEX('Per Line'!$W$2:$W$3001,$X695)&amp;"")</f>
        <v/>
      </c>
      <c r="K695">
        <f>IF($X695="","",INDEX('Per Line'!$AD$2:$AD$3001,$X695))</f>
        <v/>
      </c>
      <c r="L695">
        <f>IF($X695="","",IF(AND(ISNUMBER(K695),K695&gt;0),V695&gt;K695,FALSE))</f>
        <v/>
      </c>
      <c r="M695" s="7">
        <f>IF($X695="","",SUMIFS('Per Line'!$V$2:$V$3001,'Per Line'!$D$2:$D$3001,$B695,'Per Line'!$AN$2:$AN$3001,1))</f>
        <v/>
      </c>
      <c r="N695">
        <f>IF($X695="","",Settings!$C$7)</f>
        <v/>
      </c>
      <c r="O695" s="7">
        <f>IF($X695="","",SUMIFS('Per Line'!$V$2:$V$3001,'Per Line'!$D$2:$D$3001,$B695,'Per Line'!$AM$2:$AM$3001,0,'Per Line'!$AN$2:$AN$3001,0))</f>
        <v/>
      </c>
      <c r="P695" s="7">
        <f>IF($X695="","",O695*N695)</f>
        <v/>
      </c>
      <c r="Q695">
        <f>IF($X695="","",Settings!$C$6)</f>
        <v/>
      </c>
      <c r="R695" s="7">
        <f>IF($X695="","",SUMIFS('Per Line'!$V$2:$V$3001,'Per Line'!$D$2:$D$3001,$B695,'Per Line'!$AM$2:$AM$3001,1,'Per Line'!$AN$2:$AN$3001,0))</f>
        <v/>
      </c>
      <c r="S695" s="7">
        <f>IF($X695="","",R695*Q695)</f>
        <v/>
      </c>
      <c r="T695" s="7">
        <f>IF($X695="","",S695+P695)</f>
        <v/>
      </c>
      <c r="U695" s="7">
        <f>IF($X695="","",V695-T695)</f>
        <v/>
      </c>
      <c r="V695" s="7">
        <f>IF($X695="","",O695+R695+M695)</f>
        <v/>
      </c>
      <c r="W695" s="7">
        <f>IF($X695="","",V695-T695-I695)</f>
        <v/>
      </c>
      <c r="X695" s="13">
        <f>IF(ROWS($X$2:$X695)&lt;=MAX('Per Line'!$AL$2:$AL$3001),MATCH(ROWS($X$2:$X695),'Per Line'!$AL$2:$AL$3001,0),"")</f>
        <v/>
      </c>
    </row>
    <row r="696">
      <c r="A696" s="12" t="n"/>
      <c r="B696">
        <f>IF($X696="","",INDEX('Per Line'!$D$2:$D$3001,$X696)&amp;"")</f>
        <v/>
      </c>
      <c r="C696" s="11">
        <f>IF($X696="","",INDEX('Per Line'!$F$2:$F$3001,$X696))</f>
        <v/>
      </c>
      <c r="D696">
        <f>IF($X696="","",INDEX('Per Line'!$G$2:$G$3001,$X696)&amp;"")</f>
        <v/>
      </c>
      <c r="E696">
        <f>IF($X696="","",INDEX('Per Line'!$I$2:$I$3001,$X696)&amp;"")</f>
        <v/>
      </c>
      <c r="F696">
        <f>IF($X696="","",INDEX('Per Line'!$J$2:$J$3001,$X696)&amp;"")</f>
        <v/>
      </c>
      <c r="G696">
        <f>IF($X696="","",INDEX('Per Line'!$K$2:$K$3001,$X696)&amp;"")</f>
        <v/>
      </c>
      <c r="H696">
        <f>IF($X696="","",INDEX('Per Line'!$M$2:$M$3001,$X696))</f>
        <v/>
      </c>
      <c r="I696" s="7">
        <f>IF($X696="","",H696*V696/100)</f>
        <v/>
      </c>
      <c r="J696">
        <f>IF($X696="","",INDEX('Per Line'!$W$2:$W$3001,$X696)&amp;"")</f>
        <v/>
      </c>
      <c r="K696">
        <f>IF($X696="","",INDEX('Per Line'!$AD$2:$AD$3001,$X696))</f>
        <v/>
      </c>
      <c r="L696">
        <f>IF($X696="","",IF(AND(ISNUMBER(K696),K696&gt;0),V696&gt;K696,FALSE))</f>
        <v/>
      </c>
      <c r="M696" s="7">
        <f>IF($X696="","",SUMIFS('Per Line'!$V$2:$V$3001,'Per Line'!$D$2:$D$3001,$B696,'Per Line'!$AN$2:$AN$3001,1))</f>
        <v/>
      </c>
      <c r="N696">
        <f>IF($X696="","",Settings!$C$7)</f>
        <v/>
      </c>
      <c r="O696" s="7">
        <f>IF($X696="","",SUMIFS('Per Line'!$V$2:$V$3001,'Per Line'!$D$2:$D$3001,$B696,'Per Line'!$AM$2:$AM$3001,0,'Per Line'!$AN$2:$AN$3001,0))</f>
        <v/>
      </c>
      <c r="P696" s="7">
        <f>IF($X696="","",O696*N696)</f>
        <v/>
      </c>
      <c r="Q696">
        <f>IF($X696="","",Settings!$C$6)</f>
        <v/>
      </c>
      <c r="R696" s="7">
        <f>IF($X696="","",SUMIFS('Per Line'!$V$2:$V$3001,'Per Line'!$D$2:$D$3001,$B696,'Per Line'!$AM$2:$AM$3001,1,'Per Line'!$AN$2:$AN$3001,0))</f>
        <v/>
      </c>
      <c r="S696" s="7">
        <f>IF($X696="","",R696*Q696)</f>
        <v/>
      </c>
      <c r="T696" s="7">
        <f>IF($X696="","",S696+P696)</f>
        <v/>
      </c>
      <c r="U696" s="7">
        <f>IF($X696="","",V696-T696)</f>
        <v/>
      </c>
      <c r="V696" s="7">
        <f>IF($X696="","",O696+R696+M696)</f>
        <v/>
      </c>
      <c r="W696" s="7">
        <f>IF($X696="","",V696-T696-I696)</f>
        <v/>
      </c>
      <c r="X696" s="13">
        <f>IF(ROWS($X$2:$X696)&lt;=MAX('Per Line'!$AL$2:$AL$3001),MATCH(ROWS($X$2:$X696),'Per Line'!$AL$2:$AL$3001,0),"")</f>
        <v/>
      </c>
    </row>
    <row r="697">
      <c r="A697" s="12" t="n"/>
      <c r="B697">
        <f>IF($X697="","",INDEX('Per Line'!$D$2:$D$3001,$X697)&amp;"")</f>
        <v/>
      </c>
      <c r="C697" s="11">
        <f>IF($X697="","",INDEX('Per Line'!$F$2:$F$3001,$X697))</f>
        <v/>
      </c>
      <c r="D697">
        <f>IF($X697="","",INDEX('Per Line'!$G$2:$G$3001,$X697)&amp;"")</f>
        <v/>
      </c>
      <c r="E697">
        <f>IF($X697="","",INDEX('Per Line'!$I$2:$I$3001,$X697)&amp;"")</f>
        <v/>
      </c>
      <c r="F697">
        <f>IF($X697="","",INDEX('Per Line'!$J$2:$J$3001,$X697)&amp;"")</f>
        <v/>
      </c>
      <c r="G697">
        <f>IF($X697="","",INDEX('Per Line'!$K$2:$K$3001,$X697)&amp;"")</f>
        <v/>
      </c>
      <c r="H697">
        <f>IF($X697="","",INDEX('Per Line'!$M$2:$M$3001,$X697))</f>
        <v/>
      </c>
      <c r="I697" s="7">
        <f>IF($X697="","",H697*V697/100)</f>
        <v/>
      </c>
      <c r="J697">
        <f>IF($X697="","",INDEX('Per Line'!$W$2:$W$3001,$X697)&amp;"")</f>
        <v/>
      </c>
      <c r="K697">
        <f>IF($X697="","",INDEX('Per Line'!$AD$2:$AD$3001,$X697))</f>
        <v/>
      </c>
      <c r="L697">
        <f>IF($X697="","",IF(AND(ISNUMBER(K697),K697&gt;0),V697&gt;K697,FALSE))</f>
        <v/>
      </c>
      <c r="M697" s="7">
        <f>IF($X697="","",SUMIFS('Per Line'!$V$2:$V$3001,'Per Line'!$D$2:$D$3001,$B697,'Per Line'!$AN$2:$AN$3001,1))</f>
        <v/>
      </c>
      <c r="N697">
        <f>IF($X697="","",Settings!$C$7)</f>
        <v/>
      </c>
      <c r="O697" s="7">
        <f>IF($X697="","",SUMIFS('Per Line'!$V$2:$V$3001,'Per Line'!$D$2:$D$3001,$B697,'Per Line'!$AM$2:$AM$3001,0,'Per Line'!$AN$2:$AN$3001,0))</f>
        <v/>
      </c>
      <c r="P697" s="7">
        <f>IF($X697="","",O697*N697)</f>
        <v/>
      </c>
      <c r="Q697">
        <f>IF($X697="","",Settings!$C$6)</f>
        <v/>
      </c>
      <c r="R697" s="7">
        <f>IF($X697="","",SUMIFS('Per Line'!$V$2:$V$3001,'Per Line'!$D$2:$D$3001,$B697,'Per Line'!$AM$2:$AM$3001,1,'Per Line'!$AN$2:$AN$3001,0))</f>
        <v/>
      </c>
      <c r="S697" s="7">
        <f>IF($X697="","",R697*Q697)</f>
        <v/>
      </c>
      <c r="T697" s="7">
        <f>IF($X697="","",S697+P697)</f>
        <v/>
      </c>
      <c r="U697" s="7">
        <f>IF($X697="","",V697-T697)</f>
        <v/>
      </c>
      <c r="V697" s="7">
        <f>IF($X697="","",O697+R697+M697)</f>
        <v/>
      </c>
      <c r="W697" s="7">
        <f>IF($X697="","",V697-T697-I697)</f>
        <v/>
      </c>
      <c r="X697" s="13">
        <f>IF(ROWS($X$2:$X697)&lt;=MAX('Per Line'!$AL$2:$AL$3001),MATCH(ROWS($X$2:$X697),'Per Line'!$AL$2:$AL$3001,0),"")</f>
        <v/>
      </c>
    </row>
    <row r="698">
      <c r="A698" s="12" t="n"/>
      <c r="B698">
        <f>IF($X698="","",INDEX('Per Line'!$D$2:$D$3001,$X698)&amp;"")</f>
        <v/>
      </c>
      <c r="C698" s="11">
        <f>IF($X698="","",INDEX('Per Line'!$F$2:$F$3001,$X698))</f>
        <v/>
      </c>
      <c r="D698">
        <f>IF($X698="","",INDEX('Per Line'!$G$2:$G$3001,$X698)&amp;"")</f>
        <v/>
      </c>
      <c r="E698">
        <f>IF($X698="","",INDEX('Per Line'!$I$2:$I$3001,$X698)&amp;"")</f>
        <v/>
      </c>
      <c r="F698">
        <f>IF($X698="","",INDEX('Per Line'!$J$2:$J$3001,$X698)&amp;"")</f>
        <v/>
      </c>
      <c r="G698">
        <f>IF($X698="","",INDEX('Per Line'!$K$2:$K$3001,$X698)&amp;"")</f>
        <v/>
      </c>
      <c r="H698">
        <f>IF($X698="","",INDEX('Per Line'!$M$2:$M$3001,$X698))</f>
        <v/>
      </c>
      <c r="I698" s="7">
        <f>IF($X698="","",H698*V698/100)</f>
        <v/>
      </c>
      <c r="J698">
        <f>IF($X698="","",INDEX('Per Line'!$W$2:$W$3001,$X698)&amp;"")</f>
        <v/>
      </c>
      <c r="K698">
        <f>IF($X698="","",INDEX('Per Line'!$AD$2:$AD$3001,$X698))</f>
        <v/>
      </c>
      <c r="L698">
        <f>IF($X698="","",IF(AND(ISNUMBER(K698),K698&gt;0),V698&gt;K698,FALSE))</f>
        <v/>
      </c>
      <c r="M698" s="7">
        <f>IF($X698="","",SUMIFS('Per Line'!$V$2:$V$3001,'Per Line'!$D$2:$D$3001,$B698,'Per Line'!$AN$2:$AN$3001,1))</f>
        <v/>
      </c>
      <c r="N698">
        <f>IF($X698="","",Settings!$C$7)</f>
        <v/>
      </c>
      <c r="O698" s="7">
        <f>IF($X698="","",SUMIFS('Per Line'!$V$2:$V$3001,'Per Line'!$D$2:$D$3001,$B698,'Per Line'!$AM$2:$AM$3001,0,'Per Line'!$AN$2:$AN$3001,0))</f>
        <v/>
      </c>
      <c r="P698" s="7">
        <f>IF($X698="","",O698*N698)</f>
        <v/>
      </c>
      <c r="Q698">
        <f>IF($X698="","",Settings!$C$6)</f>
        <v/>
      </c>
      <c r="R698" s="7">
        <f>IF($X698="","",SUMIFS('Per Line'!$V$2:$V$3001,'Per Line'!$D$2:$D$3001,$B698,'Per Line'!$AM$2:$AM$3001,1,'Per Line'!$AN$2:$AN$3001,0))</f>
        <v/>
      </c>
      <c r="S698" s="7">
        <f>IF($X698="","",R698*Q698)</f>
        <v/>
      </c>
      <c r="T698" s="7">
        <f>IF($X698="","",S698+P698)</f>
        <v/>
      </c>
      <c r="U698" s="7">
        <f>IF($X698="","",V698-T698)</f>
        <v/>
      </c>
      <c r="V698" s="7">
        <f>IF($X698="","",O698+R698+M698)</f>
        <v/>
      </c>
      <c r="W698" s="7">
        <f>IF($X698="","",V698-T698-I698)</f>
        <v/>
      </c>
      <c r="X698" s="13">
        <f>IF(ROWS($X$2:$X698)&lt;=MAX('Per Line'!$AL$2:$AL$3001),MATCH(ROWS($X$2:$X698),'Per Line'!$AL$2:$AL$3001,0),"")</f>
        <v/>
      </c>
    </row>
    <row r="699">
      <c r="A699" s="12" t="n"/>
      <c r="B699">
        <f>IF($X699="","",INDEX('Per Line'!$D$2:$D$3001,$X699)&amp;"")</f>
        <v/>
      </c>
      <c r="C699" s="11">
        <f>IF($X699="","",INDEX('Per Line'!$F$2:$F$3001,$X699))</f>
        <v/>
      </c>
      <c r="D699">
        <f>IF($X699="","",INDEX('Per Line'!$G$2:$G$3001,$X699)&amp;"")</f>
        <v/>
      </c>
      <c r="E699">
        <f>IF($X699="","",INDEX('Per Line'!$I$2:$I$3001,$X699)&amp;"")</f>
        <v/>
      </c>
      <c r="F699">
        <f>IF($X699="","",INDEX('Per Line'!$J$2:$J$3001,$X699)&amp;"")</f>
        <v/>
      </c>
      <c r="G699">
        <f>IF($X699="","",INDEX('Per Line'!$K$2:$K$3001,$X699)&amp;"")</f>
        <v/>
      </c>
      <c r="H699">
        <f>IF($X699="","",INDEX('Per Line'!$M$2:$M$3001,$X699))</f>
        <v/>
      </c>
      <c r="I699" s="7">
        <f>IF($X699="","",H699*V699/100)</f>
        <v/>
      </c>
      <c r="J699">
        <f>IF($X699="","",INDEX('Per Line'!$W$2:$W$3001,$X699)&amp;"")</f>
        <v/>
      </c>
      <c r="K699">
        <f>IF($X699="","",INDEX('Per Line'!$AD$2:$AD$3001,$X699))</f>
        <v/>
      </c>
      <c r="L699">
        <f>IF($X699="","",IF(AND(ISNUMBER(K699),K699&gt;0),V699&gt;K699,FALSE))</f>
        <v/>
      </c>
      <c r="M699" s="7">
        <f>IF($X699="","",SUMIFS('Per Line'!$V$2:$V$3001,'Per Line'!$D$2:$D$3001,$B699,'Per Line'!$AN$2:$AN$3001,1))</f>
        <v/>
      </c>
      <c r="N699">
        <f>IF($X699="","",Settings!$C$7)</f>
        <v/>
      </c>
      <c r="O699" s="7">
        <f>IF($X699="","",SUMIFS('Per Line'!$V$2:$V$3001,'Per Line'!$D$2:$D$3001,$B699,'Per Line'!$AM$2:$AM$3001,0,'Per Line'!$AN$2:$AN$3001,0))</f>
        <v/>
      </c>
      <c r="P699" s="7">
        <f>IF($X699="","",O699*N699)</f>
        <v/>
      </c>
      <c r="Q699">
        <f>IF($X699="","",Settings!$C$6)</f>
        <v/>
      </c>
      <c r="R699" s="7">
        <f>IF($X699="","",SUMIFS('Per Line'!$V$2:$V$3001,'Per Line'!$D$2:$D$3001,$B699,'Per Line'!$AM$2:$AM$3001,1,'Per Line'!$AN$2:$AN$3001,0))</f>
        <v/>
      </c>
      <c r="S699" s="7">
        <f>IF($X699="","",R699*Q699)</f>
        <v/>
      </c>
      <c r="T699" s="7">
        <f>IF($X699="","",S699+P699)</f>
        <v/>
      </c>
      <c r="U699" s="7">
        <f>IF($X699="","",V699-T699)</f>
        <v/>
      </c>
      <c r="V699" s="7">
        <f>IF($X699="","",O699+R699+M699)</f>
        <v/>
      </c>
      <c r="W699" s="7">
        <f>IF($X699="","",V699-T699-I699)</f>
        <v/>
      </c>
      <c r="X699" s="13">
        <f>IF(ROWS($X$2:$X699)&lt;=MAX('Per Line'!$AL$2:$AL$3001),MATCH(ROWS($X$2:$X699),'Per Line'!$AL$2:$AL$3001,0),"")</f>
        <v/>
      </c>
    </row>
    <row r="700">
      <c r="A700" s="12" t="n"/>
      <c r="B700">
        <f>IF($X700="","",INDEX('Per Line'!$D$2:$D$3001,$X700)&amp;"")</f>
        <v/>
      </c>
      <c r="C700" s="11">
        <f>IF($X700="","",INDEX('Per Line'!$F$2:$F$3001,$X700))</f>
        <v/>
      </c>
      <c r="D700">
        <f>IF($X700="","",INDEX('Per Line'!$G$2:$G$3001,$X700)&amp;"")</f>
        <v/>
      </c>
      <c r="E700">
        <f>IF($X700="","",INDEX('Per Line'!$I$2:$I$3001,$X700)&amp;"")</f>
        <v/>
      </c>
      <c r="F700">
        <f>IF($X700="","",INDEX('Per Line'!$J$2:$J$3001,$X700)&amp;"")</f>
        <v/>
      </c>
      <c r="G700">
        <f>IF($X700="","",INDEX('Per Line'!$K$2:$K$3001,$X700)&amp;"")</f>
        <v/>
      </c>
      <c r="H700">
        <f>IF($X700="","",INDEX('Per Line'!$M$2:$M$3001,$X700))</f>
        <v/>
      </c>
      <c r="I700" s="7">
        <f>IF($X700="","",H700*V700/100)</f>
        <v/>
      </c>
      <c r="J700">
        <f>IF($X700="","",INDEX('Per Line'!$W$2:$W$3001,$X700)&amp;"")</f>
        <v/>
      </c>
      <c r="K700">
        <f>IF($X700="","",INDEX('Per Line'!$AD$2:$AD$3001,$X700))</f>
        <v/>
      </c>
      <c r="L700">
        <f>IF($X700="","",IF(AND(ISNUMBER(K700),K700&gt;0),V700&gt;K700,FALSE))</f>
        <v/>
      </c>
      <c r="M700" s="7">
        <f>IF($X700="","",SUMIFS('Per Line'!$V$2:$V$3001,'Per Line'!$D$2:$D$3001,$B700,'Per Line'!$AN$2:$AN$3001,1))</f>
        <v/>
      </c>
      <c r="N700">
        <f>IF($X700="","",Settings!$C$7)</f>
        <v/>
      </c>
      <c r="O700" s="7">
        <f>IF($X700="","",SUMIFS('Per Line'!$V$2:$V$3001,'Per Line'!$D$2:$D$3001,$B700,'Per Line'!$AM$2:$AM$3001,0,'Per Line'!$AN$2:$AN$3001,0))</f>
        <v/>
      </c>
      <c r="P700" s="7">
        <f>IF($X700="","",O700*N700)</f>
        <v/>
      </c>
      <c r="Q700">
        <f>IF($X700="","",Settings!$C$6)</f>
        <v/>
      </c>
      <c r="R700" s="7">
        <f>IF($X700="","",SUMIFS('Per Line'!$V$2:$V$3001,'Per Line'!$D$2:$D$3001,$B700,'Per Line'!$AM$2:$AM$3001,1,'Per Line'!$AN$2:$AN$3001,0))</f>
        <v/>
      </c>
      <c r="S700" s="7">
        <f>IF($X700="","",R700*Q700)</f>
        <v/>
      </c>
      <c r="T700" s="7">
        <f>IF($X700="","",S700+P700)</f>
        <v/>
      </c>
      <c r="U700" s="7">
        <f>IF($X700="","",V700-T700)</f>
        <v/>
      </c>
      <c r="V700" s="7">
        <f>IF($X700="","",O700+R700+M700)</f>
        <v/>
      </c>
      <c r="W700" s="7">
        <f>IF($X700="","",V700-T700-I700)</f>
        <v/>
      </c>
      <c r="X700" s="13">
        <f>IF(ROWS($X$2:$X700)&lt;=MAX('Per Line'!$AL$2:$AL$3001),MATCH(ROWS($X$2:$X700),'Per Line'!$AL$2:$AL$3001,0),"")</f>
        <v/>
      </c>
    </row>
    <row r="701">
      <c r="A701" s="12" t="n"/>
      <c r="B701">
        <f>IF($X701="","",INDEX('Per Line'!$D$2:$D$3001,$X701)&amp;"")</f>
        <v/>
      </c>
      <c r="C701" s="11">
        <f>IF($X701="","",INDEX('Per Line'!$F$2:$F$3001,$X701))</f>
        <v/>
      </c>
      <c r="D701">
        <f>IF($X701="","",INDEX('Per Line'!$G$2:$G$3001,$X701)&amp;"")</f>
        <v/>
      </c>
      <c r="E701">
        <f>IF($X701="","",INDEX('Per Line'!$I$2:$I$3001,$X701)&amp;"")</f>
        <v/>
      </c>
      <c r="F701">
        <f>IF($X701="","",INDEX('Per Line'!$J$2:$J$3001,$X701)&amp;"")</f>
        <v/>
      </c>
      <c r="G701">
        <f>IF($X701="","",INDEX('Per Line'!$K$2:$K$3001,$X701)&amp;"")</f>
        <v/>
      </c>
      <c r="H701">
        <f>IF($X701="","",INDEX('Per Line'!$M$2:$M$3001,$X701))</f>
        <v/>
      </c>
      <c r="I701" s="7">
        <f>IF($X701="","",H701*V701/100)</f>
        <v/>
      </c>
      <c r="J701">
        <f>IF($X701="","",INDEX('Per Line'!$W$2:$W$3001,$X701)&amp;"")</f>
        <v/>
      </c>
      <c r="K701">
        <f>IF($X701="","",INDEX('Per Line'!$AD$2:$AD$3001,$X701))</f>
        <v/>
      </c>
      <c r="L701">
        <f>IF($X701="","",IF(AND(ISNUMBER(K701),K701&gt;0),V701&gt;K701,FALSE))</f>
        <v/>
      </c>
      <c r="M701" s="7">
        <f>IF($X701="","",SUMIFS('Per Line'!$V$2:$V$3001,'Per Line'!$D$2:$D$3001,$B701,'Per Line'!$AN$2:$AN$3001,1))</f>
        <v/>
      </c>
      <c r="N701">
        <f>IF($X701="","",Settings!$C$7)</f>
        <v/>
      </c>
      <c r="O701" s="7">
        <f>IF($X701="","",SUMIFS('Per Line'!$V$2:$V$3001,'Per Line'!$D$2:$D$3001,$B701,'Per Line'!$AM$2:$AM$3001,0,'Per Line'!$AN$2:$AN$3001,0))</f>
        <v/>
      </c>
      <c r="P701" s="7">
        <f>IF($X701="","",O701*N701)</f>
        <v/>
      </c>
      <c r="Q701">
        <f>IF($X701="","",Settings!$C$6)</f>
        <v/>
      </c>
      <c r="R701" s="7">
        <f>IF($X701="","",SUMIFS('Per Line'!$V$2:$V$3001,'Per Line'!$D$2:$D$3001,$B701,'Per Line'!$AM$2:$AM$3001,1,'Per Line'!$AN$2:$AN$3001,0))</f>
        <v/>
      </c>
      <c r="S701" s="7">
        <f>IF($X701="","",R701*Q701)</f>
        <v/>
      </c>
      <c r="T701" s="7">
        <f>IF($X701="","",S701+P701)</f>
        <v/>
      </c>
      <c r="U701" s="7">
        <f>IF($X701="","",V701-T701)</f>
        <v/>
      </c>
      <c r="V701" s="7">
        <f>IF($X701="","",O701+R701+M701)</f>
        <v/>
      </c>
      <c r="W701" s="7">
        <f>IF($X701="","",V701-T701-I701)</f>
        <v/>
      </c>
      <c r="X701" s="13">
        <f>IF(ROWS($X$2:$X701)&lt;=MAX('Per Line'!$AL$2:$AL$3001),MATCH(ROWS($X$2:$X701),'Per Line'!$AL$2:$AL$3001,0),"")</f>
        <v/>
      </c>
    </row>
    <row r="702">
      <c r="A702" s="12" t="n"/>
      <c r="B702">
        <f>IF($X702="","",INDEX('Per Line'!$D$2:$D$3001,$X702)&amp;"")</f>
        <v/>
      </c>
      <c r="C702" s="11">
        <f>IF($X702="","",INDEX('Per Line'!$F$2:$F$3001,$X702))</f>
        <v/>
      </c>
      <c r="D702">
        <f>IF($X702="","",INDEX('Per Line'!$G$2:$G$3001,$X702)&amp;"")</f>
        <v/>
      </c>
      <c r="E702">
        <f>IF($X702="","",INDEX('Per Line'!$I$2:$I$3001,$X702)&amp;"")</f>
        <v/>
      </c>
      <c r="F702">
        <f>IF($X702="","",INDEX('Per Line'!$J$2:$J$3001,$X702)&amp;"")</f>
        <v/>
      </c>
      <c r="G702">
        <f>IF($X702="","",INDEX('Per Line'!$K$2:$K$3001,$X702)&amp;"")</f>
        <v/>
      </c>
      <c r="H702">
        <f>IF($X702="","",INDEX('Per Line'!$M$2:$M$3001,$X702))</f>
        <v/>
      </c>
      <c r="I702" s="7">
        <f>IF($X702="","",H702*V702/100)</f>
        <v/>
      </c>
      <c r="J702">
        <f>IF($X702="","",INDEX('Per Line'!$W$2:$W$3001,$X702)&amp;"")</f>
        <v/>
      </c>
      <c r="K702">
        <f>IF($X702="","",INDEX('Per Line'!$AD$2:$AD$3001,$X702))</f>
        <v/>
      </c>
      <c r="L702">
        <f>IF($X702="","",IF(AND(ISNUMBER(K702),K702&gt;0),V702&gt;K702,FALSE))</f>
        <v/>
      </c>
      <c r="M702" s="7">
        <f>IF($X702="","",SUMIFS('Per Line'!$V$2:$V$3001,'Per Line'!$D$2:$D$3001,$B702,'Per Line'!$AN$2:$AN$3001,1))</f>
        <v/>
      </c>
      <c r="N702">
        <f>IF($X702="","",Settings!$C$7)</f>
        <v/>
      </c>
      <c r="O702" s="7">
        <f>IF($X702="","",SUMIFS('Per Line'!$V$2:$V$3001,'Per Line'!$D$2:$D$3001,$B702,'Per Line'!$AM$2:$AM$3001,0,'Per Line'!$AN$2:$AN$3001,0))</f>
        <v/>
      </c>
      <c r="P702" s="7">
        <f>IF($X702="","",O702*N702)</f>
        <v/>
      </c>
      <c r="Q702">
        <f>IF($X702="","",Settings!$C$6)</f>
        <v/>
      </c>
      <c r="R702" s="7">
        <f>IF($X702="","",SUMIFS('Per Line'!$V$2:$V$3001,'Per Line'!$D$2:$D$3001,$B702,'Per Line'!$AM$2:$AM$3001,1,'Per Line'!$AN$2:$AN$3001,0))</f>
        <v/>
      </c>
      <c r="S702" s="7">
        <f>IF($X702="","",R702*Q702)</f>
        <v/>
      </c>
      <c r="T702" s="7">
        <f>IF($X702="","",S702+P702)</f>
        <v/>
      </c>
      <c r="U702" s="7">
        <f>IF($X702="","",V702-T702)</f>
        <v/>
      </c>
      <c r="V702" s="7">
        <f>IF($X702="","",O702+R702+M702)</f>
        <v/>
      </c>
      <c r="W702" s="7">
        <f>IF($X702="","",V702-T702-I702)</f>
        <v/>
      </c>
      <c r="X702" s="13">
        <f>IF(ROWS($X$2:$X702)&lt;=MAX('Per Line'!$AL$2:$AL$3001),MATCH(ROWS($X$2:$X702),'Per Line'!$AL$2:$AL$3001,0),"")</f>
        <v/>
      </c>
    </row>
    <row r="703">
      <c r="A703" s="12" t="n"/>
      <c r="B703">
        <f>IF($X703="","",INDEX('Per Line'!$D$2:$D$3001,$X703)&amp;"")</f>
        <v/>
      </c>
      <c r="C703" s="11">
        <f>IF($X703="","",INDEX('Per Line'!$F$2:$F$3001,$X703))</f>
        <v/>
      </c>
      <c r="D703">
        <f>IF($X703="","",INDEX('Per Line'!$G$2:$G$3001,$X703)&amp;"")</f>
        <v/>
      </c>
      <c r="E703">
        <f>IF($X703="","",INDEX('Per Line'!$I$2:$I$3001,$X703)&amp;"")</f>
        <v/>
      </c>
      <c r="F703">
        <f>IF($X703="","",INDEX('Per Line'!$J$2:$J$3001,$X703)&amp;"")</f>
        <v/>
      </c>
      <c r="G703">
        <f>IF($X703="","",INDEX('Per Line'!$K$2:$K$3001,$X703)&amp;"")</f>
        <v/>
      </c>
      <c r="H703">
        <f>IF($X703="","",INDEX('Per Line'!$M$2:$M$3001,$X703))</f>
        <v/>
      </c>
      <c r="I703" s="7">
        <f>IF($X703="","",H703*V703/100)</f>
        <v/>
      </c>
      <c r="J703">
        <f>IF($X703="","",INDEX('Per Line'!$W$2:$W$3001,$X703)&amp;"")</f>
        <v/>
      </c>
      <c r="K703">
        <f>IF($X703="","",INDEX('Per Line'!$AD$2:$AD$3001,$X703))</f>
        <v/>
      </c>
      <c r="L703">
        <f>IF($X703="","",IF(AND(ISNUMBER(K703),K703&gt;0),V703&gt;K703,FALSE))</f>
        <v/>
      </c>
      <c r="M703" s="7">
        <f>IF($X703="","",SUMIFS('Per Line'!$V$2:$V$3001,'Per Line'!$D$2:$D$3001,$B703,'Per Line'!$AN$2:$AN$3001,1))</f>
        <v/>
      </c>
      <c r="N703">
        <f>IF($X703="","",Settings!$C$7)</f>
        <v/>
      </c>
      <c r="O703" s="7">
        <f>IF($X703="","",SUMIFS('Per Line'!$V$2:$V$3001,'Per Line'!$D$2:$D$3001,$B703,'Per Line'!$AM$2:$AM$3001,0,'Per Line'!$AN$2:$AN$3001,0))</f>
        <v/>
      </c>
      <c r="P703" s="7">
        <f>IF($X703="","",O703*N703)</f>
        <v/>
      </c>
      <c r="Q703">
        <f>IF($X703="","",Settings!$C$6)</f>
        <v/>
      </c>
      <c r="R703" s="7">
        <f>IF($X703="","",SUMIFS('Per Line'!$V$2:$V$3001,'Per Line'!$D$2:$D$3001,$B703,'Per Line'!$AM$2:$AM$3001,1,'Per Line'!$AN$2:$AN$3001,0))</f>
        <v/>
      </c>
      <c r="S703" s="7">
        <f>IF($X703="","",R703*Q703)</f>
        <v/>
      </c>
      <c r="T703" s="7">
        <f>IF($X703="","",S703+P703)</f>
        <v/>
      </c>
      <c r="U703" s="7">
        <f>IF($X703="","",V703-T703)</f>
        <v/>
      </c>
      <c r="V703" s="7">
        <f>IF($X703="","",O703+R703+M703)</f>
        <v/>
      </c>
      <c r="W703" s="7">
        <f>IF($X703="","",V703-T703-I703)</f>
        <v/>
      </c>
      <c r="X703" s="13">
        <f>IF(ROWS($X$2:$X703)&lt;=MAX('Per Line'!$AL$2:$AL$3001),MATCH(ROWS($X$2:$X703),'Per Line'!$AL$2:$AL$3001,0),"")</f>
        <v/>
      </c>
    </row>
    <row r="704">
      <c r="A704" s="12" t="n"/>
      <c r="B704">
        <f>IF($X704="","",INDEX('Per Line'!$D$2:$D$3001,$X704)&amp;"")</f>
        <v/>
      </c>
      <c r="C704" s="11">
        <f>IF($X704="","",INDEX('Per Line'!$F$2:$F$3001,$X704))</f>
        <v/>
      </c>
      <c r="D704">
        <f>IF($X704="","",INDEX('Per Line'!$G$2:$G$3001,$X704)&amp;"")</f>
        <v/>
      </c>
      <c r="E704">
        <f>IF($X704="","",INDEX('Per Line'!$I$2:$I$3001,$X704)&amp;"")</f>
        <v/>
      </c>
      <c r="F704">
        <f>IF($X704="","",INDEX('Per Line'!$J$2:$J$3001,$X704)&amp;"")</f>
        <v/>
      </c>
      <c r="G704">
        <f>IF($X704="","",INDEX('Per Line'!$K$2:$K$3001,$X704)&amp;"")</f>
        <v/>
      </c>
      <c r="H704">
        <f>IF($X704="","",INDEX('Per Line'!$M$2:$M$3001,$X704))</f>
        <v/>
      </c>
      <c r="I704" s="7">
        <f>IF($X704="","",H704*V704/100)</f>
        <v/>
      </c>
      <c r="J704">
        <f>IF($X704="","",INDEX('Per Line'!$W$2:$W$3001,$X704)&amp;"")</f>
        <v/>
      </c>
      <c r="K704">
        <f>IF($X704="","",INDEX('Per Line'!$AD$2:$AD$3001,$X704))</f>
        <v/>
      </c>
      <c r="L704">
        <f>IF($X704="","",IF(AND(ISNUMBER(K704),K704&gt;0),V704&gt;K704,FALSE))</f>
        <v/>
      </c>
      <c r="M704" s="7">
        <f>IF($X704="","",SUMIFS('Per Line'!$V$2:$V$3001,'Per Line'!$D$2:$D$3001,$B704,'Per Line'!$AN$2:$AN$3001,1))</f>
        <v/>
      </c>
      <c r="N704">
        <f>IF($X704="","",Settings!$C$7)</f>
        <v/>
      </c>
      <c r="O704" s="7">
        <f>IF($X704="","",SUMIFS('Per Line'!$V$2:$V$3001,'Per Line'!$D$2:$D$3001,$B704,'Per Line'!$AM$2:$AM$3001,0,'Per Line'!$AN$2:$AN$3001,0))</f>
        <v/>
      </c>
      <c r="P704" s="7">
        <f>IF($X704="","",O704*N704)</f>
        <v/>
      </c>
      <c r="Q704">
        <f>IF($X704="","",Settings!$C$6)</f>
        <v/>
      </c>
      <c r="R704" s="7">
        <f>IF($X704="","",SUMIFS('Per Line'!$V$2:$V$3001,'Per Line'!$D$2:$D$3001,$B704,'Per Line'!$AM$2:$AM$3001,1,'Per Line'!$AN$2:$AN$3001,0))</f>
        <v/>
      </c>
      <c r="S704" s="7">
        <f>IF($X704="","",R704*Q704)</f>
        <v/>
      </c>
      <c r="T704" s="7">
        <f>IF($X704="","",S704+P704)</f>
        <v/>
      </c>
      <c r="U704" s="7">
        <f>IF($X704="","",V704-T704)</f>
        <v/>
      </c>
      <c r="V704" s="7">
        <f>IF($X704="","",O704+R704+M704)</f>
        <v/>
      </c>
      <c r="W704" s="7">
        <f>IF($X704="","",V704-T704-I704)</f>
        <v/>
      </c>
      <c r="X704" s="13">
        <f>IF(ROWS($X$2:$X704)&lt;=MAX('Per Line'!$AL$2:$AL$3001),MATCH(ROWS($X$2:$X704),'Per Line'!$AL$2:$AL$3001,0),"")</f>
        <v/>
      </c>
    </row>
    <row r="705">
      <c r="A705" s="12" t="n"/>
      <c r="B705">
        <f>IF($X705="","",INDEX('Per Line'!$D$2:$D$3001,$X705)&amp;"")</f>
        <v/>
      </c>
      <c r="C705" s="11">
        <f>IF($X705="","",INDEX('Per Line'!$F$2:$F$3001,$X705))</f>
        <v/>
      </c>
      <c r="D705">
        <f>IF($X705="","",INDEX('Per Line'!$G$2:$G$3001,$X705)&amp;"")</f>
        <v/>
      </c>
      <c r="E705">
        <f>IF($X705="","",INDEX('Per Line'!$I$2:$I$3001,$X705)&amp;"")</f>
        <v/>
      </c>
      <c r="F705">
        <f>IF($X705="","",INDEX('Per Line'!$J$2:$J$3001,$X705)&amp;"")</f>
        <v/>
      </c>
      <c r="G705">
        <f>IF($X705="","",INDEX('Per Line'!$K$2:$K$3001,$X705)&amp;"")</f>
        <v/>
      </c>
      <c r="H705">
        <f>IF($X705="","",INDEX('Per Line'!$M$2:$M$3001,$X705))</f>
        <v/>
      </c>
      <c r="I705" s="7">
        <f>IF($X705="","",H705*V705/100)</f>
        <v/>
      </c>
      <c r="J705">
        <f>IF($X705="","",INDEX('Per Line'!$W$2:$W$3001,$X705)&amp;"")</f>
        <v/>
      </c>
      <c r="K705">
        <f>IF($X705="","",INDEX('Per Line'!$AD$2:$AD$3001,$X705))</f>
        <v/>
      </c>
      <c r="L705">
        <f>IF($X705="","",IF(AND(ISNUMBER(K705),K705&gt;0),V705&gt;K705,FALSE))</f>
        <v/>
      </c>
      <c r="M705" s="7">
        <f>IF($X705="","",SUMIFS('Per Line'!$V$2:$V$3001,'Per Line'!$D$2:$D$3001,$B705,'Per Line'!$AN$2:$AN$3001,1))</f>
        <v/>
      </c>
      <c r="N705">
        <f>IF($X705="","",Settings!$C$7)</f>
        <v/>
      </c>
      <c r="O705" s="7">
        <f>IF($X705="","",SUMIFS('Per Line'!$V$2:$V$3001,'Per Line'!$D$2:$D$3001,$B705,'Per Line'!$AM$2:$AM$3001,0,'Per Line'!$AN$2:$AN$3001,0))</f>
        <v/>
      </c>
      <c r="P705" s="7">
        <f>IF($X705="","",O705*N705)</f>
        <v/>
      </c>
      <c r="Q705">
        <f>IF($X705="","",Settings!$C$6)</f>
        <v/>
      </c>
      <c r="R705" s="7">
        <f>IF($X705="","",SUMIFS('Per Line'!$V$2:$V$3001,'Per Line'!$D$2:$D$3001,$B705,'Per Line'!$AM$2:$AM$3001,1,'Per Line'!$AN$2:$AN$3001,0))</f>
        <v/>
      </c>
      <c r="S705" s="7">
        <f>IF($X705="","",R705*Q705)</f>
        <v/>
      </c>
      <c r="T705" s="7">
        <f>IF($X705="","",S705+P705)</f>
        <v/>
      </c>
      <c r="U705" s="7">
        <f>IF($X705="","",V705-T705)</f>
        <v/>
      </c>
      <c r="V705" s="7">
        <f>IF($X705="","",O705+R705+M705)</f>
        <v/>
      </c>
      <c r="W705" s="7">
        <f>IF($X705="","",V705-T705-I705)</f>
        <v/>
      </c>
      <c r="X705" s="13">
        <f>IF(ROWS($X$2:$X705)&lt;=MAX('Per Line'!$AL$2:$AL$3001),MATCH(ROWS($X$2:$X705),'Per Line'!$AL$2:$AL$3001,0),"")</f>
        <v/>
      </c>
    </row>
    <row r="706">
      <c r="A706" s="12" t="n"/>
      <c r="B706">
        <f>IF($X706="","",INDEX('Per Line'!$D$2:$D$3001,$X706)&amp;"")</f>
        <v/>
      </c>
      <c r="C706" s="11">
        <f>IF($X706="","",INDEX('Per Line'!$F$2:$F$3001,$X706))</f>
        <v/>
      </c>
      <c r="D706">
        <f>IF($X706="","",INDEX('Per Line'!$G$2:$G$3001,$X706)&amp;"")</f>
        <v/>
      </c>
      <c r="E706">
        <f>IF($X706="","",INDEX('Per Line'!$I$2:$I$3001,$X706)&amp;"")</f>
        <v/>
      </c>
      <c r="F706">
        <f>IF($X706="","",INDEX('Per Line'!$J$2:$J$3001,$X706)&amp;"")</f>
        <v/>
      </c>
      <c r="G706">
        <f>IF($X706="","",INDEX('Per Line'!$K$2:$K$3001,$X706)&amp;"")</f>
        <v/>
      </c>
      <c r="H706">
        <f>IF($X706="","",INDEX('Per Line'!$M$2:$M$3001,$X706))</f>
        <v/>
      </c>
      <c r="I706" s="7">
        <f>IF($X706="","",H706*V706/100)</f>
        <v/>
      </c>
      <c r="J706">
        <f>IF($X706="","",INDEX('Per Line'!$W$2:$W$3001,$X706)&amp;"")</f>
        <v/>
      </c>
      <c r="K706">
        <f>IF($X706="","",INDEX('Per Line'!$AD$2:$AD$3001,$X706))</f>
        <v/>
      </c>
      <c r="L706">
        <f>IF($X706="","",IF(AND(ISNUMBER(K706),K706&gt;0),V706&gt;K706,FALSE))</f>
        <v/>
      </c>
      <c r="M706" s="7">
        <f>IF($X706="","",SUMIFS('Per Line'!$V$2:$V$3001,'Per Line'!$D$2:$D$3001,$B706,'Per Line'!$AN$2:$AN$3001,1))</f>
        <v/>
      </c>
      <c r="N706">
        <f>IF($X706="","",Settings!$C$7)</f>
        <v/>
      </c>
      <c r="O706" s="7">
        <f>IF($X706="","",SUMIFS('Per Line'!$V$2:$V$3001,'Per Line'!$D$2:$D$3001,$B706,'Per Line'!$AM$2:$AM$3001,0,'Per Line'!$AN$2:$AN$3001,0))</f>
        <v/>
      </c>
      <c r="P706" s="7">
        <f>IF($X706="","",O706*N706)</f>
        <v/>
      </c>
      <c r="Q706">
        <f>IF($X706="","",Settings!$C$6)</f>
        <v/>
      </c>
      <c r="R706" s="7">
        <f>IF($X706="","",SUMIFS('Per Line'!$V$2:$V$3001,'Per Line'!$D$2:$D$3001,$B706,'Per Line'!$AM$2:$AM$3001,1,'Per Line'!$AN$2:$AN$3001,0))</f>
        <v/>
      </c>
      <c r="S706" s="7">
        <f>IF($X706="","",R706*Q706)</f>
        <v/>
      </c>
      <c r="T706" s="7">
        <f>IF($X706="","",S706+P706)</f>
        <v/>
      </c>
      <c r="U706" s="7">
        <f>IF($X706="","",V706-T706)</f>
        <v/>
      </c>
      <c r="V706" s="7">
        <f>IF($X706="","",O706+R706+M706)</f>
        <v/>
      </c>
      <c r="W706" s="7">
        <f>IF($X706="","",V706-T706-I706)</f>
        <v/>
      </c>
      <c r="X706" s="13">
        <f>IF(ROWS($X$2:$X706)&lt;=MAX('Per Line'!$AL$2:$AL$3001),MATCH(ROWS($X$2:$X706),'Per Line'!$AL$2:$AL$3001,0),"")</f>
        <v/>
      </c>
    </row>
    <row r="707">
      <c r="A707" s="12" t="n"/>
      <c r="B707">
        <f>IF($X707="","",INDEX('Per Line'!$D$2:$D$3001,$X707)&amp;"")</f>
        <v/>
      </c>
      <c r="C707" s="11">
        <f>IF($X707="","",INDEX('Per Line'!$F$2:$F$3001,$X707))</f>
        <v/>
      </c>
      <c r="D707">
        <f>IF($X707="","",INDEX('Per Line'!$G$2:$G$3001,$X707)&amp;"")</f>
        <v/>
      </c>
      <c r="E707">
        <f>IF($X707="","",INDEX('Per Line'!$I$2:$I$3001,$X707)&amp;"")</f>
        <v/>
      </c>
      <c r="F707">
        <f>IF($X707="","",INDEX('Per Line'!$J$2:$J$3001,$X707)&amp;"")</f>
        <v/>
      </c>
      <c r="G707">
        <f>IF($X707="","",INDEX('Per Line'!$K$2:$K$3001,$X707)&amp;"")</f>
        <v/>
      </c>
      <c r="H707">
        <f>IF($X707="","",INDEX('Per Line'!$M$2:$M$3001,$X707))</f>
        <v/>
      </c>
      <c r="I707" s="7">
        <f>IF($X707="","",H707*V707/100)</f>
        <v/>
      </c>
      <c r="J707">
        <f>IF($X707="","",INDEX('Per Line'!$W$2:$W$3001,$X707)&amp;"")</f>
        <v/>
      </c>
      <c r="K707">
        <f>IF($X707="","",INDEX('Per Line'!$AD$2:$AD$3001,$X707))</f>
        <v/>
      </c>
      <c r="L707">
        <f>IF($X707="","",IF(AND(ISNUMBER(K707),K707&gt;0),V707&gt;K707,FALSE))</f>
        <v/>
      </c>
      <c r="M707" s="7">
        <f>IF($X707="","",SUMIFS('Per Line'!$V$2:$V$3001,'Per Line'!$D$2:$D$3001,$B707,'Per Line'!$AN$2:$AN$3001,1))</f>
        <v/>
      </c>
      <c r="N707">
        <f>IF($X707="","",Settings!$C$7)</f>
        <v/>
      </c>
      <c r="O707" s="7">
        <f>IF($X707="","",SUMIFS('Per Line'!$V$2:$V$3001,'Per Line'!$D$2:$D$3001,$B707,'Per Line'!$AM$2:$AM$3001,0,'Per Line'!$AN$2:$AN$3001,0))</f>
        <v/>
      </c>
      <c r="P707" s="7">
        <f>IF($X707="","",O707*N707)</f>
        <v/>
      </c>
      <c r="Q707">
        <f>IF($X707="","",Settings!$C$6)</f>
        <v/>
      </c>
      <c r="R707" s="7">
        <f>IF($X707="","",SUMIFS('Per Line'!$V$2:$V$3001,'Per Line'!$D$2:$D$3001,$B707,'Per Line'!$AM$2:$AM$3001,1,'Per Line'!$AN$2:$AN$3001,0))</f>
        <v/>
      </c>
      <c r="S707" s="7">
        <f>IF($X707="","",R707*Q707)</f>
        <v/>
      </c>
      <c r="T707" s="7">
        <f>IF($X707="","",S707+P707)</f>
        <v/>
      </c>
      <c r="U707" s="7">
        <f>IF($X707="","",V707-T707)</f>
        <v/>
      </c>
      <c r="V707" s="7">
        <f>IF($X707="","",O707+R707+M707)</f>
        <v/>
      </c>
      <c r="W707" s="7">
        <f>IF($X707="","",V707-T707-I707)</f>
        <v/>
      </c>
      <c r="X707" s="13">
        <f>IF(ROWS($X$2:$X707)&lt;=MAX('Per Line'!$AL$2:$AL$3001),MATCH(ROWS($X$2:$X707),'Per Line'!$AL$2:$AL$3001,0),"")</f>
        <v/>
      </c>
    </row>
    <row r="708">
      <c r="A708" s="12" t="n"/>
      <c r="B708">
        <f>IF($X708="","",INDEX('Per Line'!$D$2:$D$3001,$X708)&amp;"")</f>
        <v/>
      </c>
      <c r="C708" s="11">
        <f>IF($X708="","",INDEX('Per Line'!$F$2:$F$3001,$X708))</f>
        <v/>
      </c>
      <c r="D708">
        <f>IF($X708="","",INDEX('Per Line'!$G$2:$G$3001,$X708)&amp;"")</f>
        <v/>
      </c>
      <c r="E708">
        <f>IF($X708="","",INDEX('Per Line'!$I$2:$I$3001,$X708)&amp;"")</f>
        <v/>
      </c>
      <c r="F708">
        <f>IF($X708="","",INDEX('Per Line'!$J$2:$J$3001,$X708)&amp;"")</f>
        <v/>
      </c>
      <c r="G708">
        <f>IF($X708="","",INDEX('Per Line'!$K$2:$K$3001,$X708)&amp;"")</f>
        <v/>
      </c>
      <c r="H708">
        <f>IF($X708="","",INDEX('Per Line'!$M$2:$M$3001,$X708))</f>
        <v/>
      </c>
      <c r="I708" s="7">
        <f>IF($X708="","",H708*V708/100)</f>
        <v/>
      </c>
      <c r="J708">
        <f>IF($X708="","",INDEX('Per Line'!$W$2:$W$3001,$X708)&amp;"")</f>
        <v/>
      </c>
      <c r="K708">
        <f>IF($X708="","",INDEX('Per Line'!$AD$2:$AD$3001,$X708))</f>
        <v/>
      </c>
      <c r="L708">
        <f>IF($X708="","",IF(AND(ISNUMBER(K708),K708&gt;0),V708&gt;K708,FALSE))</f>
        <v/>
      </c>
      <c r="M708" s="7">
        <f>IF($X708="","",SUMIFS('Per Line'!$V$2:$V$3001,'Per Line'!$D$2:$D$3001,$B708,'Per Line'!$AN$2:$AN$3001,1))</f>
        <v/>
      </c>
      <c r="N708">
        <f>IF($X708="","",Settings!$C$7)</f>
        <v/>
      </c>
      <c r="O708" s="7">
        <f>IF($X708="","",SUMIFS('Per Line'!$V$2:$V$3001,'Per Line'!$D$2:$D$3001,$B708,'Per Line'!$AM$2:$AM$3001,0,'Per Line'!$AN$2:$AN$3001,0))</f>
        <v/>
      </c>
      <c r="P708" s="7">
        <f>IF($X708="","",O708*N708)</f>
        <v/>
      </c>
      <c r="Q708">
        <f>IF($X708="","",Settings!$C$6)</f>
        <v/>
      </c>
      <c r="R708" s="7">
        <f>IF($X708="","",SUMIFS('Per Line'!$V$2:$V$3001,'Per Line'!$D$2:$D$3001,$B708,'Per Line'!$AM$2:$AM$3001,1,'Per Line'!$AN$2:$AN$3001,0))</f>
        <v/>
      </c>
      <c r="S708" s="7">
        <f>IF($X708="","",R708*Q708)</f>
        <v/>
      </c>
      <c r="T708" s="7">
        <f>IF($X708="","",S708+P708)</f>
        <v/>
      </c>
      <c r="U708" s="7">
        <f>IF($X708="","",V708-T708)</f>
        <v/>
      </c>
      <c r="V708" s="7">
        <f>IF($X708="","",O708+R708+M708)</f>
        <v/>
      </c>
      <c r="W708" s="7">
        <f>IF($X708="","",V708-T708-I708)</f>
        <v/>
      </c>
      <c r="X708" s="13">
        <f>IF(ROWS($X$2:$X708)&lt;=MAX('Per Line'!$AL$2:$AL$3001),MATCH(ROWS($X$2:$X708),'Per Line'!$AL$2:$AL$3001,0),"")</f>
        <v/>
      </c>
    </row>
    <row r="709">
      <c r="A709" s="12" t="n"/>
      <c r="B709">
        <f>IF($X709="","",INDEX('Per Line'!$D$2:$D$3001,$X709)&amp;"")</f>
        <v/>
      </c>
      <c r="C709" s="11">
        <f>IF($X709="","",INDEX('Per Line'!$F$2:$F$3001,$X709))</f>
        <v/>
      </c>
      <c r="D709">
        <f>IF($X709="","",INDEX('Per Line'!$G$2:$G$3001,$X709)&amp;"")</f>
        <v/>
      </c>
      <c r="E709">
        <f>IF($X709="","",INDEX('Per Line'!$I$2:$I$3001,$X709)&amp;"")</f>
        <v/>
      </c>
      <c r="F709">
        <f>IF($X709="","",INDEX('Per Line'!$J$2:$J$3001,$X709)&amp;"")</f>
        <v/>
      </c>
      <c r="G709">
        <f>IF($X709="","",INDEX('Per Line'!$K$2:$K$3001,$X709)&amp;"")</f>
        <v/>
      </c>
      <c r="H709">
        <f>IF($X709="","",INDEX('Per Line'!$M$2:$M$3001,$X709))</f>
        <v/>
      </c>
      <c r="I709" s="7">
        <f>IF($X709="","",H709*V709/100)</f>
        <v/>
      </c>
      <c r="J709">
        <f>IF($X709="","",INDEX('Per Line'!$W$2:$W$3001,$X709)&amp;"")</f>
        <v/>
      </c>
      <c r="K709">
        <f>IF($X709="","",INDEX('Per Line'!$AD$2:$AD$3001,$X709))</f>
        <v/>
      </c>
      <c r="L709">
        <f>IF($X709="","",IF(AND(ISNUMBER(K709),K709&gt;0),V709&gt;K709,FALSE))</f>
        <v/>
      </c>
      <c r="M709" s="7">
        <f>IF($X709="","",SUMIFS('Per Line'!$V$2:$V$3001,'Per Line'!$D$2:$D$3001,$B709,'Per Line'!$AN$2:$AN$3001,1))</f>
        <v/>
      </c>
      <c r="N709">
        <f>IF($X709="","",Settings!$C$7)</f>
        <v/>
      </c>
      <c r="O709" s="7">
        <f>IF($X709="","",SUMIFS('Per Line'!$V$2:$V$3001,'Per Line'!$D$2:$D$3001,$B709,'Per Line'!$AM$2:$AM$3001,0,'Per Line'!$AN$2:$AN$3001,0))</f>
        <v/>
      </c>
      <c r="P709" s="7">
        <f>IF($X709="","",O709*N709)</f>
        <v/>
      </c>
      <c r="Q709">
        <f>IF($X709="","",Settings!$C$6)</f>
        <v/>
      </c>
      <c r="R709" s="7">
        <f>IF($X709="","",SUMIFS('Per Line'!$V$2:$V$3001,'Per Line'!$D$2:$D$3001,$B709,'Per Line'!$AM$2:$AM$3001,1,'Per Line'!$AN$2:$AN$3001,0))</f>
        <v/>
      </c>
      <c r="S709" s="7">
        <f>IF($X709="","",R709*Q709)</f>
        <v/>
      </c>
      <c r="T709" s="7">
        <f>IF($X709="","",S709+P709)</f>
        <v/>
      </c>
      <c r="U709" s="7">
        <f>IF($X709="","",V709-T709)</f>
        <v/>
      </c>
      <c r="V709" s="7">
        <f>IF($X709="","",O709+R709+M709)</f>
        <v/>
      </c>
      <c r="W709" s="7">
        <f>IF($X709="","",V709-T709-I709)</f>
        <v/>
      </c>
      <c r="X709" s="13">
        <f>IF(ROWS($X$2:$X709)&lt;=MAX('Per Line'!$AL$2:$AL$3001),MATCH(ROWS($X$2:$X709),'Per Line'!$AL$2:$AL$3001,0),"")</f>
        <v/>
      </c>
    </row>
    <row r="710">
      <c r="A710" s="12" t="n"/>
      <c r="B710">
        <f>IF($X710="","",INDEX('Per Line'!$D$2:$D$3001,$X710)&amp;"")</f>
        <v/>
      </c>
      <c r="C710" s="11">
        <f>IF($X710="","",INDEX('Per Line'!$F$2:$F$3001,$X710))</f>
        <v/>
      </c>
      <c r="D710">
        <f>IF($X710="","",INDEX('Per Line'!$G$2:$G$3001,$X710)&amp;"")</f>
        <v/>
      </c>
      <c r="E710">
        <f>IF($X710="","",INDEX('Per Line'!$I$2:$I$3001,$X710)&amp;"")</f>
        <v/>
      </c>
      <c r="F710">
        <f>IF($X710="","",INDEX('Per Line'!$J$2:$J$3001,$X710)&amp;"")</f>
        <v/>
      </c>
      <c r="G710">
        <f>IF($X710="","",INDEX('Per Line'!$K$2:$K$3001,$X710)&amp;"")</f>
        <v/>
      </c>
      <c r="H710">
        <f>IF($X710="","",INDEX('Per Line'!$M$2:$M$3001,$X710))</f>
        <v/>
      </c>
      <c r="I710" s="7">
        <f>IF($X710="","",H710*V710/100)</f>
        <v/>
      </c>
      <c r="J710">
        <f>IF($X710="","",INDEX('Per Line'!$W$2:$W$3001,$X710)&amp;"")</f>
        <v/>
      </c>
      <c r="K710">
        <f>IF($X710="","",INDEX('Per Line'!$AD$2:$AD$3001,$X710))</f>
        <v/>
      </c>
      <c r="L710">
        <f>IF($X710="","",IF(AND(ISNUMBER(K710),K710&gt;0),V710&gt;K710,FALSE))</f>
        <v/>
      </c>
      <c r="M710" s="7">
        <f>IF($X710="","",SUMIFS('Per Line'!$V$2:$V$3001,'Per Line'!$D$2:$D$3001,$B710,'Per Line'!$AN$2:$AN$3001,1))</f>
        <v/>
      </c>
      <c r="N710">
        <f>IF($X710="","",Settings!$C$7)</f>
        <v/>
      </c>
      <c r="O710" s="7">
        <f>IF($X710="","",SUMIFS('Per Line'!$V$2:$V$3001,'Per Line'!$D$2:$D$3001,$B710,'Per Line'!$AM$2:$AM$3001,0,'Per Line'!$AN$2:$AN$3001,0))</f>
        <v/>
      </c>
      <c r="P710" s="7">
        <f>IF($X710="","",O710*N710)</f>
        <v/>
      </c>
      <c r="Q710">
        <f>IF($X710="","",Settings!$C$6)</f>
        <v/>
      </c>
      <c r="R710" s="7">
        <f>IF($X710="","",SUMIFS('Per Line'!$V$2:$V$3001,'Per Line'!$D$2:$D$3001,$B710,'Per Line'!$AM$2:$AM$3001,1,'Per Line'!$AN$2:$AN$3001,0))</f>
        <v/>
      </c>
      <c r="S710" s="7">
        <f>IF($X710="","",R710*Q710)</f>
        <v/>
      </c>
      <c r="T710" s="7">
        <f>IF($X710="","",S710+P710)</f>
        <v/>
      </c>
      <c r="U710" s="7">
        <f>IF($X710="","",V710-T710)</f>
        <v/>
      </c>
      <c r="V710" s="7">
        <f>IF($X710="","",O710+R710+M710)</f>
        <v/>
      </c>
      <c r="W710" s="7">
        <f>IF($X710="","",V710-T710-I710)</f>
        <v/>
      </c>
      <c r="X710" s="13">
        <f>IF(ROWS($X$2:$X710)&lt;=MAX('Per Line'!$AL$2:$AL$3001),MATCH(ROWS($X$2:$X710),'Per Line'!$AL$2:$AL$3001,0),"")</f>
        <v/>
      </c>
    </row>
    <row r="711">
      <c r="A711" s="12" t="n"/>
      <c r="B711">
        <f>IF($X711="","",INDEX('Per Line'!$D$2:$D$3001,$X711)&amp;"")</f>
        <v/>
      </c>
      <c r="C711" s="11">
        <f>IF($X711="","",INDEX('Per Line'!$F$2:$F$3001,$X711))</f>
        <v/>
      </c>
      <c r="D711">
        <f>IF($X711="","",INDEX('Per Line'!$G$2:$G$3001,$X711)&amp;"")</f>
        <v/>
      </c>
      <c r="E711">
        <f>IF($X711="","",INDEX('Per Line'!$I$2:$I$3001,$X711)&amp;"")</f>
        <v/>
      </c>
      <c r="F711">
        <f>IF($X711="","",INDEX('Per Line'!$J$2:$J$3001,$X711)&amp;"")</f>
        <v/>
      </c>
      <c r="G711">
        <f>IF($X711="","",INDEX('Per Line'!$K$2:$K$3001,$X711)&amp;"")</f>
        <v/>
      </c>
      <c r="H711">
        <f>IF($X711="","",INDEX('Per Line'!$M$2:$M$3001,$X711))</f>
        <v/>
      </c>
      <c r="I711" s="7">
        <f>IF($X711="","",H711*V711/100)</f>
        <v/>
      </c>
      <c r="J711">
        <f>IF($X711="","",INDEX('Per Line'!$W$2:$W$3001,$X711)&amp;"")</f>
        <v/>
      </c>
      <c r="K711">
        <f>IF($X711="","",INDEX('Per Line'!$AD$2:$AD$3001,$X711))</f>
        <v/>
      </c>
      <c r="L711">
        <f>IF($X711="","",IF(AND(ISNUMBER(K711),K711&gt;0),V711&gt;K711,FALSE))</f>
        <v/>
      </c>
      <c r="M711" s="7">
        <f>IF($X711="","",SUMIFS('Per Line'!$V$2:$V$3001,'Per Line'!$D$2:$D$3001,$B711,'Per Line'!$AN$2:$AN$3001,1))</f>
        <v/>
      </c>
      <c r="N711">
        <f>IF($X711="","",Settings!$C$7)</f>
        <v/>
      </c>
      <c r="O711" s="7">
        <f>IF($X711="","",SUMIFS('Per Line'!$V$2:$V$3001,'Per Line'!$D$2:$D$3001,$B711,'Per Line'!$AM$2:$AM$3001,0,'Per Line'!$AN$2:$AN$3001,0))</f>
        <v/>
      </c>
      <c r="P711" s="7">
        <f>IF($X711="","",O711*N711)</f>
        <v/>
      </c>
      <c r="Q711">
        <f>IF($X711="","",Settings!$C$6)</f>
        <v/>
      </c>
      <c r="R711" s="7">
        <f>IF($X711="","",SUMIFS('Per Line'!$V$2:$V$3001,'Per Line'!$D$2:$D$3001,$B711,'Per Line'!$AM$2:$AM$3001,1,'Per Line'!$AN$2:$AN$3001,0))</f>
        <v/>
      </c>
      <c r="S711" s="7">
        <f>IF($X711="","",R711*Q711)</f>
        <v/>
      </c>
      <c r="T711" s="7">
        <f>IF($X711="","",S711+P711)</f>
        <v/>
      </c>
      <c r="U711" s="7">
        <f>IF($X711="","",V711-T711)</f>
        <v/>
      </c>
      <c r="V711" s="7">
        <f>IF($X711="","",O711+R711+M711)</f>
        <v/>
      </c>
      <c r="W711" s="7">
        <f>IF($X711="","",V711-T711-I711)</f>
        <v/>
      </c>
      <c r="X711" s="13">
        <f>IF(ROWS($X$2:$X711)&lt;=MAX('Per Line'!$AL$2:$AL$3001),MATCH(ROWS($X$2:$X711),'Per Line'!$AL$2:$AL$3001,0),"")</f>
        <v/>
      </c>
    </row>
    <row r="712">
      <c r="A712" s="12" t="n"/>
      <c r="B712">
        <f>IF($X712="","",INDEX('Per Line'!$D$2:$D$3001,$X712)&amp;"")</f>
        <v/>
      </c>
      <c r="C712" s="11">
        <f>IF($X712="","",INDEX('Per Line'!$F$2:$F$3001,$X712))</f>
        <v/>
      </c>
      <c r="D712">
        <f>IF($X712="","",INDEX('Per Line'!$G$2:$G$3001,$X712)&amp;"")</f>
        <v/>
      </c>
      <c r="E712">
        <f>IF($X712="","",INDEX('Per Line'!$I$2:$I$3001,$X712)&amp;"")</f>
        <v/>
      </c>
      <c r="F712">
        <f>IF($X712="","",INDEX('Per Line'!$J$2:$J$3001,$X712)&amp;"")</f>
        <v/>
      </c>
      <c r="G712">
        <f>IF($X712="","",INDEX('Per Line'!$K$2:$K$3001,$X712)&amp;"")</f>
        <v/>
      </c>
      <c r="H712">
        <f>IF($X712="","",INDEX('Per Line'!$M$2:$M$3001,$X712))</f>
        <v/>
      </c>
      <c r="I712" s="7">
        <f>IF($X712="","",H712*V712/100)</f>
        <v/>
      </c>
      <c r="J712">
        <f>IF($X712="","",INDEX('Per Line'!$W$2:$W$3001,$X712)&amp;"")</f>
        <v/>
      </c>
      <c r="K712">
        <f>IF($X712="","",INDEX('Per Line'!$AD$2:$AD$3001,$X712))</f>
        <v/>
      </c>
      <c r="L712">
        <f>IF($X712="","",IF(AND(ISNUMBER(K712),K712&gt;0),V712&gt;K712,FALSE))</f>
        <v/>
      </c>
      <c r="M712" s="7">
        <f>IF($X712="","",SUMIFS('Per Line'!$V$2:$V$3001,'Per Line'!$D$2:$D$3001,$B712,'Per Line'!$AN$2:$AN$3001,1))</f>
        <v/>
      </c>
      <c r="N712">
        <f>IF($X712="","",Settings!$C$7)</f>
        <v/>
      </c>
      <c r="O712" s="7">
        <f>IF($X712="","",SUMIFS('Per Line'!$V$2:$V$3001,'Per Line'!$D$2:$D$3001,$B712,'Per Line'!$AM$2:$AM$3001,0,'Per Line'!$AN$2:$AN$3001,0))</f>
        <v/>
      </c>
      <c r="P712" s="7">
        <f>IF($X712="","",O712*N712)</f>
        <v/>
      </c>
      <c r="Q712">
        <f>IF($X712="","",Settings!$C$6)</f>
        <v/>
      </c>
      <c r="R712" s="7">
        <f>IF($X712="","",SUMIFS('Per Line'!$V$2:$V$3001,'Per Line'!$D$2:$D$3001,$B712,'Per Line'!$AM$2:$AM$3001,1,'Per Line'!$AN$2:$AN$3001,0))</f>
        <v/>
      </c>
      <c r="S712" s="7">
        <f>IF($X712="","",R712*Q712)</f>
        <v/>
      </c>
      <c r="T712" s="7">
        <f>IF($X712="","",S712+P712)</f>
        <v/>
      </c>
      <c r="U712" s="7">
        <f>IF($X712="","",V712-T712)</f>
        <v/>
      </c>
      <c r="V712" s="7">
        <f>IF($X712="","",O712+R712+M712)</f>
        <v/>
      </c>
      <c r="W712" s="7">
        <f>IF($X712="","",V712-T712-I712)</f>
        <v/>
      </c>
      <c r="X712" s="13">
        <f>IF(ROWS($X$2:$X712)&lt;=MAX('Per Line'!$AL$2:$AL$3001),MATCH(ROWS($X$2:$X712),'Per Line'!$AL$2:$AL$3001,0),"")</f>
        <v/>
      </c>
    </row>
    <row r="713">
      <c r="A713" s="12" t="n"/>
      <c r="B713">
        <f>IF($X713="","",INDEX('Per Line'!$D$2:$D$3001,$X713)&amp;"")</f>
        <v/>
      </c>
      <c r="C713" s="11">
        <f>IF($X713="","",INDEX('Per Line'!$F$2:$F$3001,$X713))</f>
        <v/>
      </c>
      <c r="D713">
        <f>IF($X713="","",INDEX('Per Line'!$G$2:$G$3001,$X713)&amp;"")</f>
        <v/>
      </c>
      <c r="E713">
        <f>IF($X713="","",INDEX('Per Line'!$I$2:$I$3001,$X713)&amp;"")</f>
        <v/>
      </c>
      <c r="F713">
        <f>IF($X713="","",INDEX('Per Line'!$J$2:$J$3001,$X713)&amp;"")</f>
        <v/>
      </c>
      <c r="G713">
        <f>IF($X713="","",INDEX('Per Line'!$K$2:$K$3001,$X713)&amp;"")</f>
        <v/>
      </c>
      <c r="H713">
        <f>IF($X713="","",INDEX('Per Line'!$M$2:$M$3001,$X713))</f>
        <v/>
      </c>
      <c r="I713" s="7">
        <f>IF($X713="","",H713*V713/100)</f>
        <v/>
      </c>
      <c r="J713">
        <f>IF($X713="","",INDEX('Per Line'!$W$2:$W$3001,$X713)&amp;"")</f>
        <v/>
      </c>
      <c r="K713">
        <f>IF($X713="","",INDEX('Per Line'!$AD$2:$AD$3001,$X713))</f>
        <v/>
      </c>
      <c r="L713">
        <f>IF($X713="","",IF(AND(ISNUMBER(K713),K713&gt;0),V713&gt;K713,FALSE))</f>
        <v/>
      </c>
      <c r="M713" s="7">
        <f>IF($X713="","",SUMIFS('Per Line'!$V$2:$V$3001,'Per Line'!$D$2:$D$3001,$B713,'Per Line'!$AN$2:$AN$3001,1))</f>
        <v/>
      </c>
      <c r="N713">
        <f>IF($X713="","",Settings!$C$7)</f>
        <v/>
      </c>
      <c r="O713" s="7">
        <f>IF($X713="","",SUMIFS('Per Line'!$V$2:$V$3001,'Per Line'!$D$2:$D$3001,$B713,'Per Line'!$AM$2:$AM$3001,0,'Per Line'!$AN$2:$AN$3001,0))</f>
        <v/>
      </c>
      <c r="P713" s="7">
        <f>IF($X713="","",O713*N713)</f>
        <v/>
      </c>
      <c r="Q713">
        <f>IF($X713="","",Settings!$C$6)</f>
        <v/>
      </c>
      <c r="R713" s="7">
        <f>IF($X713="","",SUMIFS('Per Line'!$V$2:$V$3001,'Per Line'!$D$2:$D$3001,$B713,'Per Line'!$AM$2:$AM$3001,1,'Per Line'!$AN$2:$AN$3001,0))</f>
        <v/>
      </c>
      <c r="S713" s="7">
        <f>IF($X713="","",R713*Q713)</f>
        <v/>
      </c>
      <c r="T713" s="7">
        <f>IF($X713="","",S713+P713)</f>
        <v/>
      </c>
      <c r="U713" s="7">
        <f>IF($X713="","",V713-T713)</f>
        <v/>
      </c>
      <c r="V713" s="7">
        <f>IF($X713="","",O713+R713+M713)</f>
        <v/>
      </c>
      <c r="W713" s="7">
        <f>IF($X713="","",V713-T713-I713)</f>
        <v/>
      </c>
      <c r="X713" s="13">
        <f>IF(ROWS($X$2:$X713)&lt;=MAX('Per Line'!$AL$2:$AL$3001),MATCH(ROWS($X$2:$X713),'Per Line'!$AL$2:$AL$3001,0),"")</f>
        <v/>
      </c>
    </row>
    <row r="714">
      <c r="A714" s="12" t="n"/>
      <c r="B714">
        <f>IF($X714="","",INDEX('Per Line'!$D$2:$D$3001,$X714)&amp;"")</f>
        <v/>
      </c>
      <c r="C714" s="11">
        <f>IF($X714="","",INDEX('Per Line'!$F$2:$F$3001,$X714))</f>
        <v/>
      </c>
      <c r="D714">
        <f>IF($X714="","",INDEX('Per Line'!$G$2:$G$3001,$X714)&amp;"")</f>
        <v/>
      </c>
      <c r="E714">
        <f>IF($X714="","",INDEX('Per Line'!$I$2:$I$3001,$X714)&amp;"")</f>
        <v/>
      </c>
      <c r="F714">
        <f>IF($X714="","",INDEX('Per Line'!$J$2:$J$3001,$X714)&amp;"")</f>
        <v/>
      </c>
      <c r="G714">
        <f>IF($X714="","",INDEX('Per Line'!$K$2:$K$3001,$X714)&amp;"")</f>
        <v/>
      </c>
      <c r="H714">
        <f>IF($X714="","",INDEX('Per Line'!$M$2:$M$3001,$X714))</f>
        <v/>
      </c>
      <c r="I714" s="7">
        <f>IF($X714="","",H714*V714/100)</f>
        <v/>
      </c>
      <c r="J714">
        <f>IF($X714="","",INDEX('Per Line'!$W$2:$W$3001,$X714)&amp;"")</f>
        <v/>
      </c>
      <c r="K714">
        <f>IF($X714="","",INDEX('Per Line'!$AD$2:$AD$3001,$X714))</f>
        <v/>
      </c>
      <c r="L714">
        <f>IF($X714="","",IF(AND(ISNUMBER(K714),K714&gt;0),V714&gt;K714,FALSE))</f>
        <v/>
      </c>
      <c r="M714" s="7">
        <f>IF($X714="","",SUMIFS('Per Line'!$V$2:$V$3001,'Per Line'!$D$2:$D$3001,$B714,'Per Line'!$AN$2:$AN$3001,1))</f>
        <v/>
      </c>
      <c r="N714">
        <f>IF($X714="","",Settings!$C$7)</f>
        <v/>
      </c>
      <c r="O714" s="7">
        <f>IF($X714="","",SUMIFS('Per Line'!$V$2:$V$3001,'Per Line'!$D$2:$D$3001,$B714,'Per Line'!$AM$2:$AM$3001,0,'Per Line'!$AN$2:$AN$3001,0))</f>
        <v/>
      </c>
      <c r="P714" s="7">
        <f>IF($X714="","",O714*N714)</f>
        <v/>
      </c>
      <c r="Q714">
        <f>IF($X714="","",Settings!$C$6)</f>
        <v/>
      </c>
      <c r="R714" s="7">
        <f>IF($X714="","",SUMIFS('Per Line'!$V$2:$V$3001,'Per Line'!$D$2:$D$3001,$B714,'Per Line'!$AM$2:$AM$3001,1,'Per Line'!$AN$2:$AN$3001,0))</f>
        <v/>
      </c>
      <c r="S714" s="7">
        <f>IF($X714="","",R714*Q714)</f>
        <v/>
      </c>
      <c r="T714" s="7">
        <f>IF($X714="","",S714+P714)</f>
        <v/>
      </c>
      <c r="U714" s="7">
        <f>IF($X714="","",V714-T714)</f>
        <v/>
      </c>
      <c r="V714" s="7">
        <f>IF($X714="","",O714+R714+M714)</f>
        <v/>
      </c>
      <c r="W714" s="7">
        <f>IF($X714="","",V714-T714-I714)</f>
        <v/>
      </c>
      <c r="X714" s="13">
        <f>IF(ROWS($X$2:$X714)&lt;=MAX('Per Line'!$AL$2:$AL$3001),MATCH(ROWS($X$2:$X714),'Per Line'!$AL$2:$AL$3001,0),"")</f>
        <v/>
      </c>
    </row>
    <row r="715">
      <c r="A715" s="12" t="n"/>
      <c r="B715">
        <f>IF($X715="","",INDEX('Per Line'!$D$2:$D$3001,$X715)&amp;"")</f>
        <v/>
      </c>
      <c r="C715" s="11">
        <f>IF($X715="","",INDEX('Per Line'!$F$2:$F$3001,$X715))</f>
        <v/>
      </c>
      <c r="D715">
        <f>IF($X715="","",INDEX('Per Line'!$G$2:$G$3001,$X715)&amp;"")</f>
        <v/>
      </c>
      <c r="E715">
        <f>IF($X715="","",INDEX('Per Line'!$I$2:$I$3001,$X715)&amp;"")</f>
        <v/>
      </c>
      <c r="F715">
        <f>IF($X715="","",INDEX('Per Line'!$J$2:$J$3001,$X715)&amp;"")</f>
        <v/>
      </c>
      <c r="G715">
        <f>IF($X715="","",INDEX('Per Line'!$K$2:$K$3001,$X715)&amp;"")</f>
        <v/>
      </c>
      <c r="H715">
        <f>IF($X715="","",INDEX('Per Line'!$M$2:$M$3001,$X715))</f>
        <v/>
      </c>
      <c r="I715" s="7">
        <f>IF($X715="","",H715*V715/100)</f>
        <v/>
      </c>
      <c r="J715">
        <f>IF($X715="","",INDEX('Per Line'!$W$2:$W$3001,$X715)&amp;"")</f>
        <v/>
      </c>
      <c r="K715">
        <f>IF($X715="","",INDEX('Per Line'!$AD$2:$AD$3001,$X715))</f>
        <v/>
      </c>
      <c r="L715">
        <f>IF($X715="","",IF(AND(ISNUMBER(K715),K715&gt;0),V715&gt;K715,FALSE))</f>
        <v/>
      </c>
      <c r="M715" s="7">
        <f>IF($X715="","",SUMIFS('Per Line'!$V$2:$V$3001,'Per Line'!$D$2:$D$3001,$B715,'Per Line'!$AN$2:$AN$3001,1))</f>
        <v/>
      </c>
      <c r="N715">
        <f>IF($X715="","",Settings!$C$7)</f>
        <v/>
      </c>
      <c r="O715" s="7">
        <f>IF($X715="","",SUMIFS('Per Line'!$V$2:$V$3001,'Per Line'!$D$2:$D$3001,$B715,'Per Line'!$AM$2:$AM$3001,0,'Per Line'!$AN$2:$AN$3001,0))</f>
        <v/>
      </c>
      <c r="P715" s="7">
        <f>IF($X715="","",O715*N715)</f>
        <v/>
      </c>
      <c r="Q715">
        <f>IF($X715="","",Settings!$C$6)</f>
        <v/>
      </c>
      <c r="R715" s="7">
        <f>IF($X715="","",SUMIFS('Per Line'!$V$2:$V$3001,'Per Line'!$D$2:$D$3001,$B715,'Per Line'!$AM$2:$AM$3001,1,'Per Line'!$AN$2:$AN$3001,0))</f>
        <v/>
      </c>
      <c r="S715" s="7">
        <f>IF($X715="","",R715*Q715)</f>
        <v/>
      </c>
      <c r="T715" s="7">
        <f>IF($X715="","",S715+P715)</f>
        <v/>
      </c>
      <c r="U715" s="7">
        <f>IF($X715="","",V715-T715)</f>
        <v/>
      </c>
      <c r="V715" s="7">
        <f>IF($X715="","",O715+R715+M715)</f>
        <v/>
      </c>
      <c r="W715" s="7">
        <f>IF($X715="","",V715-T715-I715)</f>
        <v/>
      </c>
      <c r="X715" s="13">
        <f>IF(ROWS($X$2:$X715)&lt;=MAX('Per Line'!$AL$2:$AL$3001),MATCH(ROWS($X$2:$X715),'Per Line'!$AL$2:$AL$3001,0),"")</f>
        <v/>
      </c>
    </row>
    <row r="716">
      <c r="A716" s="12" t="n"/>
      <c r="B716">
        <f>IF($X716="","",INDEX('Per Line'!$D$2:$D$3001,$X716)&amp;"")</f>
        <v/>
      </c>
      <c r="C716" s="11">
        <f>IF($X716="","",INDEX('Per Line'!$F$2:$F$3001,$X716))</f>
        <v/>
      </c>
      <c r="D716">
        <f>IF($X716="","",INDEX('Per Line'!$G$2:$G$3001,$X716)&amp;"")</f>
        <v/>
      </c>
      <c r="E716">
        <f>IF($X716="","",INDEX('Per Line'!$I$2:$I$3001,$X716)&amp;"")</f>
        <v/>
      </c>
      <c r="F716">
        <f>IF($X716="","",INDEX('Per Line'!$J$2:$J$3001,$X716)&amp;"")</f>
        <v/>
      </c>
      <c r="G716">
        <f>IF($X716="","",INDEX('Per Line'!$K$2:$K$3001,$X716)&amp;"")</f>
        <v/>
      </c>
      <c r="H716">
        <f>IF($X716="","",INDEX('Per Line'!$M$2:$M$3001,$X716))</f>
        <v/>
      </c>
      <c r="I716" s="7">
        <f>IF($X716="","",H716*V716/100)</f>
        <v/>
      </c>
      <c r="J716">
        <f>IF($X716="","",INDEX('Per Line'!$W$2:$W$3001,$X716)&amp;"")</f>
        <v/>
      </c>
      <c r="K716">
        <f>IF($X716="","",INDEX('Per Line'!$AD$2:$AD$3001,$X716))</f>
        <v/>
      </c>
      <c r="L716">
        <f>IF($X716="","",IF(AND(ISNUMBER(K716),K716&gt;0),V716&gt;K716,FALSE))</f>
        <v/>
      </c>
      <c r="M716" s="7">
        <f>IF($X716="","",SUMIFS('Per Line'!$V$2:$V$3001,'Per Line'!$D$2:$D$3001,$B716,'Per Line'!$AN$2:$AN$3001,1))</f>
        <v/>
      </c>
      <c r="N716">
        <f>IF($X716="","",Settings!$C$7)</f>
        <v/>
      </c>
      <c r="O716" s="7">
        <f>IF($X716="","",SUMIFS('Per Line'!$V$2:$V$3001,'Per Line'!$D$2:$D$3001,$B716,'Per Line'!$AM$2:$AM$3001,0,'Per Line'!$AN$2:$AN$3001,0))</f>
        <v/>
      </c>
      <c r="P716" s="7">
        <f>IF($X716="","",O716*N716)</f>
        <v/>
      </c>
      <c r="Q716">
        <f>IF($X716="","",Settings!$C$6)</f>
        <v/>
      </c>
      <c r="R716" s="7">
        <f>IF($X716="","",SUMIFS('Per Line'!$V$2:$V$3001,'Per Line'!$D$2:$D$3001,$B716,'Per Line'!$AM$2:$AM$3001,1,'Per Line'!$AN$2:$AN$3001,0))</f>
        <v/>
      </c>
      <c r="S716" s="7">
        <f>IF($X716="","",R716*Q716)</f>
        <v/>
      </c>
      <c r="T716" s="7">
        <f>IF($X716="","",S716+P716)</f>
        <v/>
      </c>
      <c r="U716" s="7">
        <f>IF($X716="","",V716-T716)</f>
        <v/>
      </c>
      <c r="V716" s="7">
        <f>IF($X716="","",O716+R716+M716)</f>
        <v/>
      </c>
      <c r="W716" s="7">
        <f>IF($X716="","",V716-T716-I716)</f>
        <v/>
      </c>
      <c r="X716" s="13">
        <f>IF(ROWS($X$2:$X716)&lt;=MAX('Per Line'!$AL$2:$AL$3001),MATCH(ROWS($X$2:$X716),'Per Line'!$AL$2:$AL$3001,0),"")</f>
        <v/>
      </c>
    </row>
    <row r="717">
      <c r="A717" s="12" t="n"/>
      <c r="B717">
        <f>IF($X717="","",INDEX('Per Line'!$D$2:$D$3001,$X717)&amp;"")</f>
        <v/>
      </c>
      <c r="C717" s="11">
        <f>IF($X717="","",INDEX('Per Line'!$F$2:$F$3001,$X717))</f>
        <v/>
      </c>
      <c r="D717">
        <f>IF($X717="","",INDEX('Per Line'!$G$2:$G$3001,$X717)&amp;"")</f>
        <v/>
      </c>
      <c r="E717">
        <f>IF($X717="","",INDEX('Per Line'!$I$2:$I$3001,$X717)&amp;"")</f>
        <v/>
      </c>
      <c r="F717">
        <f>IF($X717="","",INDEX('Per Line'!$J$2:$J$3001,$X717)&amp;"")</f>
        <v/>
      </c>
      <c r="G717">
        <f>IF($X717="","",INDEX('Per Line'!$K$2:$K$3001,$X717)&amp;"")</f>
        <v/>
      </c>
      <c r="H717">
        <f>IF($X717="","",INDEX('Per Line'!$M$2:$M$3001,$X717))</f>
        <v/>
      </c>
      <c r="I717" s="7">
        <f>IF($X717="","",H717*V717/100)</f>
        <v/>
      </c>
      <c r="J717">
        <f>IF($X717="","",INDEX('Per Line'!$W$2:$W$3001,$X717)&amp;"")</f>
        <v/>
      </c>
      <c r="K717">
        <f>IF($X717="","",INDEX('Per Line'!$AD$2:$AD$3001,$X717))</f>
        <v/>
      </c>
      <c r="L717">
        <f>IF($X717="","",IF(AND(ISNUMBER(K717),K717&gt;0),V717&gt;K717,FALSE))</f>
        <v/>
      </c>
      <c r="M717" s="7">
        <f>IF($X717="","",SUMIFS('Per Line'!$V$2:$V$3001,'Per Line'!$D$2:$D$3001,$B717,'Per Line'!$AN$2:$AN$3001,1))</f>
        <v/>
      </c>
      <c r="N717">
        <f>IF($X717="","",Settings!$C$7)</f>
        <v/>
      </c>
      <c r="O717" s="7">
        <f>IF($X717="","",SUMIFS('Per Line'!$V$2:$V$3001,'Per Line'!$D$2:$D$3001,$B717,'Per Line'!$AM$2:$AM$3001,0,'Per Line'!$AN$2:$AN$3001,0))</f>
        <v/>
      </c>
      <c r="P717" s="7">
        <f>IF($X717="","",O717*N717)</f>
        <v/>
      </c>
      <c r="Q717">
        <f>IF($X717="","",Settings!$C$6)</f>
        <v/>
      </c>
      <c r="R717" s="7">
        <f>IF($X717="","",SUMIFS('Per Line'!$V$2:$V$3001,'Per Line'!$D$2:$D$3001,$B717,'Per Line'!$AM$2:$AM$3001,1,'Per Line'!$AN$2:$AN$3001,0))</f>
        <v/>
      </c>
      <c r="S717" s="7">
        <f>IF($X717="","",R717*Q717)</f>
        <v/>
      </c>
      <c r="T717" s="7">
        <f>IF($X717="","",S717+P717)</f>
        <v/>
      </c>
      <c r="U717" s="7">
        <f>IF($X717="","",V717-T717)</f>
        <v/>
      </c>
      <c r="V717" s="7">
        <f>IF($X717="","",O717+R717+M717)</f>
        <v/>
      </c>
      <c r="W717" s="7">
        <f>IF($X717="","",V717-T717-I717)</f>
        <v/>
      </c>
      <c r="X717" s="13">
        <f>IF(ROWS($X$2:$X717)&lt;=MAX('Per Line'!$AL$2:$AL$3001),MATCH(ROWS($X$2:$X717),'Per Line'!$AL$2:$AL$3001,0),"")</f>
        <v/>
      </c>
    </row>
    <row r="718">
      <c r="A718" s="12" t="n"/>
      <c r="B718">
        <f>IF($X718="","",INDEX('Per Line'!$D$2:$D$3001,$X718)&amp;"")</f>
        <v/>
      </c>
      <c r="C718" s="11">
        <f>IF($X718="","",INDEX('Per Line'!$F$2:$F$3001,$X718))</f>
        <v/>
      </c>
      <c r="D718">
        <f>IF($X718="","",INDEX('Per Line'!$G$2:$G$3001,$X718)&amp;"")</f>
        <v/>
      </c>
      <c r="E718">
        <f>IF($X718="","",INDEX('Per Line'!$I$2:$I$3001,$X718)&amp;"")</f>
        <v/>
      </c>
      <c r="F718">
        <f>IF($X718="","",INDEX('Per Line'!$J$2:$J$3001,$X718)&amp;"")</f>
        <v/>
      </c>
      <c r="G718">
        <f>IF($X718="","",INDEX('Per Line'!$K$2:$K$3001,$X718)&amp;"")</f>
        <v/>
      </c>
      <c r="H718">
        <f>IF($X718="","",INDEX('Per Line'!$M$2:$M$3001,$X718))</f>
        <v/>
      </c>
      <c r="I718" s="7">
        <f>IF($X718="","",H718*V718/100)</f>
        <v/>
      </c>
      <c r="J718">
        <f>IF($X718="","",INDEX('Per Line'!$W$2:$W$3001,$X718)&amp;"")</f>
        <v/>
      </c>
      <c r="K718">
        <f>IF($X718="","",INDEX('Per Line'!$AD$2:$AD$3001,$X718))</f>
        <v/>
      </c>
      <c r="L718">
        <f>IF($X718="","",IF(AND(ISNUMBER(K718),K718&gt;0),V718&gt;K718,FALSE))</f>
        <v/>
      </c>
      <c r="M718" s="7">
        <f>IF($X718="","",SUMIFS('Per Line'!$V$2:$V$3001,'Per Line'!$D$2:$D$3001,$B718,'Per Line'!$AN$2:$AN$3001,1))</f>
        <v/>
      </c>
      <c r="N718">
        <f>IF($X718="","",Settings!$C$7)</f>
        <v/>
      </c>
      <c r="O718" s="7">
        <f>IF($X718="","",SUMIFS('Per Line'!$V$2:$V$3001,'Per Line'!$D$2:$D$3001,$B718,'Per Line'!$AM$2:$AM$3001,0,'Per Line'!$AN$2:$AN$3001,0))</f>
        <v/>
      </c>
      <c r="P718" s="7">
        <f>IF($X718="","",O718*N718)</f>
        <v/>
      </c>
      <c r="Q718">
        <f>IF($X718="","",Settings!$C$6)</f>
        <v/>
      </c>
      <c r="R718" s="7">
        <f>IF($X718="","",SUMIFS('Per Line'!$V$2:$V$3001,'Per Line'!$D$2:$D$3001,$B718,'Per Line'!$AM$2:$AM$3001,1,'Per Line'!$AN$2:$AN$3001,0))</f>
        <v/>
      </c>
      <c r="S718" s="7">
        <f>IF($X718="","",R718*Q718)</f>
        <v/>
      </c>
      <c r="T718" s="7">
        <f>IF($X718="","",S718+P718)</f>
        <v/>
      </c>
      <c r="U718" s="7">
        <f>IF($X718="","",V718-T718)</f>
        <v/>
      </c>
      <c r="V718" s="7">
        <f>IF($X718="","",O718+R718+M718)</f>
        <v/>
      </c>
      <c r="W718" s="7">
        <f>IF($X718="","",V718-T718-I718)</f>
        <v/>
      </c>
      <c r="X718" s="13">
        <f>IF(ROWS($X$2:$X718)&lt;=MAX('Per Line'!$AL$2:$AL$3001),MATCH(ROWS($X$2:$X718),'Per Line'!$AL$2:$AL$3001,0),"")</f>
        <v/>
      </c>
    </row>
    <row r="719">
      <c r="A719" s="12" t="n"/>
      <c r="B719">
        <f>IF($X719="","",INDEX('Per Line'!$D$2:$D$3001,$X719)&amp;"")</f>
        <v/>
      </c>
      <c r="C719" s="11">
        <f>IF($X719="","",INDEX('Per Line'!$F$2:$F$3001,$X719))</f>
        <v/>
      </c>
      <c r="D719">
        <f>IF($X719="","",INDEX('Per Line'!$G$2:$G$3001,$X719)&amp;"")</f>
        <v/>
      </c>
      <c r="E719">
        <f>IF($X719="","",INDEX('Per Line'!$I$2:$I$3001,$X719)&amp;"")</f>
        <v/>
      </c>
      <c r="F719">
        <f>IF($X719="","",INDEX('Per Line'!$J$2:$J$3001,$X719)&amp;"")</f>
        <v/>
      </c>
      <c r="G719">
        <f>IF($X719="","",INDEX('Per Line'!$K$2:$K$3001,$X719)&amp;"")</f>
        <v/>
      </c>
      <c r="H719">
        <f>IF($X719="","",INDEX('Per Line'!$M$2:$M$3001,$X719))</f>
        <v/>
      </c>
      <c r="I719" s="7">
        <f>IF($X719="","",H719*V719/100)</f>
        <v/>
      </c>
      <c r="J719">
        <f>IF($X719="","",INDEX('Per Line'!$W$2:$W$3001,$X719)&amp;"")</f>
        <v/>
      </c>
      <c r="K719">
        <f>IF($X719="","",INDEX('Per Line'!$AD$2:$AD$3001,$X719))</f>
        <v/>
      </c>
      <c r="L719">
        <f>IF($X719="","",IF(AND(ISNUMBER(K719),K719&gt;0),V719&gt;K719,FALSE))</f>
        <v/>
      </c>
      <c r="M719" s="7">
        <f>IF($X719="","",SUMIFS('Per Line'!$V$2:$V$3001,'Per Line'!$D$2:$D$3001,$B719,'Per Line'!$AN$2:$AN$3001,1))</f>
        <v/>
      </c>
      <c r="N719">
        <f>IF($X719="","",Settings!$C$7)</f>
        <v/>
      </c>
      <c r="O719" s="7">
        <f>IF($X719="","",SUMIFS('Per Line'!$V$2:$V$3001,'Per Line'!$D$2:$D$3001,$B719,'Per Line'!$AM$2:$AM$3001,0,'Per Line'!$AN$2:$AN$3001,0))</f>
        <v/>
      </c>
      <c r="P719" s="7">
        <f>IF($X719="","",O719*N719)</f>
        <v/>
      </c>
      <c r="Q719">
        <f>IF($X719="","",Settings!$C$6)</f>
        <v/>
      </c>
      <c r="R719" s="7">
        <f>IF($X719="","",SUMIFS('Per Line'!$V$2:$V$3001,'Per Line'!$D$2:$D$3001,$B719,'Per Line'!$AM$2:$AM$3001,1,'Per Line'!$AN$2:$AN$3001,0))</f>
        <v/>
      </c>
      <c r="S719" s="7">
        <f>IF($X719="","",R719*Q719)</f>
        <v/>
      </c>
      <c r="T719" s="7">
        <f>IF($X719="","",S719+P719)</f>
        <v/>
      </c>
      <c r="U719" s="7">
        <f>IF($X719="","",V719-T719)</f>
        <v/>
      </c>
      <c r="V719" s="7">
        <f>IF($X719="","",O719+R719+M719)</f>
        <v/>
      </c>
      <c r="W719" s="7">
        <f>IF($X719="","",V719-T719-I719)</f>
        <v/>
      </c>
      <c r="X719" s="13">
        <f>IF(ROWS($X$2:$X719)&lt;=MAX('Per Line'!$AL$2:$AL$3001),MATCH(ROWS($X$2:$X719),'Per Line'!$AL$2:$AL$3001,0),"")</f>
        <v/>
      </c>
    </row>
    <row r="720">
      <c r="A720" s="12" t="n"/>
      <c r="B720">
        <f>IF($X720="","",INDEX('Per Line'!$D$2:$D$3001,$X720)&amp;"")</f>
        <v/>
      </c>
      <c r="C720" s="11">
        <f>IF($X720="","",INDEX('Per Line'!$F$2:$F$3001,$X720))</f>
        <v/>
      </c>
      <c r="D720">
        <f>IF($X720="","",INDEX('Per Line'!$G$2:$G$3001,$X720)&amp;"")</f>
        <v/>
      </c>
      <c r="E720">
        <f>IF($X720="","",INDEX('Per Line'!$I$2:$I$3001,$X720)&amp;"")</f>
        <v/>
      </c>
      <c r="F720">
        <f>IF($X720="","",INDEX('Per Line'!$J$2:$J$3001,$X720)&amp;"")</f>
        <v/>
      </c>
      <c r="G720">
        <f>IF($X720="","",INDEX('Per Line'!$K$2:$K$3001,$X720)&amp;"")</f>
        <v/>
      </c>
      <c r="H720">
        <f>IF($X720="","",INDEX('Per Line'!$M$2:$M$3001,$X720))</f>
        <v/>
      </c>
      <c r="I720" s="7">
        <f>IF($X720="","",H720*V720/100)</f>
        <v/>
      </c>
      <c r="J720">
        <f>IF($X720="","",INDEX('Per Line'!$W$2:$W$3001,$X720)&amp;"")</f>
        <v/>
      </c>
      <c r="K720">
        <f>IF($X720="","",INDEX('Per Line'!$AD$2:$AD$3001,$X720))</f>
        <v/>
      </c>
      <c r="L720">
        <f>IF($X720="","",IF(AND(ISNUMBER(K720),K720&gt;0),V720&gt;K720,FALSE))</f>
        <v/>
      </c>
      <c r="M720" s="7">
        <f>IF($X720="","",SUMIFS('Per Line'!$V$2:$V$3001,'Per Line'!$D$2:$D$3001,$B720,'Per Line'!$AN$2:$AN$3001,1))</f>
        <v/>
      </c>
      <c r="N720">
        <f>IF($X720="","",Settings!$C$7)</f>
        <v/>
      </c>
      <c r="O720" s="7">
        <f>IF($X720="","",SUMIFS('Per Line'!$V$2:$V$3001,'Per Line'!$D$2:$D$3001,$B720,'Per Line'!$AM$2:$AM$3001,0,'Per Line'!$AN$2:$AN$3001,0))</f>
        <v/>
      </c>
      <c r="P720" s="7">
        <f>IF($X720="","",O720*N720)</f>
        <v/>
      </c>
      <c r="Q720">
        <f>IF($X720="","",Settings!$C$6)</f>
        <v/>
      </c>
      <c r="R720" s="7">
        <f>IF($X720="","",SUMIFS('Per Line'!$V$2:$V$3001,'Per Line'!$D$2:$D$3001,$B720,'Per Line'!$AM$2:$AM$3001,1,'Per Line'!$AN$2:$AN$3001,0))</f>
        <v/>
      </c>
      <c r="S720" s="7">
        <f>IF($X720="","",R720*Q720)</f>
        <v/>
      </c>
      <c r="T720" s="7">
        <f>IF($X720="","",S720+P720)</f>
        <v/>
      </c>
      <c r="U720" s="7">
        <f>IF($X720="","",V720-T720)</f>
        <v/>
      </c>
      <c r="V720" s="7">
        <f>IF($X720="","",O720+R720+M720)</f>
        <v/>
      </c>
      <c r="W720" s="7">
        <f>IF($X720="","",V720-T720-I720)</f>
        <v/>
      </c>
      <c r="X720" s="13">
        <f>IF(ROWS($X$2:$X720)&lt;=MAX('Per Line'!$AL$2:$AL$3001),MATCH(ROWS($X$2:$X720),'Per Line'!$AL$2:$AL$3001,0),"")</f>
        <v/>
      </c>
    </row>
    <row r="721">
      <c r="A721" s="12" t="n"/>
      <c r="B721">
        <f>IF($X721="","",INDEX('Per Line'!$D$2:$D$3001,$X721)&amp;"")</f>
        <v/>
      </c>
      <c r="C721" s="11">
        <f>IF($X721="","",INDEX('Per Line'!$F$2:$F$3001,$X721))</f>
        <v/>
      </c>
      <c r="D721">
        <f>IF($X721="","",INDEX('Per Line'!$G$2:$G$3001,$X721)&amp;"")</f>
        <v/>
      </c>
      <c r="E721">
        <f>IF($X721="","",INDEX('Per Line'!$I$2:$I$3001,$X721)&amp;"")</f>
        <v/>
      </c>
      <c r="F721">
        <f>IF($X721="","",INDEX('Per Line'!$J$2:$J$3001,$X721)&amp;"")</f>
        <v/>
      </c>
      <c r="G721">
        <f>IF($X721="","",INDEX('Per Line'!$K$2:$K$3001,$X721)&amp;"")</f>
        <v/>
      </c>
      <c r="H721">
        <f>IF($X721="","",INDEX('Per Line'!$M$2:$M$3001,$X721))</f>
        <v/>
      </c>
      <c r="I721" s="7">
        <f>IF($X721="","",H721*V721/100)</f>
        <v/>
      </c>
      <c r="J721">
        <f>IF($X721="","",INDEX('Per Line'!$W$2:$W$3001,$X721)&amp;"")</f>
        <v/>
      </c>
      <c r="K721">
        <f>IF($X721="","",INDEX('Per Line'!$AD$2:$AD$3001,$X721))</f>
        <v/>
      </c>
      <c r="L721">
        <f>IF($X721="","",IF(AND(ISNUMBER(K721),K721&gt;0),V721&gt;K721,FALSE))</f>
        <v/>
      </c>
      <c r="M721" s="7">
        <f>IF($X721="","",SUMIFS('Per Line'!$V$2:$V$3001,'Per Line'!$D$2:$D$3001,$B721,'Per Line'!$AN$2:$AN$3001,1))</f>
        <v/>
      </c>
      <c r="N721">
        <f>IF($X721="","",Settings!$C$7)</f>
        <v/>
      </c>
      <c r="O721" s="7">
        <f>IF($X721="","",SUMIFS('Per Line'!$V$2:$V$3001,'Per Line'!$D$2:$D$3001,$B721,'Per Line'!$AM$2:$AM$3001,0,'Per Line'!$AN$2:$AN$3001,0))</f>
        <v/>
      </c>
      <c r="P721" s="7">
        <f>IF($X721="","",O721*N721)</f>
        <v/>
      </c>
      <c r="Q721">
        <f>IF($X721="","",Settings!$C$6)</f>
        <v/>
      </c>
      <c r="R721" s="7">
        <f>IF($X721="","",SUMIFS('Per Line'!$V$2:$V$3001,'Per Line'!$D$2:$D$3001,$B721,'Per Line'!$AM$2:$AM$3001,1,'Per Line'!$AN$2:$AN$3001,0))</f>
        <v/>
      </c>
      <c r="S721" s="7">
        <f>IF($X721="","",R721*Q721)</f>
        <v/>
      </c>
      <c r="T721" s="7">
        <f>IF($X721="","",S721+P721)</f>
        <v/>
      </c>
      <c r="U721" s="7">
        <f>IF($X721="","",V721-T721)</f>
        <v/>
      </c>
      <c r="V721" s="7">
        <f>IF($X721="","",O721+R721+M721)</f>
        <v/>
      </c>
      <c r="W721" s="7">
        <f>IF($X721="","",V721-T721-I721)</f>
        <v/>
      </c>
      <c r="X721" s="13">
        <f>IF(ROWS($X$2:$X721)&lt;=MAX('Per Line'!$AL$2:$AL$3001),MATCH(ROWS($X$2:$X721),'Per Line'!$AL$2:$AL$3001,0),"")</f>
        <v/>
      </c>
    </row>
    <row r="722">
      <c r="A722" s="12" t="n"/>
      <c r="B722">
        <f>IF($X722="","",INDEX('Per Line'!$D$2:$D$3001,$X722)&amp;"")</f>
        <v/>
      </c>
      <c r="C722" s="11">
        <f>IF($X722="","",INDEX('Per Line'!$F$2:$F$3001,$X722))</f>
        <v/>
      </c>
      <c r="D722">
        <f>IF($X722="","",INDEX('Per Line'!$G$2:$G$3001,$X722)&amp;"")</f>
        <v/>
      </c>
      <c r="E722">
        <f>IF($X722="","",INDEX('Per Line'!$I$2:$I$3001,$X722)&amp;"")</f>
        <v/>
      </c>
      <c r="F722">
        <f>IF($X722="","",INDEX('Per Line'!$J$2:$J$3001,$X722)&amp;"")</f>
        <v/>
      </c>
      <c r="G722">
        <f>IF($X722="","",INDEX('Per Line'!$K$2:$K$3001,$X722)&amp;"")</f>
        <v/>
      </c>
      <c r="H722">
        <f>IF($X722="","",INDEX('Per Line'!$M$2:$M$3001,$X722))</f>
        <v/>
      </c>
      <c r="I722" s="7">
        <f>IF($X722="","",H722*V722/100)</f>
        <v/>
      </c>
      <c r="J722">
        <f>IF($X722="","",INDEX('Per Line'!$W$2:$W$3001,$X722)&amp;"")</f>
        <v/>
      </c>
      <c r="K722">
        <f>IF($X722="","",INDEX('Per Line'!$AD$2:$AD$3001,$X722))</f>
        <v/>
      </c>
      <c r="L722">
        <f>IF($X722="","",IF(AND(ISNUMBER(K722),K722&gt;0),V722&gt;K722,FALSE))</f>
        <v/>
      </c>
      <c r="M722" s="7">
        <f>IF($X722="","",SUMIFS('Per Line'!$V$2:$V$3001,'Per Line'!$D$2:$D$3001,$B722,'Per Line'!$AN$2:$AN$3001,1))</f>
        <v/>
      </c>
      <c r="N722">
        <f>IF($X722="","",Settings!$C$7)</f>
        <v/>
      </c>
      <c r="O722" s="7">
        <f>IF($X722="","",SUMIFS('Per Line'!$V$2:$V$3001,'Per Line'!$D$2:$D$3001,$B722,'Per Line'!$AM$2:$AM$3001,0,'Per Line'!$AN$2:$AN$3001,0))</f>
        <v/>
      </c>
      <c r="P722" s="7">
        <f>IF($X722="","",O722*N722)</f>
        <v/>
      </c>
      <c r="Q722">
        <f>IF($X722="","",Settings!$C$6)</f>
        <v/>
      </c>
      <c r="R722" s="7">
        <f>IF($X722="","",SUMIFS('Per Line'!$V$2:$V$3001,'Per Line'!$D$2:$D$3001,$B722,'Per Line'!$AM$2:$AM$3001,1,'Per Line'!$AN$2:$AN$3001,0))</f>
        <v/>
      </c>
      <c r="S722" s="7">
        <f>IF($X722="","",R722*Q722)</f>
        <v/>
      </c>
      <c r="T722" s="7">
        <f>IF($X722="","",S722+P722)</f>
        <v/>
      </c>
      <c r="U722" s="7">
        <f>IF($X722="","",V722-T722)</f>
        <v/>
      </c>
      <c r="V722" s="7">
        <f>IF($X722="","",O722+R722+M722)</f>
        <v/>
      </c>
      <c r="W722" s="7">
        <f>IF($X722="","",V722-T722-I722)</f>
        <v/>
      </c>
      <c r="X722" s="13">
        <f>IF(ROWS($X$2:$X722)&lt;=MAX('Per Line'!$AL$2:$AL$3001),MATCH(ROWS($X$2:$X722),'Per Line'!$AL$2:$AL$3001,0),"")</f>
        <v/>
      </c>
    </row>
    <row r="723">
      <c r="A723" s="12" t="n"/>
      <c r="B723">
        <f>IF($X723="","",INDEX('Per Line'!$D$2:$D$3001,$X723)&amp;"")</f>
        <v/>
      </c>
      <c r="C723" s="11">
        <f>IF($X723="","",INDEX('Per Line'!$F$2:$F$3001,$X723))</f>
        <v/>
      </c>
      <c r="D723">
        <f>IF($X723="","",INDEX('Per Line'!$G$2:$G$3001,$X723)&amp;"")</f>
        <v/>
      </c>
      <c r="E723">
        <f>IF($X723="","",INDEX('Per Line'!$I$2:$I$3001,$X723)&amp;"")</f>
        <v/>
      </c>
      <c r="F723">
        <f>IF($X723="","",INDEX('Per Line'!$J$2:$J$3001,$X723)&amp;"")</f>
        <v/>
      </c>
      <c r="G723">
        <f>IF($X723="","",INDEX('Per Line'!$K$2:$K$3001,$X723)&amp;"")</f>
        <v/>
      </c>
      <c r="H723">
        <f>IF($X723="","",INDEX('Per Line'!$M$2:$M$3001,$X723))</f>
        <v/>
      </c>
      <c r="I723" s="7">
        <f>IF($X723="","",H723*V723/100)</f>
        <v/>
      </c>
      <c r="J723">
        <f>IF($X723="","",INDEX('Per Line'!$W$2:$W$3001,$X723)&amp;"")</f>
        <v/>
      </c>
      <c r="K723">
        <f>IF($X723="","",INDEX('Per Line'!$AD$2:$AD$3001,$X723))</f>
        <v/>
      </c>
      <c r="L723">
        <f>IF($X723="","",IF(AND(ISNUMBER(K723),K723&gt;0),V723&gt;K723,FALSE))</f>
        <v/>
      </c>
      <c r="M723" s="7">
        <f>IF($X723="","",SUMIFS('Per Line'!$V$2:$V$3001,'Per Line'!$D$2:$D$3001,$B723,'Per Line'!$AN$2:$AN$3001,1))</f>
        <v/>
      </c>
      <c r="N723">
        <f>IF($X723="","",Settings!$C$7)</f>
        <v/>
      </c>
      <c r="O723" s="7">
        <f>IF($X723="","",SUMIFS('Per Line'!$V$2:$V$3001,'Per Line'!$D$2:$D$3001,$B723,'Per Line'!$AM$2:$AM$3001,0,'Per Line'!$AN$2:$AN$3001,0))</f>
        <v/>
      </c>
      <c r="P723" s="7">
        <f>IF($X723="","",O723*N723)</f>
        <v/>
      </c>
      <c r="Q723">
        <f>IF($X723="","",Settings!$C$6)</f>
        <v/>
      </c>
      <c r="R723" s="7">
        <f>IF($X723="","",SUMIFS('Per Line'!$V$2:$V$3001,'Per Line'!$D$2:$D$3001,$B723,'Per Line'!$AM$2:$AM$3001,1,'Per Line'!$AN$2:$AN$3001,0))</f>
        <v/>
      </c>
      <c r="S723" s="7">
        <f>IF($X723="","",R723*Q723)</f>
        <v/>
      </c>
      <c r="T723" s="7">
        <f>IF($X723="","",S723+P723)</f>
        <v/>
      </c>
      <c r="U723" s="7">
        <f>IF($X723="","",V723-T723)</f>
        <v/>
      </c>
      <c r="V723" s="7">
        <f>IF($X723="","",O723+R723+M723)</f>
        <v/>
      </c>
      <c r="W723" s="7">
        <f>IF($X723="","",V723-T723-I723)</f>
        <v/>
      </c>
      <c r="X723" s="13">
        <f>IF(ROWS($X$2:$X723)&lt;=MAX('Per Line'!$AL$2:$AL$3001),MATCH(ROWS($X$2:$X723),'Per Line'!$AL$2:$AL$3001,0),"")</f>
        <v/>
      </c>
    </row>
    <row r="724">
      <c r="A724" s="12" t="n"/>
      <c r="B724">
        <f>IF($X724="","",INDEX('Per Line'!$D$2:$D$3001,$X724)&amp;"")</f>
        <v/>
      </c>
      <c r="C724" s="11">
        <f>IF($X724="","",INDEX('Per Line'!$F$2:$F$3001,$X724))</f>
        <v/>
      </c>
      <c r="D724">
        <f>IF($X724="","",INDEX('Per Line'!$G$2:$G$3001,$X724)&amp;"")</f>
        <v/>
      </c>
      <c r="E724">
        <f>IF($X724="","",INDEX('Per Line'!$I$2:$I$3001,$X724)&amp;"")</f>
        <v/>
      </c>
      <c r="F724">
        <f>IF($X724="","",INDEX('Per Line'!$J$2:$J$3001,$X724)&amp;"")</f>
        <v/>
      </c>
      <c r="G724">
        <f>IF($X724="","",INDEX('Per Line'!$K$2:$K$3001,$X724)&amp;"")</f>
        <v/>
      </c>
      <c r="H724">
        <f>IF($X724="","",INDEX('Per Line'!$M$2:$M$3001,$X724))</f>
        <v/>
      </c>
      <c r="I724" s="7">
        <f>IF($X724="","",H724*V724/100)</f>
        <v/>
      </c>
      <c r="J724">
        <f>IF($X724="","",INDEX('Per Line'!$W$2:$W$3001,$X724)&amp;"")</f>
        <v/>
      </c>
      <c r="K724">
        <f>IF($X724="","",INDEX('Per Line'!$AD$2:$AD$3001,$X724))</f>
        <v/>
      </c>
      <c r="L724">
        <f>IF($X724="","",IF(AND(ISNUMBER(K724),K724&gt;0),V724&gt;K724,FALSE))</f>
        <v/>
      </c>
      <c r="M724" s="7">
        <f>IF($X724="","",SUMIFS('Per Line'!$V$2:$V$3001,'Per Line'!$D$2:$D$3001,$B724,'Per Line'!$AN$2:$AN$3001,1))</f>
        <v/>
      </c>
      <c r="N724">
        <f>IF($X724="","",Settings!$C$7)</f>
        <v/>
      </c>
      <c r="O724" s="7">
        <f>IF($X724="","",SUMIFS('Per Line'!$V$2:$V$3001,'Per Line'!$D$2:$D$3001,$B724,'Per Line'!$AM$2:$AM$3001,0,'Per Line'!$AN$2:$AN$3001,0))</f>
        <v/>
      </c>
      <c r="P724" s="7">
        <f>IF($X724="","",O724*N724)</f>
        <v/>
      </c>
      <c r="Q724">
        <f>IF($X724="","",Settings!$C$6)</f>
        <v/>
      </c>
      <c r="R724" s="7">
        <f>IF($X724="","",SUMIFS('Per Line'!$V$2:$V$3001,'Per Line'!$D$2:$D$3001,$B724,'Per Line'!$AM$2:$AM$3001,1,'Per Line'!$AN$2:$AN$3001,0))</f>
        <v/>
      </c>
      <c r="S724" s="7">
        <f>IF($X724="","",R724*Q724)</f>
        <v/>
      </c>
      <c r="T724" s="7">
        <f>IF($X724="","",S724+P724)</f>
        <v/>
      </c>
      <c r="U724" s="7">
        <f>IF($X724="","",V724-T724)</f>
        <v/>
      </c>
      <c r="V724" s="7">
        <f>IF($X724="","",O724+R724+M724)</f>
        <v/>
      </c>
      <c r="W724" s="7">
        <f>IF($X724="","",V724-T724-I724)</f>
        <v/>
      </c>
      <c r="X724" s="13">
        <f>IF(ROWS($X$2:$X724)&lt;=MAX('Per Line'!$AL$2:$AL$3001),MATCH(ROWS($X$2:$X724),'Per Line'!$AL$2:$AL$3001,0),"")</f>
        <v/>
      </c>
    </row>
    <row r="725">
      <c r="A725" s="12" t="n"/>
      <c r="B725">
        <f>IF($X725="","",INDEX('Per Line'!$D$2:$D$3001,$X725)&amp;"")</f>
        <v/>
      </c>
      <c r="C725" s="11">
        <f>IF($X725="","",INDEX('Per Line'!$F$2:$F$3001,$X725))</f>
        <v/>
      </c>
      <c r="D725">
        <f>IF($X725="","",INDEX('Per Line'!$G$2:$G$3001,$X725)&amp;"")</f>
        <v/>
      </c>
      <c r="E725">
        <f>IF($X725="","",INDEX('Per Line'!$I$2:$I$3001,$X725)&amp;"")</f>
        <v/>
      </c>
      <c r="F725">
        <f>IF($X725="","",INDEX('Per Line'!$J$2:$J$3001,$X725)&amp;"")</f>
        <v/>
      </c>
      <c r="G725">
        <f>IF($X725="","",INDEX('Per Line'!$K$2:$K$3001,$X725)&amp;"")</f>
        <v/>
      </c>
      <c r="H725">
        <f>IF($X725="","",INDEX('Per Line'!$M$2:$M$3001,$X725))</f>
        <v/>
      </c>
      <c r="I725" s="7">
        <f>IF($X725="","",H725*V725/100)</f>
        <v/>
      </c>
      <c r="J725">
        <f>IF($X725="","",INDEX('Per Line'!$W$2:$W$3001,$X725)&amp;"")</f>
        <v/>
      </c>
      <c r="K725">
        <f>IF($X725="","",INDEX('Per Line'!$AD$2:$AD$3001,$X725))</f>
        <v/>
      </c>
      <c r="L725">
        <f>IF($X725="","",IF(AND(ISNUMBER(K725),K725&gt;0),V725&gt;K725,FALSE))</f>
        <v/>
      </c>
      <c r="M725" s="7">
        <f>IF($X725="","",SUMIFS('Per Line'!$V$2:$V$3001,'Per Line'!$D$2:$D$3001,$B725,'Per Line'!$AN$2:$AN$3001,1))</f>
        <v/>
      </c>
      <c r="N725">
        <f>IF($X725="","",Settings!$C$7)</f>
        <v/>
      </c>
      <c r="O725" s="7">
        <f>IF($X725="","",SUMIFS('Per Line'!$V$2:$V$3001,'Per Line'!$D$2:$D$3001,$B725,'Per Line'!$AM$2:$AM$3001,0,'Per Line'!$AN$2:$AN$3001,0))</f>
        <v/>
      </c>
      <c r="P725" s="7">
        <f>IF($X725="","",O725*N725)</f>
        <v/>
      </c>
      <c r="Q725">
        <f>IF($X725="","",Settings!$C$6)</f>
        <v/>
      </c>
      <c r="R725" s="7">
        <f>IF($X725="","",SUMIFS('Per Line'!$V$2:$V$3001,'Per Line'!$D$2:$D$3001,$B725,'Per Line'!$AM$2:$AM$3001,1,'Per Line'!$AN$2:$AN$3001,0))</f>
        <v/>
      </c>
      <c r="S725" s="7">
        <f>IF($X725="","",R725*Q725)</f>
        <v/>
      </c>
      <c r="T725" s="7">
        <f>IF($X725="","",S725+P725)</f>
        <v/>
      </c>
      <c r="U725" s="7">
        <f>IF($X725="","",V725-T725)</f>
        <v/>
      </c>
      <c r="V725" s="7">
        <f>IF($X725="","",O725+R725+M725)</f>
        <v/>
      </c>
      <c r="W725" s="7">
        <f>IF($X725="","",V725-T725-I725)</f>
        <v/>
      </c>
      <c r="X725" s="13">
        <f>IF(ROWS($X$2:$X725)&lt;=MAX('Per Line'!$AL$2:$AL$3001),MATCH(ROWS($X$2:$X725),'Per Line'!$AL$2:$AL$3001,0),"")</f>
        <v/>
      </c>
    </row>
    <row r="726">
      <c r="A726" s="12" t="n"/>
      <c r="B726">
        <f>IF($X726="","",INDEX('Per Line'!$D$2:$D$3001,$X726)&amp;"")</f>
        <v/>
      </c>
      <c r="C726" s="11">
        <f>IF($X726="","",INDEX('Per Line'!$F$2:$F$3001,$X726))</f>
        <v/>
      </c>
      <c r="D726">
        <f>IF($X726="","",INDEX('Per Line'!$G$2:$G$3001,$X726)&amp;"")</f>
        <v/>
      </c>
      <c r="E726">
        <f>IF($X726="","",INDEX('Per Line'!$I$2:$I$3001,$X726)&amp;"")</f>
        <v/>
      </c>
      <c r="F726">
        <f>IF($X726="","",INDEX('Per Line'!$J$2:$J$3001,$X726)&amp;"")</f>
        <v/>
      </c>
      <c r="G726">
        <f>IF($X726="","",INDEX('Per Line'!$K$2:$K$3001,$X726)&amp;"")</f>
        <v/>
      </c>
      <c r="H726">
        <f>IF($X726="","",INDEX('Per Line'!$M$2:$M$3001,$X726))</f>
        <v/>
      </c>
      <c r="I726" s="7">
        <f>IF($X726="","",H726*V726/100)</f>
        <v/>
      </c>
      <c r="J726">
        <f>IF($X726="","",INDEX('Per Line'!$W$2:$W$3001,$X726)&amp;"")</f>
        <v/>
      </c>
      <c r="K726">
        <f>IF($X726="","",INDEX('Per Line'!$AD$2:$AD$3001,$X726))</f>
        <v/>
      </c>
      <c r="L726">
        <f>IF($X726="","",IF(AND(ISNUMBER(K726),K726&gt;0),V726&gt;K726,FALSE))</f>
        <v/>
      </c>
      <c r="M726" s="7">
        <f>IF($X726="","",SUMIFS('Per Line'!$V$2:$V$3001,'Per Line'!$D$2:$D$3001,$B726,'Per Line'!$AN$2:$AN$3001,1))</f>
        <v/>
      </c>
      <c r="N726">
        <f>IF($X726="","",Settings!$C$7)</f>
        <v/>
      </c>
      <c r="O726" s="7">
        <f>IF($X726="","",SUMIFS('Per Line'!$V$2:$V$3001,'Per Line'!$D$2:$D$3001,$B726,'Per Line'!$AM$2:$AM$3001,0,'Per Line'!$AN$2:$AN$3001,0))</f>
        <v/>
      </c>
      <c r="P726" s="7">
        <f>IF($X726="","",O726*N726)</f>
        <v/>
      </c>
      <c r="Q726">
        <f>IF($X726="","",Settings!$C$6)</f>
        <v/>
      </c>
      <c r="R726" s="7">
        <f>IF($X726="","",SUMIFS('Per Line'!$V$2:$V$3001,'Per Line'!$D$2:$D$3001,$B726,'Per Line'!$AM$2:$AM$3001,1,'Per Line'!$AN$2:$AN$3001,0))</f>
        <v/>
      </c>
      <c r="S726" s="7">
        <f>IF($X726="","",R726*Q726)</f>
        <v/>
      </c>
      <c r="T726" s="7">
        <f>IF($X726="","",S726+P726)</f>
        <v/>
      </c>
      <c r="U726" s="7">
        <f>IF($X726="","",V726-T726)</f>
        <v/>
      </c>
      <c r="V726" s="7">
        <f>IF($X726="","",O726+R726+M726)</f>
        <v/>
      </c>
      <c r="W726" s="7">
        <f>IF($X726="","",V726-T726-I726)</f>
        <v/>
      </c>
      <c r="X726" s="13">
        <f>IF(ROWS($X$2:$X726)&lt;=MAX('Per Line'!$AL$2:$AL$3001),MATCH(ROWS($X$2:$X726),'Per Line'!$AL$2:$AL$3001,0),"")</f>
        <v/>
      </c>
    </row>
    <row r="727">
      <c r="A727" s="12" t="n"/>
      <c r="B727">
        <f>IF($X727="","",INDEX('Per Line'!$D$2:$D$3001,$X727)&amp;"")</f>
        <v/>
      </c>
      <c r="C727" s="11">
        <f>IF($X727="","",INDEX('Per Line'!$F$2:$F$3001,$X727))</f>
        <v/>
      </c>
      <c r="D727">
        <f>IF($X727="","",INDEX('Per Line'!$G$2:$G$3001,$X727)&amp;"")</f>
        <v/>
      </c>
      <c r="E727">
        <f>IF($X727="","",INDEX('Per Line'!$I$2:$I$3001,$X727)&amp;"")</f>
        <v/>
      </c>
      <c r="F727">
        <f>IF($X727="","",INDEX('Per Line'!$J$2:$J$3001,$X727)&amp;"")</f>
        <v/>
      </c>
      <c r="G727">
        <f>IF($X727="","",INDEX('Per Line'!$K$2:$K$3001,$X727)&amp;"")</f>
        <v/>
      </c>
      <c r="H727">
        <f>IF($X727="","",INDEX('Per Line'!$M$2:$M$3001,$X727))</f>
        <v/>
      </c>
      <c r="I727" s="7">
        <f>IF($X727="","",H727*V727/100)</f>
        <v/>
      </c>
      <c r="J727">
        <f>IF($X727="","",INDEX('Per Line'!$W$2:$W$3001,$X727)&amp;"")</f>
        <v/>
      </c>
      <c r="K727">
        <f>IF($X727="","",INDEX('Per Line'!$AD$2:$AD$3001,$X727))</f>
        <v/>
      </c>
      <c r="L727">
        <f>IF($X727="","",IF(AND(ISNUMBER(K727),K727&gt;0),V727&gt;K727,FALSE))</f>
        <v/>
      </c>
      <c r="M727" s="7">
        <f>IF($X727="","",SUMIFS('Per Line'!$V$2:$V$3001,'Per Line'!$D$2:$D$3001,$B727,'Per Line'!$AN$2:$AN$3001,1))</f>
        <v/>
      </c>
      <c r="N727">
        <f>IF($X727="","",Settings!$C$7)</f>
        <v/>
      </c>
      <c r="O727" s="7">
        <f>IF($X727="","",SUMIFS('Per Line'!$V$2:$V$3001,'Per Line'!$D$2:$D$3001,$B727,'Per Line'!$AM$2:$AM$3001,0,'Per Line'!$AN$2:$AN$3001,0))</f>
        <v/>
      </c>
      <c r="P727" s="7">
        <f>IF($X727="","",O727*N727)</f>
        <v/>
      </c>
      <c r="Q727">
        <f>IF($X727="","",Settings!$C$6)</f>
        <v/>
      </c>
      <c r="R727" s="7">
        <f>IF($X727="","",SUMIFS('Per Line'!$V$2:$V$3001,'Per Line'!$D$2:$D$3001,$B727,'Per Line'!$AM$2:$AM$3001,1,'Per Line'!$AN$2:$AN$3001,0))</f>
        <v/>
      </c>
      <c r="S727" s="7">
        <f>IF($X727="","",R727*Q727)</f>
        <v/>
      </c>
      <c r="T727" s="7">
        <f>IF($X727="","",S727+P727)</f>
        <v/>
      </c>
      <c r="U727" s="7">
        <f>IF($X727="","",V727-T727)</f>
        <v/>
      </c>
      <c r="V727" s="7">
        <f>IF($X727="","",O727+R727+M727)</f>
        <v/>
      </c>
      <c r="W727" s="7">
        <f>IF($X727="","",V727-T727-I727)</f>
        <v/>
      </c>
      <c r="X727" s="13">
        <f>IF(ROWS($X$2:$X727)&lt;=MAX('Per Line'!$AL$2:$AL$3001),MATCH(ROWS($X$2:$X727),'Per Line'!$AL$2:$AL$3001,0),"")</f>
        <v/>
      </c>
    </row>
    <row r="728">
      <c r="A728" s="12" t="n"/>
      <c r="B728">
        <f>IF($X728="","",INDEX('Per Line'!$D$2:$D$3001,$X728)&amp;"")</f>
        <v/>
      </c>
      <c r="C728" s="11">
        <f>IF($X728="","",INDEX('Per Line'!$F$2:$F$3001,$X728))</f>
        <v/>
      </c>
      <c r="D728">
        <f>IF($X728="","",INDEX('Per Line'!$G$2:$G$3001,$X728)&amp;"")</f>
        <v/>
      </c>
      <c r="E728">
        <f>IF($X728="","",INDEX('Per Line'!$I$2:$I$3001,$X728)&amp;"")</f>
        <v/>
      </c>
      <c r="F728">
        <f>IF($X728="","",INDEX('Per Line'!$J$2:$J$3001,$X728)&amp;"")</f>
        <v/>
      </c>
      <c r="G728">
        <f>IF($X728="","",INDEX('Per Line'!$K$2:$K$3001,$X728)&amp;"")</f>
        <v/>
      </c>
      <c r="H728">
        <f>IF($X728="","",INDEX('Per Line'!$M$2:$M$3001,$X728))</f>
        <v/>
      </c>
      <c r="I728" s="7">
        <f>IF($X728="","",H728*V728/100)</f>
        <v/>
      </c>
      <c r="J728">
        <f>IF($X728="","",INDEX('Per Line'!$W$2:$W$3001,$X728)&amp;"")</f>
        <v/>
      </c>
      <c r="K728">
        <f>IF($X728="","",INDEX('Per Line'!$AD$2:$AD$3001,$X728))</f>
        <v/>
      </c>
      <c r="L728">
        <f>IF($X728="","",IF(AND(ISNUMBER(K728),K728&gt;0),V728&gt;K728,FALSE))</f>
        <v/>
      </c>
      <c r="M728" s="7">
        <f>IF($X728="","",SUMIFS('Per Line'!$V$2:$V$3001,'Per Line'!$D$2:$D$3001,$B728,'Per Line'!$AN$2:$AN$3001,1))</f>
        <v/>
      </c>
      <c r="N728">
        <f>IF($X728="","",Settings!$C$7)</f>
        <v/>
      </c>
      <c r="O728" s="7">
        <f>IF($X728="","",SUMIFS('Per Line'!$V$2:$V$3001,'Per Line'!$D$2:$D$3001,$B728,'Per Line'!$AM$2:$AM$3001,0,'Per Line'!$AN$2:$AN$3001,0))</f>
        <v/>
      </c>
      <c r="P728" s="7">
        <f>IF($X728="","",O728*N728)</f>
        <v/>
      </c>
      <c r="Q728">
        <f>IF($X728="","",Settings!$C$6)</f>
        <v/>
      </c>
      <c r="R728" s="7">
        <f>IF($X728="","",SUMIFS('Per Line'!$V$2:$V$3001,'Per Line'!$D$2:$D$3001,$B728,'Per Line'!$AM$2:$AM$3001,1,'Per Line'!$AN$2:$AN$3001,0))</f>
        <v/>
      </c>
      <c r="S728" s="7">
        <f>IF($X728="","",R728*Q728)</f>
        <v/>
      </c>
      <c r="T728" s="7">
        <f>IF($X728="","",S728+P728)</f>
        <v/>
      </c>
      <c r="U728" s="7">
        <f>IF($X728="","",V728-T728)</f>
        <v/>
      </c>
      <c r="V728" s="7">
        <f>IF($X728="","",O728+R728+M728)</f>
        <v/>
      </c>
      <c r="W728" s="7">
        <f>IF($X728="","",V728-T728-I728)</f>
        <v/>
      </c>
      <c r="X728" s="13">
        <f>IF(ROWS($X$2:$X728)&lt;=MAX('Per Line'!$AL$2:$AL$3001),MATCH(ROWS($X$2:$X728),'Per Line'!$AL$2:$AL$3001,0),"")</f>
        <v/>
      </c>
    </row>
    <row r="729">
      <c r="A729" s="12" t="n"/>
      <c r="B729">
        <f>IF($X729="","",INDEX('Per Line'!$D$2:$D$3001,$X729)&amp;"")</f>
        <v/>
      </c>
      <c r="C729" s="11">
        <f>IF($X729="","",INDEX('Per Line'!$F$2:$F$3001,$X729))</f>
        <v/>
      </c>
      <c r="D729">
        <f>IF($X729="","",INDEX('Per Line'!$G$2:$G$3001,$X729)&amp;"")</f>
        <v/>
      </c>
      <c r="E729">
        <f>IF($X729="","",INDEX('Per Line'!$I$2:$I$3001,$X729)&amp;"")</f>
        <v/>
      </c>
      <c r="F729">
        <f>IF($X729="","",INDEX('Per Line'!$J$2:$J$3001,$X729)&amp;"")</f>
        <v/>
      </c>
      <c r="G729">
        <f>IF($X729="","",INDEX('Per Line'!$K$2:$K$3001,$X729)&amp;"")</f>
        <v/>
      </c>
      <c r="H729">
        <f>IF($X729="","",INDEX('Per Line'!$M$2:$M$3001,$X729))</f>
        <v/>
      </c>
      <c r="I729" s="7">
        <f>IF($X729="","",H729*V729/100)</f>
        <v/>
      </c>
      <c r="J729">
        <f>IF($X729="","",INDEX('Per Line'!$W$2:$W$3001,$X729)&amp;"")</f>
        <v/>
      </c>
      <c r="K729">
        <f>IF($X729="","",INDEX('Per Line'!$AD$2:$AD$3001,$X729))</f>
        <v/>
      </c>
      <c r="L729">
        <f>IF($X729="","",IF(AND(ISNUMBER(K729),K729&gt;0),V729&gt;K729,FALSE))</f>
        <v/>
      </c>
      <c r="M729" s="7">
        <f>IF($X729="","",SUMIFS('Per Line'!$V$2:$V$3001,'Per Line'!$D$2:$D$3001,$B729,'Per Line'!$AN$2:$AN$3001,1))</f>
        <v/>
      </c>
      <c r="N729">
        <f>IF($X729="","",Settings!$C$7)</f>
        <v/>
      </c>
      <c r="O729" s="7">
        <f>IF($X729="","",SUMIFS('Per Line'!$V$2:$V$3001,'Per Line'!$D$2:$D$3001,$B729,'Per Line'!$AM$2:$AM$3001,0,'Per Line'!$AN$2:$AN$3001,0))</f>
        <v/>
      </c>
      <c r="P729" s="7">
        <f>IF($X729="","",O729*N729)</f>
        <v/>
      </c>
      <c r="Q729">
        <f>IF($X729="","",Settings!$C$6)</f>
        <v/>
      </c>
      <c r="R729" s="7">
        <f>IF($X729="","",SUMIFS('Per Line'!$V$2:$V$3001,'Per Line'!$D$2:$D$3001,$B729,'Per Line'!$AM$2:$AM$3001,1,'Per Line'!$AN$2:$AN$3001,0))</f>
        <v/>
      </c>
      <c r="S729" s="7">
        <f>IF($X729="","",R729*Q729)</f>
        <v/>
      </c>
      <c r="T729" s="7">
        <f>IF($X729="","",S729+P729)</f>
        <v/>
      </c>
      <c r="U729" s="7">
        <f>IF($X729="","",V729-T729)</f>
        <v/>
      </c>
      <c r="V729" s="7">
        <f>IF($X729="","",O729+R729+M729)</f>
        <v/>
      </c>
      <c r="W729" s="7">
        <f>IF($X729="","",V729-T729-I729)</f>
        <v/>
      </c>
      <c r="X729" s="13">
        <f>IF(ROWS($X$2:$X729)&lt;=MAX('Per Line'!$AL$2:$AL$3001),MATCH(ROWS($X$2:$X729),'Per Line'!$AL$2:$AL$3001,0),"")</f>
        <v/>
      </c>
    </row>
    <row r="730">
      <c r="A730" s="12" t="n"/>
      <c r="B730">
        <f>IF($X730="","",INDEX('Per Line'!$D$2:$D$3001,$X730)&amp;"")</f>
        <v/>
      </c>
      <c r="C730" s="11">
        <f>IF($X730="","",INDEX('Per Line'!$F$2:$F$3001,$X730))</f>
        <v/>
      </c>
      <c r="D730">
        <f>IF($X730="","",INDEX('Per Line'!$G$2:$G$3001,$X730)&amp;"")</f>
        <v/>
      </c>
      <c r="E730">
        <f>IF($X730="","",INDEX('Per Line'!$I$2:$I$3001,$X730)&amp;"")</f>
        <v/>
      </c>
      <c r="F730">
        <f>IF($X730="","",INDEX('Per Line'!$J$2:$J$3001,$X730)&amp;"")</f>
        <v/>
      </c>
      <c r="G730">
        <f>IF($X730="","",INDEX('Per Line'!$K$2:$K$3001,$X730)&amp;"")</f>
        <v/>
      </c>
      <c r="H730">
        <f>IF($X730="","",INDEX('Per Line'!$M$2:$M$3001,$X730))</f>
        <v/>
      </c>
      <c r="I730" s="7">
        <f>IF($X730="","",H730*V730/100)</f>
        <v/>
      </c>
      <c r="J730">
        <f>IF($X730="","",INDEX('Per Line'!$W$2:$W$3001,$X730)&amp;"")</f>
        <v/>
      </c>
      <c r="K730">
        <f>IF($X730="","",INDEX('Per Line'!$AD$2:$AD$3001,$X730))</f>
        <v/>
      </c>
      <c r="L730">
        <f>IF($X730="","",IF(AND(ISNUMBER(K730),K730&gt;0),V730&gt;K730,FALSE))</f>
        <v/>
      </c>
      <c r="M730" s="7">
        <f>IF($X730="","",SUMIFS('Per Line'!$V$2:$V$3001,'Per Line'!$D$2:$D$3001,$B730,'Per Line'!$AN$2:$AN$3001,1))</f>
        <v/>
      </c>
      <c r="N730">
        <f>IF($X730="","",Settings!$C$7)</f>
        <v/>
      </c>
      <c r="O730" s="7">
        <f>IF($X730="","",SUMIFS('Per Line'!$V$2:$V$3001,'Per Line'!$D$2:$D$3001,$B730,'Per Line'!$AM$2:$AM$3001,0,'Per Line'!$AN$2:$AN$3001,0))</f>
        <v/>
      </c>
      <c r="P730" s="7">
        <f>IF($X730="","",O730*N730)</f>
        <v/>
      </c>
      <c r="Q730">
        <f>IF($X730="","",Settings!$C$6)</f>
        <v/>
      </c>
      <c r="R730" s="7">
        <f>IF($X730="","",SUMIFS('Per Line'!$V$2:$V$3001,'Per Line'!$D$2:$D$3001,$B730,'Per Line'!$AM$2:$AM$3001,1,'Per Line'!$AN$2:$AN$3001,0))</f>
        <v/>
      </c>
      <c r="S730" s="7">
        <f>IF($X730="","",R730*Q730)</f>
        <v/>
      </c>
      <c r="T730" s="7">
        <f>IF($X730="","",S730+P730)</f>
        <v/>
      </c>
      <c r="U730" s="7">
        <f>IF($X730="","",V730-T730)</f>
        <v/>
      </c>
      <c r="V730" s="7">
        <f>IF($X730="","",O730+R730+M730)</f>
        <v/>
      </c>
      <c r="W730" s="7">
        <f>IF($X730="","",V730-T730-I730)</f>
        <v/>
      </c>
      <c r="X730" s="13">
        <f>IF(ROWS($X$2:$X730)&lt;=MAX('Per Line'!$AL$2:$AL$3001),MATCH(ROWS($X$2:$X730),'Per Line'!$AL$2:$AL$3001,0),"")</f>
        <v/>
      </c>
    </row>
    <row r="731">
      <c r="A731" s="12" t="n"/>
      <c r="B731">
        <f>IF($X731="","",INDEX('Per Line'!$D$2:$D$3001,$X731)&amp;"")</f>
        <v/>
      </c>
      <c r="C731" s="11">
        <f>IF($X731="","",INDEX('Per Line'!$F$2:$F$3001,$X731))</f>
        <v/>
      </c>
      <c r="D731">
        <f>IF($X731="","",INDEX('Per Line'!$G$2:$G$3001,$X731)&amp;"")</f>
        <v/>
      </c>
      <c r="E731">
        <f>IF($X731="","",INDEX('Per Line'!$I$2:$I$3001,$X731)&amp;"")</f>
        <v/>
      </c>
      <c r="F731">
        <f>IF($X731="","",INDEX('Per Line'!$J$2:$J$3001,$X731)&amp;"")</f>
        <v/>
      </c>
      <c r="G731">
        <f>IF($X731="","",INDEX('Per Line'!$K$2:$K$3001,$X731)&amp;"")</f>
        <v/>
      </c>
      <c r="H731">
        <f>IF($X731="","",INDEX('Per Line'!$M$2:$M$3001,$X731))</f>
        <v/>
      </c>
      <c r="I731" s="7">
        <f>IF($X731="","",H731*V731/100)</f>
        <v/>
      </c>
      <c r="J731">
        <f>IF($X731="","",INDEX('Per Line'!$W$2:$W$3001,$X731)&amp;"")</f>
        <v/>
      </c>
      <c r="K731">
        <f>IF($X731="","",INDEX('Per Line'!$AD$2:$AD$3001,$X731))</f>
        <v/>
      </c>
      <c r="L731">
        <f>IF($X731="","",IF(AND(ISNUMBER(K731),K731&gt;0),V731&gt;K731,FALSE))</f>
        <v/>
      </c>
      <c r="M731" s="7">
        <f>IF($X731="","",SUMIFS('Per Line'!$V$2:$V$3001,'Per Line'!$D$2:$D$3001,$B731,'Per Line'!$AN$2:$AN$3001,1))</f>
        <v/>
      </c>
      <c r="N731">
        <f>IF($X731="","",Settings!$C$7)</f>
        <v/>
      </c>
      <c r="O731" s="7">
        <f>IF($X731="","",SUMIFS('Per Line'!$V$2:$V$3001,'Per Line'!$D$2:$D$3001,$B731,'Per Line'!$AM$2:$AM$3001,0,'Per Line'!$AN$2:$AN$3001,0))</f>
        <v/>
      </c>
      <c r="P731" s="7">
        <f>IF($X731="","",O731*N731)</f>
        <v/>
      </c>
      <c r="Q731">
        <f>IF($X731="","",Settings!$C$6)</f>
        <v/>
      </c>
      <c r="R731" s="7">
        <f>IF($X731="","",SUMIFS('Per Line'!$V$2:$V$3001,'Per Line'!$D$2:$D$3001,$B731,'Per Line'!$AM$2:$AM$3001,1,'Per Line'!$AN$2:$AN$3001,0))</f>
        <v/>
      </c>
      <c r="S731" s="7">
        <f>IF($X731="","",R731*Q731)</f>
        <v/>
      </c>
      <c r="T731" s="7">
        <f>IF($X731="","",S731+P731)</f>
        <v/>
      </c>
      <c r="U731" s="7">
        <f>IF($X731="","",V731-T731)</f>
        <v/>
      </c>
      <c r="V731" s="7">
        <f>IF($X731="","",O731+R731+M731)</f>
        <v/>
      </c>
      <c r="W731" s="7">
        <f>IF($X731="","",V731-T731-I731)</f>
        <v/>
      </c>
      <c r="X731" s="13">
        <f>IF(ROWS($X$2:$X731)&lt;=MAX('Per Line'!$AL$2:$AL$3001),MATCH(ROWS($X$2:$X731),'Per Line'!$AL$2:$AL$3001,0),"")</f>
        <v/>
      </c>
    </row>
    <row r="732">
      <c r="A732" s="12" t="n"/>
      <c r="B732">
        <f>IF($X732="","",INDEX('Per Line'!$D$2:$D$3001,$X732)&amp;"")</f>
        <v/>
      </c>
      <c r="C732" s="11">
        <f>IF($X732="","",INDEX('Per Line'!$F$2:$F$3001,$X732))</f>
        <v/>
      </c>
      <c r="D732">
        <f>IF($X732="","",INDEX('Per Line'!$G$2:$G$3001,$X732)&amp;"")</f>
        <v/>
      </c>
      <c r="E732">
        <f>IF($X732="","",INDEX('Per Line'!$I$2:$I$3001,$X732)&amp;"")</f>
        <v/>
      </c>
      <c r="F732">
        <f>IF($X732="","",INDEX('Per Line'!$J$2:$J$3001,$X732)&amp;"")</f>
        <v/>
      </c>
      <c r="G732">
        <f>IF($X732="","",INDEX('Per Line'!$K$2:$K$3001,$X732)&amp;"")</f>
        <v/>
      </c>
      <c r="H732">
        <f>IF($X732="","",INDEX('Per Line'!$M$2:$M$3001,$X732))</f>
        <v/>
      </c>
      <c r="I732" s="7">
        <f>IF($X732="","",H732*V732/100)</f>
        <v/>
      </c>
      <c r="J732">
        <f>IF($X732="","",INDEX('Per Line'!$W$2:$W$3001,$X732)&amp;"")</f>
        <v/>
      </c>
      <c r="K732">
        <f>IF($X732="","",INDEX('Per Line'!$AD$2:$AD$3001,$X732))</f>
        <v/>
      </c>
      <c r="L732">
        <f>IF($X732="","",IF(AND(ISNUMBER(K732),K732&gt;0),V732&gt;K732,FALSE))</f>
        <v/>
      </c>
      <c r="M732" s="7">
        <f>IF($X732="","",SUMIFS('Per Line'!$V$2:$V$3001,'Per Line'!$D$2:$D$3001,$B732,'Per Line'!$AN$2:$AN$3001,1))</f>
        <v/>
      </c>
      <c r="N732">
        <f>IF($X732="","",Settings!$C$7)</f>
        <v/>
      </c>
      <c r="O732" s="7">
        <f>IF($X732="","",SUMIFS('Per Line'!$V$2:$V$3001,'Per Line'!$D$2:$D$3001,$B732,'Per Line'!$AM$2:$AM$3001,0,'Per Line'!$AN$2:$AN$3001,0))</f>
        <v/>
      </c>
      <c r="P732" s="7">
        <f>IF($X732="","",O732*N732)</f>
        <v/>
      </c>
      <c r="Q732">
        <f>IF($X732="","",Settings!$C$6)</f>
        <v/>
      </c>
      <c r="R732" s="7">
        <f>IF($X732="","",SUMIFS('Per Line'!$V$2:$V$3001,'Per Line'!$D$2:$D$3001,$B732,'Per Line'!$AM$2:$AM$3001,1,'Per Line'!$AN$2:$AN$3001,0))</f>
        <v/>
      </c>
      <c r="S732" s="7">
        <f>IF($X732="","",R732*Q732)</f>
        <v/>
      </c>
      <c r="T732" s="7">
        <f>IF($X732="","",S732+P732)</f>
        <v/>
      </c>
      <c r="U732" s="7">
        <f>IF($X732="","",V732-T732)</f>
        <v/>
      </c>
      <c r="V732" s="7">
        <f>IF($X732="","",O732+R732+M732)</f>
        <v/>
      </c>
      <c r="W732" s="7">
        <f>IF($X732="","",V732-T732-I732)</f>
        <v/>
      </c>
      <c r="X732" s="13">
        <f>IF(ROWS($X$2:$X732)&lt;=MAX('Per Line'!$AL$2:$AL$3001),MATCH(ROWS($X$2:$X732),'Per Line'!$AL$2:$AL$3001,0),"")</f>
        <v/>
      </c>
    </row>
    <row r="733">
      <c r="A733" s="12" t="n"/>
      <c r="B733">
        <f>IF($X733="","",INDEX('Per Line'!$D$2:$D$3001,$X733)&amp;"")</f>
        <v/>
      </c>
      <c r="C733" s="11">
        <f>IF($X733="","",INDEX('Per Line'!$F$2:$F$3001,$X733))</f>
        <v/>
      </c>
      <c r="D733">
        <f>IF($X733="","",INDEX('Per Line'!$G$2:$G$3001,$X733)&amp;"")</f>
        <v/>
      </c>
      <c r="E733">
        <f>IF($X733="","",INDEX('Per Line'!$I$2:$I$3001,$X733)&amp;"")</f>
        <v/>
      </c>
      <c r="F733">
        <f>IF($X733="","",INDEX('Per Line'!$J$2:$J$3001,$X733)&amp;"")</f>
        <v/>
      </c>
      <c r="G733">
        <f>IF($X733="","",INDEX('Per Line'!$K$2:$K$3001,$X733)&amp;"")</f>
        <v/>
      </c>
      <c r="H733">
        <f>IF($X733="","",INDEX('Per Line'!$M$2:$M$3001,$X733))</f>
        <v/>
      </c>
      <c r="I733" s="7">
        <f>IF($X733="","",H733*V733/100)</f>
        <v/>
      </c>
      <c r="J733">
        <f>IF($X733="","",INDEX('Per Line'!$W$2:$W$3001,$X733)&amp;"")</f>
        <v/>
      </c>
      <c r="K733">
        <f>IF($X733="","",INDEX('Per Line'!$AD$2:$AD$3001,$X733))</f>
        <v/>
      </c>
      <c r="L733">
        <f>IF($X733="","",IF(AND(ISNUMBER(K733),K733&gt;0),V733&gt;K733,FALSE))</f>
        <v/>
      </c>
      <c r="M733" s="7">
        <f>IF($X733="","",SUMIFS('Per Line'!$V$2:$V$3001,'Per Line'!$D$2:$D$3001,$B733,'Per Line'!$AN$2:$AN$3001,1))</f>
        <v/>
      </c>
      <c r="N733">
        <f>IF($X733="","",Settings!$C$7)</f>
        <v/>
      </c>
      <c r="O733" s="7">
        <f>IF($X733="","",SUMIFS('Per Line'!$V$2:$V$3001,'Per Line'!$D$2:$D$3001,$B733,'Per Line'!$AM$2:$AM$3001,0,'Per Line'!$AN$2:$AN$3001,0))</f>
        <v/>
      </c>
      <c r="P733" s="7">
        <f>IF($X733="","",O733*N733)</f>
        <v/>
      </c>
      <c r="Q733">
        <f>IF($X733="","",Settings!$C$6)</f>
        <v/>
      </c>
      <c r="R733" s="7">
        <f>IF($X733="","",SUMIFS('Per Line'!$V$2:$V$3001,'Per Line'!$D$2:$D$3001,$B733,'Per Line'!$AM$2:$AM$3001,1,'Per Line'!$AN$2:$AN$3001,0))</f>
        <v/>
      </c>
      <c r="S733" s="7">
        <f>IF($X733="","",R733*Q733)</f>
        <v/>
      </c>
      <c r="T733" s="7">
        <f>IF($X733="","",S733+P733)</f>
        <v/>
      </c>
      <c r="U733" s="7">
        <f>IF($X733="","",V733-T733)</f>
        <v/>
      </c>
      <c r="V733" s="7">
        <f>IF($X733="","",O733+R733+M733)</f>
        <v/>
      </c>
      <c r="W733" s="7">
        <f>IF($X733="","",V733-T733-I733)</f>
        <v/>
      </c>
      <c r="X733" s="13">
        <f>IF(ROWS($X$2:$X733)&lt;=MAX('Per Line'!$AL$2:$AL$3001),MATCH(ROWS($X$2:$X733),'Per Line'!$AL$2:$AL$3001,0),"")</f>
        <v/>
      </c>
    </row>
    <row r="734">
      <c r="A734" s="12" t="n"/>
      <c r="B734">
        <f>IF($X734="","",INDEX('Per Line'!$D$2:$D$3001,$X734)&amp;"")</f>
        <v/>
      </c>
      <c r="C734" s="11">
        <f>IF($X734="","",INDEX('Per Line'!$F$2:$F$3001,$X734))</f>
        <v/>
      </c>
      <c r="D734">
        <f>IF($X734="","",INDEX('Per Line'!$G$2:$G$3001,$X734)&amp;"")</f>
        <v/>
      </c>
      <c r="E734">
        <f>IF($X734="","",INDEX('Per Line'!$I$2:$I$3001,$X734)&amp;"")</f>
        <v/>
      </c>
      <c r="F734">
        <f>IF($X734="","",INDEX('Per Line'!$J$2:$J$3001,$X734)&amp;"")</f>
        <v/>
      </c>
      <c r="G734">
        <f>IF($X734="","",INDEX('Per Line'!$K$2:$K$3001,$X734)&amp;"")</f>
        <v/>
      </c>
      <c r="H734">
        <f>IF($X734="","",INDEX('Per Line'!$M$2:$M$3001,$X734))</f>
        <v/>
      </c>
      <c r="I734" s="7">
        <f>IF($X734="","",H734*V734/100)</f>
        <v/>
      </c>
      <c r="J734">
        <f>IF($X734="","",INDEX('Per Line'!$W$2:$W$3001,$X734)&amp;"")</f>
        <v/>
      </c>
      <c r="K734">
        <f>IF($X734="","",INDEX('Per Line'!$AD$2:$AD$3001,$X734))</f>
        <v/>
      </c>
      <c r="L734">
        <f>IF($X734="","",IF(AND(ISNUMBER(K734),K734&gt;0),V734&gt;K734,FALSE))</f>
        <v/>
      </c>
      <c r="M734" s="7">
        <f>IF($X734="","",SUMIFS('Per Line'!$V$2:$V$3001,'Per Line'!$D$2:$D$3001,$B734,'Per Line'!$AN$2:$AN$3001,1))</f>
        <v/>
      </c>
      <c r="N734">
        <f>IF($X734="","",Settings!$C$7)</f>
        <v/>
      </c>
      <c r="O734" s="7">
        <f>IF($X734="","",SUMIFS('Per Line'!$V$2:$V$3001,'Per Line'!$D$2:$D$3001,$B734,'Per Line'!$AM$2:$AM$3001,0,'Per Line'!$AN$2:$AN$3001,0))</f>
        <v/>
      </c>
      <c r="P734" s="7">
        <f>IF($X734="","",O734*N734)</f>
        <v/>
      </c>
      <c r="Q734">
        <f>IF($X734="","",Settings!$C$6)</f>
        <v/>
      </c>
      <c r="R734" s="7">
        <f>IF($X734="","",SUMIFS('Per Line'!$V$2:$V$3001,'Per Line'!$D$2:$D$3001,$B734,'Per Line'!$AM$2:$AM$3001,1,'Per Line'!$AN$2:$AN$3001,0))</f>
        <v/>
      </c>
      <c r="S734" s="7">
        <f>IF($X734="","",R734*Q734)</f>
        <v/>
      </c>
      <c r="T734" s="7">
        <f>IF($X734="","",S734+P734)</f>
        <v/>
      </c>
      <c r="U734" s="7">
        <f>IF($X734="","",V734-T734)</f>
        <v/>
      </c>
      <c r="V734" s="7">
        <f>IF($X734="","",O734+R734+M734)</f>
        <v/>
      </c>
      <c r="W734" s="7">
        <f>IF($X734="","",V734-T734-I734)</f>
        <v/>
      </c>
      <c r="X734" s="13">
        <f>IF(ROWS($X$2:$X734)&lt;=MAX('Per Line'!$AL$2:$AL$3001),MATCH(ROWS($X$2:$X734),'Per Line'!$AL$2:$AL$3001,0),"")</f>
        <v/>
      </c>
    </row>
    <row r="735">
      <c r="A735" s="12" t="n"/>
      <c r="B735">
        <f>IF($X735="","",INDEX('Per Line'!$D$2:$D$3001,$X735)&amp;"")</f>
        <v/>
      </c>
      <c r="C735" s="11">
        <f>IF($X735="","",INDEX('Per Line'!$F$2:$F$3001,$X735))</f>
        <v/>
      </c>
      <c r="D735">
        <f>IF($X735="","",INDEX('Per Line'!$G$2:$G$3001,$X735)&amp;"")</f>
        <v/>
      </c>
      <c r="E735">
        <f>IF($X735="","",INDEX('Per Line'!$I$2:$I$3001,$X735)&amp;"")</f>
        <v/>
      </c>
      <c r="F735">
        <f>IF($X735="","",INDEX('Per Line'!$J$2:$J$3001,$X735)&amp;"")</f>
        <v/>
      </c>
      <c r="G735">
        <f>IF($X735="","",INDEX('Per Line'!$K$2:$K$3001,$X735)&amp;"")</f>
        <v/>
      </c>
      <c r="H735">
        <f>IF($X735="","",INDEX('Per Line'!$M$2:$M$3001,$X735))</f>
        <v/>
      </c>
      <c r="I735" s="7">
        <f>IF($X735="","",H735*V735/100)</f>
        <v/>
      </c>
      <c r="J735">
        <f>IF($X735="","",INDEX('Per Line'!$W$2:$W$3001,$X735)&amp;"")</f>
        <v/>
      </c>
      <c r="K735">
        <f>IF($X735="","",INDEX('Per Line'!$AD$2:$AD$3001,$X735))</f>
        <v/>
      </c>
      <c r="L735">
        <f>IF($X735="","",IF(AND(ISNUMBER(K735),K735&gt;0),V735&gt;K735,FALSE))</f>
        <v/>
      </c>
      <c r="M735" s="7">
        <f>IF($X735="","",SUMIFS('Per Line'!$V$2:$V$3001,'Per Line'!$D$2:$D$3001,$B735,'Per Line'!$AN$2:$AN$3001,1))</f>
        <v/>
      </c>
      <c r="N735">
        <f>IF($X735="","",Settings!$C$7)</f>
        <v/>
      </c>
      <c r="O735" s="7">
        <f>IF($X735="","",SUMIFS('Per Line'!$V$2:$V$3001,'Per Line'!$D$2:$D$3001,$B735,'Per Line'!$AM$2:$AM$3001,0,'Per Line'!$AN$2:$AN$3001,0))</f>
        <v/>
      </c>
      <c r="P735" s="7">
        <f>IF($X735="","",O735*N735)</f>
        <v/>
      </c>
      <c r="Q735">
        <f>IF($X735="","",Settings!$C$6)</f>
        <v/>
      </c>
      <c r="R735" s="7">
        <f>IF($X735="","",SUMIFS('Per Line'!$V$2:$V$3001,'Per Line'!$D$2:$D$3001,$B735,'Per Line'!$AM$2:$AM$3001,1,'Per Line'!$AN$2:$AN$3001,0))</f>
        <v/>
      </c>
      <c r="S735" s="7">
        <f>IF($X735="","",R735*Q735)</f>
        <v/>
      </c>
      <c r="T735" s="7">
        <f>IF($X735="","",S735+P735)</f>
        <v/>
      </c>
      <c r="U735" s="7">
        <f>IF($X735="","",V735-T735)</f>
        <v/>
      </c>
      <c r="V735" s="7">
        <f>IF($X735="","",O735+R735+M735)</f>
        <v/>
      </c>
      <c r="W735" s="7">
        <f>IF($X735="","",V735-T735-I735)</f>
        <v/>
      </c>
      <c r="X735" s="13">
        <f>IF(ROWS($X$2:$X735)&lt;=MAX('Per Line'!$AL$2:$AL$3001),MATCH(ROWS($X$2:$X735),'Per Line'!$AL$2:$AL$3001,0),"")</f>
        <v/>
      </c>
    </row>
    <row r="736">
      <c r="A736" s="12" t="n"/>
      <c r="B736">
        <f>IF($X736="","",INDEX('Per Line'!$D$2:$D$3001,$X736)&amp;"")</f>
        <v/>
      </c>
      <c r="C736" s="11">
        <f>IF($X736="","",INDEX('Per Line'!$F$2:$F$3001,$X736))</f>
        <v/>
      </c>
      <c r="D736">
        <f>IF($X736="","",INDEX('Per Line'!$G$2:$G$3001,$X736)&amp;"")</f>
        <v/>
      </c>
      <c r="E736">
        <f>IF($X736="","",INDEX('Per Line'!$I$2:$I$3001,$X736)&amp;"")</f>
        <v/>
      </c>
      <c r="F736">
        <f>IF($X736="","",INDEX('Per Line'!$J$2:$J$3001,$X736)&amp;"")</f>
        <v/>
      </c>
      <c r="G736">
        <f>IF($X736="","",INDEX('Per Line'!$K$2:$K$3001,$X736)&amp;"")</f>
        <v/>
      </c>
      <c r="H736">
        <f>IF($X736="","",INDEX('Per Line'!$M$2:$M$3001,$X736))</f>
        <v/>
      </c>
      <c r="I736" s="7">
        <f>IF($X736="","",H736*V736/100)</f>
        <v/>
      </c>
      <c r="J736">
        <f>IF($X736="","",INDEX('Per Line'!$W$2:$W$3001,$X736)&amp;"")</f>
        <v/>
      </c>
      <c r="K736">
        <f>IF($X736="","",INDEX('Per Line'!$AD$2:$AD$3001,$X736))</f>
        <v/>
      </c>
      <c r="L736">
        <f>IF($X736="","",IF(AND(ISNUMBER(K736),K736&gt;0),V736&gt;K736,FALSE))</f>
        <v/>
      </c>
      <c r="M736" s="7">
        <f>IF($X736="","",SUMIFS('Per Line'!$V$2:$V$3001,'Per Line'!$D$2:$D$3001,$B736,'Per Line'!$AN$2:$AN$3001,1))</f>
        <v/>
      </c>
      <c r="N736">
        <f>IF($X736="","",Settings!$C$7)</f>
        <v/>
      </c>
      <c r="O736" s="7">
        <f>IF($X736="","",SUMIFS('Per Line'!$V$2:$V$3001,'Per Line'!$D$2:$D$3001,$B736,'Per Line'!$AM$2:$AM$3001,0,'Per Line'!$AN$2:$AN$3001,0))</f>
        <v/>
      </c>
      <c r="P736" s="7">
        <f>IF($X736="","",O736*N736)</f>
        <v/>
      </c>
      <c r="Q736">
        <f>IF($X736="","",Settings!$C$6)</f>
        <v/>
      </c>
      <c r="R736" s="7">
        <f>IF($X736="","",SUMIFS('Per Line'!$V$2:$V$3001,'Per Line'!$D$2:$D$3001,$B736,'Per Line'!$AM$2:$AM$3001,1,'Per Line'!$AN$2:$AN$3001,0))</f>
        <v/>
      </c>
      <c r="S736" s="7">
        <f>IF($X736="","",R736*Q736)</f>
        <v/>
      </c>
      <c r="T736" s="7">
        <f>IF($X736="","",S736+P736)</f>
        <v/>
      </c>
      <c r="U736" s="7">
        <f>IF($X736="","",V736-T736)</f>
        <v/>
      </c>
      <c r="V736" s="7">
        <f>IF($X736="","",O736+R736+M736)</f>
        <v/>
      </c>
      <c r="W736" s="7">
        <f>IF($X736="","",V736-T736-I736)</f>
        <v/>
      </c>
      <c r="X736" s="13">
        <f>IF(ROWS($X$2:$X736)&lt;=MAX('Per Line'!$AL$2:$AL$3001),MATCH(ROWS($X$2:$X736),'Per Line'!$AL$2:$AL$3001,0),"")</f>
        <v/>
      </c>
    </row>
    <row r="737">
      <c r="A737" s="12" t="n"/>
      <c r="B737">
        <f>IF($X737="","",INDEX('Per Line'!$D$2:$D$3001,$X737)&amp;"")</f>
        <v/>
      </c>
      <c r="C737" s="11">
        <f>IF($X737="","",INDEX('Per Line'!$F$2:$F$3001,$X737))</f>
        <v/>
      </c>
      <c r="D737">
        <f>IF($X737="","",INDEX('Per Line'!$G$2:$G$3001,$X737)&amp;"")</f>
        <v/>
      </c>
      <c r="E737">
        <f>IF($X737="","",INDEX('Per Line'!$I$2:$I$3001,$X737)&amp;"")</f>
        <v/>
      </c>
      <c r="F737">
        <f>IF($X737="","",INDEX('Per Line'!$J$2:$J$3001,$X737)&amp;"")</f>
        <v/>
      </c>
      <c r="G737">
        <f>IF($X737="","",INDEX('Per Line'!$K$2:$K$3001,$X737)&amp;"")</f>
        <v/>
      </c>
      <c r="H737">
        <f>IF($X737="","",INDEX('Per Line'!$M$2:$M$3001,$X737))</f>
        <v/>
      </c>
      <c r="I737" s="7">
        <f>IF($X737="","",H737*V737/100)</f>
        <v/>
      </c>
      <c r="J737">
        <f>IF($X737="","",INDEX('Per Line'!$W$2:$W$3001,$X737)&amp;"")</f>
        <v/>
      </c>
      <c r="K737">
        <f>IF($X737="","",INDEX('Per Line'!$AD$2:$AD$3001,$X737))</f>
        <v/>
      </c>
      <c r="L737">
        <f>IF($X737="","",IF(AND(ISNUMBER(K737),K737&gt;0),V737&gt;K737,FALSE))</f>
        <v/>
      </c>
      <c r="M737" s="7">
        <f>IF($X737="","",SUMIFS('Per Line'!$V$2:$V$3001,'Per Line'!$D$2:$D$3001,$B737,'Per Line'!$AN$2:$AN$3001,1))</f>
        <v/>
      </c>
      <c r="N737">
        <f>IF($X737="","",Settings!$C$7)</f>
        <v/>
      </c>
      <c r="O737" s="7">
        <f>IF($X737="","",SUMIFS('Per Line'!$V$2:$V$3001,'Per Line'!$D$2:$D$3001,$B737,'Per Line'!$AM$2:$AM$3001,0,'Per Line'!$AN$2:$AN$3001,0))</f>
        <v/>
      </c>
      <c r="P737" s="7">
        <f>IF($X737="","",O737*N737)</f>
        <v/>
      </c>
      <c r="Q737">
        <f>IF($X737="","",Settings!$C$6)</f>
        <v/>
      </c>
      <c r="R737" s="7">
        <f>IF($X737="","",SUMIFS('Per Line'!$V$2:$V$3001,'Per Line'!$D$2:$D$3001,$B737,'Per Line'!$AM$2:$AM$3001,1,'Per Line'!$AN$2:$AN$3001,0))</f>
        <v/>
      </c>
      <c r="S737" s="7">
        <f>IF($X737="","",R737*Q737)</f>
        <v/>
      </c>
      <c r="T737" s="7">
        <f>IF($X737="","",S737+P737)</f>
        <v/>
      </c>
      <c r="U737" s="7">
        <f>IF($X737="","",V737-T737)</f>
        <v/>
      </c>
      <c r="V737" s="7">
        <f>IF($X737="","",O737+R737+M737)</f>
        <v/>
      </c>
      <c r="W737" s="7">
        <f>IF($X737="","",V737-T737-I737)</f>
        <v/>
      </c>
      <c r="X737" s="13">
        <f>IF(ROWS($X$2:$X737)&lt;=MAX('Per Line'!$AL$2:$AL$3001),MATCH(ROWS($X$2:$X737),'Per Line'!$AL$2:$AL$3001,0),"")</f>
        <v/>
      </c>
    </row>
    <row r="738">
      <c r="A738" s="12" t="n"/>
      <c r="B738">
        <f>IF($X738="","",INDEX('Per Line'!$D$2:$D$3001,$X738)&amp;"")</f>
        <v/>
      </c>
      <c r="C738" s="11">
        <f>IF($X738="","",INDEX('Per Line'!$F$2:$F$3001,$X738))</f>
        <v/>
      </c>
      <c r="D738">
        <f>IF($X738="","",INDEX('Per Line'!$G$2:$G$3001,$X738)&amp;"")</f>
        <v/>
      </c>
      <c r="E738">
        <f>IF($X738="","",INDEX('Per Line'!$I$2:$I$3001,$X738)&amp;"")</f>
        <v/>
      </c>
      <c r="F738">
        <f>IF($X738="","",INDEX('Per Line'!$J$2:$J$3001,$X738)&amp;"")</f>
        <v/>
      </c>
      <c r="G738">
        <f>IF($X738="","",INDEX('Per Line'!$K$2:$K$3001,$X738)&amp;"")</f>
        <v/>
      </c>
      <c r="H738">
        <f>IF($X738="","",INDEX('Per Line'!$M$2:$M$3001,$X738))</f>
        <v/>
      </c>
      <c r="I738" s="7">
        <f>IF($X738="","",H738*V738/100)</f>
        <v/>
      </c>
      <c r="J738">
        <f>IF($X738="","",INDEX('Per Line'!$W$2:$W$3001,$X738)&amp;"")</f>
        <v/>
      </c>
      <c r="K738">
        <f>IF($X738="","",INDEX('Per Line'!$AD$2:$AD$3001,$X738))</f>
        <v/>
      </c>
      <c r="L738">
        <f>IF($X738="","",IF(AND(ISNUMBER(K738),K738&gt;0),V738&gt;K738,FALSE))</f>
        <v/>
      </c>
      <c r="M738" s="7">
        <f>IF($X738="","",SUMIFS('Per Line'!$V$2:$V$3001,'Per Line'!$D$2:$D$3001,$B738,'Per Line'!$AN$2:$AN$3001,1))</f>
        <v/>
      </c>
      <c r="N738">
        <f>IF($X738="","",Settings!$C$7)</f>
        <v/>
      </c>
      <c r="O738" s="7">
        <f>IF($X738="","",SUMIFS('Per Line'!$V$2:$V$3001,'Per Line'!$D$2:$D$3001,$B738,'Per Line'!$AM$2:$AM$3001,0,'Per Line'!$AN$2:$AN$3001,0))</f>
        <v/>
      </c>
      <c r="P738" s="7">
        <f>IF($X738="","",O738*N738)</f>
        <v/>
      </c>
      <c r="Q738">
        <f>IF($X738="","",Settings!$C$6)</f>
        <v/>
      </c>
      <c r="R738" s="7">
        <f>IF($X738="","",SUMIFS('Per Line'!$V$2:$V$3001,'Per Line'!$D$2:$D$3001,$B738,'Per Line'!$AM$2:$AM$3001,1,'Per Line'!$AN$2:$AN$3001,0))</f>
        <v/>
      </c>
      <c r="S738" s="7">
        <f>IF($X738="","",R738*Q738)</f>
        <v/>
      </c>
      <c r="T738" s="7">
        <f>IF($X738="","",S738+P738)</f>
        <v/>
      </c>
      <c r="U738" s="7">
        <f>IF($X738="","",V738-T738)</f>
        <v/>
      </c>
      <c r="V738" s="7">
        <f>IF($X738="","",O738+R738+M738)</f>
        <v/>
      </c>
      <c r="W738" s="7">
        <f>IF($X738="","",V738-T738-I738)</f>
        <v/>
      </c>
      <c r="X738" s="13">
        <f>IF(ROWS($X$2:$X738)&lt;=MAX('Per Line'!$AL$2:$AL$3001),MATCH(ROWS($X$2:$X738),'Per Line'!$AL$2:$AL$3001,0),"")</f>
        <v/>
      </c>
    </row>
    <row r="739">
      <c r="A739" s="12" t="n"/>
      <c r="B739">
        <f>IF($X739="","",INDEX('Per Line'!$D$2:$D$3001,$X739)&amp;"")</f>
        <v/>
      </c>
      <c r="C739" s="11">
        <f>IF($X739="","",INDEX('Per Line'!$F$2:$F$3001,$X739))</f>
        <v/>
      </c>
      <c r="D739">
        <f>IF($X739="","",INDEX('Per Line'!$G$2:$G$3001,$X739)&amp;"")</f>
        <v/>
      </c>
      <c r="E739">
        <f>IF($X739="","",INDEX('Per Line'!$I$2:$I$3001,$X739)&amp;"")</f>
        <v/>
      </c>
      <c r="F739">
        <f>IF($X739="","",INDEX('Per Line'!$J$2:$J$3001,$X739)&amp;"")</f>
        <v/>
      </c>
      <c r="G739">
        <f>IF($X739="","",INDEX('Per Line'!$K$2:$K$3001,$X739)&amp;"")</f>
        <v/>
      </c>
      <c r="H739">
        <f>IF($X739="","",INDEX('Per Line'!$M$2:$M$3001,$X739))</f>
        <v/>
      </c>
      <c r="I739" s="7">
        <f>IF($X739="","",H739*V739/100)</f>
        <v/>
      </c>
      <c r="J739">
        <f>IF($X739="","",INDEX('Per Line'!$W$2:$W$3001,$X739)&amp;"")</f>
        <v/>
      </c>
      <c r="K739">
        <f>IF($X739="","",INDEX('Per Line'!$AD$2:$AD$3001,$X739))</f>
        <v/>
      </c>
      <c r="L739">
        <f>IF($X739="","",IF(AND(ISNUMBER(K739),K739&gt;0),V739&gt;K739,FALSE))</f>
        <v/>
      </c>
      <c r="M739" s="7">
        <f>IF($X739="","",SUMIFS('Per Line'!$V$2:$V$3001,'Per Line'!$D$2:$D$3001,$B739,'Per Line'!$AN$2:$AN$3001,1))</f>
        <v/>
      </c>
      <c r="N739">
        <f>IF($X739="","",Settings!$C$7)</f>
        <v/>
      </c>
      <c r="O739" s="7">
        <f>IF($X739="","",SUMIFS('Per Line'!$V$2:$V$3001,'Per Line'!$D$2:$D$3001,$B739,'Per Line'!$AM$2:$AM$3001,0,'Per Line'!$AN$2:$AN$3001,0))</f>
        <v/>
      </c>
      <c r="P739" s="7">
        <f>IF($X739="","",O739*N739)</f>
        <v/>
      </c>
      <c r="Q739">
        <f>IF($X739="","",Settings!$C$6)</f>
        <v/>
      </c>
      <c r="R739" s="7">
        <f>IF($X739="","",SUMIFS('Per Line'!$V$2:$V$3001,'Per Line'!$D$2:$D$3001,$B739,'Per Line'!$AM$2:$AM$3001,1,'Per Line'!$AN$2:$AN$3001,0))</f>
        <v/>
      </c>
      <c r="S739" s="7">
        <f>IF($X739="","",R739*Q739)</f>
        <v/>
      </c>
      <c r="T739" s="7">
        <f>IF($X739="","",S739+P739)</f>
        <v/>
      </c>
      <c r="U739" s="7">
        <f>IF($X739="","",V739-T739)</f>
        <v/>
      </c>
      <c r="V739" s="7">
        <f>IF($X739="","",O739+R739+M739)</f>
        <v/>
      </c>
      <c r="W739" s="7">
        <f>IF($X739="","",V739-T739-I739)</f>
        <v/>
      </c>
      <c r="X739" s="13">
        <f>IF(ROWS($X$2:$X739)&lt;=MAX('Per Line'!$AL$2:$AL$3001),MATCH(ROWS($X$2:$X739),'Per Line'!$AL$2:$AL$3001,0),"")</f>
        <v/>
      </c>
    </row>
    <row r="740">
      <c r="A740" s="12" t="n"/>
      <c r="B740">
        <f>IF($X740="","",INDEX('Per Line'!$D$2:$D$3001,$X740)&amp;"")</f>
        <v/>
      </c>
      <c r="C740" s="11">
        <f>IF($X740="","",INDEX('Per Line'!$F$2:$F$3001,$X740))</f>
        <v/>
      </c>
      <c r="D740">
        <f>IF($X740="","",INDEX('Per Line'!$G$2:$G$3001,$X740)&amp;"")</f>
        <v/>
      </c>
      <c r="E740">
        <f>IF($X740="","",INDEX('Per Line'!$I$2:$I$3001,$X740)&amp;"")</f>
        <v/>
      </c>
      <c r="F740">
        <f>IF($X740="","",INDEX('Per Line'!$J$2:$J$3001,$X740)&amp;"")</f>
        <v/>
      </c>
      <c r="G740">
        <f>IF($X740="","",INDEX('Per Line'!$K$2:$K$3001,$X740)&amp;"")</f>
        <v/>
      </c>
      <c r="H740">
        <f>IF($X740="","",INDEX('Per Line'!$M$2:$M$3001,$X740))</f>
        <v/>
      </c>
      <c r="I740" s="7">
        <f>IF($X740="","",H740*V740/100)</f>
        <v/>
      </c>
      <c r="J740">
        <f>IF($X740="","",INDEX('Per Line'!$W$2:$W$3001,$X740)&amp;"")</f>
        <v/>
      </c>
      <c r="K740">
        <f>IF($X740="","",INDEX('Per Line'!$AD$2:$AD$3001,$X740))</f>
        <v/>
      </c>
      <c r="L740">
        <f>IF($X740="","",IF(AND(ISNUMBER(K740),K740&gt;0),V740&gt;K740,FALSE))</f>
        <v/>
      </c>
      <c r="M740" s="7">
        <f>IF($X740="","",SUMIFS('Per Line'!$V$2:$V$3001,'Per Line'!$D$2:$D$3001,$B740,'Per Line'!$AN$2:$AN$3001,1))</f>
        <v/>
      </c>
      <c r="N740">
        <f>IF($X740="","",Settings!$C$7)</f>
        <v/>
      </c>
      <c r="O740" s="7">
        <f>IF($X740="","",SUMIFS('Per Line'!$V$2:$V$3001,'Per Line'!$D$2:$D$3001,$B740,'Per Line'!$AM$2:$AM$3001,0,'Per Line'!$AN$2:$AN$3001,0))</f>
        <v/>
      </c>
      <c r="P740" s="7">
        <f>IF($X740="","",O740*N740)</f>
        <v/>
      </c>
      <c r="Q740">
        <f>IF($X740="","",Settings!$C$6)</f>
        <v/>
      </c>
      <c r="R740" s="7">
        <f>IF($X740="","",SUMIFS('Per Line'!$V$2:$V$3001,'Per Line'!$D$2:$D$3001,$B740,'Per Line'!$AM$2:$AM$3001,1,'Per Line'!$AN$2:$AN$3001,0))</f>
        <v/>
      </c>
      <c r="S740" s="7">
        <f>IF($X740="","",R740*Q740)</f>
        <v/>
      </c>
      <c r="T740" s="7">
        <f>IF($X740="","",S740+P740)</f>
        <v/>
      </c>
      <c r="U740" s="7">
        <f>IF($X740="","",V740-T740)</f>
        <v/>
      </c>
      <c r="V740" s="7">
        <f>IF($X740="","",O740+R740+M740)</f>
        <v/>
      </c>
      <c r="W740" s="7">
        <f>IF($X740="","",V740-T740-I740)</f>
        <v/>
      </c>
      <c r="X740" s="13">
        <f>IF(ROWS($X$2:$X740)&lt;=MAX('Per Line'!$AL$2:$AL$3001),MATCH(ROWS($X$2:$X740),'Per Line'!$AL$2:$AL$3001,0),"")</f>
        <v/>
      </c>
    </row>
    <row r="741">
      <c r="A741" s="12" t="n"/>
      <c r="B741">
        <f>IF($X741="","",INDEX('Per Line'!$D$2:$D$3001,$X741)&amp;"")</f>
        <v/>
      </c>
      <c r="C741" s="11">
        <f>IF($X741="","",INDEX('Per Line'!$F$2:$F$3001,$X741))</f>
        <v/>
      </c>
      <c r="D741">
        <f>IF($X741="","",INDEX('Per Line'!$G$2:$G$3001,$X741)&amp;"")</f>
        <v/>
      </c>
      <c r="E741">
        <f>IF($X741="","",INDEX('Per Line'!$I$2:$I$3001,$X741)&amp;"")</f>
        <v/>
      </c>
      <c r="F741">
        <f>IF($X741="","",INDEX('Per Line'!$J$2:$J$3001,$X741)&amp;"")</f>
        <v/>
      </c>
      <c r="G741">
        <f>IF($X741="","",INDEX('Per Line'!$K$2:$K$3001,$X741)&amp;"")</f>
        <v/>
      </c>
      <c r="H741">
        <f>IF($X741="","",INDEX('Per Line'!$M$2:$M$3001,$X741))</f>
        <v/>
      </c>
      <c r="I741" s="7">
        <f>IF($X741="","",H741*V741/100)</f>
        <v/>
      </c>
      <c r="J741">
        <f>IF($X741="","",INDEX('Per Line'!$W$2:$W$3001,$X741)&amp;"")</f>
        <v/>
      </c>
      <c r="K741">
        <f>IF($X741="","",INDEX('Per Line'!$AD$2:$AD$3001,$X741))</f>
        <v/>
      </c>
      <c r="L741">
        <f>IF($X741="","",IF(AND(ISNUMBER(K741),K741&gt;0),V741&gt;K741,FALSE))</f>
        <v/>
      </c>
      <c r="M741" s="7">
        <f>IF($X741="","",SUMIFS('Per Line'!$V$2:$V$3001,'Per Line'!$D$2:$D$3001,$B741,'Per Line'!$AN$2:$AN$3001,1))</f>
        <v/>
      </c>
      <c r="N741">
        <f>IF($X741="","",Settings!$C$7)</f>
        <v/>
      </c>
      <c r="O741" s="7">
        <f>IF($X741="","",SUMIFS('Per Line'!$V$2:$V$3001,'Per Line'!$D$2:$D$3001,$B741,'Per Line'!$AM$2:$AM$3001,0,'Per Line'!$AN$2:$AN$3001,0))</f>
        <v/>
      </c>
      <c r="P741" s="7">
        <f>IF($X741="","",O741*N741)</f>
        <v/>
      </c>
      <c r="Q741">
        <f>IF($X741="","",Settings!$C$6)</f>
        <v/>
      </c>
      <c r="R741" s="7">
        <f>IF($X741="","",SUMIFS('Per Line'!$V$2:$V$3001,'Per Line'!$D$2:$D$3001,$B741,'Per Line'!$AM$2:$AM$3001,1,'Per Line'!$AN$2:$AN$3001,0))</f>
        <v/>
      </c>
      <c r="S741" s="7">
        <f>IF($X741="","",R741*Q741)</f>
        <v/>
      </c>
      <c r="T741" s="7">
        <f>IF($X741="","",S741+P741)</f>
        <v/>
      </c>
      <c r="U741" s="7">
        <f>IF($X741="","",V741-T741)</f>
        <v/>
      </c>
      <c r="V741" s="7">
        <f>IF($X741="","",O741+R741+M741)</f>
        <v/>
      </c>
      <c r="W741" s="7">
        <f>IF($X741="","",V741-T741-I741)</f>
        <v/>
      </c>
      <c r="X741" s="13">
        <f>IF(ROWS($X$2:$X741)&lt;=MAX('Per Line'!$AL$2:$AL$3001),MATCH(ROWS($X$2:$X741),'Per Line'!$AL$2:$AL$3001,0),"")</f>
        <v/>
      </c>
    </row>
    <row r="742">
      <c r="A742" s="12" t="n"/>
      <c r="B742">
        <f>IF($X742="","",INDEX('Per Line'!$D$2:$D$3001,$X742)&amp;"")</f>
        <v/>
      </c>
      <c r="C742" s="11">
        <f>IF($X742="","",INDEX('Per Line'!$F$2:$F$3001,$X742))</f>
        <v/>
      </c>
      <c r="D742">
        <f>IF($X742="","",INDEX('Per Line'!$G$2:$G$3001,$X742)&amp;"")</f>
        <v/>
      </c>
      <c r="E742">
        <f>IF($X742="","",INDEX('Per Line'!$I$2:$I$3001,$X742)&amp;"")</f>
        <v/>
      </c>
      <c r="F742">
        <f>IF($X742="","",INDEX('Per Line'!$J$2:$J$3001,$X742)&amp;"")</f>
        <v/>
      </c>
      <c r="G742">
        <f>IF($X742="","",INDEX('Per Line'!$K$2:$K$3001,$X742)&amp;"")</f>
        <v/>
      </c>
      <c r="H742">
        <f>IF($X742="","",INDEX('Per Line'!$M$2:$M$3001,$X742))</f>
        <v/>
      </c>
      <c r="I742" s="7">
        <f>IF($X742="","",H742*V742/100)</f>
        <v/>
      </c>
      <c r="J742">
        <f>IF($X742="","",INDEX('Per Line'!$W$2:$W$3001,$X742)&amp;"")</f>
        <v/>
      </c>
      <c r="K742">
        <f>IF($X742="","",INDEX('Per Line'!$AD$2:$AD$3001,$X742))</f>
        <v/>
      </c>
      <c r="L742">
        <f>IF($X742="","",IF(AND(ISNUMBER(K742),K742&gt;0),V742&gt;K742,FALSE))</f>
        <v/>
      </c>
      <c r="M742" s="7">
        <f>IF($X742="","",SUMIFS('Per Line'!$V$2:$V$3001,'Per Line'!$D$2:$D$3001,$B742,'Per Line'!$AN$2:$AN$3001,1))</f>
        <v/>
      </c>
      <c r="N742">
        <f>IF($X742="","",Settings!$C$7)</f>
        <v/>
      </c>
      <c r="O742" s="7">
        <f>IF($X742="","",SUMIFS('Per Line'!$V$2:$V$3001,'Per Line'!$D$2:$D$3001,$B742,'Per Line'!$AM$2:$AM$3001,0,'Per Line'!$AN$2:$AN$3001,0))</f>
        <v/>
      </c>
      <c r="P742" s="7">
        <f>IF($X742="","",O742*N742)</f>
        <v/>
      </c>
      <c r="Q742">
        <f>IF($X742="","",Settings!$C$6)</f>
        <v/>
      </c>
      <c r="R742" s="7">
        <f>IF($X742="","",SUMIFS('Per Line'!$V$2:$V$3001,'Per Line'!$D$2:$D$3001,$B742,'Per Line'!$AM$2:$AM$3001,1,'Per Line'!$AN$2:$AN$3001,0))</f>
        <v/>
      </c>
      <c r="S742" s="7">
        <f>IF($X742="","",R742*Q742)</f>
        <v/>
      </c>
      <c r="T742" s="7">
        <f>IF($X742="","",S742+P742)</f>
        <v/>
      </c>
      <c r="U742" s="7">
        <f>IF($X742="","",V742-T742)</f>
        <v/>
      </c>
      <c r="V742" s="7">
        <f>IF($X742="","",O742+R742+M742)</f>
        <v/>
      </c>
      <c r="W742" s="7">
        <f>IF($X742="","",V742-T742-I742)</f>
        <v/>
      </c>
      <c r="X742" s="13">
        <f>IF(ROWS($X$2:$X742)&lt;=MAX('Per Line'!$AL$2:$AL$3001),MATCH(ROWS($X$2:$X742),'Per Line'!$AL$2:$AL$3001,0),"")</f>
        <v/>
      </c>
    </row>
    <row r="743">
      <c r="A743" s="12" t="n"/>
      <c r="B743">
        <f>IF($X743="","",INDEX('Per Line'!$D$2:$D$3001,$X743)&amp;"")</f>
        <v/>
      </c>
      <c r="C743" s="11">
        <f>IF($X743="","",INDEX('Per Line'!$F$2:$F$3001,$X743))</f>
        <v/>
      </c>
      <c r="D743">
        <f>IF($X743="","",INDEX('Per Line'!$G$2:$G$3001,$X743)&amp;"")</f>
        <v/>
      </c>
      <c r="E743">
        <f>IF($X743="","",INDEX('Per Line'!$I$2:$I$3001,$X743)&amp;"")</f>
        <v/>
      </c>
      <c r="F743">
        <f>IF($X743="","",INDEX('Per Line'!$J$2:$J$3001,$X743)&amp;"")</f>
        <v/>
      </c>
      <c r="G743">
        <f>IF($X743="","",INDEX('Per Line'!$K$2:$K$3001,$X743)&amp;"")</f>
        <v/>
      </c>
      <c r="H743">
        <f>IF($X743="","",INDEX('Per Line'!$M$2:$M$3001,$X743))</f>
        <v/>
      </c>
      <c r="I743" s="7">
        <f>IF($X743="","",H743*V743/100)</f>
        <v/>
      </c>
      <c r="J743">
        <f>IF($X743="","",INDEX('Per Line'!$W$2:$W$3001,$X743)&amp;"")</f>
        <v/>
      </c>
      <c r="K743">
        <f>IF($X743="","",INDEX('Per Line'!$AD$2:$AD$3001,$X743))</f>
        <v/>
      </c>
      <c r="L743">
        <f>IF($X743="","",IF(AND(ISNUMBER(K743),K743&gt;0),V743&gt;K743,FALSE))</f>
        <v/>
      </c>
      <c r="M743" s="7">
        <f>IF($X743="","",SUMIFS('Per Line'!$V$2:$V$3001,'Per Line'!$D$2:$D$3001,$B743,'Per Line'!$AN$2:$AN$3001,1))</f>
        <v/>
      </c>
      <c r="N743">
        <f>IF($X743="","",Settings!$C$7)</f>
        <v/>
      </c>
      <c r="O743" s="7">
        <f>IF($X743="","",SUMIFS('Per Line'!$V$2:$V$3001,'Per Line'!$D$2:$D$3001,$B743,'Per Line'!$AM$2:$AM$3001,0,'Per Line'!$AN$2:$AN$3001,0))</f>
        <v/>
      </c>
      <c r="P743" s="7">
        <f>IF($X743="","",O743*N743)</f>
        <v/>
      </c>
      <c r="Q743">
        <f>IF($X743="","",Settings!$C$6)</f>
        <v/>
      </c>
      <c r="R743" s="7">
        <f>IF($X743="","",SUMIFS('Per Line'!$V$2:$V$3001,'Per Line'!$D$2:$D$3001,$B743,'Per Line'!$AM$2:$AM$3001,1,'Per Line'!$AN$2:$AN$3001,0))</f>
        <v/>
      </c>
      <c r="S743" s="7">
        <f>IF($X743="","",R743*Q743)</f>
        <v/>
      </c>
      <c r="T743" s="7">
        <f>IF($X743="","",S743+P743)</f>
        <v/>
      </c>
      <c r="U743" s="7">
        <f>IF($X743="","",V743-T743)</f>
        <v/>
      </c>
      <c r="V743" s="7">
        <f>IF($X743="","",O743+R743+M743)</f>
        <v/>
      </c>
      <c r="W743" s="7">
        <f>IF($X743="","",V743-T743-I743)</f>
        <v/>
      </c>
      <c r="X743" s="13">
        <f>IF(ROWS($X$2:$X743)&lt;=MAX('Per Line'!$AL$2:$AL$3001),MATCH(ROWS($X$2:$X743),'Per Line'!$AL$2:$AL$3001,0),"")</f>
        <v/>
      </c>
    </row>
    <row r="744">
      <c r="A744" s="12" t="n"/>
      <c r="B744">
        <f>IF($X744="","",INDEX('Per Line'!$D$2:$D$3001,$X744)&amp;"")</f>
        <v/>
      </c>
      <c r="C744" s="11">
        <f>IF($X744="","",INDEX('Per Line'!$F$2:$F$3001,$X744))</f>
        <v/>
      </c>
      <c r="D744">
        <f>IF($X744="","",INDEX('Per Line'!$G$2:$G$3001,$X744)&amp;"")</f>
        <v/>
      </c>
      <c r="E744">
        <f>IF($X744="","",INDEX('Per Line'!$I$2:$I$3001,$X744)&amp;"")</f>
        <v/>
      </c>
      <c r="F744">
        <f>IF($X744="","",INDEX('Per Line'!$J$2:$J$3001,$X744)&amp;"")</f>
        <v/>
      </c>
      <c r="G744">
        <f>IF($X744="","",INDEX('Per Line'!$K$2:$K$3001,$X744)&amp;"")</f>
        <v/>
      </c>
      <c r="H744">
        <f>IF($X744="","",INDEX('Per Line'!$M$2:$M$3001,$X744))</f>
        <v/>
      </c>
      <c r="I744" s="7">
        <f>IF($X744="","",H744*V744/100)</f>
        <v/>
      </c>
      <c r="J744">
        <f>IF($X744="","",INDEX('Per Line'!$W$2:$W$3001,$X744)&amp;"")</f>
        <v/>
      </c>
      <c r="K744">
        <f>IF($X744="","",INDEX('Per Line'!$AD$2:$AD$3001,$X744))</f>
        <v/>
      </c>
      <c r="L744">
        <f>IF($X744="","",IF(AND(ISNUMBER(K744),K744&gt;0),V744&gt;K744,FALSE))</f>
        <v/>
      </c>
      <c r="M744" s="7">
        <f>IF($X744="","",SUMIFS('Per Line'!$V$2:$V$3001,'Per Line'!$D$2:$D$3001,$B744,'Per Line'!$AN$2:$AN$3001,1))</f>
        <v/>
      </c>
      <c r="N744">
        <f>IF($X744="","",Settings!$C$7)</f>
        <v/>
      </c>
      <c r="O744" s="7">
        <f>IF($X744="","",SUMIFS('Per Line'!$V$2:$V$3001,'Per Line'!$D$2:$D$3001,$B744,'Per Line'!$AM$2:$AM$3001,0,'Per Line'!$AN$2:$AN$3001,0))</f>
        <v/>
      </c>
      <c r="P744" s="7">
        <f>IF($X744="","",O744*N744)</f>
        <v/>
      </c>
      <c r="Q744">
        <f>IF($X744="","",Settings!$C$6)</f>
        <v/>
      </c>
      <c r="R744" s="7">
        <f>IF($X744="","",SUMIFS('Per Line'!$V$2:$V$3001,'Per Line'!$D$2:$D$3001,$B744,'Per Line'!$AM$2:$AM$3001,1,'Per Line'!$AN$2:$AN$3001,0))</f>
        <v/>
      </c>
      <c r="S744" s="7">
        <f>IF($X744="","",R744*Q744)</f>
        <v/>
      </c>
      <c r="T744" s="7">
        <f>IF($X744="","",S744+P744)</f>
        <v/>
      </c>
      <c r="U744" s="7">
        <f>IF($X744="","",V744-T744)</f>
        <v/>
      </c>
      <c r="V744" s="7">
        <f>IF($X744="","",O744+R744+M744)</f>
        <v/>
      </c>
      <c r="W744" s="7">
        <f>IF($X744="","",V744-T744-I744)</f>
        <v/>
      </c>
      <c r="X744" s="13">
        <f>IF(ROWS($X$2:$X744)&lt;=MAX('Per Line'!$AL$2:$AL$3001),MATCH(ROWS($X$2:$X744),'Per Line'!$AL$2:$AL$3001,0),"")</f>
        <v/>
      </c>
    </row>
    <row r="745">
      <c r="A745" s="12" t="n"/>
      <c r="B745">
        <f>IF($X745="","",INDEX('Per Line'!$D$2:$D$3001,$X745)&amp;"")</f>
        <v/>
      </c>
      <c r="C745" s="11">
        <f>IF($X745="","",INDEX('Per Line'!$F$2:$F$3001,$X745))</f>
        <v/>
      </c>
      <c r="D745">
        <f>IF($X745="","",INDEX('Per Line'!$G$2:$G$3001,$X745)&amp;"")</f>
        <v/>
      </c>
      <c r="E745">
        <f>IF($X745="","",INDEX('Per Line'!$I$2:$I$3001,$X745)&amp;"")</f>
        <v/>
      </c>
      <c r="F745">
        <f>IF($X745="","",INDEX('Per Line'!$J$2:$J$3001,$X745)&amp;"")</f>
        <v/>
      </c>
      <c r="G745">
        <f>IF($X745="","",INDEX('Per Line'!$K$2:$K$3001,$X745)&amp;"")</f>
        <v/>
      </c>
      <c r="H745">
        <f>IF($X745="","",INDEX('Per Line'!$M$2:$M$3001,$X745))</f>
        <v/>
      </c>
      <c r="I745" s="7">
        <f>IF($X745="","",H745*V745/100)</f>
        <v/>
      </c>
      <c r="J745">
        <f>IF($X745="","",INDEX('Per Line'!$W$2:$W$3001,$X745)&amp;"")</f>
        <v/>
      </c>
      <c r="K745">
        <f>IF($X745="","",INDEX('Per Line'!$AD$2:$AD$3001,$X745))</f>
        <v/>
      </c>
      <c r="L745">
        <f>IF($X745="","",IF(AND(ISNUMBER(K745),K745&gt;0),V745&gt;K745,FALSE))</f>
        <v/>
      </c>
      <c r="M745" s="7">
        <f>IF($X745="","",SUMIFS('Per Line'!$V$2:$V$3001,'Per Line'!$D$2:$D$3001,$B745,'Per Line'!$AN$2:$AN$3001,1))</f>
        <v/>
      </c>
      <c r="N745">
        <f>IF($X745="","",Settings!$C$7)</f>
        <v/>
      </c>
      <c r="O745" s="7">
        <f>IF($X745="","",SUMIFS('Per Line'!$V$2:$V$3001,'Per Line'!$D$2:$D$3001,$B745,'Per Line'!$AM$2:$AM$3001,0,'Per Line'!$AN$2:$AN$3001,0))</f>
        <v/>
      </c>
      <c r="P745" s="7">
        <f>IF($X745="","",O745*N745)</f>
        <v/>
      </c>
      <c r="Q745">
        <f>IF($X745="","",Settings!$C$6)</f>
        <v/>
      </c>
      <c r="R745" s="7">
        <f>IF($X745="","",SUMIFS('Per Line'!$V$2:$V$3001,'Per Line'!$D$2:$D$3001,$B745,'Per Line'!$AM$2:$AM$3001,1,'Per Line'!$AN$2:$AN$3001,0))</f>
        <v/>
      </c>
      <c r="S745" s="7">
        <f>IF($X745="","",R745*Q745)</f>
        <v/>
      </c>
      <c r="T745" s="7">
        <f>IF($X745="","",S745+P745)</f>
        <v/>
      </c>
      <c r="U745" s="7">
        <f>IF($X745="","",V745-T745)</f>
        <v/>
      </c>
      <c r="V745" s="7">
        <f>IF($X745="","",O745+R745+M745)</f>
        <v/>
      </c>
      <c r="W745" s="7">
        <f>IF($X745="","",V745-T745-I745)</f>
        <v/>
      </c>
      <c r="X745" s="13">
        <f>IF(ROWS($X$2:$X745)&lt;=MAX('Per Line'!$AL$2:$AL$3001),MATCH(ROWS($X$2:$X745),'Per Line'!$AL$2:$AL$3001,0),"")</f>
        <v/>
      </c>
    </row>
    <row r="746">
      <c r="A746" s="12" t="n"/>
      <c r="B746">
        <f>IF($X746="","",INDEX('Per Line'!$D$2:$D$3001,$X746)&amp;"")</f>
        <v/>
      </c>
      <c r="C746" s="11">
        <f>IF($X746="","",INDEX('Per Line'!$F$2:$F$3001,$X746))</f>
        <v/>
      </c>
      <c r="D746">
        <f>IF($X746="","",INDEX('Per Line'!$G$2:$G$3001,$X746)&amp;"")</f>
        <v/>
      </c>
      <c r="E746">
        <f>IF($X746="","",INDEX('Per Line'!$I$2:$I$3001,$X746)&amp;"")</f>
        <v/>
      </c>
      <c r="F746">
        <f>IF($X746="","",INDEX('Per Line'!$J$2:$J$3001,$X746)&amp;"")</f>
        <v/>
      </c>
      <c r="G746">
        <f>IF($X746="","",INDEX('Per Line'!$K$2:$K$3001,$X746)&amp;"")</f>
        <v/>
      </c>
      <c r="H746">
        <f>IF($X746="","",INDEX('Per Line'!$M$2:$M$3001,$X746))</f>
        <v/>
      </c>
      <c r="I746" s="7">
        <f>IF($X746="","",H746*V746/100)</f>
        <v/>
      </c>
      <c r="J746">
        <f>IF($X746="","",INDEX('Per Line'!$W$2:$W$3001,$X746)&amp;"")</f>
        <v/>
      </c>
      <c r="K746">
        <f>IF($X746="","",INDEX('Per Line'!$AD$2:$AD$3001,$X746))</f>
        <v/>
      </c>
      <c r="L746">
        <f>IF($X746="","",IF(AND(ISNUMBER(K746),K746&gt;0),V746&gt;K746,FALSE))</f>
        <v/>
      </c>
      <c r="M746" s="7">
        <f>IF($X746="","",SUMIFS('Per Line'!$V$2:$V$3001,'Per Line'!$D$2:$D$3001,$B746,'Per Line'!$AN$2:$AN$3001,1))</f>
        <v/>
      </c>
      <c r="N746">
        <f>IF($X746="","",Settings!$C$7)</f>
        <v/>
      </c>
      <c r="O746" s="7">
        <f>IF($X746="","",SUMIFS('Per Line'!$V$2:$V$3001,'Per Line'!$D$2:$D$3001,$B746,'Per Line'!$AM$2:$AM$3001,0,'Per Line'!$AN$2:$AN$3001,0))</f>
        <v/>
      </c>
      <c r="P746" s="7">
        <f>IF($X746="","",O746*N746)</f>
        <v/>
      </c>
      <c r="Q746">
        <f>IF($X746="","",Settings!$C$6)</f>
        <v/>
      </c>
      <c r="R746" s="7">
        <f>IF($X746="","",SUMIFS('Per Line'!$V$2:$V$3001,'Per Line'!$D$2:$D$3001,$B746,'Per Line'!$AM$2:$AM$3001,1,'Per Line'!$AN$2:$AN$3001,0))</f>
        <v/>
      </c>
      <c r="S746" s="7">
        <f>IF($X746="","",R746*Q746)</f>
        <v/>
      </c>
      <c r="T746" s="7">
        <f>IF($X746="","",S746+P746)</f>
        <v/>
      </c>
      <c r="U746" s="7">
        <f>IF($X746="","",V746-T746)</f>
        <v/>
      </c>
      <c r="V746" s="7">
        <f>IF($X746="","",O746+R746+M746)</f>
        <v/>
      </c>
      <c r="W746" s="7">
        <f>IF($X746="","",V746-T746-I746)</f>
        <v/>
      </c>
      <c r="X746" s="13">
        <f>IF(ROWS($X$2:$X746)&lt;=MAX('Per Line'!$AL$2:$AL$3001),MATCH(ROWS($X$2:$X746),'Per Line'!$AL$2:$AL$3001,0),"")</f>
        <v/>
      </c>
    </row>
    <row r="747">
      <c r="A747" s="12" t="n"/>
      <c r="B747">
        <f>IF($X747="","",INDEX('Per Line'!$D$2:$D$3001,$X747)&amp;"")</f>
        <v/>
      </c>
      <c r="C747" s="11">
        <f>IF($X747="","",INDEX('Per Line'!$F$2:$F$3001,$X747))</f>
        <v/>
      </c>
      <c r="D747">
        <f>IF($X747="","",INDEX('Per Line'!$G$2:$G$3001,$X747)&amp;"")</f>
        <v/>
      </c>
      <c r="E747">
        <f>IF($X747="","",INDEX('Per Line'!$I$2:$I$3001,$X747)&amp;"")</f>
        <v/>
      </c>
      <c r="F747">
        <f>IF($X747="","",INDEX('Per Line'!$J$2:$J$3001,$X747)&amp;"")</f>
        <v/>
      </c>
      <c r="G747">
        <f>IF($X747="","",INDEX('Per Line'!$K$2:$K$3001,$X747)&amp;"")</f>
        <v/>
      </c>
      <c r="H747">
        <f>IF($X747="","",INDEX('Per Line'!$M$2:$M$3001,$X747))</f>
        <v/>
      </c>
      <c r="I747" s="7">
        <f>IF($X747="","",H747*V747/100)</f>
        <v/>
      </c>
      <c r="J747">
        <f>IF($X747="","",INDEX('Per Line'!$W$2:$W$3001,$X747)&amp;"")</f>
        <v/>
      </c>
      <c r="K747">
        <f>IF($X747="","",INDEX('Per Line'!$AD$2:$AD$3001,$X747))</f>
        <v/>
      </c>
      <c r="L747">
        <f>IF($X747="","",IF(AND(ISNUMBER(K747),K747&gt;0),V747&gt;K747,FALSE))</f>
        <v/>
      </c>
      <c r="M747" s="7">
        <f>IF($X747="","",SUMIFS('Per Line'!$V$2:$V$3001,'Per Line'!$D$2:$D$3001,$B747,'Per Line'!$AN$2:$AN$3001,1))</f>
        <v/>
      </c>
      <c r="N747">
        <f>IF($X747="","",Settings!$C$7)</f>
        <v/>
      </c>
      <c r="O747" s="7">
        <f>IF($X747="","",SUMIFS('Per Line'!$V$2:$V$3001,'Per Line'!$D$2:$D$3001,$B747,'Per Line'!$AM$2:$AM$3001,0,'Per Line'!$AN$2:$AN$3001,0))</f>
        <v/>
      </c>
      <c r="P747" s="7">
        <f>IF($X747="","",O747*N747)</f>
        <v/>
      </c>
      <c r="Q747">
        <f>IF($X747="","",Settings!$C$6)</f>
        <v/>
      </c>
      <c r="R747" s="7">
        <f>IF($X747="","",SUMIFS('Per Line'!$V$2:$V$3001,'Per Line'!$D$2:$D$3001,$B747,'Per Line'!$AM$2:$AM$3001,1,'Per Line'!$AN$2:$AN$3001,0))</f>
        <v/>
      </c>
      <c r="S747" s="7">
        <f>IF($X747="","",R747*Q747)</f>
        <v/>
      </c>
      <c r="T747" s="7">
        <f>IF($X747="","",S747+P747)</f>
        <v/>
      </c>
      <c r="U747" s="7">
        <f>IF($X747="","",V747-T747)</f>
        <v/>
      </c>
      <c r="V747" s="7">
        <f>IF($X747="","",O747+R747+M747)</f>
        <v/>
      </c>
      <c r="W747" s="7">
        <f>IF($X747="","",V747-T747-I747)</f>
        <v/>
      </c>
      <c r="X747" s="13">
        <f>IF(ROWS($X$2:$X747)&lt;=MAX('Per Line'!$AL$2:$AL$3001),MATCH(ROWS($X$2:$X747),'Per Line'!$AL$2:$AL$3001,0),"")</f>
        <v/>
      </c>
    </row>
    <row r="748">
      <c r="A748" s="12" t="n"/>
      <c r="B748">
        <f>IF($X748="","",INDEX('Per Line'!$D$2:$D$3001,$X748)&amp;"")</f>
        <v/>
      </c>
      <c r="C748" s="11">
        <f>IF($X748="","",INDEX('Per Line'!$F$2:$F$3001,$X748))</f>
        <v/>
      </c>
      <c r="D748">
        <f>IF($X748="","",INDEX('Per Line'!$G$2:$G$3001,$X748)&amp;"")</f>
        <v/>
      </c>
      <c r="E748">
        <f>IF($X748="","",INDEX('Per Line'!$I$2:$I$3001,$X748)&amp;"")</f>
        <v/>
      </c>
      <c r="F748">
        <f>IF($X748="","",INDEX('Per Line'!$J$2:$J$3001,$X748)&amp;"")</f>
        <v/>
      </c>
      <c r="G748">
        <f>IF($X748="","",INDEX('Per Line'!$K$2:$K$3001,$X748)&amp;"")</f>
        <v/>
      </c>
      <c r="H748">
        <f>IF($X748="","",INDEX('Per Line'!$M$2:$M$3001,$X748))</f>
        <v/>
      </c>
      <c r="I748" s="7">
        <f>IF($X748="","",H748*V748/100)</f>
        <v/>
      </c>
      <c r="J748">
        <f>IF($X748="","",INDEX('Per Line'!$W$2:$W$3001,$X748)&amp;"")</f>
        <v/>
      </c>
      <c r="K748">
        <f>IF($X748="","",INDEX('Per Line'!$AD$2:$AD$3001,$X748))</f>
        <v/>
      </c>
      <c r="L748">
        <f>IF($X748="","",IF(AND(ISNUMBER(K748),K748&gt;0),V748&gt;K748,FALSE))</f>
        <v/>
      </c>
      <c r="M748" s="7">
        <f>IF($X748="","",SUMIFS('Per Line'!$V$2:$V$3001,'Per Line'!$D$2:$D$3001,$B748,'Per Line'!$AN$2:$AN$3001,1))</f>
        <v/>
      </c>
      <c r="N748">
        <f>IF($X748="","",Settings!$C$7)</f>
        <v/>
      </c>
      <c r="O748" s="7">
        <f>IF($X748="","",SUMIFS('Per Line'!$V$2:$V$3001,'Per Line'!$D$2:$D$3001,$B748,'Per Line'!$AM$2:$AM$3001,0,'Per Line'!$AN$2:$AN$3001,0))</f>
        <v/>
      </c>
      <c r="P748" s="7">
        <f>IF($X748="","",O748*N748)</f>
        <v/>
      </c>
      <c r="Q748">
        <f>IF($X748="","",Settings!$C$6)</f>
        <v/>
      </c>
      <c r="R748" s="7">
        <f>IF($X748="","",SUMIFS('Per Line'!$V$2:$V$3001,'Per Line'!$D$2:$D$3001,$B748,'Per Line'!$AM$2:$AM$3001,1,'Per Line'!$AN$2:$AN$3001,0))</f>
        <v/>
      </c>
      <c r="S748" s="7">
        <f>IF($X748="","",R748*Q748)</f>
        <v/>
      </c>
      <c r="T748" s="7">
        <f>IF($X748="","",S748+P748)</f>
        <v/>
      </c>
      <c r="U748" s="7">
        <f>IF($X748="","",V748-T748)</f>
        <v/>
      </c>
      <c r="V748" s="7">
        <f>IF($X748="","",O748+R748+M748)</f>
        <v/>
      </c>
      <c r="W748" s="7">
        <f>IF($X748="","",V748-T748-I748)</f>
        <v/>
      </c>
      <c r="X748" s="13">
        <f>IF(ROWS($X$2:$X748)&lt;=MAX('Per Line'!$AL$2:$AL$3001),MATCH(ROWS($X$2:$X748),'Per Line'!$AL$2:$AL$3001,0),"")</f>
        <v/>
      </c>
    </row>
    <row r="749">
      <c r="A749" s="12" t="n"/>
      <c r="B749">
        <f>IF($X749="","",INDEX('Per Line'!$D$2:$D$3001,$X749)&amp;"")</f>
        <v/>
      </c>
      <c r="C749" s="11">
        <f>IF($X749="","",INDEX('Per Line'!$F$2:$F$3001,$X749))</f>
        <v/>
      </c>
      <c r="D749">
        <f>IF($X749="","",INDEX('Per Line'!$G$2:$G$3001,$X749)&amp;"")</f>
        <v/>
      </c>
      <c r="E749">
        <f>IF($X749="","",INDEX('Per Line'!$I$2:$I$3001,$X749)&amp;"")</f>
        <v/>
      </c>
      <c r="F749">
        <f>IF($X749="","",INDEX('Per Line'!$J$2:$J$3001,$X749)&amp;"")</f>
        <v/>
      </c>
      <c r="G749">
        <f>IF($X749="","",INDEX('Per Line'!$K$2:$K$3001,$X749)&amp;"")</f>
        <v/>
      </c>
      <c r="H749">
        <f>IF($X749="","",INDEX('Per Line'!$M$2:$M$3001,$X749))</f>
        <v/>
      </c>
      <c r="I749" s="7">
        <f>IF($X749="","",H749*V749/100)</f>
        <v/>
      </c>
      <c r="J749">
        <f>IF($X749="","",INDEX('Per Line'!$W$2:$W$3001,$X749)&amp;"")</f>
        <v/>
      </c>
      <c r="K749">
        <f>IF($X749="","",INDEX('Per Line'!$AD$2:$AD$3001,$X749))</f>
        <v/>
      </c>
      <c r="L749">
        <f>IF($X749="","",IF(AND(ISNUMBER(K749),K749&gt;0),V749&gt;K749,FALSE))</f>
        <v/>
      </c>
      <c r="M749" s="7">
        <f>IF($X749="","",SUMIFS('Per Line'!$V$2:$V$3001,'Per Line'!$D$2:$D$3001,$B749,'Per Line'!$AN$2:$AN$3001,1))</f>
        <v/>
      </c>
      <c r="N749">
        <f>IF($X749="","",Settings!$C$7)</f>
        <v/>
      </c>
      <c r="O749" s="7">
        <f>IF($X749="","",SUMIFS('Per Line'!$V$2:$V$3001,'Per Line'!$D$2:$D$3001,$B749,'Per Line'!$AM$2:$AM$3001,0,'Per Line'!$AN$2:$AN$3001,0))</f>
        <v/>
      </c>
      <c r="P749" s="7">
        <f>IF($X749="","",O749*N749)</f>
        <v/>
      </c>
      <c r="Q749">
        <f>IF($X749="","",Settings!$C$6)</f>
        <v/>
      </c>
      <c r="R749" s="7">
        <f>IF($X749="","",SUMIFS('Per Line'!$V$2:$V$3001,'Per Line'!$D$2:$D$3001,$B749,'Per Line'!$AM$2:$AM$3001,1,'Per Line'!$AN$2:$AN$3001,0))</f>
        <v/>
      </c>
      <c r="S749" s="7">
        <f>IF($X749="","",R749*Q749)</f>
        <v/>
      </c>
      <c r="T749" s="7">
        <f>IF($X749="","",S749+P749)</f>
        <v/>
      </c>
      <c r="U749" s="7">
        <f>IF($X749="","",V749-T749)</f>
        <v/>
      </c>
      <c r="V749" s="7">
        <f>IF($X749="","",O749+R749+M749)</f>
        <v/>
      </c>
      <c r="W749" s="7">
        <f>IF($X749="","",V749-T749-I749)</f>
        <v/>
      </c>
      <c r="X749" s="13">
        <f>IF(ROWS($X$2:$X749)&lt;=MAX('Per Line'!$AL$2:$AL$3001),MATCH(ROWS($X$2:$X749),'Per Line'!$AL$2:$AL$3001,0),"")</f>
        <v/>
      </c>
    </row>
    <row r="750">
      <c r="A750" s="12" t="n"/>
      <c r="B750">
        <f>IF($X750="","",INDEX('Per Line'!$D$2:$D$3001,$X750)&amp;"")</f>
        <v/>
      </c>
      <c r="C750" s="11">
        <f>IF($X750="","",INDEX('Per Line'!$F$2:$F$3001,$X750))</f>
        <v/>
      </c>
      <c r="D750">
        <f>IF($X750="","",INDEX('Per Line'!$G$2:$G$3001,$X750)&amp;"")</f>
        <v/>
      </c>
      <c r="E750">
        <f>IF($X750="","",INDEX('Per Line'!$I$2:$I$3001,$X750)&amp;"")</f>
        <v/>
      </c>
      <c r="F750">
        <f>IF($X750="","",INDEX('Per Line'!$J$2:$J$3001,$X750)&amp;"")</f>
        <v/>
      </c>
      <c r="G750">
        <f>IF($X750="","",INDEX('Per Line'!$K$2:$K$3001,$X750)&amp;"")</f>
        <v/>
      </c>
      <c r="H750">
        <f>IF($X750="","",INDEX('Per Line'!$M$2:$M$3001,$X750))</f>
        <v/>
      </c>
      <c r="I750" s="7">
        <f>IF($X750="","",H750*V750/100)</f>
        <v/>
      </c>
      <c r="J750">
        <f>IF($X750="","",INDEX('Per Line'!$W$2:$W$3001,$X750)&amp;"")</f>
        <v/>
      </c>
      <c r="K750">
        <f>IF($X750="","",INDEX('Per Line'!$AD$2:$AD$3001,$X750))</f>
        <v/>
      </c>
      <c r="L750">
        <f>IF($X750="","",IF(AND(ISNUMBER(K750),K750&gt;0),V750&gt;K750,FALSE))</f>
        <v/>
      </c>
      <c r="M750" s="7">
        <f>IF($X750="","",SUMIFS('Per Line'!$V$2:$V$3001,'Per Line'!$D$2:$D$3001,$B750,'Per Line'!$AN$2:$AN$3001,1))</f>
        <v/>
      </c>
      <c r="N750">
        <f>IF($X750="","",Settings!$C$7)</f>
        <v/>
      </c>
      <c r="O750" s="7">
        <f>IF($X750="","",SUMIFS('Per Line'!$V$2:$V$3001,'Per Line'!$D$2:$D$3001,$B750,'Per Line'!$AM$2:$AM$3001,0,'Per Line'!$AN$2:$AN$3001,0))</f>
        <v/>
      </c>
      <c r="P750" s="7">
        <f>IF($X750="","",O750*N750)</f>
        <v/>
      </c>
      <c r="Q750">
        <f>IF($X750="","",Settings!$C$6)</f>
        <v/>
      </c>
      <c r="R750" s="7">
        <f>IF($X750="","",SUMIFS('Per Line'!$V$2:$V$3001,'Per Line'!$D$2:$D$3001,$B750,'Per Line'!$AM$2:$AM$3001,1,'Per Line'!$AN$2:$AN$3001,0))</f>
        <v/>
      </c>
      <c r="S750" s="7">
        <f>IF($X750="","",R750*Q750)</f>
        <v/>
      </c>
      <c r="T750" s="7">
        <f>IF($X750="","",S750+P750)</f>
        <v/>
      </c>
      <c r="U750" s="7">
        <f>IF($X750="","",V750-T750)</f>
        <v/>
      </c>
      <c r="V750" s="7">
        <f>IF($X750="","",O750+R750+M750)</f>
        <v/>
      </c>
      <c r="W750" s="7">
        <f>IF($X750="","",V750-T750-I750)</f>
        <v/>
      </c>
      <c r="X750" s="13">
        <f>IF(ROWS($X$2:$X750)&lt;=MAX('Per Line'!$AL$2:$AL$3001),MATCH(ROWS($X$2:$X750),'Per Line'!$AL$2:$AL$3001,0),"")</f>
        <v/>
      </c>
    </row>
    <row r="751">
      <c r="A751" s="12" t="n"/>
      <c r="B751">
        <f>IF($X751="","",INDEX('Per Line'!$D$2:$D$3001,$X751)&amp;"")</f>
        <v/>
      </c>
      <c r="C751" s="11">
        <f>IF($X751="","",INDEX('Per Line'!$F$2:$F$3001,$X751))</f>
        <v/>
      </c>
      <c r="D751">
        <f>IF($X751="","",INDEX('Per Line'!$G$2:$G$3001,$X751)&amp;"")</f>
        <v/>
      </c>
      <c r="E751">
        <f>IF($X751="","",INDEX('Per Line'!$I$2:$I$3001,$X751)&amp;"")</f>
        <v/>
      </c>
      <c r="F751">
        <f>IF($X751="","",INDEX('Per Line'!$J$2:$J$3001,$X751)&amp;"")</f>
        <v/>
      </c>
      <c r="G751">
        <f>IF($X751="","",INDEX('Per Line'!$K$2:$K$3001,$X751)&amp;"")</f>
        <v/>
      </c>
      <c r="H751">
        <f>IF($X751="","",INDEX('Per Line'!$M$2:$M$3001,$X751))</f>
        <v/>
      </c>
      <c r="I751" s="7">
        <f>IF($X751="","",H751*V751/100)</f>
        <v/>
      </c>
      <c r="J751">
        <f>IF($X751="","",INDEX('Per Line'!$W$2:$W$3001,$X751)&amp;"")</f>
        <v/>
      </c>
      <c r="K751">
        <f>IF($X751="","",INDEX('Per Line'!$AD$2:$AD$3001,$X751))</f>
        <v/>
      </c>
      <c r="L751">
        <f>IF($X751="","",IF(AND(ISNUMBER(K751),K751&gt;0),V751&gt;K751,FALSE))</f>
        <v/>
      </c>
      <c r="M751" s="7">
        <f>IF($X751="","",SUMIFS('Per Line'!$V$2:$V$3001,'Per Line'!$D$2:$D$3001,$B751,'Per Line'!$AN$2:$AN$3001,1))</f>
        <v/>
      </c>
      <c r="N751">
        <f>IF($X751="","",Settings!$C$7)</f>
        <v/>
      </c>
      <c r="O751" s="7">
        <f>IF($X751="","",SUMIFS('Per Line'!$V$2:$V$3001,'Per Line'!$D$2:$D$3001,$B751,'Per Line'!$AM$2:$AM$3001,0,'Per Line'!$AN$2:$AN$3001,0))</f>
        <v/>
      </c>
      <c r="P751" s="7">
        <f>IF($X751="","",O751*N751)</f>
        <v/>
      </c>
      <c r="Q751">
        <f>IF($X751="","",Settings!$C$6)</f>
        <v/>
      </c>
      <c r="R751" s="7">
        <f>IF($X751="","",SUMIFS('Per Line'!$V$2:$V$3001,'Per Line'!$D$2:$D$3001,$B751,'Per Line'!$AM$2:$AM$3001,1,'Per Line'!$AN$2:$AN$3001,0))</f>
        <v/>
      </c>
      <c r="S751" s="7">
        <f>IF($X751="","",R751*Q751)</f>
        <v/>
      </c>
      <c r="T751" s="7">
        <f>IF($X751="","",S751+P751)</f>
        <v/>
      </c>
      <c r="U751" s="7">
        <f>IF($X751="","",V751-T751)</f>
        <v/>
      </c>
      <c r="V751" s="7">
        <f>IF($X751="","",O751+R751+M751)</f>
        <v/>
      </c>
      <c r="W751" s="7">
        <f>IF($X751="","",V751-T751-I751)</f>
        <v/>
      </c>
      <c r="X751" s="13">
        <f>IF(ROWS($X$2:$X751)&lt;=MAX('Per Line'!$AL$2:$AL$3001),MATCH(ROWS($X$2:$X751),'Per Line'!$AL$2:$AL$3001,0),"")</f>
        <v/>
      </c>
    </row>
    <row r="752">
      <c r="A752" s="12" t="n"/>
      <c r="B752">
        <f>IF($X752="","",INDEX('Per Line'!$D$2:$D$3001,$X752)&amp;"")</f>
        <v/>
      </c>
      <c r="C752" s="11">
        <f>IF($X752="","",INDEX('Per Line'!$F$2:$F$3001,$X752))</f>
        <v/>
      </c>
      <c r="D752">
        <f>IF($X752="","",INDEX('Per Line'!$G$2:$G$3001,$X752)&amp;"")</f>
        <v/>
      </c>
      <c r="E752">
        <f>IF($X752="","",INDEX('Per Line'!$I$2:$I$3001,$X752)&amp;"")</f>
        <v/>
      </c>
      <c r="F752">
        <f>IF($X752="","",INDEX('Per Line'!$J$2:$J$3001,$X752)&amp;"")</f>
        <v/>
      </c>
      <c r="G752">
        <f>IF($X752="","",INDEX('Per Line'!$K$2:$K$3001,$X752)&amp;"")</f>
        <v/>
      </c>
      <c r="H752">
        <f>IF($X752="","",INDEX('Per Line'!$M$2:$M$3001,$X752))</f>
        <v/>
      </c>
      <c r="I752" s="7">
        <f>IF($X752="","",H752*V752/100)</f>
        <v/>
      </c>
      <c r="J752">
        <f>IF($X752="","",INDEX('Per Line'!$W$2:$W$3001,$X752)&amp;"")</f>
        <v/>
      </c>
      <c r="K752">
        <f>IF($X752="","",INDEX('Per Line'!$AD$2:$AD$3001,$X752))</f>
        <v/>
      </c>
      <c r="L752">
        <f>IF($X752="","",IF(AND(ISNUMBER(K752),K752&gt;0),V752&gt;K752,FALSE))</f>
        <v/>
      </c>
      <c r="M752" s="7">
        <f>IF($X752="","",SUMIFS('Per Line'!$V$2:$V$3001,'Per Line'!$D$2:$D$3001,$B752,'Per Line'!$AN$2:$AN$3001,1))</f>
        <v/>
      </c>
      <c r="N752">
        <f>IF($X752="","",Settings!$C$7)</f>
        <v/>
      </c>
      <c r="O752" s="7">
        <f>IF($X752="","",SUMIFS('Per Line'!$V$2:$V$3001,'Per Line'!$D$2:$D$3001,$B752,'Per Line'!$AM$2:$AM$3001,0,'Per Line'!$AN$2:$AN$3001,0))</f>
        <v/>
      </c>
      <c r="P752" s="7">
        <f>IF($X752="","",O752*N752)</f>
        <v/>
      </c>
      <c r="Q752">
        <f>IF($X752="","",Settings!$C$6)</f>
        <v/>
      </c>
      <c r="R752" s="7">
        <f>IF($X752="","",SUMIFS('Per Line'!$V$2:$V$3001,'Per Line'!$D$2:$D$3001,$B752,'Per Line'!$AM$2:$AM$3001,1,'Per Line'!$AN$2:$AN$3001,0))</f>
        <v/>
      </c>
      <c r="S752" s="7">
        <f>IF($X752="","",R752*Q752)</f>
        <v/>
      </c>
      <c r="T752" s="7">
        <f>IF($X752="","",S752+P752)</f>
        <v/>
      </c>
      <c r="U752" s="7">
        <f>IF($X752="","",V752-T752)</f>
        <v/>
      </c>
      <c r="V752" s="7">
        <f>IF($X752="","",O752+R752+M752)</f>
        <v/>
      </c>
      <c r="W752" s="7">
        <f>IF($X752="","",V752-T752-I752)</f>
        <v/>
      </c>
      <c r="X752" s="13">
        <f>IF(ROWS($X$2:$X752)&lt;=MAX('Per Line'!$AL$2:$AL$3001),MATCH(ROWS($X$2:$X752),'Per Line'!$AL$2:$AL$3001,0),"")</f>
        <v/>
      </c>
    </row>
    <row r="753">
      <c r="A753" s="12" t="n"/>
      <c r="B753">
        <f>IF($X753="","",INDEX('Per Line'!$D$2:$D$3001,$X753)&amp;"")</f>
        <v/>
      </c>
      <c r="C753" s="11">
        <f>IF($X753="","",INDEX('Per Line'!$F$2:$F$3001,$X753))</f>
        <v/>
      </c>
      <c r="D753">
        <f>IF($X753="","",INDEX('Per Line'!$G$2:$G$3001,$X753)&amp;"")</f>
        <v/>
      </c>
      <c r="E753">
        <f>IF($X753="","",INDEX('Per Line'!$I$2:$I$3001,$X753)&amp;"")</f>
        <v/>
      </c>
      <c r="F753">
        <f>IF($X753="","",INDEX('Per Line'!$J$2:$J$3001,$X753)&amp;"")</f>
        <v/>
      </c>
      <c r="G753">
        <f>IF($X753="","",INDEX('Per Line'!$K$2:$K$3001,$X753)&amp;"")</f>
        <v/>
      </c>
      <c r="H753">
        <f>IF($X753="","",INDEX('Per Line'!$M$2:$M$3001,$X753))</f>
        <v/>
      </c>
      <c r="I753" s="7">
        <f>IF($X753="","",H753*V753/100)</f>
        <v/>
      </c>
      <c r="J753">
        <f>IF($X753="","",INDEX('Per Line'!$W$2:$W$3001,$X753)&amp;"")</f>
        <v/>
      </c>
      <c r="K753">
        <f>IF($X753="","",INDEX('Per Line'!$AD$2:$AD$3001,$X753))</f>
        <v/>
      </c>
      <c r="L753">
        <f>IF($X753="","",IF(AND(ISNUMBER(K753),K753&gt;0),V753&gt;K753,FALSE))</f>
        <v/>
      </c>
      <c r="M753" s="7">
        <f>IF($X753="","",SUMIFS('Per Line'!$V$2:$V$3001,'Per Line'!$D$2:$D$3001,$B753,'Per Line'!$AN$2:$AN$3001,1))</f>
        <v/>
      </c>
      <c r="N753">
        <f>IF($X753="","",Settings!$C$7)</f>
        <v/>
      </c>
      <c r="O753" s="7">
        <f>IF($X753="","",SUMIFS('Per Line'!$V$2:$V$3001,'Per Line'!$D$2:$D$3001,$B753,'Per Line'!$AM$2:$AM$3001,0,'Per Line'!$AN$2:$AN$3001,0))</f>
        <v/>
      </c>
      <c r="P753" s="7">
        <f>IF($X753="","",O753*N753)</f>
        <v/>
      </c>
      <c r="Q753">
        <f>IF($X753="","",Settings!$C$6)</f>
        <v/>
      </c>
      <c r="R753" s="7">
        <f>IF($X753="","",SUMIFS('Per Line'!$V$2:$V$3001,'Per Line'!$D$2:$D$3001,$B753,'Per Line'!$AM$2:$AM$3001,1,'Per Line'!$AN$2:$AN$3001,0))</f>
        <v/>
      </c>
      <c r="S753" s="7">
        <f>IF($X753="","",R753*Q753)</f>
        <v/>
      </c>
      <c r="T753" s="7">
        <f>IF($X753="","",S753+P753)</f>
        <v/>
      </c>
      <c r="U753" s="7">
        <f>IF($X753="","",V753-T753)</f>
        <v/>
      </c>
      <c r="V753" s="7">
        <f>IF($X753="","",O753+R753+M753)</f>
        <v/>
      </c>
      <c r="W753" s="7">
        <f>IF($X753="","",V753-T753-I753)</f>
        <v/>
      </c>
      <c r="X753" s="13">
        <f>IF(ROWS($X$2:$X753)&lt;=MAX('Per Line'!$AL$2:$AL$3001),MATCH(ROWS($X$2:$X753),'Per Line'!$AL$2:$AL$3001,0),"")</f>
        <v/>
      </c>
    </row>
    <row r="754">
      <c r="A754" s="12" t="n"/>
      <c r="B754">
        <f>IF($X754="","",INDEX('Per Line'!$D$2:$D$3001,$X754)&amp;"")</f>
        <v/>
      </c>
      <c r="C754" s="11">
        <f>IF($X754="","",INDEX('Per Line'!$F$2:$F$3001,$X754))</f>
        <v/>
      </c>
      <c r="D754">
        <f>IF($X754="","",INDEX('Per Line'!$G$2:$G$3001,$X754)&amp;"")</f>
        <v/>
      </c>
      <c r="E754">
        <f>IF($X754="","",INDEX('Per Line'!$I$2:$I$3001,$X754)&amp;"")</f>
        <v/>
      </c>
      <c r="F754">
        <f>IF($X754="","",INDEX('Per Line'!$J$2:$J$3001,$X754)&amp;"")</f>
        <v/>
      </c>
      <c r="G754">
        <f>IF($X754="","",INDEX('Per Line'!$K$2:$K$3001,$X754)&amp;"")</f>
        <v/>
      </c>
      <c r="H754">
        <f>IF($X754="","",INDEX('Per Line'!$M$2:$M$3001,$X754))</f>
        <v/>
      </c>
      <c r="I754" s="7">
        <f>IF($X754="","",H754*V754/100)</f>
        <v/>
      </c>
      <c r="J754">
        <f>IF($X754="","",INDEX('Per Line'!$W$2:$W$3001,$X754)&amp;"")</f>
        <v/>
      </c>
      <c r="K754">
        <f>IF($X754="","",INDEX('Per Line'!$AD$2:$AD$3001,$X754))</f>
        <v/>
      </c>
      <c r="L754">
        <f>IF($X754="","",IF(AND(ISNUMBER(K754),K754&gt;0),V754&gt;K754,FALSE))</f>
        <v/>
      </c>
      <c r="M754" s="7">
        <f>IF($X754="","",SUMIFS('Per Line'!$V$2:$V$3001,'Per Line'!$D$2:$D$3001,$B754,'Per Line'!$AN$2:$AN$3001,1))</f>
        <v/>
      </c>
      <c r="N754">
        <f>IF($X754="","",Settings!$C$7)</f>
        <v/>
      </c>
      <c r="O754" s="7">
        <f>IF($X754="","",SUMIFS('Per Line'!$V$2:$V$3001,'Per Line'!$D$2:$D$3001,$B754,'Per Line'!$AM$2:$AM$3001,0,'Per Line'!$AN$2:$AN$3001,0))</f>
        <v/>
      </c>
      <c r="P754" s="7">
        <f>IF($X754="","",O754*N754)</f>
        <v/>
      </c>
      <c r="Q754">
        <f>IF($X754="","",Settings!$C$6)</f>
        <v/>
      </c>
      <c r="R754" s="7">
        <f>IF($X754="","",SUMIFS('Per Line'!$V$2:$V$3001,'Per Line'!$D$2:$D$3001,$B754,'Per Line'!$AM$2:$AM$3001,1,'Per Line'!$AN$2:$AN$3001,0))</f>
        <v/>
      </c>
      <c r="S754" s="7">
        <f>IF($X754="","",R754*Q754)</f>
        <v/>
      </c>
      <c r="T754" s="7">
        <f>IF($X754="","",S754+P754)</f>
        <v/>
      </c>
      <c r="U754" s="7">
        <f>IF($X754="","",V754-T754)</f>
        <v/>
      </c>
      <c r="V754" s="7">
        <f>IF($X754="","",O754+R754+M754)</f>
        <v/>
      </c>
      <c r="W754" s="7">
        <f>IF($X754="","",V754-T754-I754)</f>
        <v/>
      </c>
      <c r="X754" s="13">
        <f>IF(ROWS($X$2:$X754)&lt;=MAX('Per Line'!$AL$2:$AL$3001),MATCH(ROWS($X$2:$X754),'Per Line'!$AL$2:$AL$3001,0),"")</f>
        <v/>
      </c>
    </row>
    <row r="755">
      <c r="A755" s="12" t="n"/>
      <c r="B755">
        <f>IF($X755="","",INDEX('Per Line'!$D$2:$D$3001,$X755)&amp;"")</f>
        <v/>
      </c>
      <c r="C755" s="11">
        <f>IF($X755="","",INDEX('Per Line'!$F$2:$F$3001,$X755))</f>
        <v/>
      </c>
      <c r="D755">
        <f>IF($X755="","",INDEX('Per Line'!$G$2:$G$3001,$X755)&amp;"")</f>
        <v/>
      </c>
      <c r="E755">
        <f>IF($X755="","",INDEX('Per Line'!$I$2:$I$3001,$X755)&amp;"")</f>
        <v/>
      </c>
      <c r="F755">
        <f>IF($X755="","",INDEX('Per Line'!$J$2:$J$3001,$X755)&amp;"")</f>
        <v/>
      </c>
      <c r="G755">
        <f>IF($X755="","",INDEX('Per Line'!$K$2:$K$3001,$X755)&amp;"")</f>
        <v/>
      </c>
      <c r="H755">
        <f>IF($X755="","",INDEX('Per Line'!$M$2:$M$3001,$X755))</f>
        <v/>
      </c>
      <c r="I755" s="7">
        <f>IF($X755="","",H755*V755/100)</f>
        <v/>
      </c>
      <c r="J755">
        <f>IF($X755="","",INDEX('Per Line'!$W$2:$W$3001,$X755)&amp;"")</f>
        <v/>
      </c>
      <c r="K755">
        <f>IF($X755="","",INDEX('Per Line'!$AD$2:$AD$3001,$X755))</f>
        <v/>
      </c>
      <c r="L755">
        <f>IF($X755="","",IF(AND(ISNUMBER(K755),K755&gt;0),V755&gt;K755,FALSE))</f>
        <v/>
      </c>
      <c r="M755" s="7">
        <f>IF($X755="","",SUMIFS('Per Line'!$V$2:$V$3001,'Per Line'!$D$2:$D$3001,$B755,'Per Line'!$AN$2:$AN$3001,1))</f>
        <v/>
      </c>
      <c r="N755">
        <f>IF($X755="","",Settings!$C$7)</f>
        <v/>
      </c>
      <c r="O755" s="7">
        <f>IF($X755="","",SUMIFS('Per Line'!$V$2:$V$3001,'Per Line'!$D$2:$D$3001,$B755,'Per Line'!$AM$2:$AM$3001,0,'Per Line'!$AN$2:$AN$3001,0))</f>
        <v/>
      </c>
      <c r="P755" s="7">
        <f>IF($X755="","",O755*N755)</f>
        <v/>
      </c>
      <c r="Q755">
        <f>IF($X755="","",Settings!$C$6)</f>
        <v/>
      </c>
      <c r="R755" s="7">
        <f>IF($X755="","",SUMIFS('Per Line'!$V$2:$V$3001,'Per Line'!$D$2:$D$3001,$B755,'Per Line'!$AM$2:$AM$3001,1,'Per Line'!$AN$2:$AN$3001,0))</f>
        <v/>
      </c>
      <c r="S755" s="7">
        <f>IF($X755="","",R755*Q755)</f>
        <v/>
      </c>
      <c r="T755" s="7">
        <f>IF($X755="","",S755+P755)</f>
        <v/>
      </c>
      <c r="U755" s="7">
        <f>IF($X755="","",V755-T755)</f>
        <v/>
      </c>
      <c r="V755" s="7">
        <f>IF($X755="","",O755+R755+M755)</f>
        <v/>
      </c>
      <c r="W755" s="7">
        <f>IF($X755="","",V755-T755-I755)</f>
        <v/>
      </c>
      <c r="X755" s="13">
        <f>IF(ROWS($X$2:$X755)&lt;=MAX('Per Line'!$AL$2:$AL$3001),MATCH(ROWS($X$2:$X755),'Per Line'!$AL$2:$AL$3001,0),"")</f>
        <v/>
      </c>
    </row>
    <row r="756">
      <c r="A756" s="12" t="n"/>
      <c r="B756">
        <f>IF($X756="","",INDEX('Per Line'!$D$2:$D$3001,$X756)&amp;"")</f>
        <v/>
      </c>
      <c r="C756" s="11">
        <f>IF($X756="","",INDEX('Per Line'!$F$2:$F$3001,$X756))</f>
        <v/>
      </c>
      <c r="D756">
        <f>IF($X756="","",INDEX('Per Line'!$G$2:$G$3001,$X756)&amp;"")</f>
        <v/>
      </c>
      <c r="E756">
        <f>IF($X756="","",INDEX('Per Line'!$I$2:$I$3001,$X756)&amp;"")</f>
        <v/>
      </c>
      <c r="F756">
        <f>IF($X756="","",INDEX('Per Line'!$J$2:$J$3001,$X756)&amp;"")</f>
        <v/>
      </c>
      <c r="G756">
        <f>IF($X756="","",INDEX('Per Line'!$K$2:$K$3001,$X756)&amp;"")</f>
        <v/>
      </c>
      <c r="H756">
        <f>IF($X756="","",INDEX('Per Line'!$M$2:$M$3001,$X756))</f>
        <v/>
      </c>
      <c r="I756" s="7">
        <f>IF($X756="","",H756*V756/100)</f>
        <v/>
      </c>
      <c r="J756">
        <f>IF($X756="","",INDEX('Per Line'!$W$2:$W$3001,$X756)&amp;"")</f>
        <v/>
      </c>
      <c r="K756">
        <f>IF($X756="","",INDEX('Per Line'!$AD$2:$AD$3001,$X756))</f>
        <v/>
      </c>
      <c r="L756">
        <f>IF($X756="","",IF(AND(ISNUMBER(K756),K756&gt;0),V756&gt;K756,FALSE))</f>
        <v/>
      </c>
      <c r="M756" s="7">
        <f>IF($X756="","",SUMIFS('Per Line'!$V$2:$V$3001,'Per Line'!$D$2:$D$3001,$B756,'Per Line'!$AN$2:$AN$3001,1))</f>
        <v/>
      </c>
      <c r="N756">
        <f>IF($X756="","",Settings!$C$7)</f>
        <v/>
      </c>
      <c r="O756" s="7">
        <f>IF($X756="","",SUMIFS('Per Line'!$V$2:$V$3001,'Per Line'!$D$2:$D$3001,$B756,'Per Line'!$AM$2:$AM$3001,0,'Per Line'!$AN$2:$AN$3001,0))</f>
        <v/>
      </c>
      <c r="P756" s="7">
        <f>IF($X756="","",O756*N756)</f>
        <v/>
      </c>
      <c r="Q756">
        <f>IF($X756="","",Settings!$C$6)</f>
        <v/>
      </c>
      <c r="R756" s="7">
        <f>IF($X756="","",SUMIFS('Per Line'!$V$2:$V$3001,'Per Line'!$D$2:$D$3001,$B756,'Per Line'!$AM$2:$AM$3001,1,'Per Line'!$AN$2:$AN$3001,0))</f>
        <v/>
      </c>
      <c r="S756" s="7">
        <f>IF($X756="","",R756*Q756)</f>
        <v/>
      </c>
      <c r="T756" s="7">
        <f>IF($X756="","",S756+P756)</f>
        <v/>
      </c>
      <c r="U756" s="7">
        <f>IF($X756="","",V756-T756)</f>
        <v/>
      </c>
      <c r="V756" s="7">
        <f>IF($X756="","",O756+R756+M756)</f>
        <v/>
      </c>
      <c r="W756" s="7">
        <f>IF($X756="","",V756-T756-I756)</f>
        <v/>
      </c>
      <c r="X756" s="13">
        <f>IF(ROWS($X$2:$X756)&lt;=MAX('Per Line'!$AL$2:$AL$3001),MATCH(ROWS($X$2:$X756),'Per Line'!$AL$2:$AL$3001,0),"")</f>
        <v/>
      </c>
    </row>
    <row r="757">
      <c r="A757" s="12" t="n"/>
      <c r="B757">
        <f>IF($X757="","",INDEX('Per Line'!$D$2:$D$3001,$X757)&amp;"")</f>
        <v/>
      </c>
      <c r="C757" s="11">
        <f>IF($X757="","",INDEX('Per Line'!$F$2:$F$3001,$X757))</f>
        <v/>
      </c>
      <c r="D757">
        <f>IF($X757="","",INDEX('Per Line'!$G$2:$G$3001,$X757)&amp;"")</f>
        <v/>
      </c>
      <c r="E757">
        <f>IF($X757="","",INDEX('Per Line'!$I$2:$I$3001,$X757)&amp;"")</f>
        <v/>
      </c>
      <c r="F757">
        <f>IF($X757="","",INDEX('Per Line'!$J$2:$J$3001,$X757)&amp;"")</f>
        <v/>
      </c>
      <c r="G757">
        <f>IF($X757="","",INDEX('Per Line'!$K$2:$K$3001,$X757)&amp;"")</f>
        <v/>
      </c>
      <c r="H757">
        <f>IF($X757="","",INDEX('Per Line'!$M$2:$M$3001,$X757))</f>
        <v/>
      </c>
      <c r="I757" s="7">
        <f>IF($X757="","",H757*V757/100)</f>
        <v/>
      </c>
      <c r="J757">
        <f>IF($X757="","",INDEX('Per Line'!$W$2:$W$3001,$X757)&amp;"")</f>
        <v/>
      </c>
      <c r="K757">
        <f>IF($X757="","",INDEX('Per Line'!$AD$2:$AD$3001,$X757))</f>
        <v/>
      </c>
      <c r="L757">
        <f>IF($X757="","",IF(AND(ISNUMBER(K757),K757&gt;0),V757&gt;K757,FALSE))</f>
        <v/>
      </c>
      <c r="M757" s="7">
        <f>IF($X757="","",SUMIFS('Per Line'!$V$2:$V$3001,'Per Line'!$D$2:$D$3001,$B757,'Per Line'!$AN$2:$AN$3001,1))</f>
        <v/>
      </c>
      <c r="N757">
        <f>IF($X757="","",Settings!$C$7)</f>
        <v/>
      </c>
      <c r="O757" s="7">
        <f>IF($X757="","",SUMIFS('Per Line'!$V$2:$V$3001,'Per Line'!$D$2:$D$3001,$B757,'Per Line'!$AM$2:$AM$3001,0,'Per Line'!$AN$2:$AN$3001,0))</f>
        <v/>
      </c>
      <c r="P757" s="7">
        <f>IF($X757="","",O757*N757)</f>
        <v/>
      </c>
      <c r="Q757">
        <f>IF($X757="","",Settings!$C$6)</f>
        <v/>
      </c>
      <c r="R757" s="7">
        <f>IF($X757="","",SUMIFS('Per Line'!$V$2:$V$3001,'Per Line'!$D$2:$D$3001,$B757,'Per Line'!$AM$2:$AM$3001,1,'Per Line'!$AN$2:$AN$3001,0))</f>
        <v/>
      </c>
      <c r="S757" s="7">
        <f>IF($X757="","",R757*Q757)</f>
        <v/>
      </c>
      <c r="T757" s="7">
        <f>IF($X757="","",S757+P757)</f>
        <v/>
      </c>
      <c r="U757" s="7">
        <f>IF($X757="","",V757-T757)</f>
        <v/>
      </c>
      <c r="V757" s="7">
        <f>IF($X757="","",O757+R757+M757)</f>
        <v/>
      </c>
      <c r="W757" s="7">
        <f>IF($X757="","",V757-T757-I757)</f>
        <v/>
      </c>
      <c r="X757" s="13">
        <f>IF(ROWS($X$2:$X757)&lt;=MAX('Per Line'!$AL$2:$AL$3001),MATCH(ROWS($X$2:$X757),'Per Line'!$AL$2:$AL$3001,0),"")</f>
        <v/>
      </c>
    </row>
    <row r="758">
      <c r="A758" s="12" t="n"/>
      <c r="B758">
        <f>IF($X758="","",INDEX('Per Line'!$D$2:$D$3001,$X758)&amp;"")</f>
        <v/>
      </c>
      <c r="C758" s="11">
        <f>IF($X758="","",INDEX('Per Line'!$F$2:$F$3001,$X758))</f>
        <v/>
      </c>
      <c r="D758">
        <f>IF($X758="","",INDEX('Per Line'!$G$2:$G$3001,$X758)&amp;"")</f>
        <v/>
      </c>
      <c r="E758">
        <f>IF($X758="","",INDEX('Per Line'!$I$2:$I$3001,$X758)&amp;"")</f>
        <v/>
      </c>
      <c r="F758">
        <f>IF($X758="","",INDEX('Per Line'!$J$2:$J$3001,$X758)&amp;"")</f>
        <v/>
      </c>
      <c r="G758">
        <f>IF($X758="","",INDEX('Per Line'!$K$2:$K$3001,$X758)&amp;"")</f>
        <v/>
      </c>
      <c r="H758">
        <f>IF($X758="","",INDEX('Per Line'!$M$2:$M$3001,$X758))</f>
        <v/>
      </c>
      <c r="I758" s="7">
        <f>IF($X758="","",H758*V758/100)</f>
        <v/>
      </c>
      <c r="J758">
        <f>IF($X758="","",INDEX('Per Line'!$W$2:$W$3001,$X758)&amp;"")</f>
        <v/>
      </c>
      <c r="K758">
        <f>IF($X758="","",INDEX('Per Line'!$AD$2:$AD$3001,$X758))</f>
        <v/>
      </c>
      <c r="L758">
        <f>IF($X758="","",IF(AND(ISNUMBER(K758),K758&gt;0),V758&gt;K758,FALSE))</f>
        <v/>
      </c>
      <c r="M758" s="7">
        <f>IF($X758="","",SUMIFS('Per Line'!$V$2:$V$3001,'Per Line'!$D$2:$D$3001,$B758,'Per Line'!$AN$2:$AN$3001,1))</f>
        <v/>
      </c>
      <c r="N758">
        <f>IF($X758="","",Settings!$C$7)</f>
        <v/>
      </c>
      <c r="O758" s="7">
        <f>IF($X758="","",SUMIFS('Per Line'!$V$2:$V$3001,'Per Line'!$D$2:$D$3001,$B758,'Per Line'!$AM$2:$AM$3001,0,'Per Line'!$AN$2:$AN$3001,0))</f>
        <v/>
      </c>
      <c r="P758" s="7">
        <f>IF($X758="","",O758*N758)</f>
        <v/>
      </c>
      <c r="Q758">
        <f>IF($X758="","",Settings!$C$6)</f>
        <v/>
      </c>
      <c r="R758" s="7">
        <f>IF($X758="","",SUMIFS('Per Line'!$V$2:$V$3001,'Per Line'!$D$2:$D$3001,$B758,'Per Line'!$AM$2:$AM$3001,1,'Per Line'!$AN$2:$AN$3001,0))</f>
        <v/>
      </c>
      <c r="S758" s="7">
        <f>IF($X758="","",R758*Q758)</f>
        <v/>
      </c>
      <c r="T758" s="7">
        <f>IF($X758="","",S758+P758)</f>
        <v/>
      </c>
      <c r="U758" s="7">
        <f>IF($X758="","",V758-T758)</f>
        <v/>
      </c>
      <c r="V758" s="7">
        <f>IF($X758="","",O758+R758+M758)</f>
        <v/>
      </c>
      <c r="W758" s="7">
        <f>IF($X758="","",V758-T758-I758)</f>
        <v/>
      </c>
      <c r="X758" s="13">
        <f>IF(ROWS($X$2:$X758)&lt;=MAX('Per Line'!$AL$2:$AL$3001),MATCH(ROWS($X$2:$X758),'Per Line'!$AL$2:$AL$3001,0),"")</f>
        <v/>
      </c>
    </row>
    <row r="759">
      <c r="A759" s="12" t="n"/>
      <c r="B759">
        <f>IF($X759="","",INDEX('Per Line'!$D$2:$D$3001,$X759)&amp;"")</f>
        <v/>
      </c>
      <c r="C759" s="11">
        <f>IF($X759="","",INDEX('Per Line'!$F$2:$F$3001,$X759))</f>
        <v/>
      </c>
      <c r="D759">
        <f>IF($X759="","",INDEX('Per Line'!$G$2:$G$3001,$X759)&amp;"")</f>
        <v/>
      </c>
      <c r="E759">
        <f>IF($X759="","",INDEX('Per Line'!$I$2:$I$3001,$X759)&amp;"")</f>
        <v/>
      </c>
      <c r="F759">
        <f>IF($X759="","",INDEX('Per Line'!$J$2:$J$3001,$X759)&amp;"")</f>
        <v/>
      </c>
      <c r="G759">
        <f>IF($X759="","",INDEX('Per Line'!$K$2:$K$3001,$X759)&amp;"")</f>
        <v/>
      </c>
      <c r="H759">
        <f>IF($X759="","",INDEX('Per Line'!$M$2:$M$3001,$X759))</f>
        <v/>
      </c>
      <c r="I759" s="7">
        <f>IF($X759="","",H759*V759/100)</f>
        <v/>
      </c>
      <c r="J759">
        <f>IF($X759="","",INDEX('Per Line'!$W$2:$W$3001,$X759)&amp;"")</f>
        <v/>
      </c>
      <c r="K759">
        <f>IF($X759="","",INDEX('Per Line'!$AD$2:$AD$3001,$X759))</f>
        <v/>
      </c>
      <c r="L759">
        <f>IF($X759="","",IF(AND(ISNUMBER(K759),K759&gt;0),V759&gt;K759,FALSE))</f>
        <v/>
      </c>
      <c r="M759" s="7">
        <f>IF($X759="","",SUMIFS('Per Line'!$V$2:$V$3001,'Per Line'!$D$2:$D$3001,$B759,'Per Line'!$AN$2:$AN$3001,1))</f>
        <v/>
      </c>
      <c r="N759">
        <f>IF($X759="","",Settings!$C$7)</f>
        <v/>
      </c>
      <c r="O759" s="7">
        <f>IF($X759="","",SUMIFS('Per Line'!$V$2:$V$3001,'Per Line'!$D$2:$D$3001,$B759,'Per Line'!$AM$2:$AM$3001,0,'Per Line'!$AN$2:$AN$3001,0))</f>
        <v/>
      </c>
      <c r="P759" s="7">
        <f>IF($X759="","",O759*N759)</f>
        <v/>
      </c>
      <c r="Q759">
        <f>IF($X759="","",Settings!$C$6)</f>
        <v/>
      </c>
      <c r="R759" s="7">
        <f>IF($X759="","",SUMIFS('Per Line'!$V$2:$V$3001,'Per Line'!$D$2:$D$3001,$B759,'Per Line'!$AM$2:$AM$3001,1,'Per Line'!$AN$2:$AN$3001,0))</f>
        <v/>
      </c>
      <c r="S759" s="7">
        <f>IF($X759="","",R759*Q759)</f>
        <v/>
      </c>
      <c r="T759" s="7">
        <f>IF($X759="","",S759+P759)</f>
        <v/>
      </c>
      <c r="U759" s="7">
        <f>IF($X759="","",V759-T759)</f>
        <v/>
      </c>
      <c r="V759" s="7">
        <f>IF($X759="","",O759+R759+M759)</f>
        <v/>
      </c>
      <c r="W759" s="7">
        <f>IF($X759="","",V759-T759-I759)</f>
        <v/>
      </c>
      <c r="X759" s="13">
        <f>IF(ROWS($X$2:$X759)&lt;=MAX('Per Line'!$AL$2:$AL$3001),MATCH(ROWS($X$2:$X759),'Per Line'!$AL$2:$AL$3001,0),"")</f>
        <v/>
      </c>
    </row>
    <row r="760">
      <c r="A760" s="12" t="n"/>
      <c r="B760">
        <f>IF($X760="","",INDEX('Per Line'!$D$2:$D$3001,$X760)&amp;"")</f>
        <v/>
      </c>
      <c r="C760" s="11">
        <f>IF($X760="","",INDEX('Per Line'!$F$2:$F$3001,$X760))</f>
        <v/>
      </c>
      <c r="D760">
        <f>IF($X760="","",INDEX('Per Line'!$G$2:$G$3001,$X760)&amp;"")</f>
        <v/>
      </c>
      <c r="E760">
        <f>IF($X760="","",INDEX('Per Line'!$I$2:$I$3001,$X760)&amp;"")</f>
        <v/>
      </c>
      <c r="F760">
        <f>IF($X760="","",INDEX('Per Line'!$J$2:$J$3001,$X760)&amp;"")</f>
        <v/>
      </c>
      <c r="G760">
        <f>IF($X760="","",INDEX('Per Line'!$K$2:$K$3001,$X760)&amp;"")</f>
        <v/>
      </c>
      <c r="H760">
        <f>IF($X760="","",INDEX('Per Line'!$M$2:$M$3001,$X760))</f>
        <v/>
      </c>
      <c r="I760" s="7">
        <f>IF($X760="","",H760*V760/100)</f>
        <v/>
      </c>
      <c r="J760">
        <f>IF($X760="","",INDEX('Per Line'!$W$2:$W$3001,$X760)&amp;"")</f>
        <v/>
      </c>
      <c r="K760">
        <f>IF($X760="","",INDEX('Per Line'!$AD$2:$AD$3001,$X760))</f>
        <v/>
      </c>
      <c r="L760">
        <f>IF($X760="","",IF(AND(ISNUMBER(K760),K760&gt;0),V760&gt;K760,FALSE))</f>
        <v/>
      </c>
      <c r="M760" s="7">
        <f>IF($X760="","",SUMIFS('Per Line'!$V$2:$V$3001,'Per Line'!$D$2:$D$3001,$B760,'Per Line'!$AN$2:$AN$3001,1))</f>
        <v/>
      </c>
      <c r="N760">
        <f>IF($X760="","",Settings!$C$7)</f>
        <v/>
      </c>
      <c r="O760" s="7">
        <f>IF($X760="","",SUMIFS('Per Line'!$V$2:$V$3001,'Per Line'!$D$2:$D$3001,$B760,'Per Line'!$AM$2:$AM$3001,0,'Per Line'!$AN$2:$AN$3001,0))</f>
        <v/>
      </c>
      <c r="P760" s="7">
        <f>IF($X760="","",O760*N760)</f>
        <v/>
      </c>
      <c r="Q760">
        <f>IF($X760="","",Settings!$C$6)</f>
        <v/>
      </c>
      <c r="R760" s="7">
        <f>IF($X760="","",SUMIFS('Per Line'!$V$2:$V$3001,'Per Line'!$D$2:$D$3001,$B760,'Per Line'!$AM$2:$AM$3001,1,'Per Line'!$AN$2:$AN$3001,0))</f>
        <v/>
      </c>
      <c r="S760" s="7">
        <f>IF($X760="","",R760*Q760)</f>
        <v/>
      </c>
      <c r="T760" s="7">
        <f>IF($X760="","",S760+P760)</f>
        <v/>
      </c>
      <c r="U760" s="7">
        <f>IF($X760="","",V760-T760)</f>
        <v/>
      </c>
      <c r="V760" s="7">
        <f>IF($X760="","",O760+R760+M760)</f>
        <v/>
      </c>
      <c r="W760" s="7">
        <f>IF($X760="","",V760-T760-I760)</f>
        <v/>
      </c>
      <c r="X760" s="13">
        <f>IF(ROWS($X$2:$X760)&lt;=MAX('Per Line'!$AL$2:$AL$3001),MATCH(ROWS($X$2:$X760),'Per Line'!$AL$2:$AL$3001,0),"")</f>
        <v/>
      </c>
    </row>
    <row r="761">
      <c r="A761" s="12" t="n"/>
      <c r="B761">
        <f>IF($X761="","",INDEX('Per Line'!$D$2:$D$3001,$X761)&amp;"")</f>
        <v/>
      </c>
      <c r="C761" s="11">
        <f>IF($X761="","",INDEX('Per Line'!$F$2:$F$3001,$X761))</f>
        <v/>
      </c>
      <c r="D761">
        <f>IF($X761="","",INDEX('Per Line'!$G$2:$G$3001,$X761)&amp;"")</f>
        <v/>
      </c>
      <c r="E761">
        <f>IF($X761="","",INDEX('Per Line'!$I$2:$I$3001,$X761)&amp;"")</f>
        <v/>
      </c>
      <c r="F761">
        <f>IF($X761="","",INDEX('Per Line'!$J$2:$J$3001,$X761)&amp;"")</f>
        <v/>
      </c>
      <c r="G761">
        <f>IF($X761="","",INDEX('Per Line'!$K$2:$K$3001,$X761)&amp;"")</f>
        <v/>
      </c>
      <c r="H761">
        <f>IF($X761="","",INDEX('Per Line'!$M$2:$M$3001,$X761))</f>
        <v/>
      </c>
      <c r="I761" s="7">
        <f>IF($X761="","",H761*V761/100)</f>
        <v/>
      </c>
      <c r="J761">
        <f>IF($X761="","",INDEX('Per Line'!$W$2:$W$3001,$X761)&amp;"")</f>
        <v/>
      </c>
      <c r="K761">
        <f>IF($X761="","",INDEX('Per Line'!$AD$2:$AD$3001,$X761))</f>
        <v/>
      </c>
      <c r="L761">
        <f>IF($X761="","",IF(AND(ISNUMBER(K761),K761&gt;0),V761&gt;K761,FALSE))</f>
        <v/>
      </c>
      <c r="M761" s="7">
        <f>IF($X761="","",SUMIFS('Per Line'!$V$2:$V$3001,'Per Line'!$D$2:$D$3001,$B761,'Per Line'!$AN$2:$AN$3001,1))</f>
        <v/>
      </c>
      <c r="N761">
        <f>IF($X761="","",Settings!$C$7)</f>
        <v/>
      </c>
      <c r="O761" s="7">
        <f>IF($X761="","",SUMIFS('Per Line'!$V$2:$V$3001,'Per Line'!$D$2:$D$3001,$B761,'Per Line'!$AM$2:$AM$3001,0,'Per Line'!$AN$2:$AN$3001,0))</f>
        <v/>
      </c>
      <c r="P761" s="7">
        <f>IF($X761="","",O761*N761)</f>
        <v/>
      </c>
      <c r="Q761">
        <f>IF($X761="","",Settings!$C$6)</f>
        <v/>
      </c>
      <c r="R761" s="7">
        <f>IF($X761="","",SUMIFS('Per Line'!$V$2:$V$3001,'Per Line'!$D$2:$D$3001,$B761,'Per Line'!$AM$2:$AM$3001,1,'Per Line'!$AN$2:$AN$3001,0))</f>
        <v/>
      </c>
      <c r="S761" s="7">
        <f>IF($X761="","",R761*Q761)</f>
        <v/>
      </c>
      <c r="T761" s="7">
        <f>IF($X761="","",S761+P761)</f>
        <v/>
      </c>
      <c r="U761" s="7">
        <f>IF($X761="","",V761-T761)</f>
        <v/>
      </c>
      <c r="V761" s="7">
        <f>IF($X761="","",O761+R761+M761)</f>
        <v/>
      </c>
      <c r="W761" s="7">
        <f>IF($X761="","",V761-T761-I761)</f>
        <v/>
      </c>
      <c r="X761" s="13">
        <f>IF(ROWS($X$2:$X761)&lt;=MAX('Per Line'!$AL$2:$AL$3001),MATCH(ROWS($X$2:$X761),'Per Line'!$AL$2:$AL$3001,0),"")</f>
        <v/>
      </c>
    </row>
    <row r="762">
      <c r="A762" s="12" t="n"/>
      <c r="B762">
        <f>IF($X762="","",INDEX('Per Line'!$D$2:$D$3001,$X762)&amp;"")</f>
        <v/>
      </c>
      <c r="C762" s="11">
        <f>IF($X762="","",INDEX('Per Line'!$F$2:$F$3001,$X762))</f>
        <v/>
      </c>
      <c r="D762">
        <f>IF($X762="","",INDEX('Per Line'!$G$2:$G$3001,$X762)&amp;"")</f>
        <v/>
      </c>
      <c r="E762">
        <f>IF($X762="","",INDEX('Per Line'!$I$2:$I$3001,$X762)&amp;"")</f>
        <v/>
      </c>
      <c r="F762">
        <f>IF($X762="","",INDEX('Per Line'!$J$2:$J$3001,$X762)&amp;"")</f>
        <v/>
      </c>
      <c r="G762">
        <f>IF($X762="","",INDEX('Per Line'!$K$2:$K$3001,$X762)&amp;"")</f>
        <v/>
      </c>
      <c r="H762">
        <f>IF($X762="","",INDEX('Per Line'!$M$2:$M$3001,$X762))</f>
        <v/>
      </c>
      <c r="I762" s="7">
        <f>IF($X762="","",H762*V762/100)</f>
        <v/>
      </c>
      <c r="J762">
        <f>IF($X762="","",INDEX('Per Line'!$W$2:$W$3001,$X762)&amp;"")</f>
        <v/>
      </c>
      <c r="K762">
        <f>IF($X762="","",INDEX('Per Line'!$AD$2:$AD$3001,$X762))</f>
        <v/>
      </c>
      <c r="L762">
        <f>IF($X762="","",IF(AND(ISNUMBER(K762),K762&gt;0),V762&gt;K762,FALSE))</f>
        <v/>
      </c>
      <c r="M762" s="7">
        <f>IF($X762="","",SUMIFS('Per Line'!$V$2:$V$3001,'Per Line'!$D$2:$D$3001,$B762,'Per Line'!$AN$2:$AN$3001,1))</f>
        <v/>
      </c>
      <c r="N762">
        <f>IF($X762="","",Settings!$C$7)</f>
        <v/>
      </c>
      <c r="O762" s="7">
        <f>IF($X762="","",SUMIFS('Per Line'!$V$2:$V$3001,'Per Line'!$D$2:$D$3001,$B762,'Per Line'!$AM$2:$AM$3001,0,'Per Line'!$AN$2:$AN$3001,0))</f>
        <v/>
      </c>
      <c r="P762" s="7">
        <f>IF($X762="","",O762*N762)</f>
        <v/>
      </c>
      <c r="Q762">
        <f>IF($X762="","",Settings!$C$6)</f>
        <v/>
      </c>
      <c r="R762" s="7">
        <f>IF($X762="","",SUMIFS('Per Line'!$V$2:$V$3001,'Per Line'!$D$2:$D$3001,$B762,'Per Line'!$AM$2:$AM$3001,1,'Per Line'!$AN$2:$AN$3001,0))</f>
        <v/>
      </c>
      <c r="S762" s="7">
        <f>IF($X762="","",R762*Q762)</f>
        <v/>
      </c>
      <c r="T762" s="7">
        <f>IF($X762="","",S762+P762)</f>
        <v/>
      </c>
      <c r="U762" s="7">
        <f>IF($X762="","",V762-T762)</f>
        <v/>
      </c>
      <c r="V762" s="7">
        <f>IF($X762="","",O762+R762+M762)</f>
        <v/>
      </c>
      <c r="W762" s="7">
        <f>IF($X762="","",V762-T762-I762)</f>
        <v/>
      </c>
      <c r="X762" s="13">
        <f>IF(ROWS($X$2:$X762)&lt;=MAX('Per Line'!$AL$2:$AL$3001),MATCH(ROWS($X$2:$X762),'Per Line'!$AL$2:$AL$3001,0),"")</f>
        <v/>
      </c>
    </row>
    <row r="763">
      <c r="A763" s="12" t="n"/>
      <c r="B763">
        <f>IF($X763="","",INDEX('Per Line'!$D$2:$D$3001,$X763)&amp;"")</f>
        <v/>
      </c>
      <c r="C763" s="11">
        <f>IF($X763="","",INDEX('Per Line'!$F$2:$F$3001,$X763))</f>
        <v/>
      </c>
      <c r="D763">
        <f>IF($X763="","",INDEX('Per Line'!$G$2:$G$3001,$X763)&amp;"")</f>
        <v/>
      </c>
      <c r="E763">
        <f>IF($X763="","",INDEX('Per Line'!$I$2:$I$3001,$X763)&amp;"")</f>
        <v/>
      </c>
      <c r="F763">
        <f>IF($X763="","",INDEX('Per Line'!$J$2:$J$3001,$X763)&amp;"")</f>
        <v/>
      </c>
      <c r="G763">
        <f>IF($X763="","",INDEX('Per Line'!$K$2:$K$3001,$X763)&amp;"")</f>
        <v/>
      </c>
      <c r="H763">
        <f>IF($X763="","",INDEX('Per Line'!$M$2:$M$3001,$X763))</f>
        <v/>
      </c>
      <c r="I763" s="7">
        <f>IF($X763="","",H763*V763/100)</f>
        <v/>
      </c>
      <c r="J763">
        <f>IF($X763="","",INDEX('Per Line'!$W$2:$W$3001,$X763)&amp;"")</f>
        <v/>
      </c>
      <c r="K763">
        <f>IF($X763="","",INDEX('Per Line'!$AD$2:$AD$3001,$X763))</f>
        <v/>
      </c>
      <c r="L763">
        <f>IF($X763="","",IF(AND(ISNUMBER(K763),K763&gt;0),V763&gt;K763,FALSE))</f>
        <v/>
      </c>
      <c r="M763" s="7">
        <f>IF($X763="","",SUMIFS('Per Line'!$V$2:$V$3001,'Per Line'!$D$2:$D$3001,$B763,'Per Line'!$AN$2:$AN$3001,1))</f>
        <v/>
      </c>
      <c r="N763">
        <f>IF($X763="","",Settings!$C$7)</f>
        <v/>
      </c>
      <c r="O763" s="7">
        <f>IF($X763="","",SUMIFS('Per Line'!$V$2:$V$3001,'Per Line'!$D$2:$D$3001,$B763,'Per Line'!$AM$2:$AM$3001,0,'Per Line'!$AN$2:$AN$3001,0))</f>
        <v/>
      </c>
      <c r="P763" s="7">
        <f>IF($X763="","",O763*N763)</f>
        <v/>
      </c>
      <c r="Q763">
        <f>IF($X763="","",Settings!$C$6)</f>
        <v/>
      </c>
      <c r="R763" s="7">
        <f>IF($X763="","",SUMIFS('Per Line'!$V$2:$V$3001,'Per Line'!$D$2:$D$3001,$B763,'Per Line'!$AM$2:$AM$3001,1,'Per Line'!$AN$2:$AN$3001,0))</f>
        <v/>
      </c>
      <c r="S763" s="7">
        <f>IF($X763="","",R763*Q763)</f>
        <v/>
      </c>
      <c r="T763" s="7">
        <f>IF($X763="","",S763+P763)</f>
        <v/>
      </c>
      <c r="U763" s="7">
        <f>IF($X763="","",V763-T763)</f>
        <v/>
      </c>
      <c r="V763" s="7">
        <f>IF($X763="","",O763+R763+M763)</f>
        <v/>
      </c>
      <c r="W763" s="7">
        <f>IF($X763="","",V763-T763-I763)</f>
        <v/>
      </c>
      <c r="X763" s="13">
        <f>IF(ROWS($X$2:$X763)&lt;=MAX('Per Line'!$AL$2:$AL$3001),MATCH(ROWS($X$2:$X763),'Per Line'!$AL$2:$AL$3001,0),"")</f>
        <v/>
      </c>
    </row>
    <row r="764">
      <c r="A764" s="12" t="n"/>
      <c r="B764">
        <f>IF($X764="","",INDEX('Per Line'!$D$2:$D$3001,$X764)&amp;"")</f>
        <v/>
      </c>
      <c r="C764" s="11">
        <f>IF($X764="","",INDEX('Per Line'!$F$2:$F$3001,$X764))</f>
        <v/>
      </c>
      <c r="D764">
        <f>IF($X764="","",INDEX('Per Line'!$G$2:$G$3001,$X764)&amp;"")</f>
        <v/>
      </c>
      <c r="E764">
        <f>IF($X764="","",INDEX('Per Line'!$I$2:$I$3001,$X764)&amp;"")</f>
        <v/>
      </c>
      <c r="F764">
        <f>IF($X764="","",INDEX('Per Line'!$J$2:$J$3001,$X764)&amp;"")</f>
        <v/>
      </c>
      <c r="G764">
        <f>IF($X764="","",INDEX('Per Line'!$K$2:$K$3001,$X764)&amp;"")</f>
        <v/>
      </c>
      <c r="H764">
        <f>IF($X764="","",INDEX('Per Line'!$M$2:$M$3001,$X764))</f>
        <v/>
      </c>
      <c r="I764" s="7">
        <f>IF($X764="","",H764*V764/100)</f>
        <v/>
      </c>
      <c r="J764">
        <f>IF($X764="","",INDEX('Per Line'!$W$2:$W$3001,$X764)&amp;"")</f>
        <v/>
      </c>
      <c r="K764">
        <f>IF($X764="","",INDEX('Per Line'!$AD$2:$AD$3001,$X764))</f>
        <v/>
      </c>
      <c r="L764">
        <f>IF($X764="","",IF(AND(ISNUMBER(K764),K764&gt;0),V764&gt;K764,FALSE))</f>
        <v/>
      </c>
      <c r="M764" s="7">
        <f>IF($X764="","",SUMIFS('Per Line'!$V$2:$V$3001,'Per Line'!$D$2:$D$3001,$B764,'Per Line'!$AN$2:$AN$3001,1))</f>
        <v/>
      </c>
      <c r="N764">
        <f>IF($X764="","",Settings!$C$7)</f>
        <v/>
      </c>
      <c r="O764" s="7">
        <f>IF($X764="","",SUMIFS('Per Line'!$V$2:$V$3001,'Per Line'!$D$2:$D$3001,$B764,'Per Line'!$AM$2:$AM$3001,0,'Per Line'!$AN$2:$AN$3001,0))</f>
        <v/>
      </c>
      <c r="P764" s="7">
        <f>IF($X764="","",O764*N764)</f>
        <v/>
      </c>
      <c r="Q764">
        <f>IF($X764="","",Settings!$C$6)</f>
        <v/>
      </c>
      <c r="R764" s="7">
        <f>IF($X764="","",SUMIFS('Per Line'!$V$2:$V$3001,'Per Line'!$D$2:$D$3001,$B764,'Per Line'!$AM$2:$AM$3001,1,'Per Line'!$AN$2:$AN$3001,0))</f>
        <v/>
      </c>
      <c r="S764" s="7">
        <f>IF($X764="","",R764*Q764)</f>
        <v/>
      </c>
      <c r="T764" s="7">
        <f>IF($X764="","",S764+P764)</f>
        <v/>
      </c>
      <c r="U764" s="7">
        <f>IF($X764="","",V764-T764)</f>
        <v/>
      </c>
      <c r="V764" s="7">
        <f>IF($X764="","",O764+R764+M764)</f>
        <v/>
      </c>
      <c r="W764" s="7">
        <f>IF($X764="","",V764-T764-I764)</f>
        <v/>
      </c>
      <c r="X764" s="13">
        <f>IF(ROWS($X$2:$X764)&lt;=MAX('Per Line'!$AL$2:$AL$3001),MATCH(ROWS($X$2:$X764),'Per Line'!$AL$2:$AL$3001,0),"")</f>
        <v/>
      </c>
    </row>
    <row r="765">
      <c r="A765" s="12" t="n"/>
      <c r="B765">
        <f>IF($X765="","",INDEX('Per Line'!$D$2:$D$3001,$X765)&amp;"")</f>
        <v/>
      </c>
      <c r="C765" s="11">
        <f>IF($X765="","",INDEX('Per Line'!$F$2:$F$3001,$X765))</f>
        <v/>
      </c>
      <c r="D765">
        <f>IF($X765="","",INDEX('Per Line'!$G$2:$G$3001,$X765)&amp;"")</f>
        <v/>
      </c>
      <c r="E765">
        <f>IF($X765="","",INDEX('Per Line'!$I$2:$I$3001,$X765)&amp;"")</f>
        <v/>
      </c>
      <c r="F765">
        <f>IF($X765="","",INDEX('Per Line'!$J$2:$J$3001,$X765)&amp;"")</f>
        <v/>
      </c>
      <c r="G765">
        <f>IF($X765="","",INDEX('Per Line'!$K$2:$K$3001,$X765)&amp;"")</f>
        <v/>
      </c>
      <c r="H765">
        <f>IF($X765="","",INDEX('Per Line'!$M$2:$M$3001,$X765))</f>
        <v/>
      </c>
      <c r="I765" s="7">
        <f>IF($X765="","",H765*V765/100)</f>
        <v/>
      </c>
      <c r="J765">
        <f>IF($X765="","",INDEX('Per Line'!$W$2:$W$3001,$X765)&amp;"")</f>
        <v/>
      </c>
      <c r="K765">
        <f>IF($X765="","",INDEX('Per Line'!$AD$2:$AD$3001,$X765))</f>
        <v/>
      </c>
      <c r="L765">
        <f>IF($X765="","",IF(AND(ISNUMBER(K765),K765&gt;0),V765&gt;K765,FALSE))</f>
        <v/>
      </c>
      <c r="M765" s="7">
        <f>IF($X765="","",SUMIFS('Per Line'!$V$2:$V$3001,'Per Line'!$D$2:$D$3001,$B765,'Per Line'!$AN$2:$AN$3001,1))</f>
        <v/>
      </c>
      <c r="N765">
        <f>IF($X765="","",Settings!$C$7)</f>
        <v/>
      </c>
      <c r="O765" s="7">
        <f>IF($X765="","",SUMIFS('Per Line'!$V$2:$V$3001,'Per Line'!$D$2:$D$3001,$B765,'Per Line'!$AM$2:$AM$3001,0,'Per Line'!$AN$2:$AN$3001,0))</f>
        <v/>
      </c>
      <c r="P765" s="7">
        <f>IF($X765="","",O765*N765)</f>
        <v/>
      </c>
      <c r="Q765">
        <f>IF($X765="","",Settings!$C$6)</f>
        <v/>
      </c>
      <c r="R765" s="7">
        <f>IF($X765="","",SUMIFS('Per Line'!$V$2:$V$3001,'Per Line'!$D$2:$D$3001,$B765,'Per Line'!$AM$2:$AM$3001,1,'Per Line'!$AN$2:$AN$3001,0))</f>
        <v/>
      </c>
      <c r="S765" s="7">
        <f>IF($X765="","",R765*Q765)</f>
        <v/>
      </c>
      <c r="T765" s="7">
        <f>IF($X765="","",S765+P765)</f>
        <v/>
      </c>
      <c r="U765" s="7">
        <f>IF($X765="","",V765-T765)</f>
        <v/>
      </c>
      <c r="V765" s="7">
        <f>IF($X765="","",O765+R765+M765)</f>
        <v/>
      </c>
      <c r="W765" s="7">
        <f>IF($X765="","",V765-T765-I765)</f>
        <v/>
      </c>
      <c r="X765" s="13">
        <f>IF(ROWS($X$2:$X765)&lt;=MAX('Per Line'!$AL$2:$AL$3001),MATCH(ROWS($X$2:$X765),'Per Line'!$AL$2:$AL$3001,0),"")</f>
        <v/>
      </c>
    </row>
    <row r="766">
      <c r="A766" s="12" t="n"/>
      <c r="B766">
        <f>IF($X766="","",INDEX('Per Line'!$D$2:$D$3001,$X766)&amp;"")</f>
        <v/>
      </c>
      <c r="C766" s="11">
        <f>IF($X766="","",INDEX('Per Line'!$F$2:$F$3001,$X766))</f>
        <v/>
      </c>
      <c r="D766">
        <f>IF($X766="","",INDEX('Per Line'!$G$2:$G$3001,$X766)&amp;"")</f>
        <v/>
      </c>
      <c r="E766">
        <f>IF($X766="","",INDEX('Per Line'!$I$2:$I$3001,$X766)&amp;"")</f>
        <v/>
      </c>
      <c r="F766">
        <f>IF($X766="","",INDEX('Per Line'!$J$2:$J$3001,$X766)&amp;"")</f>
        <v/>
      </c>
      <c r="G766">
        <f>IF($X766="","",INDEX('Per Line'!$K$2:$K$3001,$X766)&amp;"")</f>
        <v/>
      </c>
      <c r="H766">
        <f>IF($X766="","",INDEX('Per Line'!$M$2:$M$3001,$X766))</f>
        <v/>
      </c>
      <c r="I766" s="7">
        <f>IF($X766="","",H766*V766/100)</f>
        <v/>
      </c>
      <c r="J766">
        <f>IF($X766="","",INDEX('Per Line'!$W$2:$W$3001,$X766)&amp;"")</f>
        <v/>
      </c>
      <c r="K766">
        <f>IF($X766="","",INDEX('Per Line'!$AD$2:$AD$3001,$X766))</f>
        <v/>
      </c>
      <c r="L766">
        <f>IF($X766="","",IF(AND(ISNUMBER(K766),K766&gt;0),V766&gt;K766,FALSE))</f>
        <v/>
      </c>
      <c r="M766" s="7">
        <f>IF($X766="","",SUMIFS('Per Line'!$V$2:$V$3001,'Per Line'!$D$2:$D$3001,$B766,'Per Line'!$AN$2:$AN$3001,1))</f>
        <v/>
      </c>
      <c r="N766">
        <f>IF($X766="","",Settings!$C$7)</f>
        <v/>
      </c>
      <c r="O766" s="7">
        <f>IF($X766="","",SUMIFS('Per Line'!$V$2:$V$3001,'Per Line'!$D$2:$D$3001,$B766,'Per Line'!$AM$2:$AM$3001,0,'Per Line'!$AN$2:$AN$3001,0))</f>
        <v/>
      </c>
      <c r="P766" s="7">
        <f>IF($X766="","",O766*N766)</f>
        <v/>
      </c>
      <c r="Q766">
        <f>IF($X766="","",Settings!$C$6)</f>
        <v/>
      </c>
      <c r="R766" s="7">
        <f>IF($X766="","",SUMIFS('Per Line'!$V$2:$V$3001,'Per Line'!$D$2:$D$3001,$B766,'Per Line'!$AM$2:$AM$3001,1,'Per Line'!$AN$2:$AN$3001,0))</f>
        <v/>
      </c>
      <c r="S766" s="7">
        <f>IF($X766="","",R766*Q766)</f>
        <v/>
      </c>
      <c r="T766" s="7">
        <f>IF($X766="","",S766+P766)</f>
        <v/>
      </c>
      <c r="U766" s="7">
        <f>IF($X766="","",V766-T766)</f>
        <v/>
      </c>
      <c r="V766" s="7">
        <f>IF($X766="","",O766+R766+M766)</f>
        <v/>
      </c>
      <c r="W766" s="7">
        <f>IF($X766="","",V766-T766-I766)</f>
        <v/>
      </c>
      <c r="X766" s="13">
        <f>IF(ROWS($X$2:$X766)&lt;=MAX('Per Line'!$AL$2:$AL$3001),MATCH(ROWS($X$2:$X766),'Per Line'!$AL$2:$AL$3001,0),"")</f>
        <v/>
      </c>
    </row>
    <row r="767">
      <c r="A767" s="12" t="n"/>
      <c r="B767">
        <f>IF($X767="","",INDEX('Per Line'!$D$2:$D$3001,$X767)&amp;"")</f>
        <v/>
      </c>
      <c r="C767" s="11">
        <f>IF($X767="","",INDEX('Per Line'!$F$2:$F$3001,$X767))</f>
        <v/>
      </c>
      <c r="D767">
        <f>IF($X767="","",INDEX('Per Line'!$G$2:$G$3001,$X767)&amp;"")</f>
        <v/>
      </c>
      <c r="E767">
        <f>IF($X767="","",INDEX('Per Line'!$I$2:$I$3001,$X767)&amp;"")</f>
        <v/>
      </c>
      <c r="F767">
        <f>IF($X767="","",INDEX('Per Line'!$J$2:$J$3001,$X767)&amp;"")</f>
        <v/>
      </c>
      <c r="G767">
        <f>IF($X767="","",INDEX('Per Line'!$K$2:$K$3001,$X767)&amp;"")</f>
        <v/>
      </c>
      <c r="H767">
        <f>IF($X767="","",INDEX('Per Line'!$M$2:$M$3001,$X767))</f>
        <v/>
      </c>
      <c r="I767" s="7">
        <f>IF($X767="","",H767*V767/100)</f>
        <v/>
      </c>
      <c r="J767">
        <f>IF($X767="","",INDEX('Per Line'!$W$2:$W$3001,$X767)&amp;"")</f>
        <v/>
      </c>
      <c r="K767">
        <f>IF($X767="","",INDEX('Per Line'!$AD$2:$AD$3001,$X767))</f>
        <v/>
      </c>
      <c r="L767">
        <f>IF($X767="","",IF(AND(ISNUMBER(K767),K767&gt;0),V767&gt;K767,FALSE))</f>
        <v/>
      </c>
      <c r="M767" s="7">
        <f>IF($X767="","",SUMIFS('Per Line'!$V$2:$V$3001,'Per Line'!$D$2:$D$3001,$B767,'Per Line'!$AN$2:$AN$3001,1))</f>
        <v/>
      </c>
      <c r="N767">
        <f>IF($X767="","",Settings!$C$7)</f>
        <v/>
      </c>
      <c r="O767" s="7">
        <f>IF($X767="","",SUMIFS('Per Line'!$V$2:$V$3001,'Per Line'!$D$2:$D$3001,$B767,'Per Line'!$AM$2:$AM$3001,0,'Per Line'!$AN$2:$AN$3001,0))</f>
        <v/>
      </c>
      <c r="P767" s="7">
        <f>IF($X767="","",O767*N767)</f>
        <v/>
      </c>
      <c r="Q767">
        <f>IF($X767="","",Settings!$C$6)</f>
        <v/>
      </c>
      <c r="R767" s="7">
        <f>IF($X767="","",SUMIFS('Per Line'!$V$2:$V$3001,'Per Line'!$D$2:$D$3001,$B767,'Per Line'!$AM$2:$AM$3001,1,'Per Line'!$AN$2:$AN$3001,0))</f>
        <v/>
      </c>
      <c r="S767" s="7">
        <f>IF($X767="","",R767*Q767)</f>
        <v/>
      </c>
      <c r="T767" s="7">
        <f>IF($X767="","",S767+P767)</f>
        <v/>
      </c>
      <c r="U767" s="7">
        <f>IF($X767="","",V767-T767)</f>
        <v/>
      </c>
      <c r="V767" s="7">
        <f>IF($X767="","",O767+R767+M767)</f>
        <v/>
      </c>
      <c r="W767" s="7">
        <f>IF($X767="","",V767-T767-I767)</f>
        <v/>
      </c>
      <c r="X767" s="13">
        <f>IF(ROWS($X$2:$X767)&lt;=MAX('Per Line'!$AL$2:$AL$3001),MATCH(ROWS($X$2:$X767),'Per Line'!$AL$2:$AL$3001,0),"")</f>
        <v/>
      </c>
    </row>
    <row r="768">
      <c r="A768" s="12" t="n"/>
      <c r="B768">
        <f>IF($X768="","",INDEX('Per Line'!$D$2:$D$3001,$X768)&amp;"")</f>
        <v/>
      </c>
      <c r="C768" s="11">
        <f>IF($X768="","",INDEX('Per Line'!$F$2:$F$3001,$X768))</f>
        <v/>
      </c>
      <c r="D768">
        <f>IF($X768="","",INDEX('Per Line'!$G$2:$G$3001,$X768)&amp;"")</f>
        <v/>
      </c>
      <c r="E768">
        <f>IF($X768="","",INDEX('Per Line'!$I$2:$I$3001,$X768)&amp;"")</f>
        <v/>
      </c>
      <c r="F768">
        <f>IF($X768="","",INDEX('Per Line'!$J$2:$J$3001,$X768)&amp;"")</f>
        <v/>
      </c>
      <c r="G768">
        <f>IF($X768="","",INDEX('Per Line'!$K$2:$K$3001,$X768)&amp;"")</f>
        <v/>
      </c>
      <c r="H768">
        <f>IF($X768="","",INDEX('Per Line'!$M$2:$M$3001,$X768))</f>
        <v/>
      </c>
      <c r="I768" s="7">
        <f>IF($X768="","",H768*V768/100)</f>
        <v/>
      </c>
      <c r="J768">
        <f>IF($X768="","",INDEX('Per Line'!$W$2:$W$3001,$X768)&amp;"")</f>
        <v/>
      </c>
      <c r="K768">
        <f>IF($X768="","",INDEX('Per Line'!$AD$2:$AD$3001,$X768))</f>
        <v/>
      </c>
      <c r="L768">
        <f>IF($X768="","",IF(AND(ISNUMBER(K768),K768&gt;0),V768&gt;K768,FALSE))</f>
        <v/>
      </c>
      <c r="M768" s="7">
        <f>IF($X768="","",SUMIFS('Per Line'!$V$2:$V$3001,'Per Line'!$D$2:$D$3001,$B768,'Per Line'!$AN$2:$AN$3001,1))</f>
        <v/>
      </c>
      <c r="N768">
        <f>IF($X768="","",Settings!$C$7)</f>
        <v/>
      </c>
      <c r="O768" s="7">
        <f>IF($X768="","",SUMIFS('Per Line'!$V$2:$V$3001,'Per Line'!$D$2:$D$3001,$B768,'Per Line'!$AM$2:$AM$3001,0,'Per Line'!$AN$2:$AN$3001,0))</f>
        <v/>
      </c>
      <c r="P768" s="7">
        <f>IF($X768="","",O768*N768)</f>
        <v/>
      </c>
      <c r="Q768">
        <f>IF($X768="","",Settings!$C$6)</f>
        <v/>
      </c>
      <c r="R768" s="7">
        <f>IF($X768="","",SUMIFS('Per Line'!$V$2:$V$3001,'Per Line'!$D$2:$D$3001,$B768,'Per Line'!$AM$2:$AM$3001,1,'Per Line'!$AN$2:$AN$3001,0))</f>
        <v/>
      </c>
      <c r="S768" s="7">
        <f>IF($X768="","",R768*Q768)</f>
        <v/>
      </c>
      <c r="T768" s="7">
        <f>IF($X768="","",S768+P768)</f>
        <v/>
      </c>
      <c r="U768" s="7">
        <f>IF($X768="","",V768-T768)</f>
        <v/>
      </c>
      <c r="V768" s="7">
        <f>IF($X768="","",O768+R768+M768)</f>
        <v/>
      </c>
      <c r="W768" s="7">
        <f>IF($X768="","",V768-T768-I768)</f>
        <v/>
      </c>
      <c r="X768" s="13">
        <f>IF(ROWS($X$2:$X768)&lt;=MAX('Per Line'!$AL$2:$AL$3001),MATCH(ROWS($X$2:$X768),'Per Line'!$AL$2:$AL$3001,0),"")</f>
        <v/>
      </c>
    </row>
    <row r="769">
      <c r="A769" s="12" t="n"/>
      <c r="B769">
        <f>IF($X769="","",INDEX('Per Line'!$D$2:$D$3001,$X769)&amp;"")</f>
        <v/>
      </c>
      <c r="C769" s="11">
        <f>IF($X769="","",INDEX('Per Line'!$F$2:$F$3001,$X769))</f>
        <v/>
      </c>
      <c r="D769">
        <f>IF($X769="","",INDEX('Per Line'!$G$2:$G$3001,$X769)&amp;"")</f>
        <v/>
      </c>
      <c r="E769">
        <f>IF($X769="","",INDEX('Per Line'!$I$2:$I$3001,$X769)&amp;"")</f>
        <v/>
      </c>
      <c r="F769">
        <f>IF($X769="","",INDEX('Per Line'!$J$2:$J$3001,$X769)&amp;"")</f>
        <v/>
      </c>
      <c r="G769">
        <f>IF($X769="","",INDEX('Per Line'!$K$2:$K$3001,$X769)&amp;"")</f>
        <v/>
      </c>
      <c r="H769">
        <f>IF($X769="","",INDEX('Per Line'!$M$2:$M$3001,$X769))</f>
        <v/>
      </c>
      <c r="I769" s="7">
        <f>IF($X769="","",H769*V769/100)</f>
        <v/>
      </c>
      <c r="J769">
        <f>IF($X769="","",INDEX('Per Line'!$W$2:$W$3001,$X769)&amp;"")</f>
        <v/>
      </c>
      <c r="K769">
        <f>IF($X769="","",INDEX('Per Line'!$AD$2:$AD$3001,$X769))</f>
        <v/>
      </c>
      <c r="L769">
        <f>IF($X769="","",IF(AND(ISNUMBER(K769),K769&gt;0),V769&gt;K769,FALSE))</f>
        <v/>
      </c>
      <c r="M769" s="7">
        <f>IF($X769="","",SUMIFS('Per Line'!$V$2:$V$3001,'Per Line'!$D$2:$D$3001,$B769,'Per Line'!$AN$2:$AN$3001,1))</f>
        <v/>
      </c>
      <c r="N769">
        <f>IF($X769="","",Settings!$C$7)</f>
        <v/>
      </c>
      <c r="O769" s="7">
        <f>IF($X769="","",SUMIFS('Per Line'!$V$2:$V$3001,'Per Line'!$D$2:$D$3001,$B769,'Per Line'!$AM$2:$AM$3001,0,'Per Line'!$AN$2:$AN$3001,0))</f>
        <v/>
      </c>
      <c r="P769" s="7">
        <f>IF($X769="","",O769*N769)</f>
        <v/>
      </c>
      <c r="Q769">
        <f>IF($X769="","",Settings!$C$6)</f>
        <v/>
      </c>
      <c r="R769" s="7">
        <f>IF($X769="","",SUMIFS('Per Line'!$V$2:$V$3001,'Per Line'!$D$2:$D$3001,$B769,'Per Line'!$AM$2:$AM$3001,1,'Per Line'!$AN$2:$AN$3001,0))</f>
        <v/>
      </c>
      <c r="S769" s="7">
        <f>IF($X769="","",R769*Q769)</f>
        <v/>
      </c>
      <c r="T769" s="7">
        <f>IF($X769="","",S769+P769)</f>
        <v/>
      </c>
      <c r="U769" s="7">
        <f>IF($X769="","",V769-T769)</f>
        <v/>
      </c>
      <c r="V769" s="7">
        <f>IF($X769="","",O769+R769+M769)</f>
        <v/>
      </c>
      <c r="W769" s="7">
        <f>IF($X769="","",V769-T769-I769)</f>
        <v/>
      </c>
      <c r="X769" s="13">
        <f>IF(ROWS($X$2:$X769)&lt;=MAX('Per Line'!$AL$2:$AL$3001),MATCH(ROWS($X$2:$X769),'Per Line'!$AL$2:$AL$3001,0),"")</f>
        <v/>
      </c>
    </row>
    <row r="770">
      <c r="A770" s="12" t="n"/>
      <c r="B770">
        <f>IF($X770="","",INDEX('Per Line'!$D$2:$D$3001,$X770)&amp;"")</f>
        <v/>
      </c>
      <c r="C770" s="11">
        <f>IF($X770="","",INDEX('Per Line'!$F$2:$F$3001,$X770))</f>
        <v/>
      </c>
      <c r="D770">
        <f>IF($X770="","",INDEX('Per Line'!$G$2:$G$3001,$X770)&amp;"")</f>
        <v/>
      </c>
      <c r="E770">
        <f>IF($X770="","",INDEX('Per Line'!$I$2:$I$3001,$X770)&amp;"")</f>
        <v/>
      </c>
      <c r="F770">
        <f>IF($X770="","",INDEX('Per Line'!$J$2:$J$3001,$X770)&amp;"")</f>
        <v/>
      </c>
      <c r="G770">
        <f>IF($X770="","",INDEX('Per Line'!$K$2:$K$3001,$X770)&amp;"")</f>
        <v/>
      </c>
      <c r="H770">
        <f>IF($X770="","",INDEX('Per Line'!$M$2:$M$3001,$X770))</f>
        <v/>
      </c>
      <c r="I770" s="7">
        <f>IF($X770="","",H770*V770/100)</f>
        <v/>
      </c>
      <c r="J770">
        <f>IF($X770="","",INDEX('Per Line'!$W$2:$W$3001,$X770)&amp;"")</f>
        <v/>
      </c>
      <c r="K770">
        <f>IF($X770="","",INDEX('Per Line'!$AD$2:$AD$3001,$X770))</f>
        <v/>
      </c>
      <c r="L770">
        <f>IF($X770="","",IF(AND(ISNUMBER(K770),K770&gt;0),V770&gt;K770,FALSE))</f>
        <v/>
      </c>
      <c r="M770" s="7">
        <f>IF($X770="","",SUMIFS('Per Line'!$V$2:$V$3001,'Per Line'!$D$2:$D$3001,$B770,'Per Line'!$AN$2:$AN$3001,1))</f>
        <v/>
      </c>
      <c r="N770">
        <f>IF($X770="","",Settings!$C$7)</f>
        <v/>
      </c>
      <c r="O770" s="7">
        <f>IF($X770="","",SUMIFS('Per Line'!$V$2:$V$3001,'Per Line'!$D$2:$D$3001,$B770,'Per Line'!$AM$2:$AM$3001,0,'Per Line'!$AN$2:$AN$3001,0))</f>
        <v/>
      </c>
      <c r="P770" s="7">
        <f>IF($X770="","",O770*N770)</f>
        <v/>
      </c>
      <c r="Q770">
        <f>IF($X770="","",Settings!$C$6)</f>
        <v/>
      </c>
      <c r="R770" s="7">
        <f>IF($X770="","",SUMIFS('Per Line'!$V$2:$V$3001,'Per Line'!$D$2:$D$3001,$B770,'Per Line'!$AM$2:$AM$3001,1,'Per Line'!$AN$2:$AN$3001,0))</f>
        <v/>
      </c>
      <c r="S770" s="7">
        <f>IF($X770="","",R770*Q770)</f>
        <v/>
      </c>
      <c r="T770" s="7">
        <f>IF($X770="","",S770+P770)</f>
        <v/>
      </c>
      <c r="U770" s="7">
        <f>IF($X770="","",V770-T770)</f>
        <v/>
      </c>
      <c r="V770" s="7">
        <f>IF($X770="","",O770+R770+M770)</f>
        <v/>
      </c>
      <c r="W770" s="7">
        <f>IF($X770="","",V770-T770-I770)</f>
        <v/>
      </c>
      <c r="X770" s="13">
        <f>IF(ROWS($X$2:$X770)&lt;=MAX('Per Line'!$AL$2:$AL$3001),MATCH(ROWS($X$2:$X770),'Per Line'!$AL$2:$AL$3001,0),"")</f>
        <v/>
      </c>
    </row>
    <row r="771">
      <c r="A771" s="12" t="n"/>
      <c r="B771">
        <f>IF($X771="","",INDEX('Per Line'!$D$2:$D$3001,$X771)&amp;"")</f>
        <v/>
      </c>
      <c r="C771" s="11">
        <f>IF($X771="","",INDEX('Per Line'!$F$2:$F$3001,$X771))</f>
        <v/>
      </c>
      <c r="D771">
        <f>IF($X771="","",INDEX('Per Line'!$G$2:$G$3001,$X771)&amp;"")</f>
        <v/>
      </c>
      <c r="E771">
        <f>IF($X771="","",INDEX('Per Line'!$I$2:$I$3001,$X771)&amp;"")</f>
        <v/>
      </c>
      <c r="F771">
        <f>IF($X771="","",INDEX('Per Line'!$J$2:$J$3001,$X771)&amp;"")</f>
        <v/>
      </c>
      <c r="G771">
        <f>IF($X771="","",INDEX('Per Line'!$K$2:$K$3001,$X771)&amp;"")</f>
        <v/>
      </c>
      <c r="H771">
        <f>IF($X771="","",INDEX('Per Line'!$M$2:$M$3001,$X771))</f>
        <v/>
      </c>
      <c r="I771" s="7">
        <f>IF($X771="","",H771*V771/100)</f>
        <v/>
      </c>
      <c r="J771">
        <f>IF($X771="","",INDEX('Per Line'!$W$2:$W$3001,$X771)&amp;"")</f>
        <v/>
      </c>
      <c r="K771">
        <f>IF($X771="","",INDEX('Per Line'!$AD$2:$AD$3001,$X771))</f>
        <v/>
      </c>
      <c r="L771">
        <f>IF($X771="","",IF(AND(ISNUMBER(K771),K771&gt;0),V771&gt;K771,FALSE))</f>
        <v/>
      </c>
      <c r="M771" s="7">
        <f>IF($X771="","",SUMIFS('Per Line'!$V$2:$V$3001,'Per Line'!$D$2:$D$3001,$B771,'Per Line'!$AN$2:$AN$3001,1))</f>
        <v/>
      </c>
      <c r="N771">
        <f>IF($X771="","",Settings!$C$7)</f>
        <v/>
      </c>
      <c r="O771" s="7">
        <f>IF($X771="","",SUMIFS('Per Line'!$V$2:$V$3001,'Per Line'!$D$2:$D$3001,$B771,'Per Line'!$AM$2:$AM$3001,0,'Per Line'!$AN$2:$AN$3001,0))</f>
        <v/>
      </c>
      <c r="P771" s="7">
        <f>IF($X771="","",O771*N771)</f>
        <v/>
      </c>
      <c r="Q771">
        <f>IF($X771="","",Settings!$C$6)</f>
        <v/>
      </c>
      <c r="R771" s="7">
        <f>IF($X771="","",SUMIFS('Per Line'!$V$2:$V$3001,'Per Line'!$D$2:$D$3001,$B771,'Per Line'!$AM$2:$AM$3001,1,'Per Line'!$AN$2:$AN$3001,0))</f>
        <v/>
      </c>
      <c r="S771" s="7">
        <f>IF($X771="","",R771*Q771)</f>
        <v/>
      </c>
      <c r="T771" s="7">
        <f>IF($X771="","",S771+P771)</f>
        <v/>
      </c>
      <c r="U771" s="7">
        <f>IF($X771="","",V771-T771)</f>
        <v/>
      </c>
      <c r="V771" s="7">
        <f>IF($X771="","",O771+R771+M771)</f>
        <v/>
      </c>
      <c r="W771" s="7">
        <f>IF($X771="","",V771-T771-I771)</f>
        <v/>
      </c>
      <c r="X771" s="13">
        <f>IF(ROWS($X$2:$X771)&lt;=MAX('Per Line'!$AL$2:$AL$3001),MATCH(ROWS($X$2:$X771),'Per Line'!$AL$2:$AL$3001,0),"")</f>
        <v/>
      </c>
    </row>
    <row r="772">
      <c r="A772" s="12" t="n"/>
      <c r="B772">
        <f>IF($X772="","",INDEX('Per Line'!$D$2:$D$3001,$X772)&amp;"")</f>
        <v/>
      </c>
      <c r="C772" s="11">
        <f>IF($X772="","",INDEX('Per Line'!$F$2:$F$3001,$X772))</f>
        <v/>
      </c>
      <c r="D772">
        <f>IF($X772="","",INDEX('Per Line'!$G$2:$G$3001,$X772)&amp;"")</f>
        <v/>
      </c>
      <c r="E772">
        <f>IF($X772="","",INDEX('Per Line'!$I$2:$I$3001,$X772)&amp;"")</f>
        <v/>
      </c>
      <c r="F772">
        <f>IF($X772="","",INDEX('Per Line'!$J$2:$J$3001,$X772)&amp;"")</f>
        <v/>
      </c>
      <c r="G772">
        <f>IF($X772="","",INDEX('Per Line'!$K$2:$K$3001,$X772)&amp;"")</f>
        <v/>
      </c>
      <c r="H772">
        <f>IF($X772="","",INDEX('Per Line'!$M$2:$M$3001,$X772))</f>
        <v/>
      </c>
      <c r="I772" s="7">
        <f>IF($X772="","",H772*V772/100)</f>
        <v/>
      </c>
      <c r="J772">
        <f>IF($X772="","",INDEX('Per Line'!$W$2:$W$3001,$X772)&amp;"")</f>
        <v/>
      </c>
      <c r="K772">
        <f>IF($X772="","",INDEX('Per Line'!$AD$2:$AD$3001,$X772))</f>
        <v/>
      </c>
      <c r="L772">
        <f>IF($X772="","",IF(AND(ISNUMBER(K772),K772&gt;0),V772&gt;K772,FALSE))</f>
        <v/>
      </c>
      <c r="M772" s="7">
        <f>IF($X772="","",SUMIFS('Per Line'!$V$2:$V$3001,'Per Line'!$D$2:$D$3001,$B772,'Per Line'!$AN$2:$AN$3001,1))</f>
        <v/>
      </c>
      <c r="N772">
        <f>IF($X772="","",Settings!$C$7)</f>
        <v/>
      </c>
      <c r="O772" s="7">
        <f>IF($X772="","",SUMIFS('Per Line'!$V$2:$V$3001,'Per Line'!$D$2:$D$3001,$B772,'Per Line'!$AM$2:$AM$3001,0,'Per Line'!$AN$2:$AN$3001,0))</f>
        <v/>
      </c>
      <c r="P772" s="7">
        <f>IF($X772="","",O772*N772)</f>
        <v/>
      </c>
      <c r="Q772">
        <f>IF($X772="","",Settings!$C$6)</f>
        <v/>
      </c>
      <c r="R772" s="7">
        <f>IF($X772="","",SUMIFS('Per Line'!$V$2:$V$3001,'Per Line'!$D$2:$D$3001,$B772,'Per Line'!$AM$2:$AM$3001,1,'Per Line'!$AN$2:$AN$3001,0))</f>
        <v/>
      </c>
      <c r="S772" s="7">
        <f>IF($X772="","",R772*Q772)</f>
        <v/>
      </c>
      <c r="T772" s="7">
        <f>IF($X772="","",S772+P772)</f>
        <v/>
      </c>
      <c r="U772" s="7">
        <f>IF($X772="","",V772-T772)</f>
        <v/>
      </c>
      <c r="V772" s="7">
        <f>IF($X772="","",O772+R772+M772)</f>
        <v/>
      </c>
      <c r="W772" s="7">
        <f>IF($X772="","",V772-T772-I772)</f>
        <v/>
      </c>
      <c r="X772" s="13">
        <f>IF(ROWS($X$2:$X772)&lt;=MAX('Per Line'!$AL$2:$AL$3001),MATCH(ROWS($X$2:$X772),'Per Line'!$AL$2:$AL$3001,0),"")</f>
        <v/>
      </c>
    </row>
    <row r="773">
      <c r="A773" s="12" t="n"/>
      <c r="B773">
        <f>IF($X773="","",INDEX('Per Line'!$D$2:$D$3001,$X773)&amp;"")</f>
        <v/>
      </c>
      <c r="C773" s="11">
        <f>IF($X773="","",INDEX('Per Line'!$F$2:$F$3001,$X773))</f>
        <v/>
      </c>
      <c r="D773">
        <f>IF($X773="","",INDEX('Per Line'!$G$2:$G$3001,$X773)&amp;"")</f>
        <v/>
      </c>
      <c r="E773">
        <f>IF($X773="","",INDEX('Per Line'!$I$2:$I$3001,$X773)&amp;"")</f>
        <v/>
      </c>
      <c r="F773">
        <f>IF($X773="","",INDEX('Per Line'!$J$2:$J$3001,$X773)&amp;"")</f>
        <v/>
      </c>
      <c r="G773">
        <f>IF($X773="","",INDEX('Per Line'!$K$2:$K$3001,$X773)&amp;"")</f>
        <v/>
      </c>
      <c r="H773">
        <f>IF($X773="","",INDEX('Per Line'!$M$2:$M$3001,$X773))</f>
        <v/>
      </c>
      <c r="I773" s="7">
        <f>IF($X773="","",H773*V773/100)</f>
        <v/>
      </c>
      <c r="J773">
        <f>IF($X773="","",INDEX('Per Line'!$W$2:$W$3001,$X773)&amp;"")</f>
        <v/>
      </c>
      <c r="K773">
        <f>IF($X773="","",INDEX('Per Line'!$AD$2:$AD$3001,$X773))</f>
        <v/>
      </c>
      <c r="L773">
        <f>IF($X773="","",IF(AND(ISNUMBER(K773),K773&gt;0),V773&gt;K773,FALSE))</f>
        <v/>
      </c>
      <c r="M773" s="7">
        <f>IF($X773="","",SUMIFS('Per Line'!$V$2:$V$3001,'Per Line'!$D$2:$D$3001,$B773,'Per Line'!$AN$2:$AN$3001,1))</f>
        <v/>
      </c>
      <c r="N773">
        <f>IF($X773="","",Settings!$C$7)</f>
        <v/>
      </c>
      <c r="O773" s="7">
        <f>IF($X773="","",SUMIFS('Per Line'!$V$2:$V$3001,'Per Line'!$D$2:$D$3001,$B773,'Per Line'!$AM$2:$AM$3001,0,'Per Line'!$AN$2:$AN$3001,0))</f>
        <v/>
      </c>
      <c r="P773" s="7">
        <f>IF($X773="","",O773*N773)</f>
        <v/>
      </c>
      <c r="Q773">
        <f>IF($X773="","",Settings!$C$6)</f>
        <v/>
      </c>
      <c r="R773" s="7">
        <f>IF($X773="","",SUMIFS('Per Line'!$V$2:$V$3001,'Per Line'!$D$2:$D$3001,$B773,'Per Line'!$AM$2:$AM$3001,1,'Per Line'!$AN$2:$AN$3001,0))</f>
        <v/>
      </c>
      <c r="S773" s="7">
        <f>IF($X773="","",R773*Q773)</f>
        <v/>
      </c>
      <c r="T773" s="7">
        <f>IF($X773="","",S773+P773)</f>
        <v/>
      </c>
      <c r="U773" s="7">
        <f>IF($X773="","",V773-T773)</f>
        <v/>
      </c>
      <c r="V773" s="7">
        <f>IF($X773="","",O773+R773+M773)</f>
        <v/>
      </c>
      <c r="W773" s="7">
        <f>IF($X773="","",V773-T773-I773)</f>
        <v/>
      </c>
      <c r="X773" s="13">
        <f>IF(ROWS($X$2:$X773)&lt;=MAX('Per Line'!$AL$2:$AL$3001),MATCH(ROWS($X$2:$X773),'Per Line'!$AL$2:$AL$3001,0),"")</f>
        <v/>
      </c>
    </row>
    <row r="774">
      <c r="A774" s="12" t="n"/>
      <c r="B774">
        <f>IF($X774="","",INDEX('Per Line'!$D$2:$D$3001,$X774)&amp;"")</f>
        <v/>
      </c>
      <c r="C774" s="11">
        <f>IF($X774="","",INDEX('Per Line'!$F$2:$F$3001,$X774))</f>
        <v/>
      </c>
      <c r="D774">
        <f>IF($X774="","",INDEX('Per Line'!$G$2:$G$3001,$X774)&amp;"")</f>
        <v/>
      </c>
      <c r="E774">
        <f>IF($X774="","",INDEX('Per Line'!$I$2:$I$3001,$X774)&amp;"")</f>
        <v/>
      </c>
      <c r="F774">
        <f>IF($X774="","",INDEX('Per Line'!$J$2:$J$3001,$X774)&amp;"")</f>
        <v/>
      </c>
      <c r="G774">
        <f>IF($X774="","",INDEX('Per Line'!$K$2:$K$3001,$X774)&amp;"")</f>
        <v/>
      </c>
      <c r="H774">
        <f>IF($X774="","",INDEX('Per Line'!$M$2:$M$3001,$X774))</f>
        <v/>
      </c>
      <c r="I774" s="7">
        <f>IF($X774="","",H774*V774/100)</f>
        <v/>
      </c>
      <c r="J774">
        <f>IF($X774="","",INDEX('Per Line'!$W$2:$W$3001,$X774)&amp;"")</f>
        <v/>
      </c>
      <c r="K774">
        <f>IF($X774="","",INDEX('Per Line'!$AD$2:$AD$3001,$X774))</f>
        <v/>
      </c>
      <c r="L774">
        <f>IF($X774="","",IF(AND(ISNUMBER(K774),K774&gt;0),V774&gt;K774,FALSE))</f>
        <v/>
      </c>
      <c r="M774" s="7">
        <f>IF($X774="","",SUMIFS('Per Line'!$V$2:$V$3001,'Per Line'!$D$2:$D$3001,$B774,'Per Line'!$AN$2:$AN$3001,1))</f>
        <v/>
      </c>
      <c r="N774">
        <f>IF($X774="","",Settings!$C$7)</f>
        <v/>
      </c>
      <c r="O774" s="7">
        <f>IF($X774="","",SUMIFS('Per Line'!$V$2:$V$3001,'Per Line'!$D$2:$D$3001,$B774,'Per Line'!$AM$2:$AM$3001,0,'Per Line'!$AN$2:$AN$3001,0))</f>
        <v/>
      </c>
      <c r="P774" s="7">
        <f>IF($X774="","",O774*N774)</f>
        <v/>
      </c>
      <c r="Q774">
        <f>IF($X774="","",Settings!$C$6)</f>
        <v/>
      </c>
      <c r="R774" s="7">
        <f>IF($X774="","",SUMIFS('Per Line'!$V$2:$V$3001,'Per Line'!$D$2:$D$3001,$B774,'Per Line'!$AM$2:$AM$3001,1,'Per Line'!$AN$2:$AN$3001,0))</f>
        <v/>
      </c>
      <c r="S774" s="7">
        <f>IF($X774="","",R774*Q774)</f>
        <v/>
      </c>
      <c r="T774" s="7">
        <f>IF($X774="","",S774+P774)</f>
        <v/>
      </c>
      <c r="U774" s="7">
        <f>IF($X774="","",V774-T774)</f>
        <v/>
      </c>
      <c r="V774" s="7">
        <f>IF($X774="","",O774+R774+M774)</f>
        <v/>
      </c>
      <c r="W774" s="7">
        <f>IF($X774="","",V774-T774-I774)</f>
        <v/>
      </c>
      <c r="X774" s="13">
        <f>IF(ROWS($X$2:$X774)&lt;=MAX('Per Line'!$AL$2:$AL$3001),MATCH(ROWS($X$2:$X774),'Per Line'!$AL$2:$AL$3001,0),"")</f>
        <v/>
      </c>
    </row>
    <row r="775">
      <c r="A775" s="12" t="n"/>
      <c r="B775">
        <f>IF($X775="","",INDEX('Per Line'!$D$2:$D$3001,$X775)&amp;"")</f>
        <v/>
      </c>
      <c r="C775" s="11">
        <f>IF($X775="","",INDEX('Per Line'!$F$2:$F$3001,$X775))</f>
        <v/>
      </c>
      <c r="D775">
        <f>IF($X775="","",INDEX('Per Line'!$G$2:$G$3001,$X775)&amp;"")</f>
        <v/>
      </c>
      <c r="E775">
        <f>IF($X775="","",INDEX('Per Line'!$I$2:$I$3001,$X775)&amp;"")</f>
        <v/>
      </c>
      <c r="F775">
        <f>IF($X775="","",INDEX('Per Line'!$J$2:$J$3001,$X775)&amp;"")</f>
        <v/>
      </c>
      <c r="G775">
        <f>IF($X775="","",INDEX('Per Line'!$K$2:$K$3001,$X775)&amp;"")</f>
        <v/>
      </c>
      <c r="H775">
        <f>IF($X775="","",INDEX('Per Line'!$M$2:$M$3001,$X775))</f>
        <v/>
      </c>
      <c r="I775" s="7">
        <f>IF($X775="","",H775*V775/100)</f>
        <v/>
      </c>
      <c r="J775">
        <f>IF($X775="","",INDEX('Per Line'!$W$2:$W$3001,$X775)&amp;"")</f>
        <v/>
      </c>
      <c r="K775">
        <f>IF($X775="","",INDEX('Per Line'!$AD$2:$AD$3001,$X775))</f>
        <v/>
      </c>
      <c r="L775">
        <f>IF($X775="","",IF(AND(ISNUMBER(K775),K775&gt;0),V775&gt;K775,FALSE))</f>
        <v/>
      </c>
      <c r="M775" s="7">
        <f>IF($X775="","",SUMIFS('Per Line'!$V$2:$V$3001,'Per Line'!$D$2:$D$3001,$B775,'Per Line'!$AN$2:$AN$3001,1))</f>
        <v/>
      </c>
      <c r="N775">
        <f>IF($X775="","",Settings!$C$7)</f>
        <v/>
      </c>
      <c r="O775" s="7">
        <f>IF($X775="","",SUMIFS('Per Line'!$V$2:$V$3001,'Per Line'!$D$2:$D$3001,$B775,'Per Line'!$AM$2:$AM$3001,0,'Per Line'!$AN$2:$AN$3001,0))</f>
        <v/>
      </c>
      <c r="P775" s="7">
        <f>IF($X775="","",O775*N775)</f>
        <v/>
      </c>
      <c r="Q775">
        <f>IF($X775="","",Settings!$C$6)</f>
        <v/>
      </c>
      <c r="R775" s="7">
        <f>IF($X775="","",SUMIFS('Per Line'!$V$2:$V$3001,'Per Line'!$D$2:$D$3001,$B775,'Per Line'!$AM$2:$AM$3001,1,'Per Line'!$AN$2:$AN$3001,0))</f>
        <v/>
      </c>
      <c r="S775" s="7">
        <f>IF($X775="","",R775*Q775)</f>
        <v/>
      </c>
      <c r="T775" s="7">
        <f>IF($X775="","",S775+P775)</f>
        <v/>
      </c>
      <c r="U775" s="7">
        <f>IF($X775="","",V775-T775)</f>
        <v/>
      </c>
      <c r="V775" s="7">
        <f>IF($X775="","",O775+R775+M775)</f>
        <v/>
      </c>
      <c r="W775" s="7">
        <f>IF($X775="","",V775-T775-I775)</f>
        <v/>
      </c>
      <c r="X775" s="13">
        <f>IF(ROWS($X$2:$X775)&lt;=MAX('Per Line'!$AL$2:$AL$3001),MATCH(ROWS($X$2:$X775),'Per Line'!$AL$2:$AL$3001,0),"")</f>
        <v/>
      </c>
    </row>
    <row r="776">
      <c r="A776" s="12" t="n"/>
      <c r="B776">
        <f>IF($X776="","",INDEX('Per Line'!$D$2:$D$3001,$X776)&amp;"")</f>
        <v/>
      </c>
      <c r="C776" s="11">
        <f>IF($X776="","",INDEX('Per Line'!$F$2:$F$3001,$X776))</f>
        <v/>
      </c>
      <c r="D776">
        <f>IF($X776="","",INDEX('Per Line'!$G$2:$G$3001,$X776)&amp;"")</f>
        <v/>
      </c>
      <c r="E776">
        <f>IF($X776="","",INDEX('Per Line'!$I$2:$I$3001,$X776)&amp;"")</f>
        <v/>
      </c>
      <c r="F776">
        <f>IF($X776="","",INDEX('Per Line'!$J$2:$J$3001,$X776)&amp;"")</f>
        <v/>
      </c>
      <c r="G776">
        <f>IF($X776="","",INDEX('Per Line'!$K$2:$K$3001,$X776)&amp;"")</f>
        <v/>
      </c>
      <c r="H776">
        <f>IF($X776="","",INDEX('Per Line'!$M$2:$M$3001,$X776))</f>
        <v/>
      </c>
      <c r="I776" s="7">
        <f>IF($X776="","",H776*V776/100)</f>
        <v/>
      </c>
      <c r="J776">
        <f>IF($X776="","",INDEX('Per Line'!$W$2:$W$3001,$X776)&amp;"")</f>
        <v/>
      </c>
      <c r="K776">
        <f>IF($X776="","",INDEX('Per Line'!$AD$2:$AD$3001,$X776))</f>
        <v/>
      </c>
      <c r="L776">
        <f>IF($X776="","",IF(AND(ISNUMBER(K776),K776&gt;0),V776&gt;K776,FALSE))</f>
        <v/>
      </c>
      <c r="M776" s="7">
        <f>IF($X776="","",SUMIFS('Per Line'!$V$2:$V$3001,'Per Line'!$D$2:$D$3001,$B776,'Per Line'!$AN$2:$AN$3001,1))</f>
        <v/>
      </c>
      <c r="N776">
        <f>IF($X776="","",Settings!$C$7)</f>
        <v/>
      </c>
      <c r="O776" s="7">
        <f>IF($X776="","",SUMIFS('Per Line'!$V$2:$V$3001,'Per Line'!$D$2:$D$3001,$B776,'Per Line'!$AM$2:$AM$3001,0,'Per Line'!$AN$2:$AN$3001,0))</f>
        <v/>
      </c>
      <c r="P776" s="7">
        <f>IF($X776="","",O776*N776)</f>
        <v/>
      </c>
      <c r="Q776">
        <f>IF($X776="","",Settings!$C$6)</f>
        <v/>
      </c>
      <c r="R776" s="7">
        <f>IF($X776="","",SUMIFS('Per Line'!$V$2:$V$3001,'Per Line'!$D$2:$D$3001,$B776,'Per Line'!$AM$2:$AM$3001,1,'Per Line'!$AN$2:$AN$3001,0))</f>
        <v/>
      </c>
      <c r="S776" s="7">
        <f>IF($X776="","",R776*Q776)</f>
        <v/>
      </c>
      <c r="T776" s="7">
        <f>IF($X776="","",S776+P776)</f>
        <v/>
      </c>
      <c r="U776" s="7">
        <f>IF($X776="","",V776-T776)</f>
        <v/>
      </c>
      <c r="V776" s="7">
        <f>IF($X776="","",O776+R776+M776)</f>
        <v/>
      </c>
      <c r="W776" s="7">
        <f>IF($X776="","",V776-T776-I776)</f>
        <v/>
      </c>
      <c r="X776" s="13">
        <f>IF(ROWS($X$2:$X776)&lt;=MAX('Per Line'!$AL$2:$AL$3001),MATCH(ROWS($X$2:$X776),'Per Line'!$AL$2:$AL$3001,0),"")</f>
        <v/>
      </c>
    </row>
    <row r="777">
      <c r="A777" s="12" t="n"/>
      <c r="B777">
        <f>IF($X777="","",INDEX('Per Line'!$D$2:$D$3001,$X777)&amp;"")</f>
        <v/>
      </c>
      <c r="C777" s="11">
        <f>IF($X777="","",INDEX('Per Line'!$F$2:$F$3001,$X777))</f>
        <v/>
      </c>
      <c r="D777">
        <f>IF($X777="","",INDEX('Per Line'!$G$2:$G$3001,$X777)&amp;"")</f>
        <v/>
      </c>
      <c r="E777">
        <f>IF($X777="","",INDEX('Per Line'!$I$2:$I$3001,$X777)&amp;"")</f>
        <v/>
      </c>
      <c r="F777">
        <f>IF($X777="","",INDEX('Per Line'!$J$2:$J$3001,$X777)&amp;"")</f>
        <v/>
      </c>
      <c r="G777">
        <f>IF($X777="","",INDEX('Per Line'!$K$2:$K$3001,$X777)&amp;"")</f>
        <v/>
      </c>
      <c r="H777">
        <f>IF($X777="","",INDEX('Per Line'!$M$2:$M$3001,$X777))</f>
        <v/>
      </c>
      <c r="I777" s="7">
        <f>IF($X777="","",H777*V777/100)</f>
        <v/>
      </c>
      <c r="J777">
        <f>IF($X777="","",INDEX('Per Line'!$W$2:$W$3001,$X777)&amp;"")</f>
        <v/>
      </c>
      <c r="K777">
        <f>IF($X777="","",INDEX('Per Line'!$AD$2:$AD$3001,$X777))</f>
        <v/>
      </c>
      <c r="L777">
        <f>IF($X777="","",IF(AND(ISNUMBER(K777),K777&gt;0),V777&gt;K777,FALSE))</f>
        <v/>
      </c>
      <c r="M777" s="7">
        <f>IF($X777="","",SUMIFS('Per Line'!$V$2:$V$3001,'Per Line'!$D$2:$D$3001,$B777,'Per Line'!$AN$2:$AN$3001,1))</f>
        <v/>
      </c>
      <c r="N777">
        <f>IF($X777="","",Settings!$C$7)</f>
        <v/>
      </c>
      <c r="O777" s="7">
        <f>IF($X777="","",SUMIFS('Per Line'!$V$2:$V$3001,'Per Line'!$D$2:$D$3001,$B777,'Per Line'!$AM$2:$AM$3001,0,'Per Line'!$AN$2:$AN$3001,0))</f>
        <v/>
      </c>
      <c r="P777" s="7">
        <f>IF($X777="","",O777*N777)</f>
        <v/>
      </c>
      <c r="Q777">
        <f>IF($X777="","",Settings!$C$6)</f>
        <v/>
      </c>
      <c r="R777" s="7">
        <f>IF($X777="","",SUMIFS('Per Line'!$V$2:$V$3001,'Per Line'!$D$2:$D$3001,$B777,'Per Line'!$AM$2:$AM$3001,1,'Per Line'!$AN$2:$AN$3001,0))</f>
        <v/>
      </c>
      <c r="S777" s="7">
        <f>IF($X777="","",R777*Q777)</f>
        <v/>
      </c>
      <c r="T777" s="7">
        <f>IF($X777="","",S777+P777)</f>
        <v/>
      </c>
      <c r="U777" s="7">
        <f>IF($X777="","",V777-T777)</f>
        <v/>
      </c>
      <c r="V777" s="7">
        <f>IF($X777="","",O777+R777+M777)</f>
        <v/>
      </c>
      <c r="W777" s="7">
        <f>IF($X777="","",V777-T777-I777)</f>
        <v/>
      </c>
      <c r="X777" s="13">
        <f>IF(ROWS($X$2:$X777)&lt;=MAX('Per Line'!$AL$2:$AL$3001),MATCH(ROWS($X$2:$X777),'Per Line'!$AL$2:$AL$3001,0),"")</f>
        <v/>
      </c>
    </row>
    <row r="778">
      <c r="A778" s="12" t="n"/>
      <c r="B778">
        <f>IF($X778="","",INDEX('Per Line'!$D$2:$D$3001,$X778)&amp;"")</f>
        <v/>
      </c>
      <c r="C778" s="11">
        <f>IF($X778="","",INDEX('Per Line'!$F$2:$F$3001,$X778))</f>
        <v/>
      </c>
      <c r="D778">
        <f>IF($X778="","",INDEX('Per Line'!$G$2:$G$3001,$X778)&amp;"")</f>
        <v/>
      </c>
      <c r="E778">
        <f>IF($X778="","",INDEX('Per Line'!$I$2:$I$3001,$X778)&amp;"")</f>
        <v/>
      </c>
      <c r="F778">
        <f>IF($X778="","",INDEX('Per Line'!$J$2:$J$3001,$X778)&amp;"")</f>
        <v/>
      </c>
      <c r="G778">
        <f>IF($X778="","",INDEX('Per Line'!$K$2:$K$3001,$X778)&amp;"")</f>
        <v/>
      </c>
      <c r="H778">
        <f>IF($X778="","",INDEX('Per Line'!$M$2:$M$3001,$X778))</f>
        <v/>
      </c>
      <c r="I778" s="7">
        <f>IF($X778="","",H778*V778/100)</f>
        <v/>
      </c>
      <c r="J778">
        <f>IF($X778="","",INDEX('Per Line'!$W$2:$W$3001,$X778)&amp;"")</f>
        <v/>
      </c>
      <c r="K778">
        <f>IF($X778="","",INDEX('Per Line'!$AD$2:$AD$3001,$X778))</f>
        <v/>
      </c>
      <c r="L778">
        <f>IF($X778="","",IF(AND(ISNUMBER(K778),K778&gt;0),V778&gt;K778,FALSE))</f>
        <v/>
      </c>
      <c r="M778" s="7">
        <f>IF($X778="","",SUMIFS('Per Line'!$V$2:$V$3001,'Per Line'!$D$2:$D$3001,$B778,'Per Line'!$AN$2:$AN$3001,1))</f>
        <v/>
      </c>
      <c r="N778">
        <f>IF($X778="","",Settings!$C$7)</f>
        <v/>
      </c>
      <c r="O778" s="7">
        <f>IF($X778="","",SUMIFS('Per Line'!$V$2:$V$3001,'Per Line'!$D$2:$D$3001,$B778,'Per Line'!$AM$2:$AM$3001,0,'Per Line'!$AN$2:$AN$3001,0))</f>
        <v/>
      </c>
      <c r="P778" s="7">
        <f>IF($X778="","",O778*N778)</f>
        <v/>
      </c>
      <c r="Q778">
        <f>IF($X778="","",Settings!$C$6)</f>
        <v/>
      </c>
      <c r="R778" s="7">
        <f>IF($X778="","",SUMIFS('Per Line'!$V$2:$V$3001,'Per Line'!$D$2:$D$3001,$B778,'Per Line'!$AM$2:$AM$3001,1,'Per Line'!$AN$2:$AN$3001,0))</f>
        <v/>
      </c>
      <c r="S778" s="7">
        <f>IF($X778="","",R778*Q778)</f>
        <v/>
      </c>
      <c r="T778" s="7">
        <f>IF($X778="","",S778+P778)</f>
        <v/>
      </c>
      <c r="U778" s="7">
        <f>IF($X778="","",V778-T778)</f>
        <v/>
      </c>
      <c r="V778" s="7">
        <f>IF($X778="","",O778+R778+M778)</f>
        <v/>
      </c>
      <c r="W778" s="7">
        <f>IF($X778="","",V778-T778-I778)</f>
        <v/>
      </c>
      <c r="X778" s="13">
        <f>IF(ROWS($X$2:$X778)&lt;=MAX('Per Line'!$AL$2:$AL$3001),MATCH(ROWS($X$2:$X778),'Per Line'!$AL$2:$AL$3001,0),"")</f>
        <v/>
      </c>
    </row>
    <row r="779">
      <c r="A779" s="12" t="n"/>
      <c r="B779">
        <f>IF($X779="","",INDEX('Per Line'!$D$2:$D$3001,$X779)&amp;"")</f>
        <v/>
      </c>
      <c r="C779" s="11">
        <f>IF($X779="","",INDEX('Per Line'!$F$2:$F$3001,$X779))</f>
        <v/>
      </c>
      <c r="D779">
        <f>IF($X779="","",INDEX('Per Line'!$G$2:$G$3001,$X779)&amp;"")</f>
        <v/>
      </c>
      <c r="E779">
        <f>IF($X779="","",INDEX('Per Line'!$I$2:$I$3001,$X779)&amp;"")</f>
        <v/>
      </c>
      <c r="F779">
        <f>IF($X779="","",INDEX('Per Line'!$J$2:$J$3001,$X779)&amp;"")</f>
        <v/>
      </c>
      <c r="G779">
        <f>IF($X779="","",INDEX('Per Line'!$K$2:$K$3001,$X779)&amp;"")</f>
        <v/>
      </c>
      <c r="H779">
        <f>IF($X779="","",INDEX('Per Line'!$M$2:$M$3001,$X779))</f>
        <v/>
      </c>
      <c r="I779" s="7">
        <f>IF($X779="","",H779*V779/100)</f>
        <v/>
      </c>
      <c r="J779">
        <f>IF($X779="","",INDEX('Per Line'!$W$2:$W$3001,$X779)&amp;"")</f>
        <v/>
      </c>
      <c r="K779">
        <f>IF($X779="","",INDEX('Per Line'!$AD$2:$AD$3001,$X779))</f>
        <v/>
      </c>
      <c r="L779">
        <f>IF($X779="","",IF(AND(ISNUMBER(K779),K779&gt;0),V779&gt;K779,FALSE))</f>
        <v/>
      </c>
      <c r="M779" s="7">
        <f>IF($X779="","",SUMIFS('Per Line'!$V$2:$V$3001,'Per Line'!$D$2:$D$3001,$B779,'Per Line'!$AN$2:$AN$3001,1))</f>
        <v/>
      </c>
      <c r="N779">
        <f>IF($X779="","",Settings!$C$7)</f>
        <v/>
      </c>
      <c r="O779" s="7">
        <f>IF($X779="","",SUMIFS('Per Line'!$V$2:$V$3001,'Per Line'!$D$2:$D$3001,$B779,'Per Line'!$AM$2:$AM$3001,0,'Per Line'!$AN$2:$AN$3001,0))</f>
        <v/>
      </c>
      <c r="P779" s="7">
        <f>IF($X779="","",O779*N779)</f>
        <v/>
      </c>
      <c r="Q779">
        <f>IF($X779="","",Settings!$C$6)</f>
        <v/>
      </c>
      <c r="R779" s="7">
        <f>IF($X779="","",SUMIFS('Per Line'!$V$2:$V$3001,'Per Line'!$D$2:$D$3001,$B779,'Per Line'!$AM$2:$AM$3001,1,'Per Line'!$AN$2:$AN$3001,0))</f>
        <v/>
      </c>
      <c r="S779" s="7">
        <f>IF($X779="","",R779*Q779)</f>
        <v/>
      </c>
      <c r="T779" s="7">
        <f>IF($X779="","",S779+P779)</f>
        <v/>
      </c>
      <c r="U779" s="7">
        <f>IF($X779="","",V779-T779)</f>
        <v/>
      </c>
      <c r="V779" s="7">
        <f>IF($X779="","",O779+R779+M779)</f>
        <v/>
      </c>
      <c r="W779" s="7">
        <f>IF($X779="","",V779-T779-I779)</f>
        <v/>
      </c>
      <c r="X779" s="13">
        <f>IF(ROWS($X$2:$X779)&lt;=MAX('Per Line'!$AL$2:$AL$3001),MATCH(ROWS($X$2:$X779),'Per Line'!$AL$2:$AL$3001,0),"")</f>
        <v/>
      </c>
    </row>
    <row r="780">
      <c r="A780" s="12" t="n"/>
      <c r="B780">
        <f>IF($X780="","",INDEX('Per Line'!$D$2:$D$3001,$X780)&amp;"")</f>
        <v/>
      </c>
      <c r="C780" s="11">
        <f>IF($X780="","",INDEX('Per Line'!$F$2:$F$3001,$X780))</f>
        <v/>
      </c>
      <c r="D780">
        <f>IF($X780="","",INDEX('Per Line'!$G$2:$G$3001,$X780)&amp;"")</f>
        <v/>
      </c>
      <c r="E780">
        <f>IF($X780="","",INDEX('Per Line'!$I$2:$I$3001,$X780)&amp;"")</f>
        <v/>
      </c>
      <c r="F780">
        <f>IF($X780="","",INDEX('Per Line'!$J$2:$J$3001,$X780)&amp;"")</f>
        <v/>
      </c>
      <c r="G780">
        <f>IF($X780="","",INDEX('Per Line'!$K$2:$K$3001,$X780)&amp;"")</f>
        <v/>
      </c>
      <c r="H780">
        <f>IF($X780="","",INDEX('Per Line'!$M$2:$M$3001,$X780))</f>
        <v/>
      </c>
      <c r="I780" s="7">
        <f>IF($X780="","",H780*V780/100)</f>
        <v/>
      </c>
      <c r="J780">
        <f>IF($X780="","",INDEX('Per Line'!$W$2:$W$3001,$X780)&amp;"")</f>
        <v/>
      </c>
      <c r="K780">
        <f>IF($X780="","",INDEX('Per Line'!$AD$2:$AD$3001,$X780))</f>
        <v/>
      </c>
      <c r="L780">
        <f>IF($X780="","",IF(AND(ISNUMBER(K780),K780&gt;0),V780&gt;K780,FALSE))</f>
        <v/>
      </c>
      <c r="M780" s="7">
        <f>IF($X780="","",SUMIFS('Per Line'!$V$2:$V$3001,'Per Line'!$D$2:$D$3001,$B780,'Per Line'!$AN$2:$AN$3001,1))</f>
        <v/>
      </c>
      <c r="N780">
        <f>IF($X780="","",Settings!$C$7)</f>
        <v/>
      </c>
      <c r="O780" s="7">
        <f>IF($X780="","",SUMIFS('Per Line'!$V$2:$V$3001,'Per Line'!$D$2:$D$3001,$B780,'Per Line'!$AM$2:$AM$3001,0,'Per Line'!$AN$2:$AN$3001,0))</f>
        <v/>
      </c>
      <c r="P780" s="7">
        <f>IF($X780="","",O780*N780)</f>
        <v/>
      </c>
      <c r="Q780">
        <f>IF($X780="","",Settings!$C$6)</f>
        <v/>
      </c>
      <c r="R780" s="7">
        <f>IF($X780="","",SUMIFS('Per Line'!$V$2:$V$3001,'Per Line'!$D$2:$D$3001,$B780,'Per Line'!$AM$2:$AM$3001,1,'Per Line'!$AN$2:$AN$3001,0))</f>
        <v/>
      </c>
      <c r="S780" s="7">
        <f>IF($X780="","",R780*Q780)</f>
        <v/>
      </c>
      <c r="T780" s="7">
        <f>IF($X780="","",S780+P780)</f>
        <v/>
      </c>
      <c r="U780" s="7">
        <f>IF($X780="","",V780-T780)</f>
        <v/>
      </c>
      <c r="V780" s="7">
        <f>IF($X780="","",O780+R780+M780)</f>
        <v/>
      </c>
      <c r="W780" s="7">
        <f>IF($X780="","",V780-T780-I780)</f>
        <v/>
      </c>
      <c r="X780" s="13">
        <f>IF(ROWS($X$2:$X780)&lt;=MAX('Per Line'!$AL$2:$AL$3001),MATCH(ROWS($X$2:$X780),'Per Line'!$AL$2:$AL$3001,0),"")</f>
        <v/>
      </c>
    </row>
    <row r="781">
      <c r="A781" s="12" t="n"/>
      <c r="B781">
        <f>IF($X781="","",INDEX('Per Line'!$D$2:$D$3001,$X781)&amp;"")</f>
        <v/>
      </c>
      <c r="C781" s="11">
        <f>IF($X781="","",INDEX('Per Line'!$F$2:$F$3001,$X781))</f>
        <v/>
      </c>
      <c r="D781">
        <f>IF($X781="","",INDEX('Per Line'!$G$2:$G$3001,$X781)&amp;"")</f>
        <v/>
      </c>
      <c r="E781">
        <f>IF($X781="","",INDEX('Per Line'!$I$2:$I$3001,$X781)&amp;"")</f>
        <v/>
      </c>
      <c r="F781">
        <f>IF($X781="","",INDEX('Per Line'!$J$2:$J$3001,$X781)&amp;"")</f>
        <v/>
      </c>
      <c r="G781">
        <f>IF($X781="","",INDEX('Per Line'!$K$2:$K$3001,$X781)&amp;"")</f>
        <v/>
      </c>
      <c r="H781">
        <f>IF($X781="","",INDEX('Per Line'!$M$2:$M$3001,$X781))</f>
        <v/>
      </c>
      <c r="I781" s="7">
        <f>IF($X781="","",H781*V781/100)</f>
        <v/>
      </c>
      <c r="J781">
        <f>IF($X781="","",INDEX('Per Line'!$W$2:$W$3001,$X781)&amp;"")</f>
        <v/>
      </c>
      <c r="K781">
        <f>IF($X781="","",INDEX('Per Line'!$AD$2:$AD$3001,$X781))</f>
        <v/>
      </c>
      <c r="L781">
        <f>IF($X781="","",IF(AND(ISNUMBER(K781),K781&gt;0),V781&gt;K781,FALSE))</f>
        <v/>
      </c>
      <c r="M781" s="7">
        <f>IF($X781="","",SUMIFS('Per Line'!$V$2:$V$3001,'Per Line'!$D$2:$D$3001,$B781,'Per Line'!$AN$2:$AN$3001,1))</f>
        <v/>
      </c>
      <c r="N781">
        <f>IF($X781="","",Settings!$C$7)</f>
        <v/>
      </c>
      <c r="O781" s="7">
        <f>IF($X781="","",SUMIFS('Per Line'!$V$2:$V$3001,'Per Line'!$D$2:$D$3001,$B781,'Per Line'!$AM$2:$AM$3001,0,'Per Line'!$AN$2:$AN$3001,0))</f>
        <v/>
      </c>
      <c r="P781" s="7">
        <f>IF($X781="","",O781*N781)</f>
        <v/>
      </c>
      <c r="Q781">
        <f>IF($X781="","",Settings!$C$6)</f>
        <v/>
      </c>
      <c r="R781" s="7">
        <f>IF($X781="","",SUMIFS('Per Line'!$V$2:$V$3001,'Per Line'!$D$2:$D$3001,$B781,'Per Line'!$AM$2:$AM$3001,1,'Per Line'!$AN$2:$AN$3001,0))</f>
        <v/>
      </c>
      <c r="S781" s="7">
        <f>IF($X781="","",R781*Q781)</f>
        <v/>
      </c>
      <c r="T781" s="7">
        <f>IF($X781="","",S781+P781)</f>
        <v/>
      </c>
      <c r="U781" s="7">
        <f>IF($X781="","",V781-T781)</f>
        <v/>
      </c>
      <c r="V781" s="7">
        <f>IF($X781="","",O781+R781+M781)</f>
        <v/>
      </c>
      <c r="W781" s="7">
        <f>IF($X781="","",V781-T781-I781)</f>
        <v/>
      </c>
      <c r="X781" s="13">
        <f>IF(ROWS($X$2:$X781)&lt;=MAX('Per Line'!$AL$2:$AL$3001),MATCH(ROWS($X$2:$X781),'Per Line'!$AL$2:$AL$3001,0),"")</f>
        <v/>
      </c>
    </row>
    <row r="782">
      <c r="A782" s="12" t="n"/>
      <c r="B782">
        <f>IF($X782="","",INDEX('Per Line'!$D$2:$D$3001,$X782)&amp;"")</f>
        <v/>
      </c>
      <c r="C782" s="11">
        <f>IF($X782="","",INDEX('Per Line'!$F$2:$F$3001,$X782))</f>
        <v/>
      </c>
      <c r="D782">
        <f>IF($X782="","",INDEX('Per Line'!$G$2:$G$3001,$X782)&amp;"")</f>
        <v/>
      </c>
      <c r="E782">
        <f>IF($X782="","",INDEX('Per Line'!$I$2:$I$3001,$X782)&amp;"")</f>
        <v/>
      </c>
      <c r="F782">
        <f>IF($X782="","",INDEX('Per Line'!$J$2:$J$3001,$X782)&amp;"")</f>
        <v/>
      </c>
      <c r="G782">
        <f>IF($X782="","",INDEX('Per Line'!$K$2:$K$3001,$X782)&amp;"")</f>
        <v/>
      </c>
      <c r="H782">
        <f>IF($X782="","",INDEX('Per Line'!$M$2:$M$3001,$X782))</f>
        <v/>
      </c>
      <c r="I782" s="7">
        <f>IF($X782="","",H782*V782/100)</f>
        <v/>
      </c>
      <c r="J782">
        <f>IF($X782="","",INDEX('Per Line'!$W$2:$W$3001,$X782)&amp;"")</f>
        <v/>
      </c>
      <c r="K782">
        <f>IF($X782="","",INDEX('Per Line'!$AD$2:$AD$3001,$X782))</f>
        <v/>
      </c>
      <c r="L782">
        <f>IF($X782="","",IF(AND(ISNUMBER(K782),K782&gt;0),V782&gt;K782,FALSE))</f>
        <v/>
      </c>
      <c r="M782" s="7">
        <f>IF($X782="","",SUMIFS('Per Line'!$V$2:$V$3001,'Per Line'!$D$2:$D$3001,$B782,'Per Line'!$AN$2:$AN$3001,1))</f>
        <v/>
      </c>
      <c r="N782">
        <f>IF($X782="","",Settings!$C$7)</f>
        <v/>
      </c>
      <c r="O782" s="7">
        <f>IF($X782="","",SUMIFS('Per Line'!$V$2:$V$3001,'Per Line'!$D$2:$D$3001,$B782,'Per Line'!$AM$2:$AM$3001,0,'Per Line'!$AN$2:$AN$3001,0))</f>
        <v/>
      </c>
      <c r="P782" s="7">
        <f>IF($X782="","",O782*N782)</f>
        <v/>
      </c>
      <c r="Q782">
        <f>IF($X782="","",Settings!$C$6)</f>
        <v/>
      </c>
      <c r="R782" s="7">
        <f>IF($X782="","",SUMIFS('Per Line'!$V$2:$V$3001,'Per Line'!$D$2:$D$3001,$B782,'Per Line'!$AM$2:$AM$3001,1,'Per Line'!$AN$2:$AN$3001,0))</f>
        <v/>
      </c>
      <c r="S782" s="7">
        <f>IF($X782="","",R782*Q782)</f>
        <v/>
      </c>
      <c r="T782" s="7">
        <f>IF($X782="","",S782+P782)</f>
        <v/>
      </c>
      <c r="U782" s="7">
        <f>IF($X782="","",V782-T782)</f>
        <v/>
      </c>
      <c r="V782" s="7">
        <f>IF($X782="","",O782+R782+M782)</f>
        <v/>
      </c>
      <c r="W782" s="7">
        <f>IF($X782="","",V782-T782-I782)</f>
        <v/>
      </c>
      <c r="X782" s="13">
        <f>IF(ROWS($X$2:$X782)&lt;=MAX('Per Line'!$AL$2:$AL$3001),MATCH(ROWS($X$2:$X782),'Per Line'!$AL$2:$AL$3001,0),"")</f>
        <v/>
      </c>
    </row>
    <row r="783">
      <c r="A783" s="12" t="n"/>
      <c r="B783">
        <f>IF($X783="","",INDEX('Per Line'!$D$2:$D$3001,$X783)&amp;"")</f>
        <v/>
      </c>
      <c r="C783" s="11">
        <f>IF($X783="","",INDEX('Per Line'!$F$2:$F$3001,$X783))</f>
        <v/>
      </c>
      <c r="D783">
        <f>IF($X783="","",INDEX('Per Line'!$G$2:$G$3001,$X783)&amp;"")</f>
        <v/>
      </c>
      <c r="E783">
        <f>IF($X783="","",INDEX('Per Line'!$I$2:$I$3001,$X783)&amp;"")</f>
        <v/>
      </c>
      <c r="F783">
        <f>IF($X783="","",INDEX('Per Line'!$J$2:$J$3001,$X783)&amp;"")</f>
        <v/>
      </c>
      <c r="G783">
        <f>IF($X783="","",INDEX('Per Line'!$K$2:$K$3001,$X783)&amp;"")</f>
        <v/>
      </c>
      <c r="H783">
        <f>IF($X783="","",INDEX('Per Line'!$M$2:$M$3001,$X783))</f>
        <v/>
      </c>
      <c r="I783" s="7">
        <f>IF($X783="","",H783*V783/100)</f>
        <v/>
      </c>
      <c r="J783">
        <f>IF($X783="","",INDEX('Per Line'!$W$2:$W$3001,$X783)&amp;"")</f>
        <v/>
      </c>
      <c r="K783">
        <f>IF($X783="","",INDEX('Per Line'!$AD$2:$AD$3001,$X783))</f>
        <v/>
      </c>
      <c r="L783">
        <f>IF($X783="","",IF(AND(ISNUMBER(K783),K783&gt;0),V783&gt;K783,FALSE))</f>
        <v/>
      </c>
      <c r="M783" s="7">
        <f>IF($X783="","",SUMIFS('Per Line'!$V$2:$V$3001,'Per Line'!$D$2:$D$3001,$B783,'Per Line'!$AN$2:$AN$3001,1))</f>
        <v/>
      </c>
      <c r="N783">
        <f>IF($X783="","",Settings!$C$7)</f>
        <v/>
      </c>
      <c r="O783" s="7">
        <f>IF($X783="","",SUMIFS('Per Line'!$V$2:$V$3001,'Per Line'!$D$2:$D$3001,$B783,'Per Line'!$AM$2:$AM$3001,0,'Per Line'!$AN$2:$AN$3001,0))</f>
        <v/>
      </c>
      <c r="P783" s="7">
        <f>IF($X783="","",O783*N783)</f>
        <v/>
      </c>
      <c r="Q783">
        <f>IF($X783="","",Settings!$C$6)</f>
        <v/>
      </c>
      <c r="R783" s="7">
        <f>IF($X783="","",SUMIFS('Per Line'!$V$2:$V$3001,'Per Line'!$D$2:$D$3001,$B783,'Per Line'!$AM$2:$AM$3001,1,'Per Line'!$AN$2:$AN$3001,0))</f>
        <v/>
      </c>
      <c r="S783" s="7">
        <f>IF($X783="","",R783*Q783)</f>
        <v/>
      </c>
      <c r="T783" s="7">
        <f>IF($X783="","",S783+P783)</f>
        <v/>
      </c>
      <c r="U783" s="7">
        <f>IF($X783="","",V783-T783)</f>
        <v/>
      </c>
      <c r="V783" s="7">
        <f>IF($X783="","",O783+R783+M783)</f>
        <v/>
      </c>
      <c r="W783" s="7">
        <f>IF($X783="","",V783-T783-I783)</f>
        <v/>
      </c>
      <c r="X783" s="13">
        <f>IF(ROWS($X$2:$X783)&lt;=MAX('Per Line'!$AL$2:$AL$3001),MATCH(ROWS($X$2:$X783),'Per Line'!$AL$2:$AL$3001,0),"")</f>
        <v/>
      </c>
    </row>
    <row r="784">
      <c r="A784" s="12" t="n"/>
      <c r="B784">
        <f>IF($X784="","",INDEX('Per Line'!$D$2:$D$3001,$X784)&amp;"")</f>
        <v/>
      </c>
      <c r="C784" s="11">
        <f>IF($X784="","",INDEX('Per Line'!$F$2:$F$3001,$X784))</f>
        <v/>
      </c>
      <c r="D784">
        <f>IF($X784="","",INDEX('Per Line'!$G$2:$G$3001,$X784)&amp;"")</f>
        <v/>
      </c>
      <c r="E784">
        <f>IF($X784="","",INDEX('Per Line'!$I$2:$I$3001,$X784)&amp;"")</f>
        <v/>
      </c>
      <c r="F784">
        <f>IF($X784="","",INDEX('Per Line'!$J$2:$J$3001,$X784)&amp;"")</f>
        <v/>
      </c>
      <c r="G784">
        <f>IF($X784="","",INDEX('Per Line'!$K$2:$K$3001,$X784)&amp;"")</f>
        <v/>
      </c>
      <c r="H784">
        <f>IF($X784="","",INDEX('Per Line'!$M$2:$M$3001,$X784))</f>
        <v/>
      </c>
      <c r="I784" s="7">
        <f>IF($X784="","",H784*V784/100)</f>
        <v/>
      </c>
      <c r="J784">
        <f>IF($X784="","",INDEX('Per Line'!$W$2:$W$3001,$X784)&amp;"")</f>
        <v/>
      </c>
      <c r="K784">
        <f>IF($X784="","",INDEX('Per Line'!$AD$2:$AD$3001,$X784))</f>
        <v/>
      </c>
      <c r="L784">
        <f>IF($X784="","",IF(AND(ISNUMBER(K784),K784&gt;0),V784&gt;K784,FALSE))</f>
        <v/>
      </c>
      <c r="M784" s="7">
        <f>IF($X784="","",SUMIFS('Per Line'!$V$2:$V$3001,'Per Line'!$D$2:$D$3001,$B784,'Per Line'!$AN$2:$AN$3001,1))</f>
        <v/>
      </c>
      <c r="N784">
        <f>IF($X784="","",Settings!$C$7)</f>
        <v/>
      </c>
      <c r="O784" s="7">
        <f>IF($X784="","",SUMIFS('Per Line'!$V$2:$V$3001,'Per Line'!$D$2:$D$3001,$B784,'Per Line'!$AM$2:$AM$3001,0,'Per Line'!$AN$2:$AN$3001,0))</f>
        <v/>
      </c>
      <c r="P784" s="7">
        <f>IF($X784="","",O784*N784)</f>
        <v/>
      </c>
      <c r="Q784">
        <f>IF($X784="","",Settings!$C$6)</f>
        <v/>
      </c>
      <c r="R784" s="7">
        <f>IF($X784="","",SUMIFS('Per Line'!$V$2:$V$3001,'Per Line'!$D$2:$D$3001,$B784,'Per Line'!$AM$2:$AM$3001,1,'Per Line'!$AN$2:$AN$3001,0))</f>
        <v/>
      </c>
      <c r="S784" s="7">
        <f>IF($X784="","",R784*Q784)</f>
        <v/>
      </c>
      <c r="T784" s="7">
        <f>IF($X784="","",S784+P784)</f>
        <v/>
      </c>
      <c r="U784" s="7">
        <f>IF($X784="","",V784-T784)</f>
        <v/>
      </c>
      <c r="V784" s="7">
        <f>IF($X784="","",O784+R784+M784)</f>
        <v/>
      </c>
      <c r="W784" s="7">
        <f>IF($X784="","",V784-T784-I784)</f>
        <v/>
      </c>
      <c r="X784" s="13">
        <f>IF(ROWS($X$2:$X784)&lt;=MAX('Per Line'!$AL$2:$AL$3001),MATCH(ROWS($X$2:$X784),'Per Line'!$AL$2:$AL$3001,0),"")</f>
        <v/>
      </c>
    </row>
    <row r="785">
      <c r="A785" s="12" t="n"/>
      <c r="B785">
        <f>IF($X785="","",INDEX('Per Line'!$D$2:$D$3001,$X785)&amp;"")</f>
        <v/>
      </c>
      <c r="C785" s="11">
        <f>IF($X785="","",INDEX('Per Line'!$F$2:$F$3001,$X785))</f>
        <v/>
      </c>
      <c r="D785">
        <f>IF($X785="","",INDEX('Per Line'!$G$2:$G$3001,$X785)&amp;"")</f>
        <v/>
      </c>
      <c r="E785">
        <f>IF($X785="","",INDEX('Per Line'!$I$2:$I$3001,$X785)&amp;"")</f>
        <v/>
      </c>
      <c r="F785">
        <f>IF($X785="","",INDEX('Per Line'!$J$2:$J$3001,$X785)&amp;"")</f>
        <v/>
      </c>
      <c r="G785">
        <f>IF($X785="","",INDEX('Per Line'!$K$2:$K$3001,$X785)&amp;"")</f>
        <v/>
      </c>
      <c r="H785">
        <f>IF($X785="","",INDEX('Per Line'!$M$2:$M$3001,$X785))</f>
        <v/>
      </c>
      <c r="I785" s="7">
        <f>IF($X785="","",H785*V785/100)</f>
        <v/>
      </c>
      <c r="J785">
        <f>IF($X785="","",INDEX('Per Line'!$W$2:$W$3001,$X785)&amp;"")</f>
        <v/>
      </c>
      <c r="K785">
        <f>IF($X785="","",INDEX('Per Line'!$AD$2:$AD$3001,$X785))</f>
        <v/>
      </c>
      <c r="L785">
        <f>IF($X785="","",IF(AND(ISNUMBER(K785),K785&gt;0),V785&gt;K785,FALSE))</f>
        <v/>
      </c>
      <c r="M785" s="7">
        <f>IF($X785="","",SUMIFS('Per Line'!$V$2:$V$3001,'Per Line'!$D$2:$D$3001,$B785,'Per Line'!$AN$2:$AN$3001,1))</f>
        <v/>
      </c>
      <c r="N785">
        <f>IF($X785="","",Settings!$C$7)</f>
        <v/>
      </c>
      <c r="O785" s="7">
        <f>IF($X785="","",SUMIFS('Per Line'!$V$2:$V$3001,'Per Line'!$D$2:$D$3001,$B785,'Per Line'!$AM$2:$AM$3001,0,'Per Line'!$AN$2:$AN$3001,0))</f>
        <v/>
      </c>
      <c r="P785" s="7">
        <f>IF($X785="","",O785*N785)</f>
        <v/>
      </c>
      <c r="Q785">
        <f>IF($X785="","",Settings!$C$6)</f>
        <v/>
      </c>
      <c r="R785" s="7">
        <f>IF($X785="","",SUMIFS('Per Line'!$V$2:$V$3001,'Per Line'!$D$2:$D$3001,$B785,'Per Line'!$AM$2:$AM$3001,1,'Per Line'!$AN$2:$AN$3001,0))</f>
        <v/>
      </c>
      <c r="S785" s="7">
        <f>IF($X785="","",R785*Q785)</f>
        <v/>
      </c>
      <c r="T785" s="7">
        <f>IF($X785="","",S785+P785)</f>
        <v/>
      </c>
      <c r="U785" s="7">
        <f>IF($X785="","",V785-T785)</f>
        <v/>
      </c>
      <c r="V785" s="7">
        <f>IF($X785="","",O785+R785+M785)</f>
        <v/>
      </c>
      <c r="W785" s="7">
        <f>IF($X785="","",V785-T785-I785)</f>
        <v/>
      </c>
      <c r="X785" s="13">
        <f>IF(ROWS($X$2:$X785)&lt;=MAX('Per Line'!$AL$2:$AL$3001),MATCH(ROWS($X$2:$X785),'Per Line'!$AL$2:$AL$3001,0),"")</f>
        <v/>
      </c>
    </row>
    <row r="786">
      <c r="A786" s="12" t="n"/>
      <c r="B786">
        <f>IF($X786="","",INDEX('Per Line'!$D$2:$D$3001,$X786)&amp;"")</f>
        <v/>
      </c>
      <c r="C786" s="11">
        <f>IF($X786="","",INDEX('Per Line'!$F$2:$F$3001,$X786))</f>
        <v/>
      </c>
      <c r="D786">
        <f>IF($X786="","",INDEX('Per Line'!$G$2:$G$3001,$X786)&amp;"")</f>
        <v/>
      </c>
      <c r="E786">
        <f>IF($X786="","",INDEX('Per Line'!$I$2:$I$3001,$X786)&amp;"")</f>
        <v/>
      </c>
      <c r="F786">
        <f>IF($X786="","",INDEX('Per Line'!$J$2:$J$3001,$X786)&amp;"")</f>
        <v/>
      </c>
      <c r="G786">
        <f>IF($X786="","",INDEX('Per Line'!$K$2:$K$3001,$X786)&amp;"")</f>
        <v/>
      </c>
      <c r="H786">
        <f>IF($X786="","",INDEX('Per Line'!$M$2:$M$3001,$X786))</f>
        <v/>
      </c>
      <c r="I786" s="7">
        <f>IF($X786="","",H786*V786/100)</f>
        <v/>
      </c>
      <c r="J786">
        <f>IF($X786="","",INDEX('Per Line'!$W$2:$W$3001,$X786)&amp;"")</f>
        <v/>
      </c>
      <c r="K786">
        <f>IF($X786="","",INDEX('Per Line'!$AD$2:$AD$3001,$X786))</f>
        <v/>
      </c>
      <c r="L786">
        <f>IF($X786="","",IF(AND(ISNUMBER(K786),K786&gt;0),V786&gt;K786,FALSE))</f>
        <v/>
      </c>
      <c r="M786" s="7">
        <f>IF($X786="","",SUMIFS('Per Line'!$V$2:$V$3001,'Per Line'!$D$2:$D$3001,$B786,'Per Line'!$AN$2:$AN$3001,1))</f>
        <v/>
      </c>
      <c r="N786">
        <f>IF($X786="","",Settings!$C$7)</f>
        <v/>
      </c>
      <c r="O786" s="7">
        <f>IF($X786="","",SUMIFS('Per Line'!$V$2:$V$3001,'Per Line'!$D$2:$D$3001,$B786,'Per Line'!$AM$2:$AM$3001,0,'Per Line'!$AN$2:$AN$3001,0))</f>
        <v/>
      </c>
      <c r="P786" s="7">
        <f>IF($X786="","",O786*N786)</f>
        <v/>
      </c>
      <c r="Q786">
        <f>IF($X786="","",Settings!$C$6)</f>
        <v/>
      </c>
      <c r="R786" s="7">
        <f>IF($X786="","",SUMIFS('Per Line'!$V$2:$V$3001,'Per Line'!$D$2:$D$3001,$B786,'Per Line'!$AM$2:$AM$3001,1,'Per Line'!$AN$2:$AN$3001,0))</f>
        <v/>
      </c>
      <c r="S786" s="7">
        <f>IF($X786="","",R786*Q786)</f>
        <v/>
      </c>
      <c r="T786" s="7">
        <f>IF($X786="","",S786+P786)</f>
        <v/>
      </c>
      <c r="U786" s="7">
        <f>IF($X786="","",V786-T786)</f>
        <v/>
      </c>
      <c r="V786" s="7">
        <f>IF($X786="","",O786+R786+M786)</f>
        <v/>
      </c>
      <c r="W786" s="7">
        <f>IF($X786="","",V786-T786-I786)</f>
        <v/>
      </c>
      <c r="X786" s="13">
        <f>IF(ROWS($X$2:$X786)&lt;=MAX('Per Line'!$AL$2:$AL$3001),MATCH(ROWS($X$2:$X786),'Per Line'!$AL$2:$AL$3001,0),"")</f>
        <v/>
      </c>
    </row>
    <row r="787">
      <c r="A787" s="12" t="n"/>
      <c r="B787">
        <f>IF($X787="","",INDEX('Per Line'!$D$2:$D$3001,$X787)&amp;"")</f>
        <v/>
      </c>
      <c r="C787" s="11">
        <f>IF($X787="","",INDEX('Per Line'!$F$2:$F$3001,$X787))</f>
        <v/>
      </c>
      <c r="D787">
        <f>IF($X787="","",INDEX('Per Line'!$G$2:$G$3001,$X787)&amp;"")</f>
        <v/>
      </c>
      <c r="E787">
        <f>IF($X787="","",INDEX('Per Line'!$I$2:$I$3001,$X787)&amp;"")</f>
        <v/>
      </c>
      <c r="F787">
        <f>IF($X787="","",INDEX('Per Line'!$J$2:$J$3001,$X787)&amp;"")</f>
        <v/>
      </c>
      <c r="G787">
        <f>IF($X787="","",INDEX('Per Line'!$K$2:$K$3001,$X787)&amp;"")</f>
        <v/>
      </c>
      <c r="H787">
        <f>IF($X787="","",INDEX('Per Line'!$M$2:$M$3001,$X787))</f>
        <v/>
      </c>
      <c r="I787" s="7">
        <f>IF($X787="","",H787*V787/100)</f>
        <v/>
      </c>
      <c r="J787">
        <f>IF($X787="","",INDEX('Per Line'!$W$2:$W$3001,$X787)&amp;"")</f>
        <v/>
      </c>
      <c r="K787">
        <f>IF($X787="","",INDEX('Per Line'!$AD$2:$AD$3001,$X787))</f>
        <v/>
      </c>
      <c r="L787">
        <f>IF($X787="","",IF(AND(ISNUMBER(K787),K787&gt;0),V787&gt;K787,FALSE))</f>
        <v/>
      </c>
      <c r="M787" s="7">
        <f>IF($X787="","",SUMIFS('Per Line'!$V$2:$V$3001,'Per Line'!$D$2:$D$3001,$B787,'Per Line'!$AN$2:$AN$3001,1))</f>
        <v/>
      </c>
      <c r="N787">
        <f>IF($X787="","",Settings!$C$7)</f>
        <v/>
      </c>
      <c r="O787" s="7">
        <f>IF($X787="","",SUMIFS('Per Line'!$V$2:$V$3001,'Per Line'!$D$2:$D$3001,$B787,'Per Line'!$AM$2:$AM$3001,0,'Per Line'!$AN$2:$AN$3001,0))</f>
        <v/>
      </c>
      <c r="P787" s="7">
        <f>IF($X787="","",O787*N787)</f>
        <v/>
      </c>
      <c r="Q787">
        <f>IF($X787="","",Settings!$C$6)</f>
        <v/>
      </c>
      <c r="R787" s="7">
        <f>IF($X787="","",SUMIFS('Per Line'!$V$2:$V$3001,'Per Line'!$D$2:$D$3001,$B787,'Per Line'!$AM$2:$AM$3001,1,'Per Line'!$AN$2:$AN$3001,0))</f>
        <v/>
      </c>
      <c r="S787" s="7">
        <f>IF($X787="","",R787*Q787)</f>
        <v/>
      </c>
      <c r="T787" s="7">
        <f>IF($X787="","",S787+P787)</f>
        <v/>
      </c>
      <c r="U787" s="7">
        <f>IF($X787="","",V787-T787)</f>
        <v/>
      </c>
      <c r="V787" s="7">
        <f>IF($X787="","",O787+R787+M787)</f>
        <v/>
      </c>
      <c r="W787" s="7">
        <f>IF($X787="","",V787-T787-I787)</f>
        <v/>
      </c>
      <c r="X787" s="13">
        <f>IF(ROWS($X$2:$X787)&lt;=MAX('Per Line'!$AL$2:$AL$3001),MATCH(ROWS($X$2:$X787),'Per Line'!$AL$2:$AL$3001,0),"")</f>
        <v/>
      </c>
    </row>
    <row r="788">
      <c r="A788" s="12" t="n"/>
      <c r="B788">
        <f>IF($X788="","",INDEX('Per Line'!$D$2:$D$3001,$X788)&amp;"")</f>
        <v/>
      </c>
      <c r="C788" s="11">
        <f>IF($X788="","",INDEX('Per Line'!$F$2:$F$3001,$X788))</f>
        <v/>
      </c>
      <c r="D788">
        <f>IF($X788="","",INDEX('Per Line'!$G$2:$G$3001,$X788)&amp;"")</f>
        <v/>
      </c>
      <c r="E788">
        <f>IF($X788="","",INDEX('Per Line'!$I$2:$I$3001,$X788)&amp;"")</f>
        <v/>
      </c>
      <c r="F788">
        <f>IF($X788="","",INDEX('Per Line'!$J$2:$J$3001,$X788)&amp;"")</f>
        <v/>
      </c>
      <c r="G788">
        <f>IF($X788="","",INDEX('Per Line'!$K$2:$K$3001,$X788)&amp;"")</f>
        <v/>
      </c>
      <c r="H788">
        <f>IF($X788="","",INDEX('Per Line'!$M$2:$M$3001,$X788))</f>
        <v/>
      </c>
      <c r="I788" s="7">
        <f>IF($X788="","",H788*V788/100)</f>
        <v/>
      </c>
      <c r="J788">
        <f>IF($X788="","",INDEX('Per Line'!$W$2:$W$3001,$X788)&amp;"")</f>
        <v/>
      </c>
      <c r="K788">
        <f>IF($X788="","",INDEX('Per Line'!$AD$2:$AD$3001,$X788))</f>
        <v/>
      </c>
      <c r="L788">
        <f>IF($X788="","",IF(AND(ISNUMBER(K788),K788&gt;0),V788&gt;K788,FALSE))</f>
        <v/>
      </c>
      <c r="M788" s="7">
        <f>IF($X788="","",SUMIFS('Per Line'!$V$2:$V$3001,'Per Line'!$D$2:$D$3001,$B788,'Per Line'!$AN$2:$AN$3001,1))</f>
        <v/>
      </c>
      <c r="N788">
        <f>IF($X788="","",Settings!$C$7)</f>
        <v/>
      </c>
      <c r="O788" s="7">
        <f>IF($X788="","",SUMIFS('Per Line'!$V$2:$V$3001,'Per Line'!$D$2:$D$3001,$B788,'Per Line'!$AM$2:$AM$3001,0,'Per Line'!$AN$2:$AN$3001,0))</f>
        <v/>
      </c>
      <c r="P788" s="7">
        <f>IF($X788="","",O788*N788)</f>
        <v/>
      </c>
      <c r="Q788">
        <f>IF($X788="","",Settings!$C$6)</f>
        <v/>
      </c>
      <c r="R788" s="7">
        <f>IF($X788="","",SUMIFS('Per Line'!$V$2:$V$3001,'Per Line'!$D$2:$D$3001,$B788,'Per Line'!$AM$2:$AM$3001,1,'Per Line'!$AN$2:$AN$3001,0))</f>
        <v/>
      </c>
      <c r="S788" s="7">
        <f>IF($X788="","",R788*Q788)</f>
        <v/>
      </c>
      <c r="T788" s="7">
        <f>IF($X788="","",S788+P788)</f>
        <v/>
      </c>
      <c r="U788" s="7">
        <f>IF($X788="","",V788-T788)</f>
        <v/>
      </c>
      <c r="V788" s="7">
        <f>IF($X788="","",O788+R788+M788)</f>
        <v/>
      </c>
      <c r="W788" s="7">
        <f>IF($X788="","",V788-T788-I788)</f>
        <v/>
      </c>
      <c r="X788" s="13">
        <f>IF(ROWS($X$2:$X788)&lt;=MAX('Per Line'!$AL$2:$AL$3001),MATCH(ROWS($X$2:$X788),'Per Line'!$AL$2:$AL$3001,0),"")</f>
        <v/>
      </c>
    </row>
    <row r="789">
      <c r="A789" s="12" t="n"/>
      <c r="B789">
        <f>IF($X789="","",INDEX('Per Line'!$D$2:$D$3001,$X789)&amp;"")</f>
        <v/>
      </c>
      <c r="C789" s="11">
        <f>IF($X789="","",INDEX('Per Line'!$F$2:$F$3001,$X789))</f>
        <v/>
      </c>
      <c r="D789">
        <f>IF($X789="","",INDEX('Per Line'!$G$2:$G$3001,$X789)&amp;"")</f>
        <v/>
      </c>
      <c r="E789">
        <f>IF($X789="","",INDEX('Per Line'!$I$2:$I$3001,$X789)&amp;"")</f>
        <v/>
      </c>
      <c r="F789">
        <f>IF($X789="","",INDEX('Per Line'!$J$2:$J$3001,$X789)&amp;"")</f>
        <v/>
      </c>
      <c r="G789">
        <f>IF($X789="","",INDEX('Per Line'!$K$2:$K$3001,$X789)&amp;"")</f>
        <v/>
      </c>
      <c r="H789">
        <f>IF($X789="","",INDEX('Per Line'!$M$2:$M$3001,$X789))</f>
        <v/>
      </c>
      <c r="I789" s="7">
        <f>IF($X789="","",H789*V789/100)</f>
        <v/>
      </c>
      <c r="J789">
        <f>IF($X789="","",INDEX('Per Line'!$W$2:$W$3001,$X789)&amp;"")</f>
        <v/>
      </c>
      <c r="K789">
        <f>IF($X789="","",INDEX('Per Line'!$AD$2:$AD$3001,$X789))</f>
        <v/>
      </c>
      <c r="L789">
        <f>IF($X789="","",IF(AND(ISNUMBER(K789),K789&gt;0),V789&gt;K789,FALSE))</f>
        <v/>
      </c>
      <c r="M789" s="7">
        <f>IF($X789="","",SUMIFS('Per Line'!$V$2:$V$3001,'Per Line'!$D$2:$D$3001,$B789,'Per Line'!$AN$2:$AN$3001,1))</f>
        <v/>
      </c>
      <c r="N789">
        <f>IF($X789="","",Settings!$C$7)</f>
        <v/>
      </c>
      <c r="O789" s="7">
        <f>IF($X789="","",SUMIFS('Per Line'!$V$2:$V$3001,'Per Line'!$D$2:$D$3001,$B789,'Per Line'!$AM$2:$AM$3001,0,'Per Line'!$AN$2:$AN$3001,0))</f>
        <v/>
      </c>
      <c r="P789" s="7">
        <f>IF($X789="","",O789*N789)</f>
        <v/>
      </c>
      <c r="Q789">
        <f>IF($X789="","",Settings!$C$6)</f>
        <v/>
      </c>
      <c r="R789" s="7">
        <f>IF($X789="","",SUMIFS('Per Line'!$V$2:$V$3001,'Per Line'!$D$2:$D$3001,$B789,'Per Line'!$AM$2:$AM$3001,1,'Per Line'!$AN$2:$AN$3001,0))</f>
        <v/>
      </c>
      <c r="S789" s="7">
        <f>IF($X789="","",R789*Q789)</f>
        <v/>
      </c>
      <c r="T789" s="7">
        <f>IF($X789="","",S789+P789)</f>
        <v/>
      </c>
      <c r="U789" s="7">
        <f>IF($X789="","",V789-T789)</f>
        <v/>
      </c>
      <c r="V789" s="7">
        <f>IF($X789="","",O789+R789+M789)</f>
        <v/>
      </c>
      <c r="W789" s="7">
        <f>IF($X789="","",V789-T789-I789)</f>
        <v/>
      </c>
      <c r="X789" s="13">
        <f>IF(ROWS($X$2:$X789)&lt;=MAX('Per Line'!$AL$2:$AL$3001),MATCH(ROWS($X$2:$X789),'Per Line'!$AL$2:$AL$3001,0),"")</f>
        <v/>
      </c>
    </row>
    <row r="790">
      <c r="A790" s="12" t="n"/>
      <c r="B790">
        <f>IF($X790="","",INDEX('Per Line'!$D$2:$D$3001,$X790)&amp;"")</f>
        <v/>
      </c>
      <c r="C790" s="11">
        <f>IF($X790="","",INDEX('Per Line'!$F$2:$F$3001,$X790))</f>
        <v/>
      </c>
      <c r="D790">
        <f>IF($X790="","",INDEX('Per Line'!$G$2:$G$3001,$X790)&amp;"")</f>
        <v/>
      </c>
      <c r="E790">
        <f>IF($X790="","",INDEX('Per Line'!$I$2:$I$3001,$X790)&amp;"")</f>
        <v/>
      </c>
      <c r="F790">
        <f>IF($X790="","",INDEX('Per Line'!$J$2:$J$3001,$X790)&amp;"")</f>
        <v/>
      </c>
      <c r="G790">
        <f>IF($X790="","",INDEX('Per Line'!$K$2:$K$3001,$X790)&amp;"")</f>
        <v/>
      </c>
      <c r="H790">
        <f>IF($X790="","",INDEX('Per Line'!$M$2:$M$3001,$X790))</f>
        <v/>
      </c>
      <c r="I790" s="7">
        <f>IF($X790="","",H790*V790/100)</f>
        <v/>
      </c>
      <c r="J790">
        <f>IF($X790="","",INDEX('Per Line'!$W$2:$W$3001,$X790)&amp;"")</f>
        <v/>
      </c>
      <c r="K790">
        <f>IF($X790="","",INDEX('Per Line'!$AD$2:$AD$3001,$X790))</f>
        <v/>
      </c>
      <c r="L790">
        <f>IF($X790="","",IF(AND(ISNUMBER(K790),K790&gt;0),V790&gt;K790,FALSE))</f>
        <v/>
      </c>
      <c r="M790" s="7">
        <f>IF($X790="","",SUMIFS('Per Line'!$V$2:$V$3001,'Per Line'!$D$2:$D$3001,$B790,'Per Line'!$AN$2:$AN$3001,1))</f>
        <v/>
      </c>
      <c r="N790">
        <f>IF($X790="","",Settings!$C$7)</f>
        <v/>
      </c>
      <c r="O790" s="7">
        <f>IF($X790="","",SUMIFS('Per Line'!$V$2:$V$3001,'Per Line'!$D$2:$D$3001,$B790,'Per Line'!$AM$2:$AM$3001,0,'Per Line'!$AN$2:$AN$3001,0))</f>
        <v/>
      </c>
      <c r="P790" s="7">
        <f>IF($X790="","",O790*N790)</f>
        <v/>
      </c>
      <c r="Q790">
        <f>IF($X790="","",Settings!$C$6)</f>
        <v/>
      </c>
      <c r="R790" s="7">
        <f>IF($X790="","",SUMIFS('Per Line'!$V$2:$V$3001,'Per Line'!$D$2:$D$3001,$B790,'Per Line'!$AM$2:$AM$3001,1,'Per Line'!$AN$2:$AN$3001,0))</f>
        <v/>
      </c>
      <c r="S790" s="7">
        <f>IF($X790="","",R790*Q790)</f>
        <v/>
      </c>
      <c r="T790" s="7">
        <f>IF($X790="","",S790+P790)</f>
        <v/>
      </c>
      <c r="U790" s="7">
        <f>IF($X790="","",V790-T790)</f>
        <v/>
      </c>
      <c r="V790" s="7">
        <f>IF($X790="","",O790+R790+M790)</f>
        <v/>
      </c>
      <c r="W790" s="7">
        <f>IF($X790="","",V790-T790-I790)</f>
        <v/>
      </c>
      <c r="X790" s="13">
        <f>IF(ROWS($X$2:$X790)&lt;=MAX('Per Line'!$AL$2:$AL$3001),MATCH(ROWS($X$2:$X790),'Per Line'!$AL$2:$AL$3001,0),"")</f>
        <v/>
      </c>
    </row>
    <row r="791">
      <c r="A791" s="12" t="n"/>
      <c r="B791">
        <f>IF($X791="","",INDEX('Per Line'!$D$2:$D$3001,$X791)&amp;"")</f>
        <v/>
      </c>
      <c r="C791" s="11">
        <f>IF($X791="","",INDEX('Per Line'!$F$2:$F$3001,$X791))</f>
        <v/>
      </c>
      <c r="D791">
        <f>IF($X791="","",INDEX('Per Line'!$G$2:$G$3001,$X791)&amp;"")</f>
        <v/>
      </c>
      <c r="E791">
        <f>IF($X791="","",INDEX('Per Line'!$I$2:$I$3001,$X791)&amp;"")</f>
        <v/>
      </c>
      <c r="F791">
        <f>IF($X791="","",INDEX('Per Line'!$J$2:$J$3001,$X791)&amp;"")</f>
        <v/>
      </c>
      <c r="G791">
        <f>IF($X791="","",INDEX('Per Line'!$K$2:$K$3001,$X791)&amp;"")</f>
        <v/>
      </c>
      <c r="H791">
        <f>IF($X791="","",INDEX('Per Line'!$M$2:$M$3001,$X791))</f>
        <v/>
      </c>
      <c r="I791" s="7">
        <f>IF($X791="","",H791*V791/100)</f>
        <v/>
      </c>
      <c r="J791">
        <f>IF($X791="","",INDEX('Per Line'!$W$2:$W$3001,$X791)&amp;"")</f>
        <v/>
      </c>
      <c r="K791">
        <f>IF($X791="","",INDEX('Per Line'!$AD$2:$AD$3001,$X791))</f>
        <v/>
      </c>
      <c r="L791">
        <f>IF($X791="","",IF(AND(ISNUMBER(K791),K791&gt;0),V791&gt;K791,FALSE))</f>
        <v/>
      </c>
      <c r="M791" s="7">
        <f>IF($X791="","",SUMIFS('Per Line'!$V$2:$V$3001,'Per Line'!$D$2:$D$3001,$B791,'Per Line'!$AN$2:$AN$3001,1))</f>
        <v/>
      </c>
      <c r="N791">
        <f>IF($X791="","",Settings!$C$7)</f>
        <v/>
      </c>
      <c r="O791" s="7">
        <f>IF($X791="","",SUMIFS('Per Line'!$V$2:$V$3001,'Per Line'!$D$2:$D$3001,$B791,'Per Line'!$AM$2:$AM$3001,0,'Per Line'!$AN$2:$AN$3001,0))</f>
        <v/>
      </c>
      <c r="P791" s="7">
        <f>IF($X791="","",O791*N791)</f>
        <v/>
      </c>
      <c r="Q791">
        <f>IF($X791="","",Settings!$C$6)</f>
        <v/>
      </c>
      <c r="R791" s="7">
        <f>IF($X791="","",SUMIFS('Per Line'!$V$2:$V$3001,'Per Line'!$D$2:$D$3001,$B791,'Per Line'!$AM$2:$AM$3001,1,'Per Line'!$AN$2:$AN$3001,0))</f>
        <v/>
      </c>
      <c r="S791" s="7">
        <f>IF($X791="","",R791*Q791)</f>
        <v/>
      </c>
      <c r="T791" s="7">
        <f>IF($X791="","",S791+P791)</f>
        <v/>
      </c>
      <c r="U791" s="7">
        <f>IF($X791="","",V791-T791)</f>
        <v/>
      </c>
      <c r="V791" s="7">
        <f>IF($X791="","",O791+R791+M791)</f>
        <v/>
      </c>
      <c r="W791" s="7">
        <f>IF($X791="","",V791-T791-I791)</f>
        <v/>
      </c>
      <c r="X791" s="13">
        <f>IF(ROWS($X$2:$X791)&lt;=MAX('Per Line'!$AL$2:$AL$3001),MATCH(ROWS($X$2:$X791),'Per Line'!$AL$2:$AL$3001,0),"")</f>
        <v/>
      </c>
    </row>
    <row r="792">
      <c r="A792" s="12" t="n"/>
      <c r="B792">
        <f>IF($X792="","",INDEX('Per Line'!$D$2:$D$3001,$X792)&amp;"")</f>
        <v/>
      </c>
      <c r="C792" s="11">
        <f>IF($X792="","",INDEX('Per Line'!$F$2:$F$3001,$X792))</f>
        <v/>
      </c>
      <c r="D792">
        <f>IF($X792="","",INDEX('Per Line'!$G$2:$G$3001,$X792)&amp;"")</f>
        <v/>
      </c>
      <c r="E792">
        <f>IF($X792="","",INDEX('Per Line'!$I$2:$I$3001,$X792)&amp;"")</f>
        <v/>
      </c>
      <c r="F792">
        <f>IF($X792="","",INDEX('Per Line'!$J$2:$J$3001,$X792)&amp;"")</f>
        <v/>
      </c>
      <c r="G792">
        <f>IF($X792="","",INDEX('Per Line'!$K$2:$K$3001,$X792)&amp;"")</f>
        <v/>
      </c>
      <c r="H792">
        <f>IF($X792="","",INDEX('Per Line'!$M$2:$M$3001,$X792))</f>
        <v/>
      </c>
      <c r="I792" s="7">
        <f>IF($X792="","",H792*V792/100)</f>
        <v/>
      </c>
      <c r="J792">
        <f>IF($X792="","",INDEX('Per Line'!$W$2:$W$3001,$X792)&amp;"")</f>
        <v/>
      </c>
      <c r="K792">
        <f>IF($X792="","",INDEX('Per Line'!$AD$2:$AD$3001,$X792))</f>
        <v/>
      </c>
      <c r="L792">
        <f>IF($X792="","",IF(AND(ISNUMBER(K792),K792&gt;0),V792&gt;K792,FALSE))</f>
        <v/>
      </c>
      <c r="M792" s="7">
        <f>IF($X792="","",SUMIFS('Per Line'!$V$2:$V$3001,'Per Line'!$D$2:$D$3001,$B792,'Per Line'!$AN$2:$AN$3001,1))</f>
        <v/>
      </c>
      <c r="N792">
        <f>IF($X792="","",Settings!$C$7)</f>
        <v/>
      </c>
      <c r="O792" s="7">
        <f>IF($X792="","",SUMIFS('Per Line'!$V$2:$V$3001,'Per Line'!$D$2:$D$3001,$B792,'Per Line'!$AM$2:$AM$3001,0,'Per Line'!$AN$2:$AN$3001,0))</f>
        <v/>
      </c>
      <c r="P792" s="7">
        <f>IF($X792="","",O792*N792)</f>
        <v/>
      </c>
      <c r="Q792">
        <f>IF($X792="","",Settings!$C$6)</f>
        <v/>
      </c>
      <c r="R792" s="7">
        <f>IF($X792="","",SUMIFS('Per Line'!$V$2:$V$3001,'Per Line'!$D$2:$D$3001,$B792,'Per Line'!$AM$2:$AM$3001,1,'Per Line'!$AN$2:$AN$3001,0))</f>
        <v/>
      </c>
      <c r="S792" s="7">
        <f>IF($X792="","",R792*Q792)</f>
        <v/>
      </c>
      <c r="T792" s="7">
        <f>IF($X792="","",S792+P792)</f>
        <v/>
      </c>
      <c r="U792" s="7">
        <f>IF($X792="","",V792-T792)</f>
        <v/>
      </c>
      <c r="V792" s="7">
        <f>IF($X792="","",O792+R792+M792)</f>
        <v/>
      </c>
      <c r="W792" s="7">
        <f>IF($X792="","",V792-T792-I792)</f>
        <v/>
      </c>
      <c r="X792" s="13">
        <f>IF(ROWS($X$2:$X792)&lt;=MAX('Per Line'!$AL$2:$AL$3001),MATCH(ROWS($X$2:$X792),'Per Line'!$AL$2:$AL$3001,0),"")</f>
        <v/>
      </c>
    </row>
    <row r="793">
      <c r="A793" s="12" t="n"/>
      <c r="B793">
        <f>IF($X793="","",INDEX('Per Line'!$D$2:$D$3001,$X793)&amp;"")</f>
        <v/>
      </c>
      <c r="C793" s="11">
        <f>IF($X793="","",INDEX('Per Line'!$F$2:$F$3001,$X793))</f>
        <v/>
      </c>
      <c r="D793">
        <f>IF($X793="","",INDEX('Per Line'!$G$2:$G$3001,$X793)&amp;"")</f>
        <v/>
      </c>
      <c r="E793">
        <f>IF($X793="","",INDEX('Per Line'!$I$2:$I$3001,$X793)&amp;"")</f>
        <v/>
      </c>
      <c r="F793">
        <f>IF($X793="","",INDEX('Per Line'!$J$2:$J$3001,$X793)&amp;"")</f>
        <v/>
      </c>
      <c r="G793">
        <f>IF($X793="","",INDEX('Per Line'!$K$2:$K$3001,$X793)&amp;"")</f>
        <v/>
      </c>
      <c r="H793">
        <f>IF($X793="","",INDEX('Per Line'!$M$2:$M$3001,$X793))</f>
        <v/>
      </c>
      <c r="I793" s="7">
        <f>IF($X793="","",H793*V793/100)</f>
        <v/>
      </c>
      <c r="J793">
        <f>IF($X793="","",INDEX('Per Line'!$W$2:$W$3001,$X793)&amp;"")</f>
        <v/>
      </c>
      <c r="K793">
        <f>IF($X793="","",INDEX('Per Line'!$AD$2:$AD$3001,$X793))</f>
        <v/>
      </c>
      <c r="L793">
        <f>IF($X793="","",IF(AND(ISNUMBER(K793),K793&gt;0),V793&gt;K793,FALSE))</f>
        <v/>
      </c>
      <c r="M793" s="7">
        <f>IF($X793="","",SUMIFS('Per Line'!$V$2:$V$3001,'Per Line'!$D$2:$D$3001,$B793,'Per Line'!$AN$2:$AN$3001,1))</f>
        <v/>
      </c>
      <c r="N793">
        <f>IF($X793="","",Settings!$C$7)</f>
        <v/>
      </c>
      <c r="O793" s="7">
        <f>IF($X793="","",SUMIFS('Per Line'!$V$2:$V$3001,'Per Line'!$D$2:$D$3001,$B793,'Per Line'!$AM$2:$AM$3001,0,'Per Line'!$AN$2:$AN$3001,0))</f>
        <v/>
      </c>
      <c r="P793" s="7">
        <f>IF($X793="","",O793*N793)</f>
        <v/>
      </c>
      <c r="Q793">
        <f>IF($X793="","",Settings!$C$6)</f>
        <v/>
      </c>
      <c r="R793" s="7">
        <f>IF($X793="","",SUMIFS('Per Line'!$V$2:$V$3001,'Per Line'!$D$2:$D$3001,$B793,'Per Line'!$AM$2:$AM$3001,1,'Per Line'!$AN$2:$AN$3001,0))</f>
        <v/>
      </c>
      <c r="S793" s="7">
        <f>IF($X793="","",R793*Q793)</f>
        <v/>
      </c>
      <c r="T793" s="7">
        <f>IF($X793="","",S793+P793)</f>
        <v/>
      </c>
      <c r="U793" s="7">
        <f>IF($X793="","",V793-T793)</f>
        <v/>
      </c>
      <c r="V793" s="7">
        <f>IF($X793="","",O793+R793+M793)</f>
        <v/>
      </c>
      <c r="W793" s="7">
        <f>IF($X793="","",V793-T793-I793)</f>
        <v/>
      </c>
      <c r="X793" s="13">
        <f>IF(ROWS($X$2:$X793)&lt;=MAX('Per Line'!$AL$2:$AL$3001),MATCH(ROWS($X$2:$X793),'Per Line'!$AL$2:$AL$3001,0),"")</f>
        <v/>
      </c>
    </row>
    <row r="794">
      <c r="A794" s="12" t="n"/>
      <c r="B794">
        <f>IF($X794="","",INDEX('Per Line'!$D$2:$D$3001,$X794)&amp;"")</f>
        <v/>
      </c>
      <c r="C794" s="11">
        <f>IF($X794="","",INDEX('Per Line'!$F$2:$F$3001,$X794))</f>
        <v/>
      </c>
      <c r="D794">
        <f>IF($X794="","",INDEX('Per Line'!$G$2:$G$3001,$X794)&amp;"")</f>
        <v/>
      </c>
      <c r="E794">
        <f>IF($X794="","",INDEX('Per Line'!$I$2:$I$3001,$X794)&amp;"")</f>
        <v/>
      </c>
      <c r="F794">
        <f>IF($X794="","",INDEX('Per Line'!$J$2:$J$3001,$X794)&amp;"")</f>
        <v/>
      </c>
      <c r="G794">
        <f>IF($X794="","",INDEX('Per Line'!$K$2:$K$3001,$X794)&amp;"")</f>
        <v/>
      </c>
      <c r="H794">
        <f>IF($X794="","",INDEX('Per Line'!$M$2:$M$3001,$X794))</f>
        <v/>
      </c>
      <c r="I794" s="7">
        <f>IF($X794="","",H794*V794/100)</f>
        <v/>
      </c>
      <c r="J794">
        <f>IF($X794="","",INDEX('Per Line'!$W$2:$W$3001,$X794)&amp;"")</f>
        <v/>
      </c>
      <c r="K794">
        <f>IF($X794="","",INDEX('Per Line'!$AD$2:$AD$3001,$X794))</f>
        <v/>
      </c>
      <c r="L794">
        <f>IF($X794="","",IF(AND(ISNUMBER(K794),K794&gt;0),V794&gt;K794,FALSE))</f>
        <v/>
      </c>
      <c r="M794" s="7">
        <f>IF($X794="","",SUMIFS('Per Line'!$V$2:$V$3001,'Per Line'!$D$2:$D$3001,$B794,'Per Line'!$AN$2:$AN$3001,1))</f>
        <v/>
      </c>
      <c r="N794">
        <f>IF($X794="","",Settings!$C$7)</f>
        <v/>
      </c>
      <c r="O794" s="7">
        <f>IF($X794="","",SUMIFS('Per Line'!$V$2:$V$3001,'Per Line'!$D$2:$D$3001,$B794,'Per Line'!$AM$2:$AM$3001,0,'Per Line'!$AN$2:$AN$3001,0))</f>
        <v/>
      </c>
      <c r="P794" s="7">
        <f>IF($X794="","",O794*N794)</f>
        <v/>
      </c>
      <c r="Q794">
        <f>IF($X794="","",Settings!$C$6)</f>
        <v/>
      </c>
      <c r="R794" s="7">
        <f>IF($X794="","",SUMIFS('Per Line'!$V$2:$V$3001,'Per Line'!$D$2:$D$3001,$B794,'Per Line'!$AM$2:$AM$3001,1,'Per Line'!$AN$2:$AN$3001,0))</f>
        <v/>
      </c>
      <c r="S794" s="7">
        <f>IF($X794="","",R794*Q794)</f>
        <v/>
      </c>
      <c r="T794" s="7">
        <f>IF($X794="","",S794+P794)</f>
        <v/>
      </c>
      <c r="U794" s="7">
        <f>IF($X794="","",V794-T794)</f>
        <v/>
      </c>
      <c r="V794" s="7">
        <f>IF($X794="","",O794+R794+M794)</f>
        <v/>
      </c>
      <c r="W794" s="7">
        <f>IF($X794="","",V794-T794-I794)</f>
        <v/>
      </c>
      <c r="X794" s="13">
        <f>IF(ROWS($X$2:$X794)&lt;=MAX('Per Line'!$AL$2:$AL$3001),MATCH(ROWS($X$2:$X794),'Per Line'!$AL$2:$AL$3001,0),"")</f>
        <v/>
      </c>
    </row>
    <row r="795">
      <c r="A795" s="12" t="n"/>
      <c r="B795">
        <f>IF($X795="","",INDEX('Per Line'!$D$2:$D$3001,$X795)&amp;"")</f>
        <v/>
      </c>
      <c r="C795" s="11">
        <f>IF($X795="","",INDEX('Per Line'!$F$2:$F$3001,$X795))</f>
        <v/>
      </c>
      <c r="D795">
        <f>IF($X795="","",INDEX('Per Line'!$G$2:$G$3001,$X795)&amp;"")</f>
        <v/>
      </c>
      <c r="E795">
        <f>IF($X795="","",INDEX('Per Line'!$I$2:$I$3001,$X795)&amp;"")</f>
        <v/>
      </c>
      <c r="F795">
        <f>IF($X795="","",INDEX('Per Line'!$J$2:$J$3001,$X795)&amp;"")</f>
        <v/>
      </c>
      <c r="G795">
        <f>IF($X795="","",INDEX('Per Line'!$K$2:$K$3001,$X795)&amp;"")</f>
        <v/>
      </c>
      <c r="H795">
        <f>IF($X795="","",INDEX('Per Line'!$M$2:$M$3001,$X795))</f>
        <v/>
      </c>
      <c r="I795" s="7">
        <f>IF($X795="","",H795*V795/100)</f>
        <v/>
      </c>
      <c r="J795">
        <f>IF($X795="","",INDEX('Per Line'!$W$2:$W$3001,$X795)&amp;"")</f>
        <v/>
      </c>
      <c r="K795">
        <f>IF($X795="","",INDEX('Per Line'!$AD$2:$AD$3001,$X795))</f>
        <v/>
      </c>
      <c r="L795">
        <f>IF($X795="","",IF(AND(ISNUMBER(K795),K795&gt;0),V795&gt;K795,FALSE))</f>
        <v/>
      </c>
      <c r="M795" s="7">
        <f>IF($X795="","",SUMIFS('Per Line'!$V$2:$V$3001,'Per Line'!$D$2:$D$3001,$B795,'Per Line'!$AN$2:$AN$3001,1))</f>
        <v/>
      </c>
      <c r="N795">
        <f>IF($X795="","",Settings!$C$7)</f>
        <v/>
      </c>
      <c r="O795" s="7">
        <f>IF($X795="","",SUMIFS('Per Line'!$V$2:$V$3001,'Per Line'!$D$2:$D$3001,$B795,'Per Line'!$AM$2:$AM$3001,0,'Per Line'!$AN$2:$AN$3001,0))</f>
        <v/>
      </c>
      <c r="P795" s="7">
        <f>IF($X795="","",O795*N795)</f>
        <v/>
      </c>
      <c r="Q795">
        <f>IF($X795="","",Settings!$C$6)</f>
        <v/>
      </c>
      <c r="R795" s="7">
        <f>IF($X795="","",SUMIFS('Per Line'!$V$2:$V$3001,'Per Line'!$D$2:$D$3001,$B795,'Per Line'!$AM$2:$AM$3001,1,'Per Line'!$AN$2:$AN$3001,0))</f>
        <v/>
      </c>
      <c r="S795" s="7">
        <f>IF($X795="","",R795*Q795)</f>
        <v/>
      </c>
      <c r="T795" s="7">
        <f>IF($X795="","",S795+P795)</f>
        <v/>
      </c>
      <c r="U795" s="7">
        <f>IF($X795="","",V795-T795)</f>
        <v/>
      </c>
      <c r="V795" s="7">
        <f>IF($X795="","",O795+R795+M795)</f>
        <v/>
      </c>
      <c r="W795" s="7">
        <f>IF($X795="","",V795-T795-I795)</f>
        <v/>
      </c>
      <c r="X795" s="13">
        <f>IF(ROWS($X$2:$X795)&lt;=MAX('Per Line'!$AL$2:$AL$3001),MATCH(ROWS($X$2:$X795),'Per Line'!$AL$2:$AL$3001,0),"")</f>
        <v/>
      </c>
    </row>
    <row r="796">
      <c r="A796" s="12" t="n"/>
      <c r="B796">
        <f>IF($X796="","",INDEX('Per Line'!$D$2:$D$3001,$X796)&amp;"")</f>
        <v/>
      </c>
      <c r="C796" s="11">
        <f>IF($X796="","",INDEX('Per Line'!$F$2:$F$3001,$X796))</f>
        <v/>
      </c>
      <c r="D796">
        <f>IF($X796="","",INDEX('Per Line'!$G$2:$G$3001,$X796)&amp;"")</f>
        <v/>
      </c>
      <c r="E796">
        <f>IF($X796="","",INDEX('Per Line'!$I$2:$I$3001,$X796)&amp;"")</f>
        <v/>
      </c>
      <c r="F796">
        <f>IF($X796="","",INDEX('Per Line'!$J$2:$J$3001,$X796)&amp;"")</f>
        <v/>
      </c>
      <c r="G796">
        <f>IF($X796="","",INDEX('Per Line'!$K$2:$K$3001,$X796)&amp;"")</f>
        <v/>
      </c>
      <c r="H796">
        <f>IF($X796="","",INDEX('Per Line'!$M$2:$M$3001,$X796))</f>
        <v/>
      </c>
      <c r="I796" s="7">
        <f>IF($X796="","",H796*V796/100)</f>
        <v/>
      </c>
      <c r="J796">
        <f>IF($X796="","",INDEX('Per Line'!$W$2:$W$3001,$X796)&amp;"")</f>
        <v/>
      </c>
      <c r="K796">
        <f>IF($X796="","",INDEX('Per Line'!$AD$2:$AD$3001,$X796))</f>
        <v/>
      </c>
      <c r="L796">
        <f>IF($X796="","",IF(AND(ISNUMBER(K796),K796&gt;0),V796&gt;K796,FALSE))</f>
        <v/>
      </c>
      <c r="M796" s="7">
        <f>IF($X796="","",SUMIFS('Per Line'!$V$2:$V$3001,'Per Line'!$D$2:$D$3001,$B796,'Per Line'!$AN$2:$AN$3001,1))</f>
        <v/>
      </c>
      <c r="N796">
        <f>IF($X796="","",Settings!$C$7)</f>
        <v/>
      </c>
      <c r="O796" s="7">
        <f>IF($X796="","",SUMIFS('Per Line'!$V$2:$V$3001,'Per Line'!$D$2:$D$3001,$B796,'Per Line'!$AM$2:$AM$3001,0,'Per Line'!$AN$2:$AN$3001,0))</f>
        <v/>
      </c>
      <c r="P796" s="7">
        <f>IF($X796="","",O796*N796)</f>
        <v/>
      </c>
      <c r="Q796">
        <f>IF($X796="","",Settings!$C$6)</f>
        <v/>
      </c>
      <c r="R796" s="7">
        <f>IF($X796="","",SUMIFS('Per Line'!$V$2:$V$3001,'Per Line'!$D$2:$D$3001,$B796,'Per Line'!$AM$2:$AM$3001,1,'Per Line'!$AN$2:$AN$3001,0))</f>
        <v/>
      </c>
      <c r="S796" s="7">
        <f>IF($X796="","",R796*Q796)</f>
        <v/>
      </c>
      <c r="T796" s="7">
        <f>IF($X796="","",S796+P796)</f>
        <v/>
      </c>
      <c r="U796" s="7">
        <f>IF($X796="","",V796-T796)</f>
        <v/>
      </c>
      <c r="V796" s="7">
        <f>IF($X796="","",O796+R796+M796)</f>
        <v/>
      </c>
      <c r="W796" s="7">
        <f>IF($X796="","",V796-T796-I796)</f>
        <v/>
      </c>
      <c r="X796" s="13">
        <f>IF(ROWS($X$2:$X796)&lt;=MAX('Per Line'!$AL$2:$AL$3001),MATCH(ROWS($X$2:$X796),'Per Line'!$AL$2:$AL$3001,0),"")</f>
        <v/>
      </c>
    </row>
    <row r="797">
      <c r="A797" s="12" t="n"/>
      <c r="B797">
        <f>IF($X797="","",INDEX('Per Line'!$D$2:$D$3001,$X797)&amp;"")</f>
        <v/>
      </c>
      <c r="C797" s="11">
        <f>IF($X797="","",INDEX('Per Line'!$F$2:$F$3001,$X797))</f>
        <v/>
      </c>
      <c r="D797">
        <f>IF($X797="","",INDEX('Per Line'!$G$2:$G$3001,$X797)&amp;"")</f>
        <v/>
      </c>
      <c r="E797">
        <f>IF($X797="","",INDEX('Per Line'!$I$2:$I$3001,$X797)&amp;"")</f>
        <v/>
      </c>
      <c r="F797">
        <f>IF($X797="","",INDEX('Per Line'!$J$2:$J$3001,$X797)&amp;"")</f>
        <v/>
      </c>
      <c r="G797">
        <f>IF($X797="","",INDEX('Per Line'!$K$2:$K$3001,$X797)&amp;"")</f>
        <v/>
      </c>
      <c r="H797">
        <f>IF($X797="","",INDEX('Per Line'!$M$2:$M$3001,$X797))</f>
        <v/>
      </c>
      <c r="I797" s="7">
        <f>IF($X797="","",H797*V797/100)</f>
        <v/>
      </c>
      <c r="J797">
        <f>IF($X797="","",INDEX('Per Line'!$W$2:$W$3001,$X797)&amp;"")</f>
        <v/>
      </c>
      <c r="K797">
        <f>IF($X797="","",INDEX('Per Line'!$AD$2:$AD$3001,$X797))</f>
        <v/>
      </c>
      <c r="L797">
        <f>IF($X797="","",IF(AND(ISNUMBER(K797),K797&gt;0),V797&gt;K797,FALSE))</f>
        <v/>
      </c>
      <c r="M797" s="7">
        <f>IF($X797="","",SUMIFS('Per Line'!$V$2:$V$3001,'Per Line'!$D$2:$D$3001,$B797,'Per Line'!$AN$2:$AN$3001,1))</f>
        <v/>
      </c>
      <c r="N797">
        <f>IF($X797="","",Settings!$C$7)</f>
        <v/>
      </c>
      <c r="O797" s="7">
        <f>IF($X797="","",SUMIFS('Per Line'!$V$2:$V$3001,'Per Line'!$D$2:$D$3001,$B797,'Per Line'!$AM$2:$AM$3001,0,'Per Line'!$AN$2:$AN$3001,0))</f>
        <v/>
      </c>
      <c r="P797" s="7">
        <f>IF($X797="","",O797*N797)</f>
        <v/>
      </c>
      <c r="Q797">
        <f>IF($X797="","",Settings!$C$6)</f>
        <v/>
      </c>
      <c r="R797" s="7">
        <f>IF($X797="","",SUMIFS('Per Line'!$V$2:$V$3001,'Per Line'!$D$2:$D$3001,$B797,'Per Line'!$AM$2:$AM$3001,1,'Per Line'!$AN$2:$AN$3001,0))</f>
        <v/>
      </c>
      <c r="S797" s="7">
        <f>IF($X797="","",R797*Q797)</f>
        <v/>
      </c>
      <c r="T797" s="7">
        <f>IF($X797="","",S797+P797)</f>
        <v/>
      </c>
      <c r="U797" s="7">
        <f>IF($X797="","",V797-T797)</f>
        <v/>
      </c>
      <c r="V797" s="7">
        <f>IF($X797="","",O797+R797+M797)</f>
        <v/>
      </c>
      <c r="W797" s="7">
        <f>IF($X797="","",V797-T797-I797)</f>
        <v/>
      </c>
      <c r="X797" s="13">
        <f>IF(ROWS($X$2:$X797)&lt;=MAX('Per Line'!$AL$2:$AL$3001),MATCH(ROWS($X$2:$X797),'Per Line'!$AL$2:$AL$3001,0),"")</f>
        <v/>
      </c>
    </row>
    <row r="798">
      <c r="A798" s="12" t="n"/>
      <c r="B798">
        <f>IF($X798="","",INDEX('Per Line'!$D$2:$D$3001,$X798)&amp;"")</f>
        <v/>
      </c>
      <c r="C798" s="11">
        <f>IF($X798="","",INDEX('Per Line'!$F$2:$F$3001,$X798))</f>
        <v/>
      </c>
      <c r="D798">
        <f>IF($X798="","",INDEX('Per Line'!$G$2:$G$3001,$X798)&amp;"")</f>
        <v/>
      </c>
      <c r="E798">
        <f>IF($X798="","",INDEX('Per Line'!$I$2:$I$3001,$X798)&amp;"")</f>
        <v/>
      </c>
      <c r="F798">
        <f>IF($X798="","",INDEX('Per Line'!$J$2:$J$3001,$X798)&amp;"")</f>
        <v/>
      </c>
      <c r="G798">
        <f>IF($X798="","",INDEX('Per Line'!$K$2:$K$3001,$X798)&amp;"")</f>
        <v/>
      </c>
      <c r="H798">
        <f>IF($X798="","",INDEX('Per Line'!$M$2:$M$3001,$X798))</f>
        <v/>
      </c>
      <c r="I798" s="7">
        <f>IF($X798="","",H798*V798/100)</f>
        <v/>
      </c>
      <c r="J798">
        <f>IF($X798="","",INDEX('Per Line'!$W$2:$W$3001,$X798)&amp;"")</f>
        <v/>
      </c>
      <c r="K798">
        <f>IF($X798="","",INDEX('Per Line'!$AD$2:$AD$3001,$X798))</f>
        <v/>
      </c>
      <c r="L798">
        <f>IF($X798="","",IF(AND(ISNUMBER(K798),K798&gt;0),V798&gt;K798,FALSE))</f>
        <v/>
      </c>
      <c r="M798" s="7">
        <f>IF($X798="","",SUMIFS('Per Line'!$V$2:$V$3001,'Per Line'!$D$2:$D$3001,$B798,'Per Line'!$AN$2:$AN$3001,1))</f>
        <v/>
      </c>
      <c r="N798">
        <f>IF($X798="","",Settings!$C$7)</f>
        <v/>
      </c>
      <c r="O798" s="7">
        <f>IF($X798="","",SUMIFS('Per Line'!$V$2:$V$3001,'Per Line'!$D$2:$D$3001,$B798,'Per Line'!$AM$2:$AM$3001,0,'Per Line'!$AN$2:$AN$3001,0))</f>
        <v/>
      </c>
      <c r="P798" s="7">
        <f>IF($X798="","",O798*N798)</f>
        <v/>
      </c>
      <c r="Q798">
        <f>IF($X798="","",Settings!$C$6)</f>
        <v/>
      </c>
      <c r="R798" s="7">
        <f>IF($X798="","",SUMIFS('Per Line'!$V$2:$V$3001,'Per Line'!$D$2:$D$3001,$B798,'Per Line'!$AM$2:$AM$3001,1,'Per Line'!$AN$2:$AN$3001,0))</f>
        <v/>
      </c>
      <c r="S798" s="7">
        <f>IF($X798="","",R798*Q798)</f>
        <v/>
      </c>
      <c r="T798" s="7">
        <f>IF($X798="","",S798+P798)</f>
        <v/>
      </c>
      <c r="U798" s="7">
        <f>IF($X798="","",V798-T798)</f>
        <v/>
      </c>
      <c r="V798" s="7">
        <f>IF($X798="","",O798+R798+M798)</f>
        <v/>
      </c>
      <c r="W798" s="7">
        <f>IF($X798="","",V798-T798-I798)</f>
        <v/>
      </c>
      <c r="X798" s="13">
        <f>IF(ROWS($X$2:$X798)&lt;=MAX('Per Line'!$AL$2:$AL$3001),MATCH(ROWS($X$2:$X798),'Per Line'!$AL$2:$AL$3001,0),"")</f>
        <v/>
      </c>
    </row>
    <row r="799">
      <c r="A799" s="12" t="n"/>
      <c r="B799">
        <f>IF($X799="","",INDEX('Per Line'!$D$2:$D$3001,$X799)&amp;"")</f>
        <v/>
      </c>
      <c r="C799" s="11">
        <f>IF($X799="","",INDEX('Per Line'!$F$2:$F$3001,$X799))</f>
        <v/>
      </c>
      <c r="D799">
        <f>IF($X799="","",INDEX('Per Line'!$G$2:$G$3001,$X799)&amp;"")</f>
        <v/>
      </c>
      <c r="E799">
        <f>IF($X799="","",INDEX('Per Line'!$I$2:$I$3001,$X799)&amp;"")</f>
        <v/>
      </c>
      <c r="F799">
        <f>IF($X799="","",INDEX('Per Line'!$J$2:$J$3001,$X799)&amp;"")</f>
        <v/>
      </c>
      <c r="G799">
        <f>IF($X799="","",INDEX('Per Line'!$K$2:$K$3001,$X799)&amp;"")</f>
        <v/>
      </c>
      <c r="H799">
        <f>IF($X799="","",INDEX('Per Line'!$M$2:$M$3001,$X799))</f>
        <v/>
      </c>
      <c r="I799" s="7">
        <f>IF($X799="","",H799*V799/100)</f>
        <v/>
      </c>
      <c r="J799">
        <f>IF($X799="","",INDEX('Per Line'!$W$2:$W$3001,$X799)&amp;"")</f>
        <v/>
      </c>
      <c r="K799">
        <f>IF($X799="","",INDEX('Per Line'!$AD$2:$AD$3001,$X799))</f>
        <v/>
      </c>
      <c r="L799">
        <f>IF($X799="","",IF(AND(ISNUMBER(K799),K799&gt;0),V799&gt;K799,FALSE))</f>
        <v/>
      </c>
      <c r="M799" s="7">
        <f>IF($X799="","",SUMIFS('Per Line'!$V$2:$V$3001,'Per Line'!$D$2:$D$3001,$B799,'Per Line'!$AN$2:$AN$3001,1))</f>
        <v/>
      </c>
      <c r="N799">
        <f>IF($X799="","",Settings!$C$7)</f>
        <v/>
      </c>
      <c r="O799" s="7">
        <f>IF($X799="","",SUMIFS('Per Line'!$V$2:$V$3001,'Per Line'!$D$2:$D$3001,$B799,'Per Line'!$AM$2:$AM$3001,0,'Per Line'!$AN$2:$AN$3001,0))</f>
        <v/>
      </c>
      <c r="P799" s="7">
        <f>IF($X799="","",O799*N799)</f>
        <v/>
      </c>
      <c r="Q799">
        <f>IF($X799="","",Settings!$C$6)</f>
        <v/>
      </c>
      <c r="R799" s="7">
        <f>IF($X799="","",SUMIFS('Per Line'!$V$2:$V$3001,'Per Line'!$D$2:$D$3001,$B799,'Per Line'!$AM$2:$AM$3001,1,'Per Line'!$AN$2:$AN$3001,0))</f>
        <v/>
      </c>
      <c r="S799" s="7">
        <f>IF($X799="","",R799*Q799)</f>
        <v/>
      </c>
      <c r="T799" s="7">
        <f>IF($X799="","",S799+P799)</f>
        <v/>
      </c>
      <c r="U799" s="7">
        <f>IF($X799="","",V799-T799)</f>
        <v/>
      </c>
      <c r="V799" s="7">
        <f>IF($X799="","",O799+R799+M799)</f>
        <v/>
      </c>
      <c r="W799" s="7">
        <f>IF($X799="","",V799-T799-I799)</f>
        <v/>
      </c>
      <c r="X799" s="13">
        <f>IF(ROWS($X$2:$X799)&lt;=MAX('Per Line'!$AL$2:$AL$3001),MATCH(ROWS($X$2:$X799),'Per Line'!$AL$2:$AL$3001,0),"")</f>
        <v/>
      </c>
    </row>
    <row r="800">
      <c r="A800" s="12" t="n"/>
      <c r="B800">
        <f>IF($X800="","",INDEX('Per Line'!$D$2:$D$3001,$X800)&amp;"")</f>
        <v/>
      </c>
      <c r="C800" s="11">
        <f>IF($X800="","",INDEX('Per Line'!$F$2:$F$3001,$X800))</f>
        <v/>
      </c>
      <c r="D800">
        <f>IF($X800="","",INDEX('Per Line'!$G$2:$G$3001,$X800)&amp;"")</f>
        <v/>
      </c>
      <c r="E800">
        <f>IF($X800="","",INDEX('Per Line'!$I$2:$I$3001,$X800)&amp;"")</f>
        <v/>
      </c>
      <c r="F800">
        <f>IF($X800="","",INDEX('Per Line'!$J$2:$J$3001,$X800)&amp;"")</f>
        <v/>
      </c>
      <c r="G800">
        <f>IF($X800="","",INDEX('Per Line'!$K$2:$K$3001,$X800)&amp;"")</f>
        <v/>
      </c>
      <c r="H800">
        <f>IF($X800="","",INDEX('Per Line'!$M$2:$M$3001,$X800))</f>
        <v/>
      </c>
      <c r="I800" s="7">
        <f>IF($X800="","",H800*V800/100)</f>
        <v/>
      </c>
      <c r="J800">
        <f>IF($X800="","",INDEX('Per Line'!$W$2:$W$3001,$X800)&amp;"")</f>
        <v/>
      </c>
      <c r="K800">
        <f>IF($X800="","",INDEX('Per Line'!$AD$2:$AD$3001,$X800))</f>
        <v/>
      </c>
      <c r="L800">
        <f>IF($X800="","",IF(AND(ISNUMBER(K800),K800&gt;0),V800&gt;K800,FALSE))</f>
        <v/>
      </c>
      <c r="M800" s="7">
        <f>IF($X800="","",SUMIFS('Per Line'!$V$2:$V$3001,'Per Line'!$D$2:$D$3001,$B800,'Per Line'!$AN$2:$AN$3001,1))</f>
        <v/>
      </c>
      <c r="N800">
        <f>IF($X800="","",Settings!$C$7)</f>
        <v/>
      </c>
      <c r="O800" s="7">
        <f>IF($X800="","",SUMIFS('Per Line'!$V$2:$V$3001,'Per Line'!$D$2:$D$3001,$B800,'Per Line'!$AM$2:$AM$3001,0,'Per Line'!$AN$2:$AN$3001,0))</f>
        <v/>
      </c>
      <c r="P800" s="7">
        <f>IF($X800="","",O800*N800)</f>
        <v/>
      </c>
      <c r="Q800">
        <f>IF($X800="","",Settings!$C$6)</f>
        <v/>
      </c>
      <c r="R800" s="7">
        <f>IF($X800="","",SUMIFS('Per Line'!$V$2:$V$3001,'Per Line'!$D$2:$D$3001,$B800,'Per Line'!$AM$2:$AM$3001,1,'Per Line'!$AN$2:$AN$3001,0))</f>
        <v/>
      </c>
      <c r="S800" s="7">
        <f>IF($X800="","",R800*Q800)</f>
        <v/>
      </c>
      <c r="T800" s="7">
        <f>IF($X800="","",S800+P800)</f>
        <v/>
      </c>
      <c r="U800" s="7">
        <f>IF($X800="","",V800-T800)</f>
        <v/>
      </c>
      <c r="V800" s="7">
        <f>IF($X800="","",O800+R800+M800)</f>
        <v/>
      </c>
      <c r="W800" s="7">
        <f>IF($X800="","",V800-T800-I800)</f>
        <v/>
      </c>
      <c r="X800" s="13">
        <f>IF(ROWS($X$2:$X800)&lt;=MAX('Per Line'!$AL$2:$AL$3001),MATCH(ROWS($X$2:$X800),'Per Line'!$AL$2:$AL$3001,0),"")</f>
        <v/>
      </c>
    </row>
    <row r="801">
      <c r="A801" s="12" t="n"/>
      <c r="B801">
        <f>IF($X801="","",INDEX('Per Line'!$D$2:$D$3001,$X801)&amp;"")</f>
        <v/>
      </c>
      <c r="C801" s="11">
        <f>IF($X801="","",INDEX('Per Line'!$F$2:$F$3001,$X801))</f>
        <v/>
      </c>
      <c r="D801">
        <f>IF($X801="","",INDEX('Per Line'!$G$2:$G$3001,$X801)&amp;"")</f>
        <v/>
      </c>
      <c r="E801">
        <f>IF($X801="","",INDEX('Per Line'!$I$2:$I$3001,$X801)&amp;"")</f>
        <v/>
      </c>
      <c r="F801">
        <f>IF($X801="","",INDEX('Per Line'!$J$2:$J$3001,$X801)&amp;"")</f>
        <v/>
      </c>
      <c r="G801">
        <f>IF($X801="","",INDEX('Per Line'!$K$2:$K$3001,$X801)&amp;"")</f>
        <v/>
      </c>
      <c r="H801">
        <f>IF($X801="","",INDEX('Per Line'!$M$2:$M$3001,$X801))</f>
        <v/>
      </c>
      <c r="I801" s="7">
        <f>IF($X801="","",H801*V801/100)</f>
        <v/>
      </c>
      <c r="J801">
        <f>IF($X801="","",INDEX('Per Line'!$W$2:$W$3001,$X801)&amp;"")</f>
        <v/>
      </c>
      <c r="K801">
        <f>IF($X801="","",INDEX('Per Line'!$AD$2:$AD$3001,$X801))</f>
        <v/>
      </c>
      <c r="L801">
        <f>IF($X801="","",IF(AND(ISNUMBER(K801),K801&gt;0),V801&gt;K801,FALSE))</f>
        <v/>
      </c>
      <c r="M801" s="7">
        <f>IF($X801="","",SUMIFS('Per Line'!$V$2:$V$3001,'Per Line'!$D$2:$D$3001,$B801,'Per Line'!$AN$2:$AN$3001,1))</f>
        <v/>
      </c>
      <c r="N801">
        <f>IF($X801="","",Settings!$C$7)</f>
        <v/>
      </c>
      <c r="O801" s="7">
        <f>IF($X801="","",SUMIFS('Per Line'!$V$2:$V$3001,'Per Line'!$D$2:$D$3001,$B801,'Per Line'!$AM$2:$AM$3001,0,'Per Line'!$AN$2:$AN$3001,0))</f>
        <v/>
      </c>
      <c r="P801" s="7">
        <f>IF($X801="","",O801*N801)</f>
        <v/>
      </c>
      <c r="Q801">
        <f>IF($X801="","",Settings!$C$6)</f>
        <v/>
      </c>
      <c r="R801" s="7">
        <f>IF($X801="","",SUMIFS('Per Line'!$V$2:$V$3001,'Per Line'!$D$2:$D$3001,$B801,'Per Line'!$AM$2:$AM$3001,1,'Per Line'!$AN$2:$AN$3001,0))</f>
        <v/>
      </c>
      <c r="S801" s="7">
        <f>IF($X801="","",R801*Q801)</f>
        <v/>
      </c>
      <c r="T801" s="7">
        <f>IF($X801="","",S801+P801)</f>
        <v/>
      </c>
      <c r="U801" s="7">
        <f>IF($X801="","",V801-T801)</f>
        <v/>
      </c>
      <c r="V801" s="7">
        <f>IF($X801="","",O801+R801+M801)</f>
        <v/>
      </c>
      <c r="W801" s="7">
        <f>IF($X801="","",V801-T801-I801)</f>
        <v/>
      </c>
      <c r="X801" s="13">
        <f>IF(ROWS($X$2:$X801)&lt;=MAX('Per Line'!$AL$2:$AL$3001),MATCH(ROWS($X$2:$X801),'Per Line'!$AL$2:$AL$3001,0),"")</f>
        <v/>
      </c>
    </row>
  </sheetData>
  <autoFilter ref="A1:X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2026-10-12T10:41:47Z</dcterms:created>
  <dcterms:modified xmlns:dcterms="http://purl.org/dc/terms/" xmlns:xsi="http://www.w3.org/2001/XMLSchema-instance" xsi:type="dcterms:W3CDTF">2026-10-12T10:41:48Z</dcterms:modified>
</cp:coreProperties>
</file>